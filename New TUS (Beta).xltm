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6160A1F-E638-45F2-A745-B109EA7480E4}" xr6:coauthVersionLast="47" xr6:coauthVersionMax="47" xr10:uidLastSave="{00000000-0000-0000-0000-000000000000}"/>
  <bookViews>
    <workbookView xWindow="2868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WireOffsets!$A$1:$C$43</definedName>
    <definedName name="ExternalData_1" localSheetId="0" hidden="1">WireSets!$A$1:$I$24</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54" i="8"/>
  <c r="H54" i="8"/>
  <c r="G54" i="8"/>
  <c r="F54" i="8"/>
  <c r="E54" i="8"/>
  <c r="D54"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J6" i="95"/>
  <c r="J7" i="95"/>
  <c r="K7" i="95" s="1"/>
  <c r="J8" i="95"/>
  <c r="J9" i="95"/>
  <c r="J10" i="95"/>
  <c r="J11" i="95"/>
  <c r="K11" i="95" s="1"/>
  <c r="J12" i="95"/>
  <c r="K12" i="95" s="1"/>
  <c r="J13" i="95"/>
  <c r="K13" i="95" s="1"/>
  <c r="J14" i="95"/>
  <c r="K14" i="95" s="1"/>
  <c r="J15" i="95"/>
  <c r="K15" i="95" s="1"/>
  <c r="J16" i="95"/>
  <c r="J17" i="95"/>
  <c r="K17" i="95" s="1"/>
  <c r="J18" i="95"/>
  <c r="K18" i="95" s="1"/>
  <c r="J19" i="95"/>
  <c r="K19" i="95" s="1"/>
  <c r="J20" i="95"/>
  <c r="J21" i="95"/>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J35" i="95"/>
  <c r="J36" i="95"/>
  <c r="K36" i="95" s="1"/>
  <c r="J37" i="95"/>
  <c r="J38" i="95"/>
  <c r="J39" i="95"/>
  <c r="K39" i="95" s="1"/>
  <c r="J40" i="95"/>
  <c r="J41" i="95"/>
  <c r="K41" i="95" s="1"/>
  <c r="J42" i="95"/>
  <c r="K42" i="95" s="1"/>
  <c r="J43" i="95"/>
  <c r="K43" i="95" s="1"/>
  <c r="J44" i="95"/>
  <c r="K44" i="95" s="1"/>
  <c r="J45" i="95"/>
  <c r="K45" i="95" s="1"/>
  <c r="J46" i="95"/>
  <c r="K46" i="95" s="1"/>
  <c r="J47" i="95"/>
  <c r="K47" i="95" s="1"/>
  <c r="J48" i="95"/>
  <c r="J49" i="95"/>
  <c r="J50" i="95"/>
  <c r="K50" i="95" s="1"/>
  <c r="J51" i="95"/>
  <c r="J52" i="95"/>
  <c r="J53" i="95"/>
  <c r="J54" i="95"/>
  <c r="J55" i="95"/>
  <c r="K55" i="95" s="1"/>
  <c r="J56" i="95"/>
  <c r="J57" i="95"/>
  <c r="J58" i="95"/>
  <c r="K58" i="95" s="1"/>
  <c r="J59" i="95"/>
  <c r="K59" i="95" s="1"/>
  <c r="J60" i="95"/>
  <c r="K60" i="95" s="1"/>
  <c r="J61" i="95"/>
  <c r="K61" i="95" s="1"/>
  <c r="J62" i="95"/>
  <c r="K62" i="95" s="1"/>
  <c r="J63" i="95"/>
  <c r="K63" i="95" s="1"/>
  <c r="J64" i="95"/>
  <c r="K64" i="95" s="1"/>
  <c r="J65" i="95"/>
  <c r="J66" i="95"/>
  <c r="J67" i="95"/>
  <c r="J68" i="95"/>
  <c r="K68" i="95" s="1"/>
  <c r="J69" i="95"/>
  <c r="J70" i="95"/>
  <c r="J71" i="95"/>
  <c r="K71" i="95" s="1"/>
  <c r="J72" i="95"/>
  <c r="J73" i="95"/>
  <c r="J74" i="95"/>
  <c r="J75" i="95"/>
  <c r="J76" i="95"/>
  <c r="J77" i="95"/>
  <c r="J78" i="95"/>
  <c r="J79" i="95"/>
  <c r="K79" i="95" s="1"/>
  <c r="J80" i="95"/>
  <c r="J81" i="95"/>
  <c r="K81" i="95" s="1"/>
  <c r="J82" i="95"/>
  <c r="K82" i="95" s="1"/>
  <c r="J83" i="95"/>
  <c r="K83" i="95" s="1"/>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J99" i="95"/>
  <c r="J100" i="95"/>
  <c r="K100" i="95" s="1"/>
  <c r="J101" i="95"/>
  <c r="J102" i="95"/>
  <c r="J103" i="95"/>
  <c r="K103" i="95" s="1"/>
  <c r="J104" i="95"/>
  <c r="J105" i="95"/>
  <c r="K105" i="95" s="1"/>
  <c r="J106" i="95"/>
  <c r="K106" i="95" s="1"/>
  <c r="J107" i="95"/>
  <c r="K107" i="95" s="1"/>
  <c r="J108" i="95"/>
  <c r="K108" i="95" s="1"/>
  <c r="J109" i="95"/>
  <c r="K109" i="95" s="1"/>
  <c r="J110" i="95"/>
  <c r="K110" i="95" s="1"/>
  <c r="J111" i="95"/>
  <c r="K111" i="95" s="1"/>
  <c r="J112" i="95"/>
  <c r="J113" i="95"/>
  <c r="J114" i="95"/>
  <c r="K114" i="95" s="1"/>
  <c r="J115" i="95"/>
  <c r="J116" i="95"/>
  <c r="J117" i="95"/>
  <c r="J118" i="95"/>
  <c r="J119" i="95"/>
  <c r="K119" i="95" s="1"/>
  <c r="J120" i="95"/>
  <c r="J121" i="95"/>
  <c r="J122" i="95"/>
  <c r="K122" i="95" s="1"/>
  <c r="J123" i="95"/>
  <c r="K123" i="95" s="1"/>
  <c r="J124" i="95"/>
  <c r="K124" i="95" s="1"/>
  <c r="J125" i="95"/>
  <c r="K125" i="95" s="1"/>
  <c r="J126" i="95"/>
  <c r="K126" i="95" s="1"/>
  <c r="J127" i="95"/>
  <c r="K127" i="95" s="1"/>
  <c r="J128" i="95"/>
  <c r="K128" i="95" s="1"/>
  <c r="J129" i="95"/>
  <c r="J130" i="95"/>
  <c r="J131" i="95"/>
  <c r="J132" i="95"/>
  <c r="K132" i="95" s="1"/>
  <c r="J133" i="95"/>
  <c r="J134" i="95"/>
  <c r="J135" i="95"/>
  <c r="K135" i="95" s="1"/>
  <c r="J136" i="95"/>
  <c r="J137" i="95"/>
  <c r="J138" i="95"/>
  <c r="J139" i="95"/>
  <c r="J140" i="95"/>
  <c r="K140" i="95" s="1"/>
  <c r="J141" i="95"/>
  <c r="K141" i="95" s="1"/>
  <c r="J142" i="95"/>
  <c r="K142" i="95" s="1"/>
  <c r="J143" i="95"/>
  <c r="K143" i="95" s="1"/>
  <c r="J144" i="95"/>
  <c r="J145" i="95"/>
  <c r="K145" i="95" s="1"/>
  <c r="J146" i="95"/>
  <c r="K146" i="95" s="1"/>
  <c r="J147" i="95"/>
  <c r="K147" i="95" s="1"/>
  <c r="J148" i="95"/>
  <c r="J149" i="95"/>
  <c r="J150" i="95"/>
  <c r="J151" i="95"/>
  <c r="J152" i="95"/>
  <c r="J153" i="95"/>
  <c r="J154" i="95"/>
  <c r="J155" i="95"/>
  <c r="J156" i="95"/>
  <c r="J157" i="95"/>
  <c r="J158" i="95"/>
  <c r="J159" i="95"/>
  <c r="K159" i="95" s="1"/>
  <c r="J160" i="95"/>
  <c r="K160" i="95" s="1"/>
  <c r="J161" i="95"/>
  <c r="J162" i="95"/>
  <c r="J163" i="95"/>
  <c r="K163" i="95" s="1"/>
  <c r="J164" i="95"/>
  <c r="K164" i="95" s="1"/>
  <c r="J165" i="95"/>
  <c r="K165" i="95" s="1"/>
  <c r="J166" i="95"/>
  <c r="J167" i="95"/>
  <c r="K167" i="95" s="1"/>
  <c r="J168" i="95"/>
  <c r="K168" i="95" s="1"/>
  <c r="J169" i="95"/>
  <c r="K169" i="95" s="1"/>
  <c r="J170" i="95"/>
  <c r="K170" i="95" s="1"/>
  <c r="J171" i="95"/>
  <c r="K171" i="95" s="1"/>
  <c r="J172" i="95"/>
  <c r="K172" i="95" s="1"/>
  <c r="J173" i="95"/>
  <c r="K173" i="95" s="1"/>
  <c r="J174" i="95"/>
  <c r="K174" i="95" s="1"/>
  <c r="J175" i="95"/>
  <c r="K175" i="95" s="1"/>
  <c r="J176" i="95"/>
  <c r="J177" i="95"/>
  <c r="J178" i="95"/>
  <c r="K178" i="95" s="1"/>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J195" i="95"/>
  <c r="J196" i="95"/>
  <c r="K196" i="95" s="1"/>
  <c r="J197" i="95"/>
  <c r="J198" i="95"/>
  <c r="J199" i="95"/>
  <c r="K199" i="95" s="1"/>
  <c r="J200" i="95"/>
  <c r="J201" i="95"/>
  <c r="J202" i="95"/>
  <c r="J203" i="95"/>
  <c r="J204" i="95"/>
  <c r="K204" i="95" s="1"/>
  <c r="J205" i="95"/>
  <c r="K205" i="95" s="1"/>
  <c r="J206" i="95"/>
  <c r="K206" i="95" s="1"/>
  <c r="J207" i="95"/>
  <c r="K207" i="95" s="1"/>
  <c r="J208" i="95"/>
  <c r="J209" i="95"/>
  <c r="K209" i="95" s="1"/>
  <c r="J210" i="95"/>
  <c r="K210" i="95" s="1"/>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J226" i="95"/>
  <c r="J227" i="95"/>
  <c r="J228" i="95"/>
  <c r="K228" i="95" s="1"/>
  <c r="J229" i="95"/>
  <c r="J230" i="95"/>
  <c r="J231" i="95"/>
  <c r="K231" i="95" s="1"/>
  <c r="J232" i="95"/>
  <c r="K232" i="95" s="1"/>
  <c r="J233" i="95"/>
  <c r="J234" i="95"/>
  <c r="J235" i="95"/>
  <c r="J236" i="95"/>
  <c r="K236" i="95" s="1"/>
  <c r="J237" i="95"/>
  <c r="J238" i="95"/>
  <c r="J239" i="95"/>
  <c r="K239" i="95" s="1"/>
  <c r="J240" i="95"/>
  <c r="J241" i="95"/>
  <c r="J242" i="95"/>
  <c r="K242" i="95" s="1"/>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J258" i="95"/>
  <c r="J259" i="95"/>
  <c r="J260" i="95"/>
  <c r="K260" i="95" s="1"/>
  <c r="J261" i="95"/>
  <c r="J262" i="95"/>
  <c r="J263" i="95"/>
  <c r="K263" i="95" s="1"/>
  <c r="J264" i="95"/>
  <c r="J265" i="95"/>
  <c r="J266" i="95"/>
  <c r="K266" i="95" s="1"/>
  <c r="J267" i="95"/>
  <c r="K267" i="95" s="1"/>
  <c r="J268" i="95"/>
  <c r="K268" i="95" s="1"/>
  <c r="J269" i="95"/>
  <c r="K269" i="95" s="1"/>
  <c r="J270" i="95"/>
  <c r="K270" i="95" s="1"/>
  <c r="J271" i="95"/>
  <c r="K271" i="95" s="1"/>
  <c r="J272" i="95"/>
  <c r="J273" i="95"/>
  <c r="J274" i="95"/>
  <c r="K274" i="95" s="1"/>
  <c r="J275" i="95"/>
  <c r="J276" i="95"/>
  <c r="J277" i="95"/>
  <c r="J278" i="95"/>
  <c r="J279" i="95"/>
  <c r="K279" i="95" s="1"/>
  <c r="J280" i="95"/>
  <c r="J281" i="95"/>
  <c r="J282" i="95"/>
  <c r="J283" i="95"/>
  <c r="J284" i="95"/>
  <c r="J285" i="95"/>
  <c r="J286" i="95"/>
  <c r="J287" i="95"/>
  <c r="K287" i="95" s="1"/>
  <c r="J288" i="95"/>
  <c r="K288" i="95" s="1"/>
  <c r="J289" i="95"/>
  <c r="J290" i="95"/>
  <c r="J291" i="95"/>
  <c r="J292" i="95"/>
  <c r="K292" i="95" s="1"/>
  <c r="J293" i="95"/>
  <c r="J294" i="95"/>
  <c r="J295" i="95"/>
  <c r="K295" i="95" s="1"/>
  <c r="J296" i="95"/>
  <c r="K296" i="95" s="1"/>
  <c r="J297" i="95"/>
  <c r="J298" i="95"/>
  <c r="K298" i="95" s="1"/>
  <c r="J299" i="95"/>
  <c r="K299" i="95" s="1"/>
  <c r="J300" i="95"/>
  <c r="K300" i="95" s="1"/>
  <c r="J301" i="95"/>
  <c r="K301" i="95" s="1"/>
  <c r="J302" i="95"/>
  <c r="K302" i="95" s="1"/>
  <c r="J303" i="95"/>
  <c r="K303" i="95" s="1"/>
  <c r="J304" i="95"/>
  <c r="J305" i="95"/>
  <c r="J306" i="95"/>
  <c r="K306" i="95" s="1"/>
  <c r="J307" i="95"/>
  <c r="J308" i="95"/>
  <c r="K308" i="95" s="1"/>
  <c r="J309" i="95"/>
  <c r="K309" i="95" s="1"/>
  <c r="J310" i="95"/>
  <c r="J311" i="95"/>
  <c r="K311" i="95" s="1"/>
  <c r="J312" i="95"/>
  <c r="K312" i="95" s="1"/>
  <c r="J313" i="95"/>
  <c r="K313" i="95" s="1"/>
  <c r="J314" i="95"/>
  <c r="K314" i="95" s="1"/>
  <c r="J315" i="95"/>
  <c r="K315" i="95" s="1"/>
  <c r="J316" i="95"/>
  <c r="K316" i="95" s="1"/>
  <c r="J317" i="95"/>
  <c r="K317" i="95" s="1"/>
  <c r="J318" i="95"/>
  <c r="K318" i="95" s="1"/>
  <c r="J319" i="95"/>
  <c r="K319" i="95" s="1"/>
  <c r="J320" i="95"/>
  <c r="J321" i="95"/>
  <c r="J322" i="95"/>
  <c r="J323" i="95"/>
  <c r="J324" i="95"/>
  <c r="K324" i="95" s="1"/>
  <c r="J325" i="95"/>
  <c r="J326" i="95"/>
  <c r="J327" i="95"/>
  <c r="K327" i="95" s="1"/>
  <c r="J328" i="95"/>
  <c r="J329" i="95"/>
  <c r="J330" i="95"/>
  <c r="J331" i="95"/>
  <c r="K331" i="95" s="1"/>
  <c r="J332" i="95"/>
  <c r="K332" i="95" s="1"/>
  <c r="J333" i="95"/>
  <c r="K333" i="95" s="1"/>
  <c r="J334" i="95"/>
  <c r="K334" i="95" s="1"/>
  <c r="J335" i="95"/>
  <c r="K335" i="95" s="1"/>
  <c r="J336" i="95"/>
  <c r="J337" i="95"/>
  <c r="K337" i="95" s="1"/>
  <c r="J338" i="95"/>
  <c r="K338" i="95" s="1"/>
  <c r="J339" i="95"/>
  <c r="J340" i="95"/>
  <c r="J341" i="95"/>
  <c r="J342" i="95"/>
  <c r="K342" i="95" s="1"/>
  <c r="J343" i="95"/>
  <c r="K343" i="95" s="1"/>
  <c r="J344" i="95"/>
  <c r="J345" i="95"/>
  <c r="K345" i="95" s="1"/>
  <c r="J346" i="95"/>
  <c r="K346" i="95" s="1"/>
  <c r="J347" i="95"/>
  <c r="K347" i="95" s="1"/>
  <c r="J348" i="95"/>
  <c r="K348" i="95" s="1"/>
  <c r="J349" i="95"/>
  <c r="K349" i="95" s="1"/>
  <c r="J350" i="95"/>
  <c r="K350" i="95" s="1"/>
  <c r="J351" i="95"/>
  <c r="K351" i="95" s="1"/>
  <c r="J352" i="95"/>
  <c r="K352" i="95" s="1"/>
  <c r="J353" i="95"/>
  <c r="J354" i="95"/>
  <c r="J355" i="95"/>
  <c r="K355" i="95" s="1"/>
  <c r="J356" i="95"/>
  <c r="K356" i="95" s="1"/>
  <c r="J357" i="95"/>
  <c r="J358" i="95"/>
  <c r="J359" i="95"/>
  <c r="K359" i="95" s="1"/>
  <c r="J360" i="95"/>
  <c r="J361" i="95"/>
  <c r="J362" i="95"/>
  <c r="J363" i="95"/>
  <c r="J364" i="95"/>
  <c r="J365" i="95"/>
  <c r="J366" i="95"/>
  <c r="J367" i="95"/>
  <c r="K367" i="95" s="1"/>
  <c r="J368" i="95"/>
  <c r="J369" i="95"/>
  <c r="J370" i="95"/>
  <c r="K370" i="95" s="1"/>
  <c r="J371" i="95"/>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K388" i="95" s="1"/>
  <c r="J389" i="95"/>
  <c r="J390" i="95"/>
  <c r="J391" i="95"/>
  <c r="K391" i="95" s="1"/>
  <c r="J392" i="95"/>
  <c r="K392" i="95" s="1"/>
  <c r="J393" i="95"/>
  <c r="K393" i="95" s="1"/>
  <c r="J394" i="95"/>
  <c r="J395" i="95"/>
  <c r="K395" i="95" s="1"/>
  <c r="J396" i="95"/>
  <c r="K396" i="95" s="1"/>
  <c r="J397" i="95"/>
  <c r="K397" i="95" s="1"/>
  <c r="J398" i="95"/>
  <c r="K398" i="95" s="1"/>
  <c r="J399" i="95"/>
  <c r="K399" i="95" s="1"/>
  <c r="J400" i="95"/>
  <c r="J401" i="95"/>
  <c r="J402" i="95"/>
  <c r="K402" i="95" s="1"/>
  <c r="J403" i="95"/>
  <c r="J404" i="95"/>
  <c r="J405" i="95"/>
  <c r="J406" i="95"/>
  <c r="J407" i="95"/>
  <c r="K407" i="95" s="1"/>
  <c r="J408" i="95"/>
  <c r="J409" i="95"/>
  <c r="J410" i="95"/>
  <c r="J411" i="95"/>
  <c r="J412" i="95"/>
  <c r="K412" i="95" s="1"/>
  <c r="J413" i="95"/>
  <c r="K413" i="95" s="1"/>
  <c r="J414" i="95"/>
  <c r="K414" i="95" s="1"/>
  <c r="J415" i="95"/>
  <c r="K415" i="95" s="1"/>
  <c r="J416" i="95"/>
  <c r="K416" i="95" s="1"/>
  <c r="J417" i="95"/>
  <c r="J418" i="95"/>
  <c r="K2" i="95"/>
  <c r="K3" i="95"/>
  <c r="K5" i="95"/>
  <c r="K6" i="95"/>
  <c r="K8" i="95"/>
  <c r="K9" i="95"/>
  <c r="K10" i="95"/>
  <c r="K16" i="95"/>
  <c r="K20" i="95"/>
  <c r="K21" i="95"/>
  <c r="K33" i="95"/>
  <c r="K34" i="95"/>
  <c r="K35" i="95"/>
  <c r="K37" i="95"/>
  <c r="K38" i="95"/>
  <c r="K40" i="95"/>
  <c r="K48" i="95"/>
  <c r="K49" i="95"/>
  <c r="K51" i="95"/>
  <c r="K52" i="95"/>
  <c r="K53" i="95"/>
  <c r="K54" i="95"/>
  <c r="K56" i="95"/>
  <c r="K57" i="95"/>
  <c r="K65" i="95"/>
  <c r="K66" i="95"/>
  <c r="K67" i="95"/>
  <c r="K69" i="95"/>
  <c r="K70" i="95"/>
  <c r="K72" i="95"/>
  <c r="K73" i="95"/>
  <c r="K74" i="95"/>
  <c r="K75" i="95"/>
  <c r="K76" i="95"/>
  <c r="K77" i="95"/>
  <c r="K78" i="95"/>
  <c r="K80" i="95"/>
  <c r="K84" i="95"/>
  <c r="K97" i="95"/>
  <c r="K98" i="95"/>
  <c r="K99" i="95"/>
  <c r="K101" i="95"/>
  <c r="K102" i="95"/>
  <c r="K104" i="95"/>
  <c r="K112" i="95"/>
  <c r="K113" i="95"/>
  <c r="K115" i="95"/>
  <c r="K116" i="95"/>
  <c r="K117" i="95"/>
  <c r="K118" i="95"/>
  <c r="K120" i="95"/>
  <c r="K121" i="95"/>
  <c r="K129" i="95"/>
  <c r="K130" i="95"/>
  <c r="K131" i="95"/>
  <c r="K133" i="95"/>
  <c r="K134" i="95"/>
  <c r="K136" i="95"/>
  <c r="K137" i="95"/>
  <c r="K138" i="95"/>
  <c r="K139" i="95"/>
  <c r="K144" i="95"/>
  <c r="K148" i="95"/>
  <c r="K149" i="95"/>
  <c r="K150" i="95"/>
  <c r="K152" i="95"/>
  <c r="K153" i="95"/>
  <c r="K154" i="95"/>
  <c r="K155" i="95"/>
  <c r="K156" i="95"/>
  <c r="K157" i="95"/>
  <c r="K158" i="95"/>
  <c r="K161" i="95"/>
  <c r="K162" i="95"/>
  <c r="K166" i="95"/>
  <c r="K176" i="95"/>
  <c r="K177" i="95"/>
  <c r="K179" i="95"/>
  <c r="K180" i="95"/>
  <c r="K193" i="95"/>
  <c r="K194" i="95"/>
  <c r="K195" i="95"/>
  <c r="K197" i="95"/>
  <c r="K198" i="95"/>
  <c r="K200" i="95"/>
  <c r="K201" i="95"/>
  <c r="K202" i="95"/>
  <c r="K203" i="95"/>
  <c r="K212" i="95"/>
  <c r="K225" i="95"/>
  <c r="K226" i="95"/>
  <c r="K227" i="95"/>
  <c r="K229" i="95"/>
  <c r="K230" i="95"/>
  <c r="K233" i="95"/>
  <c r="K234" i="95"/>
  <c r="K235" i="95"/>
  <c r="K237" i="95"/>
  <c r="K238" i="95"/>
  <c r="K240" i="95"/>
  <c r="K241" i="95"/>
  <c r="K243" i="95"/>
  <c r="K244" i="95"/>
  <c r="K245" i="95"/>
  <c r="K246" i="95"/>
  <c r="K257" i="95"/>
  <c r="K258" i="95"/>
  <c r="K259" i="95"/>
  <c r="K261" i="95"/>
  <c r="K262" i="95"/>
  <c r="K264" i="95"/>
  <c r="K265" i="95"/>
  <c r="K272" i="95"/>
  <c r="K273" i="95"/>
  <c r="K275" i="95"/>
  <c r="K276" i="95"/>
  <c r="K277" i="95"/>
  <c r="K278" i="95"/>
  <c r="K280" i="95"/>
  <c r="K281" i="95"/>
  <c r="K282" i="95"/>
  <c r="K283" i="95"/>
  <c r="K284" i="95"/>
  <c r="K285" i="95"/>
  <c r="K286" i="95"/>
  <c r="K289" i="95"/>
  <c r="K290" i="95"/>
  <c r="K291" i="95"/>
  <c r="K293" i="95"/>
  <c r="K294" i="95"/>
  <c r="K297" i="95"/>
  <c r="K304" i="95"/>
  <c r="K305" i="95"/>
  <c r="K307" i="95"/>
  <c r="K310" i="95"/>
  <c r="K322" i="95"/>
  <c r="K323" i="95"/>
  <c r="K325" i="95"/>
  <c r="K326" i="95"/>
  <c r="K328" i="95"/>
  <c r="K329" i="95"/>
  <c r="K330" i="95"/>
  <c r="K336" i="95"/>
  <c r="K339" i="95"/>
  <c r="K340" i="95"/>
  <c r="K341" i="95"/>
  <c r="K344" i="95"/>
  <c r="K353" i="95"/>
  <c r="K354" i="95"/>
  <c r="K357" i="95"/>
  <c r="K358" i="95"/>
  <c r="K360" i="95"/>
  <c r="K361" i="95"/>
  <c r="K362" i="95"/>
  <c r="K363" i="95"/>
  <c r="K364" i="95"/>
  <c r="K365" i="95"/>
  <c r="K366" i="95"/>
  <c r="K368" i="95"/>
  <c r="K369" i="95"/>
  <c r="K371" i="95"/>
  <c r="K385" i="95"/>
  <c r="K386" i="95"/>
  <c r="K387" i="95"/>
  <c r="K389" i="95"/>
  <c r="K390" i="95"/>
  <c r="K394" i="95"/>
  <c r="K400" i="95"/>
  <c r="K401" i="95"/>
  <c r="K403" i="95"/>
  <c r="K404" i="95"/>
  <c r="K405" i="95"/>
  <c r="K406" i="95"/>
  <c r="K408" i="95"/>
  <c r="K409" i="95"/>
  <c r="K410" i="95"/>
  <c r="K411" i="95"/>
  <c r="K417" i="95"/>
  <c r="K418" i="95"/>
  <c r="L2" i="95"/>
  <c r="M2" i="95" s="1"/>
  <c r="L3" i="95"/>
  <c r="L4" i="95"/>
  <c r="L5" i="95"/>
  <c r="M5" i="95" s="1"/>
  <c r="L6" i="95"/>
  <c r="M6" i="95" s="1"/>
  <c r="L7" i="95"/>
  <c r="M7" i="95" s="1"/>
  <c r="L8" i="95"/>
  <c r="M8" i="95" s="1"/>
  <c r="L9" i="95"/>
  <c r="M9" i="95" s="1"/>
  <c r="L10" i="95"/>
  <c r="M10" i="95" s="1"/>
  <c r="L11" i="95"/>
  <c r="L12" i="95"/>
  <c r="L13" i="95"/>
  <c r="M13" i="95" s="1"/>
  <c r="L14" i="95"/>
  <c r="M14" i="95" s="1"/>
  <c r="L15" i="95"/>
  <c r="L16" i="95"/>
  <c r="M16" i="95" s="1"/>
  <c r="L17" i="95"/>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L32" i="95"/>
  <c r="L33" i="95"/>
  <c r="L34" i="95"/>
  <c r="M34" i="95" s="1"/>
  <c r="L35" i="95"/>
  <c r="L36" i="95"/>
  <c r="M36" i="95" s="1"/>
  <c r="L37" i="95"/>
  <c r="M37" i="95" s="1"/>
  <c r="L38" i="95"/>
  <c r="M38" i="95" s="1"/>
  <c r="L39" i="95"/>
  <c r="M39" i="95" s="1"/>
  <c r="L40" i="95"/>
  <c r="M40" i="95" s="1"/>
  <c r="L41" i="95"/>
  <c r="M41" i="95" s="1"/>
  <c r="L42" i="95"/>
  <c r="M42" i="95" s="1"/>
  <c r="L43" i="95"/>
  <c r="L44" i="95"/>
  <c r="L45" i="95"/>
  <c r="M45" i="95" s="1"/>
  <c r="L46" i="95"/>
  <c r="M46" i="95" s="1"/>
  <c r="L47" i="95"/>
  <c r="L48" i="95"/>
  <c r="M48" i="95" s="1"/>
  <c r="L49" i="95"/>
  <c r="L50" i="95"/>
  <c r="L51" i="95"/>
  <c r="L52" i="95"/>
  <c r="L53" i="95"/>
  <c r="M53" i="95" s="1"/>
  <c r="L54" i="95"/>
  <c r="M54" i="95" s="1"/>
  <c r="L55" i="95"/>
  <c r="M55" i="95" s="1"/>
  <c r="L56" i="95"/>
  <c r="M56" i="95" s="1"/>
  <c r="L57" i="95"/>
  <c r="M57" i="95" s="1"/>
  <c r="L58" i="95"/>
  <c r="M58" i="95" s="1"/>
  <c r="L59" i="95"/>
  <c r="M59" i="95" s="1"/>
  <c r="L60" i="95"/>
  <c r="M60" i="95" s="1"/>
  <c r="L61" i="95"/>
  <c r="M61" i="95" s="1"/>
  <c r="L62" i="95"/>
  <c r="M62" i="95" s="1"/>
  <c r="L63" i="95"/>
  <c r="L64" i="95"/>
  <c r="L65" i="95"/>
  <c r="L66" i="95"/>
  <c r="M66" i="95" s="1"/>
  <c r="L67" i="95"/>
  <c r="L68" i="95"/>
  <c r="L69" i="95"/>
  <c r="M69" i="95" s="1"/>
  <c r="L70" i="95"/>
  <c r="L71" i="95"/>
  <c r="L72" i="95"/>
  <c r="L73" i="95"/>
  <c r="L74" i="95"/>
  <c r="L75" i="95"/>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L96" i="95"/>
  <c r="M96" i="95" s="1"/>
  <c r="L97" i="95"/>
  <c r="L98" i="95"/>
  <c r="M98" i="95" s="1"/>
  <c r="L99" i="95"/>
  <c r="L100" i="95"/>
  <c r="M100" i="95" s="1"/>
  <c r="L101" i="95"/>
  <c r="M101" i="95" s="1"/>
  <c r="L102" i="95"/>
  <c r="M102" i="95" s="1"/>
  <c r="L103" i="95"/>
  <c r="M103" i="95" s="1"/>
  <c r="L104" i="95"/>
  <c r="M104" i="95" s="1"/>
  <c r="L105" i="95"/>
  <c r="M105" i="95" s="1"/>
  <c r="L106" i="95"/>
  <c r="M106" i="95" s="1"/>
  <c r="L107" i="95"/>
  <c r="L108" i="95"/>
  <c r="L109" i="95"/>
  <c r="M109" i="95" s="1"/>
  <c r="L110" i="95"/>
  <c r="L111" i="95"/>
  <c r="L112" i="95"/>
  <c r="M112" i="95" s="1"/>
  <c r="L113" i="95"/>
  <c r="L114" i="95"/>
  <c r="L115" i="95"/>
  <c r="L116" i="95"/>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L128" i="95"/>
  <c r="L129" i="95"/>
  <c r="L130" i="95"/>
  <c r="M130" i="95" s="1"/>
  <c r="L131" i="95"/>
  <c r="L132" i="95"/>
  <c r="L133" i="95"/>
  <c r="M133" i="95" s="1"/>
  <c r="L134" i="95"/>
  <c r="L135" i="95"/>
  <c r="L136" i="95"/>
  <c r="M136" i="95" s="1"/>
  <c r="L137" i="95"/>
  <c r="M137" i="95" s="1"/>
  <c r="L138" i="95"/>
  <c r="M138" i="95" s="1"/>
  <c r="L139" i="95"/>
  <c r="L140" i="95"/>
  <c r="L141" i="95"/>
  <c r="M141" i="95" s="1"/>
  <c r="L142" i="95"/>
  <c r="M142" i="95" s="1"/>
  <c r="L143" i="95"/>
  <c r="L144" i="95"/>
  <c r="M144" i="95" s="1"/>
  <c r="L145" i="95"/>
  <c r="L146" i="95"/>
  <c r="L147" i="95"/>
  <c r="L148" i="95"/>
  <c r="L149" i="95"/>
  <c r="M149" i="95" s="1"/>
  <c r="L150" i="95"/>
  <c r="L151" i="95"/>
  <c r="L152" i="95"/>
  <c r="L153" i="95"/>
  <c r="L154" i="95"/>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L172" i="95"/>
  <c r="L173" i="95"/>
  <c r="M173" i="95" s="1"/>
  <c r="L174" i="95"/>
  <c r="L175" i="95"/>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L192" i="95"/>
  <c r="L193" i="95"/>
  <c r="L194" i="95"/>
  <c r="M194" i="95" s="1"/>
  <c r="L195" i="95"/>
  <c r="L196" i="95"/>
  <c r="L197" i="95"/>
  <c r="M197" i="95" s="1"/>
  <c r="L198" i="95"/>
  <c r="L199" i="95"/>
  <c r="L200" i="95"/>
  <c r="M200" i="95" s="1"/>
  <c r="L201" i="95"/>
  <c r="M201" i="95" s="1"/>
  <c r="L202" i="95"/>
  <c r="M202" i="95" s="1"/>
  <c r="L203" i="95"/>
  <c r="M203" i="95" s="1"/>
  <c r="L204" i="95"/>
  <c r="L205" i="95"/>
  <c r="M205" i="95" s="1"/>
  <c r="L206" i="95"/>
  <c r="M206" i="95" s="1"/>
  <c r="L207" i="95"/>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L224" i="95"/>
  <c r="L225" i="95"/>
  <c r="L226" i="95"/>
  <c r="M226" i="95" s="1"/>
  <c r="L227" i="95"/>
  <c r="L228" i="95"/>
  <c r="L229" i="95"/>
  <c r="M229" i="95" s="1"/>
  <c r="L230" i="95"/>
  <c r="L231" i="95"/>
  <c r="L232" i="95"/>
  <c r="L233" i="95"/>
  <c r="L234" i="95"/>
  <c r="L235" i="95"/>
  <c r="L236" i="95"/>
  <c r="L237" i="95"/>
  <c r="M237" i="95" s="1"/>
  <c r="L238" i="95"/>
  <c r="L239" i="95"/>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L256" i="95"/>
  <c r="L257" i="95"/>
  <c r="L258" i="95"/>
  <c r="M258" i="95" s="1"/>
  <c r="L259" i="95"/>
  <c r="M259" i="95" s="1"/>
  <c r="L260" i="95"/>
  <c r="M260" i="95" s="1"/>
  <c r="L261" i="95"/>
  <c r="M261" i="95" s="1"/>
  <c r="L262" i="95"/>
  <c r="M262" i="95" s="1"/>
  <c r="L263" i="95"/>
  <c r="L264" i="95"/>
  <c r="M264" i="95" s="1"/>
  <c r="L265" i="95"/>
  <c r="M265" i="95" s="1"/>
  <c r="L266" i="95"/>
  <c r="M266" i="95" s="1"/>
  <c r="L267" i="95"/>
  <c r="L268" i="95"/>
  <c r="L269" i="95"/>
  <c r="M269" i="95" s="1"/>
  <c r="L270" i="95"/>
  <c r="L271" i="95"/>
  <c r="L272" i="95"/>
  <c r="M272" i="95" s="1"/>
  <c r="L273" i="95"/>
  <c r="L274" i="95"/>
  <c r="L275" i="95"/>
  <c r="L276" i="95"/>
  <c r="L277" i="95"/>
  <c r="M277" i="95" s="1"/>
  <c r="L278" i="95"/>
  <c r="L279" i="95"/>
  <c r="L280" i="95"/>
  <c r="L281" i="95"/>
  <c r="M281" i="95" s="1"/>
  <c r="L282" i="95"/>
  <c r="M282" i="95" s="1"/>
  <c r="L283" i="95"/>
  <c r="M283" i="95" s="1"/>
  <c r="L284" i="95"/>
  <c r="M284" i="95" s="1"/>
  <c r="L285" i="95"/>
  <c r="M285" i="95" s="1"/>
  <c r="L286" i="95"/>
  <c r="M286" i="95" s="1"/>
  <c r="L287" i="95"/>
  <c r="L288" i="95"/>
  <c r="L289" i="95"/>
  <c r="L290" i="95"/>
  <c r="M290" i="95" s="1"/>
  <c r="L291" i="95"/>
  <c r="L292" i="95"/>
  <c r="L293" i="95"/>
  <c r="M293" i="95" s="1"/>
  <c r="L294" i="95"/>
  <c r="L295" i="95"/>
  <c r="L296" i="95"/>
  <c r="L297" i="95"/>
  <c r="L298" i="95"/>
  <c r="L299" i="95"/>
  <c r="L300" i="95"/>
  <c r="L301" i="95"/>
  <c r="M301" i="95" s="1"/>
  <c r="L302" i="95"/>
  <c r="M302" i="95" s="1"/>
  <c r="L303" i="95"/>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L320" i="95"/>
  <c r="L321" i="95"/>
  <c r="L322" i="95"/>
  <c r="M322" i="95" s="1"/>
  <c r="L323" i="95"/>
  <c r="M323" i="95" s="1"/>
  <c r="L324" i="95"/>
  <c r="M324" i="95" s="1"/>
  <c r="L325" i="95"/>
  <c r="M325" i="95" s="1"/>
  <c r="L326" i="95"/>
  <c r="M326" i="95" s="1"/>
  <c r="L327" i="95"/>
  <c r="M327" i="95" s="1"/>
  <c r="L328" i="95"/>
  <c r="M328" i="95" s="1"/>
  <c r="L329" i="95"/>
  <c r="M329" i="95" s="1"/>
  <c r="L330" i="95"/>
  <c r="M330" i="95" s="1"/>
  <c r="L331" i="95"/>
  <c r="L332" i="95"/>
  <c r="L333" i="95"/>
  <c r="M333" i="95" s="1"/>
  <c r="L334" i="95"/>
  <c r="M334" i="95" s="1"/>
  <c r="L335" i="95"/>
  <c r="L336" i="95"/>
  <c r="M336" i="95" s="1"/>
  <c r="L337" i="95"/>
  <c r="L338" i="95"/>
  <c r="L339" i="95"/>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L352" i="95"/>
  <c r="L353" i="95"/>
  <c r="L354" i="95"/>
  <c r="L355" i="95"/>
  <c r="L356" i="95"/>
  <c r="L357" i="95"/>
  <c r="M357" i="95" s="1"/>
  <c r="L358" i="95"/>
  <c r="L359" i="95"/>
  <c r="L360" i="95"/>
  <c r="L361" i="95"/>
  <c r="L362" i="95"/>
  <c r="M362" i="95" s="1"/>
  <c r="L363" i="95"/>
  <c r="M363" i="95" s="1"/>
  <c r="L364" i="95"/>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L384" i="95"/>
  <c r="L385" i="95"/>
  <c r="L386" i="95"/>
  <c r="L387" i="95"/>
  <c r="L388" i="95"/>
  <c r="L389" i="95"/>
  <c r="L390" i="95"/>
  <c r="L391" i="95"/>
  <c r="L392" i="95"/>
  <c r="L393" i="95"/>
  <c r="L394" i="95"/>
  <c r="L395" i="95"/>
  <c r="L396" i="95"/>
  <c r="L397" i="95"/>
  <c r="M397" i="95" s="1"/>
  <c r="L398" i="95"/>
  <c r="L399" i="95"/>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L416" i="95"/>
  <c r="L417" i="95"/>
  <c r="L418" i="95"/>
  <c r="M3" i="95"/>
  <c r="M4" i="95"/>
  <c r="M11" i="95"/>
  <c r="M12" i="95"/>
  <c r="M15" i="95"/>
  <c r="M17" i="95"/>
  <c r="M31" i="95"/>
  <c r="M32" i="95"/>
  <c r="M33" i="95"/>
  <c r="M35" i="95"/>
  <c r="M43" i="95"/>
  <c r="M44" i="95"/>
  <c r="M47" i="95"/>
  <c r="M49" i="95"/>
  <c r="M50" i="95"/>
  <c r="M51" i="95"/>
  <c r="M52" i="95"/>
  <c r="M63" i="95"/>
  <c r="M64" i="95"/>
  <c r="M65" i="95"/>
  <c r="M67" i="95"/>
  <c r="M68" i="95"/>
  <c r="M70" i="95"/>
  <c r="M71" i="95"/>
  <c r="M72" i="95"/>
  <c r="M73" i="95"/>
  <c r="M74" i="95"/>
  <c r="M75" i="95"/>
  <c r="M95" i="95"/>
  <c r="M97" i="95"/>
  <c r="M99" i="95"/>
  <c r="M107" i="95"/>
  <c r="M108" i="95"/>
  <c r="M110" i="95"/>
  <c r="M111" i="95"/>
  <c r="M113" i="95"/>
  <c r="M114" i="95"/>
  <c r="M115" i="95"/>
  <c r="M116" i="95"/>
  <c r="M127" i="95"/>
  <c r="M128" i="95"/>
  <c r="M129" i="95"/>
  <c r="M131" i="95"/>
  <c r="M132" i="95"/>
  <c r="M134" i="95"/>
  <c r="M135" i="95"/>
  <c r="M139" i="95"/>
  <c r="M140" i="95"/>
  <c r="M143" i="95"/>
  <c r="M145" i="95"/>
  <c r="M146" i="95"/>
  <c r="M147" i="95"/>
  <c r="M148" i="95"/>
  <c r="M150" i="95"/>
  <c r="M151" i="95"/>
  <c r="M152" i="95"/>
  <c r="M153" i="95"/>
  <c r="M154" i="95"/>
  <c r="M155" i="95"/>
  <c r="M156" i="95"/>
  <c r="M171" i="95"/>
  <c r="M172" i="95"/>
  <c r="M174" i="95"/>
  <c r="M175" i="95"/>
  <c r="M191" i="95"/>
  <c r="M192" i="95"/>
  <c r="M193" i="95"/>
  <c r="M195" i="95"/>
  <c r="M196" i="95"/>
  <c r="M198" i="95"/>
  <c r="M199" i="95"/>
  <c r="M204" i="95"/>
  <c r="M207" i="95"/>
  <c r="M223" i="95"/>
  <c r="M224" i="95"/>
  <c r="M225" i="95"/>
  <c r="M227" i="95"/>
  <c r="M228" i="95"/>
  <c r="M230" i="95"/>
  <c r="M231" i="95"/>
  <c r="M232" i="95"/>
  <c r="M233" i="95"/>
  <c r="M234" i="95"/>
  <c r="M235" i="95"/>
  <c r="M236" i="95"/>
  <c r="M238" i="95"/>
  <c r="M239" i="95"/>
  <c r="M255" i="95"/>
  <c r="M256" i="95"/>
  <c r="M257" i="95"/>
  <c r="M263" i="95"/>
  <c r="M267" i="95"/>
  <c r="M268" i="95"/>
  <c r="M270" i="95"/>
  <c r="M271" i="95"/>
  <c r="M273" i="95"/>
  <c r="M274" i="95"/>
  <c r="M275" i="95"/>
  <c r="M276" i="95"/>
  <c r="M278" i="95"/>
  <c r="M279" i="95"/>
  <c r="M280" i="95"/>
  <c r="M287" i="95"/>
  <c r="M288" i="95"/>
  <c r="M289" i="95"/>
  <c r="M291" i="95"/>
  <c r="M292" i="95"/>
  <c r="M294" i="95"/>
  <c r="M295" i="95"/>
  <c r="M296" i="95"/>
  <c r="M297" i="95"/>
  <c r="M298" i="95"/>
  <c r="M299" i="95"/>
  <c r="M300" i="95"/>
  <c r="M303" i="95"/>
  <c r="M319" i="95"/>
  <c r="M320" i="95"/>
  <c r="M321" i="95"/>
  <c r="M331" i="95"/>
  <c r="M332" i="95"/>
  <c r="M335" i="95"/>
  <c r="M337" i="95"/>
  <c r="M338" i="95"/>
  <c r="M339" i="95"/>
  <c r="M351" i="95"/>
  <c r="M352" i="95"/>
  <c r="M353" i="95"/>
  <c r="M354" i="95"/>
  <c r="M355" i="95"/>
  <c r="M356" i="95"/>
  <c r="M358" i="95"/>
  <c r="M359" i="95"/>
  <c r="M360" i="95"/>
  <c r="M361" i="95"/>
  <c r="M364" i="95"/>
  <c r="M383" i="95"/>
  <c r="M384" i="95"/>
  <c r="M385" i="95"/>
  <c r="M386" i="95"/>
  <c r="M387" i="95"/>
  <c r="M388" i="95"/>
  <c r="M389" i="95"/>
  <c r="M390" i="95"/>
  <c r="M391" i="95"/>
  <c r="M392" i="95"/>
  <c r="M393" i="95"/>
  <c r="M394" i="95"/>
  <c r="M395" i="95"/>
  <c r="M396" i="95"/>
  <c r="M398" i="95"/>
  <c r="M399" i="95"/>
  <c r="M415" i="95"/>
  <c r="M416" i="95"/>
  <c r="M417" i="95"/>
  <c r="M418" i="95"/>
  <c r="D11" i="21" a="1"/>
  <c r="D11" i="21" s="1"/>
  <c r="B11" i="21" a="1"/>
  <c r="B11" i="21" s="1"/>
  <c r="B2" i="12" a="1"/>
  <c r="B2" i="12" s="1"/>
  <c r="C2" i="12" a="1"/>
  <c r="C2" i="12" s="1"/>
  <c r="A2" i="12" a="1"/>
  <c r="A2" i="12" s="1"/>
  <c r="E9" i="8" a="1"/>
  <c r="E9" i="8" s="1"/>
  <c r="T62" i="26"/>
  <c r="R62" i="26"/>
  <c r="F62" i="26" a="1"/>
  <c r="F62" i="26" s="1"/>
  <c r="B20" i="8"/>
  <c r="A37" i="8"/>
  <c r="AL1" i="77" a="1"/>
  <c r="AL1" i="77" s="1"/>
  <c r="K320" i="95" l="1"/>
  <c r="K151"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S6" i="95"/>
  <c r="X2" i="95"/>
  <c r="AL2" i="77" a="1"/>
  <c r="E2" i="96" a="1"/>
  <c r="B10" i="26"/>
  <c r="B11" i="26"/>
  <c r="Q2" i="29"/>
  <c r="D5" i="8" s="1"/>
  <c r="E19" i="4"/>
  <c r="K19" i="4"/>
  <c r="N19" i="4"/>
  <c r="M6" i="15" l="1"/>
  <c r="M6" i="13"/>
  <c r="M6" i="14"/>
  <c r="Q6" i="95"/>
  <c r="P7" i="95"/>
  <c r="Q7" i="95"/>
  <c r="P6" i="95"/>
  <c r="AL2" i="77"/>
  <c r="L9" i="26"/>
  <c r="K61" i="8"/>
  <c r="F60" i="8"/>
  <c r="L60" i="8"/>
  <c r="D30" i="26"/>
  <c r="B54" i="26"/>
  <c r="E2" i="96"/>
  <c r="D19" i="8"/>
  <c r="H15" i="26"/>
  <c r="H14" i="26"/>
  <c r="P3" i="90"/>
  <c r="M3" i="90" s="1"/>
  <c r="P2" i="90"/>
  <c r="Q2" i="90" s="1"/>
  <c r="D36" i="8"/>
  <c r="E36" i="8" s="1"/>
  <c r="F36" i="8" s="1"/>
  <c r="G36" i="8" s="1"/>
  <c r="J2" i="90"/>
  <c r="C1" i="15" l="1"/>
  <c r="C1" i="13"/>
  <c r="C1" i="14"/>
  <c r="G97"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R41" i="8" a="1"/>
  <c r="S31" i="8" a="1"/>
  <c r="R10" i="8" a="1"/>
  <c r="S37" i="8" a="1"/>
  <c r="R15" i="8" a="1"/>
  <c r="S30" i="8" a="1"/>
  <c r="R36" i="8" a="1"/>
  <c r="R16" i="8" a="1"/>
  <c r="R35" i="8" a="1"/>
  <c r="R32" i="8" a="1"/>
  <c r="R25" i="8" a="1"/>
  <c r="S13" i="8" a="1"/>
  <c r="R17" i="8" a="1"/>
  <c r="R31" i="8" a="1"/>
  <c r="S5" i="8" a="1"/>
  <c r="S26" i="8" a="1"/>
  <c r="R34" i="8" a="1"/>
  <c r="S6" i="8" a="1"/>
  <c r="S7" i="8" a="1"/>
  <c r="R44" i="8" a="1"/>
  <c r="R26" i="8" a="1"/>
  <c r="S39" i="8" a="1"/>
  <c r="R33" i="8" a="1"/>
  <c r="R29" i="8" a="1"/>
  <c r="R5" i="8" a="1"/>
  <c r="R23" i="8" a="1"/>
  <c r="S14" i="8" a="1"/>
  <c r="S43" i="8" a="1"/>
  <c r="S35" i="8" a="1"/>
  <c r="R21" i="8" a="1"/>
  <c r="S21" i="8" a="1"/>
  <c r="R18" i="8" a="1"/>
  <c r="R12" i="8" a="1"/>
  <c r="S18" i="8" a="1"/>
  <c r="R43" i="8" a="1"/>
  <c r="R38" i="8" a="1"/>
  <c r="R19" i="8" a="1"/>
  <c r="R28" i="8" a="1"/>
  <c r="R8" i="8" a="1"/>
  <c r="R7" i="8" a="1"/>
  <c r="S36" i="8" a="1"/>
  <c r="R11" i="8" a="1"/>
  <c r="R37" i="8" a="1"/>
  <c r="R20" i="8" a="1"/>
  <c r="R13" i="8" a="1"/>
  <c r="R42" i="8" a="1"/>
  <c r="S24" i="8" a="1"/>
  <c r="S25" i="8" a="1"/>
  <c r="S28" i="8" a="1"/>
  <c r="S27" i="8" a="1"/>
  <c r="S32" i="8" a="1"/>
  <c r="R9" i="8" a="1"/>
  <c r="R39" i="8" a="1"/>
  <c r="S15" i="8" a="1"/>
  <c r="S34" i="8" a="1"/>
  <c r="R30" i="8" a="1"/>
  <c r="R6" i="8" a="1"/>
  <c r="R22" i="8" a="1"/>
  <c r="R14" i="8" a="1"/>
  <c r="S11" i="8" a="1"/>
  <c r="R27" i="8" a="1"/>
  <c r="R24" i="8" a="1"/>
  <c r="S41" i="8" a="1"/>
  <c r="S12" i="8" a="1"/>
  <c r="R40" i="8" a="1"/>
  <c r="S42" i="8" a="1"/>
  <c r="S23" i="8" a="1"/>
  <c r="S44" i="8" a="1"/>
  <c r="S40" i="8" a="1"/>
  <c r="S38" i="8" a="1"/>
  <c r="S17" i="8" a="1"/>
  <c r="S9" i="8" a="1"/>
  <c r="S16" i="8" a="1"/>
  <c r="S20" i="8" a="1"/>
  <c r="S33" i="8" a="1"/>
  <c r="S22" i="8" a="1"/>
  <c r="S10" i="8" a="1"/>
  <c r="S19" i="8" a="1"/>
  <c r="S8"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F49" i="8"/>
  <c r="E49" i="8"/>
  <c r="D49" i="8"/>
  <c r="D50" i="8" s="1"/>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<sst xmlns="http://schemas.openxmlformats.org/spreadsheetml/2006/main" count="1935" uniqueCount="969">
  <si>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</si>
  <si>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</si>
  <si>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</si>
  <si>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</si>
  <si>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</si>
  <si>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</si>
  <si>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</si>
  <si>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</si>
  <si>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</si>
  <si>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</si>
  <si>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</si>
  <si>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</si>
  <si>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</si>
  <si>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</si>
  <si>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</si>
  <si>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</si>
  <si>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</si>
  <si>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</si>
  <si>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</si>
  <si>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</si>
  <si>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</si>
  <si>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</si>
  <si>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</si>
  <si>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</si>
  <si>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</si>
  <si>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</si>
  <si>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</si>
  <si>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</si>
  <si>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</si>
  <si>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</si>
  <si>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</si>
  <si>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</si>
  <si>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</si>
  <si>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</si>
  <si>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</si>
  <si>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</si>
  <si>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</si>
  <si>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</si>
  <si>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</si>
  <si>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</si>
  <si>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</si>
  <si>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</si>
  <si>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</si>
  <si>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</si>
  <si>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</si>
  <si>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</si>
  <si>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</si>
  <si>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</si>
  <si>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</si>
  <si>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</si>
  <si>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</si>
  <si>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</si>
  <si>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</si>
  <si>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</si>
  <si>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</si>
  <si>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</si>
  <si>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</si>
  <si>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</si>
  <si>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</si>
  <si>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</si>
  <si>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</si>
  <si>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</si>
  <si>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</si>
  <si>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</si>
  <si>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</si>
  <si>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</si>
  <si>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</si>
  <si>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</si>
  <si>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</si>
  <si>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</si>
  <si>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</si>
  <si>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</si>
  <si>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</si>
  <si>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</si>
  <si>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</si>
  <si>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</si>
  <si>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</si>
  <si>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</si>
  <si>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</si>
  <si>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</si>
  <si>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</si>
  <si>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</si>
  <si>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</si>
  <si>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</si>
  <si>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</si>
  <si>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</si>
  <si>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</si>
  <si>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</si>
  <si>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</si>
  <si>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</si>
  <si>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</si>
  <si>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</si>
  <si>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</si>
  <si>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</si>
  <si>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</si>
  <si>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</si>
  <si>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</si>
  <si>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</si>
  <si>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</si>
  <si>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</si>
  <si>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</si>
  <si>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</si>
  <si>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</si>
  <si>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</si>
  <si>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</si>
  <si>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</si>
  <si>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</si>
  <si>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</si>
  <si>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</si>
  <si>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</si>
  <si>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</si>
  <si>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</si>
  <si>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</si>
  <si>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</si>
  <si>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</si>
  <si>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</si>
  <si>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</si>
  <si>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</si>
  <si>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</si>
  <si>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</si>
  <si>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</si>
  <si>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</si>
  <si>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</si>
  <si>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</si>
  <si>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</si>
  <si>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</si>
  <si>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</si>
  <si>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</si>
  <si>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</si>
  <si>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</si>
  <si>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</si>
  <si>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</si>
  <si>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</si>
  <si>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</si>
  <si>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</si>
  <si>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</si>
  <si>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</si>
  <si>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</si>
  <si>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</si>
  <si>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</si>
  <si>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</si>
  <si>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</si>
  <si>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</si>
  <si>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</si>
  <si>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</si>
  <si>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</si>
  <si>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</si>
  <si>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</si>
  <si>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</si>
  <si>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</si>
  <si>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</si>
  <si>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</si>
  <si>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</si>
  <si>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</si>
  <si>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</si>
  <si>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</si>
  <si>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</si>
  <si>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</si>
  <si>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</si>
  <si>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</si>
  <si>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</si>
  <si>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</si>
  <si>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</si>
  <si>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</si>
  <si>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</si>
  <si>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</si>
  <si>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</si>
  <si>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</si>
  <si>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</si>
  <si>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</si>
  <si>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</si>
  <si>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</si>
  <si>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</si>
  <si>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</si>
  <si>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</si>
  <si>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</si>
  <si>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</si>
  <si>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</si>
  <si>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</si>
  <si>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</si>
  <si>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</si>
  <si>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</si>
  <si>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</si>
  <si>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</si>
  <si>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</si>
  <si>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</si>
  <si>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</si>
  <si>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</si>
  <si>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</si>
  <si>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</si>
  <si>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</si>
  <si>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</si>
  <si>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</si>
  <si>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</si>
  <si>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</si>
  <si>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</si>
  <si>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</si>
  <si>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</si>
  <si>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</si>
  <si>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</si>
  <si>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</si>
  <si>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</si>
  <si>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</si>
  <si>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</si>
  <si>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</si>
  <si>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</si>
  <si>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</si>
  <si>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</si>
  <si>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</si>
  <si>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</si>
  <si>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</si>
  <si>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</si>
  <si>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</si>
  <si>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</si>
  <si>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</si>
  <si>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</si>
  <si>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</si>
  <si>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</si>
  <si>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</si>
  <si>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</si>
  <si>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</si>
  <si>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</si>
  <si>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</si>
  <si>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</si>
  <si>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</si>
  <si>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</si>
  <si>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</si>
  <si>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</si>
  <si>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</si>
  <si>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</si>
  <si>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</si>
  <si>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</si>
  <si>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</si>
  <si>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</si>
  <si>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</si>
  <si>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</si>
  <si>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</si>
  <si>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</si>
  <si>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</si>
  <si>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</si>
  <si>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</si>
  <si>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</si>
  <si>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</si>
  <si>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</si>
  <si>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</si>
  <si>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</si>
  <si>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</si>
  <si>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</si>
  <si>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</si>
  <si>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</si>
  <si>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</si>
  <si>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</si>
  <si>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</si>
  <si>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</si>
  <si>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</si>
  <si>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</si>
  <si>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</si>
  <si>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</si>
  <si>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</si>
  <si>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</si>
  <si>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</si>
  <si>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</si>
  <si>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</si>
  <si>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</si>
  <si>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</si>
  <si>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</si>
  <si>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</si>
  <si>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</si>
  <si>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</si>
  <si>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</si>
  <si>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</si>
  <si>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</si>
  <si>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</si>
  <si>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</si>
  <si>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</si>
  <si>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</si>
  <si>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</si>
  <si>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</si>
  <si>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</si>
  <si>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</si>
  <si>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</si>
  <si>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</si>
  <si>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</si>
  <si>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</si>
  <si>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</si>
  <si>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</si>
  <si>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</si>
  <si>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</si>
  <si>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</si>
  <si>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</si>
  <si>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</si>
  <si>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</si>
  <si>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</si>
  <si>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</si>
  <si>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</si>
  <si>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</si>
  <si>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</si>
  <si>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</si>
  <si>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</si>
  <si>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</si>
  <si>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</si>
  <si>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</si>
  <si>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</si>
  <si>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</si>
  <si>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</si>
  <si>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</si>
  <si>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</si>
  <si>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</si>
  <si>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</si>
  <si>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</si>
  <si>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</si>
  <si>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</si>
  <si>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</si>
  <si>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</si>
  <si>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</si>
  <si>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</si>
  <si>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</si>
  <si>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</si>
  <si>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</si>
  <si>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</si>
  <si>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</si>
  <si>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</si>
  <si>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</si>
  <si>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</si>
  <si>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</si>
  <si>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</si>
  <si>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</si>
  <si>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</si>
  <si>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</si>
  <si>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</si>
  <si>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</si>
  <si>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</si>
  <si>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</si>
  <si>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</si>
  <si>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</si>
  <si>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</si>
  <si>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</si>
  <si>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</si>
  <si>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</si>
  <si>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</si>
  <si>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</si>
  <si>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</si>
  <si>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</si>
  <si>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</si>
  <si>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</si>
  <si>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</si>
  <si>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</si>
  <si>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</si>
  <si>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</si>
  <si>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</si>
  <si>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</si>
  <si>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</si>
  <si>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</si>
  <si>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</si>
  <si>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</si>
  <si>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</si>
  <si>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</si>
  <si>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</si>
  <si>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</si>
  <si>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</si>
  <si>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</si>
  <si>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</si>
  <si>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</si>
  <si>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</si>
  <si>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</si>
  <si>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</si>
  <si>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</si>
  <si>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</si>
  <si>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</si>
  <si>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</si>
  <si>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</si>
  <si>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</si>
  <si>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</si>
  <si>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</si>
  <si>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</si>
  <si>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</si>
  <si>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</si>
  <si>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</si>
  <si>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</si>
  <si>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</si>
  <si>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</si>
  <si>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</si>
  <si>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</si>
  <si>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</si>
  <si>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</si>
  <si>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</si>
  <si>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</si>
  <si>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</si>
  <si>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</si>
  <si>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</si>
  <si>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</si>
  <si>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</si>
  <si>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</si>
  <si>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</si>
  <si>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</si>
  <si>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</si>
  <si>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</si>
  <si>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</si>
  <si>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</si>
  <si>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</si>
  <si>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</si>
  <si>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</si>
  <si>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</si>
  <si>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</si>
  <si>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</si>
  <si>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</si>
  <si>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</si>
  <si>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</si>
  <si>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</si>
  <si>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</si>
  <si>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</si>
  <si>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</si>
  <si>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</si>
  <si>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</si>
  <si>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</si>
  <si>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</si>
  <si>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</si>
  <si>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</si>
  <si>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</si>
  <si>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</si>
  <si>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</si>
  <si>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</si>
  <si>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</si>
  <si>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</si>
  <si>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</si>
  <si>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</si>
  <si>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</si>
  <si>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</si>
  <si>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</si>
  <si>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</si>
  <si>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</si>
  <si>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</si>
  <si>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</si>
  <si>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</si>
  <si>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</si>
  <si>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</si>
  <si>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</si>
  <si>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</si>
  <si>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</si>
  <si>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</si>
  <si>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</si>
  <si>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</si>
  <si>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</si>
  <si>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</si>
  <si>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</si>
  <si>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</si>
  <si>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</si>
  <si>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</si>
  <si>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</si>
  <si>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</si>
  <si>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</si>
  <si>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</si>
  <si>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</si>
  <si>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</si>
  <si>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</si>
  <si>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</si>
  <si>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</si>
  <si>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</si>
  <si>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</si>
  <si>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</si>
  <si>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</si>
  <si>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</si>
  <si>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</si>
  <si>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</si>
  <si>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</si>
  <si>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</si>
  <si>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</si>
  <si>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</si>
  <si>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</si>
  <si>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</si>
  <si>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</si>
  <si>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</si>
  <si>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</si>
  <si>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</si>
  <si>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</si>
  <si>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</si>
  <si>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</si>
  <si>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</si>
  <si>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</si>
  <si>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</si>
  <si>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</si>
  <si>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</si>
  <si>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</si>
  <si>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</si>
  <si>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</si>
  <si>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</si>
  <si>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</si>
  <si>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</si>
  <si>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</si>
  <si>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</si>
  <si>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</si>
  <si>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</si>
  <si>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</si>
  <si>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</si>
  <si>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</si>
  <si>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</si>
  <si>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</si>
  <si>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</si>
  <si>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</si>
  <si>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</si>
  <si>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</si>
  <si>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</si>
  <si>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</si>
  <si>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</si>
  <si>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</si>
  <si>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</si>
  <si>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</si>
  <si>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</si>
  <si>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</si>
  <si>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</si>
  <si>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</si>
  <si>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</si>
  <si>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</si>
  <si>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</si>
  <si>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</si>
  <si>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</si>
  <si>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</si>
  <si>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</si>
  <si>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</si>
  <si>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</si>
  <si>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</si>
  <si>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</si>
  <si>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</si>
  <si>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</si>
  <si>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</si>
  <si>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</si>
  <si>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</si>
  <si>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</si>
  <si>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</si>
  <si>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</si>
  <si>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</si>
  <si>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</si>
  <si>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</si>
  <si>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</si>
  <si>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</si>
  <si>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</si>
  <si>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</si>
  <si>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</si>
  <si>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</si>
  <si>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</si>
  <si>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</si>
  <si>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</si>
  <si>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</si>
  <si>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</si>
  <si>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</si>
  <si>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</si>
  <si>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</si>
  <si>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</si>
  <si>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</si>
  <si>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</si>
  <si>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</si>
  <si>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</si>
  <si>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</si>
  <si>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</si>
  <si>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</si>
  <si>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</si>
  <si>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</si>
  <si>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</si>
  <si>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</si>
  <si>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</si>
  <si>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</si>
  <si>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</si>
  <si>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</si>
  <si>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</si>
  <si>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</si>
  <si>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</si>
  <si>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</si>
  <si>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</si>
  <si>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</si>
  <si>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</si>
  <si>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</si>
  <si>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</si>
  <si>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</si>
  <si>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</si>
  <si>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</si>
  <si>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</si>
  <si>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</si>
  <si>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</si>
  <si>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</si>
  <si>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</si>
  <si>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</si>
  <si>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</si>
  <si>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</si>
  <si>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</si>
  <si>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</si>
  <si>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</si>
  <si>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</si>
  <si>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</si>
  <si>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</si>
  <si>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</si>
  <si>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</si>
  <si>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</si>
  <si>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</si>
  <si>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</si>
  <si>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</si>
  <si>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</si>
  <si>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</si>
  <si>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</si>
  <si>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</si>
  <si>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</si>
  <si>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</si>
  <si>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</si>
  <si>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</si>
  <si>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</si>
  <si>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</si>
  <si>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</si>
  <si>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</si>
  <si>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</si>
  <si>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</si>
  <si>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</si>
  <si>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</si>
  <si>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</si>
  <si>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</si>
  <si>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</si>
  <si>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</si>
  <si>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</si>
  <si>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</si>
  <si>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</si>
  <si>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</si>
  <si>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</si>
  <si>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</si>
  <si>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</si>
  <si>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</si>
  <si>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</si>
  <si>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</si>
  <si>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</si>
  <si>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</si>
  <si>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</si>
  <si>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</si>
  <si>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</si>
  <si>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</si>
  <si>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</si>
  <si>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</si>
  <si>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</si>
  <si>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</si>
  <si>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</si>
  <si>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</si>
  <si>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</si>
  <si>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</si>
  <si>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</si>
  <si>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</si>
  <si>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</si>
  <si>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</si>
  <si>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</si>
  <si>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</si>
  <si>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</si>
  <si>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</si>
  <si>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</si>
  <si>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</si>
  <si>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</si>
  <si>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</si>
  <si>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</si>
  <si>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</si>
  <si>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</si>
  <si>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</si>
  <si>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</si>
  <si>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</si>
  <si>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</si>
  <si>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</si>
  <si>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</si>
  <si>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</si>
  <si>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</si>
  <si>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</si>
  <si>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</si>
  <si>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</si>
  <si>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</si>
  <si>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</si>
  <si>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</si>
  <si>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</si>
  <si>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</si>
  <si>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</si>
  <si>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</si>
  <si>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</si>
  <si>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</si>
  <si>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</si>
  <si>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</si>
  <si>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</si>
  <si>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</si>
  <si>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</si>
  <si>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</si>
  <si>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</si>
  <si>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</si>
  <si>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</si>
  <si>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</si>
  <si>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</si>
  <si>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</si>
  <si>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</si>
  <si>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</si>
  <si>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</si>
  <si>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</si>
  <si>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</si>
  <si>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</si>
  <si>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</si>
  <si>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</si>
  <si>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</si>
  <si>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</si>
  <si>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</si>
  <si>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</si>
  <si>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</si>
  <si>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</si>
  <si>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</si>
  <si>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</si>
  <si>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</si>
  <si>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</si>
  <si>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</si>
  <si>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</si>
  <si>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</si>
  <si>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</si>
  <si>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</si>
  <si>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</si>
  <si>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</si>
  <si>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</si>
  <si>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</si>
  <si>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</si>
  <si>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</si>
  <si>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</si>
  <si>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</si>
  <si>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</si>
  <si>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</si>
  <si>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</si>
  <si>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</si>
  <si>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</si>
  <si>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</si>
  <si>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</si>
  <si>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</si>
  <si>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</si>
  <si>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</si>
  <si>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</si>
  <si>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</si>
  <si>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</si>
  <si>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</si>
  <si>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</si>
  <si>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</si>
  <si>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</si>
  <si>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</si>
  <si>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</si>
  <si>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</si>
  <si>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</si>
  <si>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</si>
  <si>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</si>
  <si>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</si>
  <si>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</si>
  <si>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</si>
  <si>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</si>
  <si>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</si>
  <si>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</si>
  <si>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</si>
  <si>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</si>
  <si>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</si>
  <si>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</si>
  <si>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</si>
  <si>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</si>
  <si>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</si>
  <si>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</si>
  <si>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</si>
  <si>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</si>
  <si>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</si>
  <si>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</si>
  <si>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</si>
  <si>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</si>
  <si>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</si>
  <si>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</si>
  <si>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</si>
  <si>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</si>
  <si>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</si>
  <si>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</si>
  <si>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</si>
  <si>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</si>
  <si>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</si>
  <si>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</si>
  <si>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</si>
  <si>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</si>
  <si>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</si>
  <si>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</si>
  <si>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</si>
  <si>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</si>
  <si>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</si>
  <si>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</si>
  <si>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</si>
  <si>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</si>
  <si>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</si>
  <si>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</si>
  <si>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</si>
  <si>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</si>
  <si>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</si>
  <si>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</si>
  <si>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</si>
  <si>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</si>
  <si>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</si>
  <si>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</si>
  <si>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</si>
  <si>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</si>
  <si>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</si>
  <si>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</si>
  <si>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</si>
  <si>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</si>
  <si>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</si>
  <si>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</si>
  <si>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</si>
  <si>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</si>
  <si>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</si>
  <si>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</si>
  <si>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</si>
  <si>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</si>
  <si>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</si>
  <si>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</si>
  <si>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</si>
  <si>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</si>
  <si>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</si>
  <si>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</si>
  <si>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</si>
  <si>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</si>
  <si>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</si>
  <si>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</si>
  <si>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</si>
  <si>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</si>
  <si>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</si>
  <si>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</si>
  <si>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</si>
  <si>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</si>
  <si>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</si>
  <si>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</si>
  <si>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</si>
  <si>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</si>
  <si>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</si>
  <si>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</si>
  <si>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</si>
  <si>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</si>
  <si>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</si>
  <si>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</si>
  <si>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</si>
  <si>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</si>
  <si>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</si>
  <si>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</si>
  <si>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</si>
  <si>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</si>
  <si>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</si>
  <si>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</si>
  <si>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</si>
  <si>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</si>
  <si>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</si>
  <si>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</si>
  <si>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</si>
  <si>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</si>
  <si>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</si>
  <si>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</si>
  <si>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</si>
  <si>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</si>
  <si>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</si>
  <si>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</si>
  <si>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</si>
  <si>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</si>
  <si>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</si>
  <si>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</si>
  <si>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</si>
  <si>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</si>
  <si>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</si>
  <si>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</si>
  <si>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</si>
  <si>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</si>
  <si>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</si>
  <si>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</si>
  <si>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</si>
  <si>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</si>
  <si>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</si>
  <si>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</si>
  <si>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</si>
  <si>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</si>
  <si>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</si>
  <si>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</si>
  <si>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</si>
  <si>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</si>
  <si>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</si>
  <si>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</si>
  <si>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</si>
  <si>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</si>
  <si>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</si>
  <si>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</si>
  <si>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</si>
  <si>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</si>
  <si>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</si>
  <si>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</si>
  <si>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</si>
  <si>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</si>
  <si>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</si>
  <si>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</si>
  <si>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</si>
  <si>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</si>
  <si>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</si>
  <si>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</si>
  <si>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</si>
  <si>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</si>
  <si>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</si>
  <si>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</si>
  <si>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</si>
  <si>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</si>
  <si>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</si>
  <si>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</si>
  <si>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</si>
  <si>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</si>
  <si>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</si>
  <si>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</si>
  <si>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</si>
  <si>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</si>
  <si>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</si>
  <si>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</si>
  <si>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</si>
  <si>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</si>
  <si>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</si>
  <si>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</si>
  <si>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</si>
  <si>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</si>
  <si>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</si>
  <si>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</si>
  <si>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</si>
  <si>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</si>
  <si>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</si>
  <si>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</si>
  <si>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</si>
  <si>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</si>
  <si>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</si>
  <si>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</si>
  <si>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</si>
  <si>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</si>
  <si>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</si>
  <si>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</si>
  <si>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</si>
  <si>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</si>
  <si>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</si>
  <si>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</si>
  <si>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</si>
  <si>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</si>
  <si>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</si>
  <si>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</si>
  <si>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</si>
  <si>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</si>
  <si>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</si>
  <si>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</si>
  <si>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</si>
  <si>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</si>
  <si>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</si>
  <si>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</si>
  <si>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</si>
  <si>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</si>
  <si>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</si>
  <si>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</si>
  <si>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</si>
  <si>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</si>
  <si>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</si>
  <si>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</si>
  <si>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</si>
  <si>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</si>
  <si>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</si>
  <si>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</si>
  <si>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</si>
  <si>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</si>
  <si>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</si>
  <si>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</si>
  <si>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</si>
  <si>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</si>
  <si>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</si>
  <si>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</si>
  <si>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</si>
  <si>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</si>
  <si>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</si>
  <si>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</si>
  <si>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</si>
  <si>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Ver. 09.24.25</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</si>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</sst>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xf numFmtId="14"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3">
    <dxf>
      <numFmt numFmtId="30" formatCode="@"/>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84" formatCode="[$-F400]h:mm:ss\ AM/PM"/>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2" formatCode="0.0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4" tableType="queryTable" totalsRowShown="0">
  <autoFilter ref="A1:I24" xr:uid="{2F912760-816C-4002-B982-1183C623C4D4}"/>
  <tableColumns count="9">
    <tableColumn id="1" xr3:uid="{4CB1C976-73DA-4579-B7F8-9D891581EA5A}" uniqueName="1" name="asset_id" queryTableFieldId="1" dataDxfId="7"/>
    <tableColumn id="2" xr3:uid="{D07D770F-21F7-425E-8CCA-AA85FFD513A3}" uniqueName="2" name="serial_number" queryTableFieldId="2" dataDxfId="6"/>
    <tableColumn id="3" xr3:uid="{D963BD5C-EE98-4CDD-ABAE-5315BBDA1135}" uniqueName="3" name="asset_tag" queryTableFieldId="3" dataDxfId="5"/>
    <tableColumn id="4" xr3:uid="{44F03B5B-6C09-4D5C-B2E2-D809B4EDF2B0}" uniqueName="4" name="custom_order_number" queryTableFieldId="4" dataDxfId="4"/>
    <tableColumn id="5" xr3:uid="{412A70E1-7452-417E-A3A9-BD3499EBD33C}" uniqueName="5" name="service_date" queryTableFieldId="5" dataDxfId="3"/>
    <tableColumn id="7" xr3:uid="{297A4F29-F6E9-4BD3-A7A2-5F1039480BAE}" uniqueName="7" name="certificate_number" queryTableFieldId="7" dataDxfId="2"/>
    <tableColumn id="6" xr3:uid="{7231074C-78F5-4F41-8E96-7068B6555E6F}" uniqueName="6" name="traceability_number" queryTableFieldId="61"/>
    <tableColumn id="8" xr3:uid="{7C740CB9-37DA-435E-A87E-AF050E31623C}" uniqueName="8" name="wire_roll_cert_number" queryTableFieldId="8" dataDxfId="1"/>
    <tableColumn id="9" xr3:uid="{5B17E9FC-0D68-4EA9-9145-B5DC8FAF5A93}" uniqueName="9" name="type" queryTableFieldId="9"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8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3" tableType="queryTable" totalsRowShown="0">
  <autoFilter ref="A1:C43" xr:uid="{DD841DB9-A242-4050-A7E6-984852778526}"/>
  <tableColumns count="3">
    <tableColumn id="1" xr3:uid="{783036AE-6148-4673-A2B5-A0A0BAA87B07}" uniqueName="1" name="traceability_no" queryTableFieldId="9" dataDxfId="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2"/>
    <tableColumn id="3" xr3:uid="{5A7694DA-28F6-45C3-AA3A-8F5C42BC36CB}" uniqueName="3" name="login_email" queryTableFieldId="12"/>
    <tableColumn id="4" xr3:uid="{E8A7333A-3221-4D58-96FF-11D069828831}" uniqueName="4" name="IsPyro" queryTableFieldId="13" dataDxfId="18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0">
  <autoFilter ref="A1:C9" xr:uid="{8AF992F3-27EF-4265-960D-70EC6F74FAFA}"/>
  <sortState xmlns:xlrd2="http://schemas.microsoft.com/office/spreadsheetml/2017/richdata2" ref="A2:C9">
    <sortCondition ref="B1:B9"/>
  </sortState>
  <tableColumns count="3">
    <tableColumn id="1" xr3:uid="{1F7D0D09-7152-4679-B25C-65CF0E0AB2D4}" name="Type" dataDxfId="17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8"/>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6"/>
    <tableColumn id="3" xr3:uid="{2724CA85-C781-4E38-A0DA-097BFEEFE8B1}" uniqueName="3" name="Temp" queryTableFieldId="3" dataDxfId="175"/>
    <tableColumn id="6" xr3:uid="{12D5EB84-2052-49F7-A25B-127266D7FB89}" uniqueName="6" name="traceability_no" queryTableFieldId="6" dataDxfId="174"/>
    <tableColumn id="5" xr3:uid="{D8FBA668-C3CE-41DC-B112-B2663A4558F7}" uniqueName="5" name="Offset" queryTableFieldId="5" dataDxfId="17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0">
  <autoFilter ref="A3:C8" xr:uid="{5AC13131-9A1C-4C12-B4F9-A393708ED370}"/>
  <tableColumns count="3">
    <tableColumn id="1" xr3:uid="{97181276-3609-45C8-AD82-B2880A7AEDE4}" name="Min" dataDxfId="169"/>
    <tableColumn id="2" xr3:uid="{FCA9B2A8-03BC-4152-9483-74D5E30011E8}" name="Max" dataDxfId="168"/>
    <tableColumn id="3" xr3:uid="{53EFB432-094F-4AB8-B706-DACB84CFAD58}" name="CMC" dataDxfId="167"/>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76"/>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6"/>
    <tableColumn id="43" xr3:uid="{EC576AA5-7F07-4B99-BBD1-C006A3FF4861}" uniqueName="43" name="CalibrationMethod" queryTableFieldId="168" dataDxfId="165"/>
    <tableColumn id="44" xr3:uid="{11784700-CE79-4C3A-B181-67F89C94AC89}" uniqueName="44" name="ToleranceSource" queryTableFieldId="169" dataDxfId="164"/>
    <tableColumn id="45" xr3:uid="{F8D57A3B-9D48-4C00-8E7C-AC29615D88F6}" uniqueName="45" name="Item" queryTableFieldId="170" dataDxfId="163"/>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2"/>
    <tableColumn id="51" xr3:uid="{5B79DBE7-7CAB-41DA-AF62-362ADDE2AED9}" uniqueName="51" name="WorkingZoneSize" queryTableFieldId="176" dataDxfId="161"/>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0"/>
    <tableColumn id="63" xr3:uid="{478884C5-ACFA-42A0-A5A5-3FD7354DF395}" uniqueName="63" name="TestLocation" queryTableFieldId="188" dataDxfId="159"/>
    <tableColumn id="64" xr3:uid="{8742E83A-8953-4A6F-B342-02A544F42A3E}" uniqueName="64" name="OvenLocation" queryTableFieldId="189" dataDxfId="158"/>
    <tableColumn id="65" xr3:uid="{D2C69FD9-EF22-4D46-9BCA-A04DCD92EC4B}" uniqueName="65" name="Condition" queryTableFieldId="190" dataDxfId="157"/>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6"/>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79"/>
    <tableColumn id="2" xr3:uid="{437C4123-EB61-4869-9470-5A1B394BA060}" uniqueName="2" name="Ranges" queryTableFieldId="2" dataDxfId="78"/>
    <tableColumn id="3" xr3:uid="{F2805B69-D38A-4282-80C7-76512A175951}" uniqueName="3" name="Tolerances" queryTableFieldId="3" dataDxfId="77"/>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5"/>
    <tableColumn id="8" xr3:uid="{6A970319-4DB4-4470-AD18-810376DE6248}" uniqueName="8" name="Flags" queryTableFieldId="8" dataDxfId="154"/>
    <tableColumn id="10" xr3:uid="{C036645E-37FD-4D8C-A495-9B7CD74F1924}" uniqueName="10" name="TolMinText" queryTableFieldId="10" dataDxfId="153">
      <calculatedColumnFormula>TEXT(UUTRangeTol[[#This Row],[TolMin]],SUBSTITUTE(UUTRangeTol[[#This Row],[TolResolution]],"1","0"))&amp;UUTRangeTol[[#This Row],[Unit]]</calculatedColumnFormula>
    </tableColumn>
    <tableColumn id="11" xr3:uid="{7185F013-BA2C-4D79-99A0-8DCC297E6118}" uniqueName="11" name="TolMaxText" queryTableFieldId="11" dataDxfId="152">
      <calculatedColumnFormula>TEXT(UUTRangeTol[[#This Row],[TolMax]],SUBSTITUTE(UUTRangeTol[[#This Row],[TolResolution]],"1","0"))&amp;UUTRangeTol[[#This Row],[Unit]]</calculatedColumnFormula>
    </tableColumn>
    <tableColumn id="12" xr3:uid="{EE0701A7-578C-482F-B1ED-DBCB9E95A0C6}" uniqueName="12" name="TolText" queryTableFieldId="12" dataDxfId="15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0">
      <calculatedColumnFormula>UUTRangeTol[[#This Row],[RangeMax]]&amp;UUTRangeTol[[#This Row],[Unit]]</calculatedColumnFormula>
    </tableColumn>
    <tableColumn id="14" xr3:uid="{EF348E52-D936-44CC-A058-66DD7A780488}" uniqueName="14" name="RangeText" queryTableFieldId="14" dataDxfId="14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8"/>
    <tableColumn id="3" xr3:uid="{E88E0260-3227-45C4-8780-42D2D8D460DF}" name="SAT TOL" dataDxfId="14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6" dataDxfId="145" tableBorderDxfId="144">
  <autoFilter ref="AG2:AS3" xr:uid="{B114758F-16E1-4C54-AA0B-E7F64DE85242}"/>
  <tableColumns count="13">
    <tableColumn id="1" xr3:uid="{0D0312AF-C987-4CC8-97F8-A45434AD138A}" name="Time" dataDxfId="143" dataCellStyle="Normal 3"/>
    <tableColumn id="2" xr3:uid="{E5CD88A1-1988-41C9-8D07-30908E60C0B6}" name="29" dataDxfId="142" dataCellStyle="Normal 3"/>
    <tableColumn id="3" xr3:uid="{52334E52-C590-4A01-82BC-CCC9DA2C2817}" name="30" dataDxfId="141" dataCellStyle="Normal 3"/>
    <tableColumn id="4" xr3:uid="{145DAD22-055B-47E2-958D-C0E0B68ECCC8}" name="31" dataDxfId="140" dataCellStyle="Normal 3"/>
    <tableColumn id="5" xr3:uid="{09C3BF4E-C2AE-4497-AAA2-CF5A8A70B030}" name="32" dataDxfId="139" dataCellStyle="Normal 3"/>
    <tableColumn id="6" xr3:uid="{E9F444F5-7F75-4B80-BC2D-E9E92BB7C32D}" name="33" dataDxfId="138" dataCellStyle="Normal 3"/>
    <tableColumn id="7" xr3:uid="{C42F56B6-C38E-41DC-811A-50AF69D04B80}" name="34" dataDxfId="137" dataCellStyle="Normal 3"/>
    <tableColumn id="8" xr3:uid="{1930235F-D2C0-482D-8CC0-6B3AC765E7EA}" name="35" dataDxfId="136" dataCellStyle="Normal 3"/>
    <tableColumn id="9" xr3:uid="{6FCF613B-A86F-4DC6-9CC5-0A1E44E3DFE0}" name="36" dataDxfId="135" dataCellStyle="Normal 3"/>
    <tableColumn id="10" xr3:uid="{19EA3429-FD7E-4BA0-96B7-70F520D9FE0F}" name="37" dataDxfId="134" dataCellStyle="Normal 3"/>
    <tableColumn id="11" xr3:uid="{A5D0DAE1-1017-4DE3-AEA6-1BAF97E0FBDC}" name="38" dataDxfId="133" dataCellStyle="Normal 3"/>
    <tableColumn id="12" xr3:uid="{ABC8E507-1120-436F-9E9F-E3A8852E2E1A}" name="39" dataDxfId="132"/>
    <tableColumn id="13" xr3:uid="{C69AC669-10C2-4E64-9F60-B4AA135FB3DF}" name="40" dataDxfId="13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0" tableBorderDxfId="129">
  <autoFilter ref="Q2:AE3" xr:uid="{6D9D14EA-1966-4240-9028-DABDD72BB7BC}"/>
  <tableColumns count="15">
    <tableColumn id="1" xr3:uid="{F199066A-0899-4173-8784-FC618D5EFA3C}" name="Time" dataDxfId="128" dataCellStyle="Normal 3"/>
    <tableColumn id="2" xr3:uid="{DB040280-BEC7-49AA-A925-A050027B33E3}" name="15" dataDxfId="127" dataCellStyle="Normal 3"/>
    <tableColumn id="3" xr3:uid="{5D74EEBF-1FB4-4DF9-8EDD-C656F929ADA2}" name="16" dataDxfId="126" dataCellStyle="Normal 3"/>
    <tableColumn id="4" xr3:uid="{B1176DF8-22B4-4741-A534-22D0C72EF1F0}" name="17" dataDxfId="125" dataCellStyle="Normal 3"/>
    <tableColumn id="5" xr3:uid="{1E29EA65-5182-4B3E-817F-0D30B2884EC7}" name="18" dataDxfId="124" dataCellStyle="Normal 3"/>
    <tableColumn id="6" xr3:uid="{AF53AEFB-F310-4F08-91BC-82FB0F484ECA}" name="19" dataDxfId="123" dataCellStyle="Normal 3"/>
    <tableColumn id="7" xr3:uid="{EE472F61-D1B5-43CF-A661-FA1D47001C17}" name="20" dataDxfId="122" dataCellStyle="Normal 3"/>
    <tableColumn id="8" xr3:uid="{841D54C1-AB74-4CB1-8C7F-C38D11EFAD3F}" name="21" dataDxfId="121" dataCellStyle="Normal 3"/>
    <tableColumn id="9" xr3:uid="{F1FB485B-DEAA-4958-8C40-80934EA1437F}" name="22" dataDxfId="120" dataCellStyle="Normal 3"/>
    <tableColumn id="10" xr3:uid="{5C552A76-BD54-46C5-93AD-8F25289FA051}" name="23" dataDxfId="119" dataCellStyle="Normal 3"/>
    <tableColumn id="11" xr3:uid="{B20FA5F1-0522-49D0-9B5A-34570A8AE6EA}" name="24" dataDxfId="118" dataCellStyle="Normal 3"/>
    <tableColumn id="12" xr3:uid="{0BC87A98-B9AC-4CD6-9F9B-D04190073E2A}" name="25" dataDxfId="117"/>
    <tableColumn id="13" xr3:uid="{D62EA80B-BBE3-4A29-89AB-EE04C6E03547}" name="26" dataDxfId="116"/>
    <tableColumn id="14" xr3:uid="{6D7DE537-763F-40F1-AC16-33F228CBC8D1}" name="27" dataDxfId="115"/>
    <tableColumn id="15" xr3:uid="{F8FA9620-DB21-4BAE-8D97-FF38B70679C9}" name="28" dataDxfId="11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3" dataDxfId="112" tableBorderDxfId="111">
  <autoFilter ref="A2:O3" xr:uid="{73A9D9BA-FF58-4A3F-98F7-9A835492E25D}"/>
  <tableColumns count="15">
    <tableColumn id="1" xr3:uid="{73B888B4-4146-4E26-9B39-0FC537A113C8}" name="Time" dataDxfId="110" dataCellStyle="Normal 3"/>
    <tableColumn id="2" xr3:uid="{6F1EF879-7C87-4A56-A394-30C6E5BDB32A}" name="1" dataDxfId="109" dataCellStyle="Normal 3"/>
    <tableColumn id="3" xr3:uid="{B2FA8A6A-D50A-41E8-942A-379C757B6A2B}" name="2" dataDxfId="108" dataCellStyle="Normal 3"/>
    <tableColumn id="4" xr3:uid="{F92FE975-D84B-4B73-B49D-3B746FAA3D21}" name="3" dataDxfId="107" dataCellStyle="Normal 3"/>
    <tableColumn id="5" xr3:uid="{7820E0E9-F621-4361-A572-234B3CB7F864}" name="4" dataDxfId="106" dataCellStyle="Normal 3"/>
    <tableColumn id="6" xr3:uid="{A46C0BCA-2139-4CD3-B02F-C4D3F8E65309}" name="5" dataDxfId="105" dataCellStyle="Normal 3"/>
    <tableColumn id="7" xr3:uid="{334BDF50-1D79-41BC-BA09-7B69018332AE}" name="6" dataDxfId="104" dataCellStyle="Normal 3"/>
    <tableColumn id="8" xr3:uid="{6C11BC6A-3E21-4CDE-9CD4-C8EBCF50B6DB}" name="7" dataDxfId="103" dataCellStyle="Normal 3"/>
    <tableColumn id="9" xr3:uid="{1EEEA607-5177-4C19-A1BC-B12D19FF055B}" name="8" dataDxfId="102" dataCellStyle="Normal 3"/>
    <tableColumn id="10" xr3:uid="{ACF909CE-C221-4157-9298-18F2C140C147}" name="9" dataDxfId="101" dataCellStyle="Normal 3"/>
    <tableColumn id="11" xr3:uid="{182688D3-AD0D-4518-A7FE-0C281ABCDF76}" name="10" dataDxfId="100" dataCellStyle="Normal 3"/>
    <tableColumn id="12" xr3:uid="{54AFFA30-00C2-440A-92A2-139F62F751BE}" name="11" dataDxfId="99"/>
    <tableColumn id="13" xr3:uid="{DCF0B43C-F320-4031-91C6-8514285AF6CA}" name="12" dataDxfId="98"/>
    <tableColumn id="14" xr3:uid="{53A56FC8-0536-4D94-A335-FFCBCBEAF45E}" name="13" dataDxfId="97"/>
    <tableColumn id="15" xr3:uid="{F49FEB6E-05C2-4E90-A6CE-A0C9C694642A}" name="14" dataDxfId="9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95" dataDxfId="94">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93"/>
    <tableColumn id="3" xr3:uid="{5F5E8FED-27C7-498A-86F2-8DE1BF0A773A}" uniqueName="3" name="Address2" queryTableFieldId="82" dataDxfId="9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90" dataDxfId="89">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81"/>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8"/>
    <tableColumn id="3" xr3:uid="{A4F2902A-51C9-47F2-ABB5-33476BF6B798}" uniqueName="3" name="login_email" queryTableFieldId="5"/>
    <tableColumn id="4" xr3:uid="{93F361AC-D356-4A7B-A6F2-34FB0F71E2F6}" uniqueName="4" name="IsPyro" queryTableFieldId="7" dataDxfId="8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6" dataDxfId="85" headerRowCellStyle="Normal 2" dataCellStyle="Normal 2">
  <autoFilter ref="U11:V25" xr:uid="{DCCFF26E-EC5C-4962-98DB-A7DA1F3C8CE2}"/>
  <tableColumns count="2">
    <tableColumn id="1" xr3:uid="{DFC40837-B092-4826-9847-4A23BE22020F}" name="4" dataDxfId="84" dataCellStyle="Normal 2"/>
    <tableColumn id="2" xr3:uid="{0711DB07-19DA-4D5E-A417-C242A0304453}" name="10" dataDxfId="8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4"/>
  <sheetViews>
    <sheetView workbookViewId="0">
      <selection sqref="A1:I2"/>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s="669"/>
      <c r="B2" s="669"/>
      <c r="C2" s="669"/>
      <c r="D2" s="669"/>
      <c r="E2" s="672"/>
      <c r="F2" s="669"/>
      <c r="H2" s="669"/>
      <c r="I2" s="75"/>
    </row>
    <row r="3" spans="1:9" x14ac:dyDescent="0.2">
      <c r="A3" s="669"/>
      <c r="B3" s="669"/>
      <c r="C3" s="669"/>
      <c r="D3" s="669"/>
      <c r="E3" s="672"/>
      <c r="F3" s="669"/>
      <c r="G3"/>
      <c r="H3" s="669"/>
      <c r="I3" s="75"/>
    </row>
    <row r="4" spans="1:9" x14ac:dyDescent="0.2">
      <c r="A4" s="669"/>
      <c r="B4" s="669"/>
      <c r="C4" s="669"/>
      <c r="D4" s="669"/>
      <c r="E4" s="672"/>
      <c r="F4" s="669"/>
      <c r="G4"/>
      <c r="H4" s="669"/>
      <c r="I4" s="75"/>
    </row>
    <row r="5" spans="1:9" x14ac:dyDescent="0.2">
      <c r="A5" s="669"/>
      <c r="B5" s="669"/>
      <c r="C5" s="669"/>
      <c r="D5" s="669"/>
      <c r="E5" s="672"/>
      <c r="F5" s="669"/>
      <c r="G5"/>
      <c r="H5" s="669"/>
      <c r="I5" s="75"/>
    </row>
    <row r="6" spans="1:9" x14ac:dyDescent="0.2">
      <c r="A6" s="669"/>
      <c r="B6" s="669"/>
      <c r="C6" s="669"/>
      <c r="D6" s="669"/>
      <c r="E6" s="672"/>
      <c r="F6" s="669"/>
      <c r="G6"/>
      <c r="H6" s="669"/>
      <c r="I6" s="75"/>
    </row>
    <row r="7" spans="1:9" x14ac:dyDescent="0.2">
      <c r="A7" s="669"/>
      <c r="B7" s="669"/>
      <c r="C7" s="669"/>
      <c r="D7" s="669"/>
      <c r="E7" s="672"/>
      <c r="F7" s="669"/>
      <c r="G7"/>
      <c r="H7" s="669"/>
      <c r="I7" s="75"/>
    </row>
    <row r="8" spans="1:9" x14ac:dyDescent="0.2">
      <c r="A8" s="669"/>
      <c r="B8" s="669"/>
      <c r="C8" s="669"/>
      <c r="D8" s="669"/>
      <c r="E8" s="672"/>
      <c r="F8" s="669"/>
      <c r="G8"/>
      <c r="H8" s="669"/>
      <c r="I8" s="75"/>
    </row>
    <row r="9" spans="1:9" x14ac:dyDescent="0.2">
      <c r="A9" s="669"/>
      <c r="B9" s="669"/>
      <c r="C9" s="669"/>
      <c r="D9" s="669"/>
      <c r="E9" s="672"/>
      <c r="F9" s="669"/>
      <c r="G9"/>
      <c r="H9" s="669"/>
      <c r="I9" s="75"/>
    </row>
    <row r="10" spans="1:9" x14ac:dyDescent="0.2">
      <c r="A10" s="669"/>
      <c r="B10" s="669"/>
      <c r="C10" s="669"/>
      <c r="D10" s="669"/>
      <c r="E10" s="672"/>
      <c r="F10" s="669"/>
      <c r="G10"/>
      <c r="H10" s="669"/>
      <c r="I10" s="75"/>
    </row>
    <row r="11" spans="1:9" x14ac:dyDescent="0.2">
      <c r="A11" s="669"/>
      <c r="B11" s="669"/>
      <c r="C11" s="669"/>
      <c r="D11" s="669"/>
      <c r="E11" s="672"/>
      <c r="F11" s="669"/>
      <c r="G11"/>
      <c r="H11" s="669"/>
      <c r="I11" s="75"/>
    </row>
    <row r="12" spans="1:9" x14ac:dyDescent="0.2">
      <c r="A12" s="669"/>
      <c r="B12" s="669"/>
      <c r="C12" s="669"/>
      <c r="D12" s="669"/>
      <c r="E12" s="672"/>
      <c r="F12" s="669"/>
      <c r="G12"/>
      <c r="H12" s="669"/>
      <c r="I12" s="75"/>
    </row>
    <row r="13" spans="1:9" x14ac:dyDescent="0.2">
      <c r="A13" s="669"/>
      <c r="B13" s="669"/>
      <c r="C13" s="669"/>
      <c r="D13" s="669"/>
      <c r="E13" s="672"/>
      <c r="F13" s="669"/>
      <c r="G13"/>
      <c r="H13" s="669"/>
      <c r="I13" s="75"/>
    </row>
    <row r="14" spans="1:9" x14ac:dyDescent="0.2">
      <c r="A14" s="669"/>
      <c r="B14" s="669"/>
      <c r="C14" s="669"/>
      <c r="D14" s="669"/>
      <c r="E14" s="672"/>
      <c r="F14" s="669"/>
      <c r="G14"/>
      <c r="H14" s="669"/>
      <c r="I14" s="75"/>
    </row>
    <row r="15" spans="1:9" x14ac:dyDescent="0.2">
      <c r="A15" s="669"/>
      <c r="B15" s="669"/>
      <c r="C15" s="669"/>
      <c r="D15" s="669"/>
      <c r="E15" s="672"/>
      <c r="F15" s="669"/>
      <c r="G15"/>
      <c r="H15" s="669"/>
      <c r="I15" s="75"/>
    </row>
    <row r="16" spans="1:9" x14ac:dyDescent="0.2">
      <c r="A16" s="669"/>
      <c r="B16" s="669"/>
      <c r="C16" s="669"/>
      <c r="D16" s="669"/>
      <c r="E16" s="672"/>
      <c r="F16" s="669"/>
      <c r="G16"/>
      <c r="H16" s="669"/>
      <c r="I16" s="75"/>
    </row>
    <row r="17" spans="1:9" x14ac:dyDescent="0.2">
      <c r="A17" s="669"/>
      <c r="B17" s="669"/>
      <c r="C17" s="669"/>
      <c r="D17" s="669"/>
      <c r="E17" s="672"/>
      <c r="F17" s="669"/>
      <c r="G17"/>
      <c r="H17" s="669"/>
      <c r="I17" s="75"/>
    </row>
    <row r="18" spans="1:9" x14ac:dyDescent="0.2">
      <c r="A18" s="669"/>
      <c r="B18" s="669"/>
      <c r="C18" s="669"/>
      <c r="D18" s="669"/>
      <c r="E18" s="672"/>
      <c r="F18" s="669"/>
      <c r="H18" s="669"/>
      <c r="I18" s="75"/>
    </row>
    <row r="19" spans="1:9" x14ac:dyDescent="0.2">
      <c r="A19" s="669"/>
      <c r="B19" s="669"/>
      <c r="C19" s="669"/>
      <c r="D19" s="669"/>
      <c r="E19" s="672"/>
      <c r="F19" s="669"/>
      <c r="G19"/>
      <c r="H19" s="669"/>
      <c r="I19" s="75"/>
    </row>
    <row r="20" spans="1:9" x14ac:dyDescent="0.2">
      <c r="A20" s="669"/>
      <c r="B20" s="669"/>
      <c r="C20" s="669"/>
      <c r="D20" s="669"/>
      <c r="E20" s="672"/>
      <c r="F20" s="669"/>
      <c r="G20"/>
      <c r="H20" s="669"/>
      <c r="I20" s="75"/>
    </row>
    <row r="21" spans="1:9" x14ac:dyDescent="0.2">
      <c r="A21" s="669"/>
      <c r="B21" s="669"/>
      <c r="C21" s="669"/>
      <c r="D21" s="669"/>
      <c r="E21" s="672"/>
      <c r="F21" s="669"/>
      <c r="G21"/>
      <c r="H21" s="669"/>
      <c r="I21" s="75"/>
    </row>
    <row r="22" spans="1:9" x14ac:dyDescent="0.2">
      <c r="A22" s="669"/>
      <c r="B22" s="669"/>
      <c r="C22" s="669"/>
      <c r="D22" s="669"/>
      <c r="E22" s="672"/>
      <c r="F22" s="669"/>
      <c r="G22"/>
      <c r="H22" s="669"/>
      <c r="I22" s="75"/>
    </row>
    <row r="23" spans="1:9" x14ac:dyDescent="0.2">
      <c r="A23" s="669"/>
      <c r="B23" s="669"/>
      <c r="C23" s="669"/>
      <c r="D23" s="669"/>
      <c r="E23" s="672"/>
      <c r="F23" s="669"/>
      <c r="G23"/>
      <c r="H23" s="669"/>
      <c r="I23" s="75"/>
    </row>
    <row r="24" spans="1:9" x14ac:dyDescent="0.2">
      <c r="A24" s="669"/>
      <c r="B24" s="669"/>
      <c r="C24" s="669"/>
      <c r="D24" s="669"/>
      <c r="E24" s="672"/>
      <c r="F24" s="669"/>
      <c r="G24"/>
      <c r="H24" s="669"/>
      <c r="I24"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43"/>
  <sheetViews>
    <sheetView workbookViewId="0">
      <selection activeCell="E27" sqref="E27"/>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3" x14ac:dyDescent="0.2">
      <c r="A1"/>
      <c r="B1"/>
      <c r="C1"/>
    </row>
    <row r="2" spans="1:3" x14ac:dyDescent="0.2">
      <c r="A2" s="669"/>
      <c r="B2"/>
      <c r="C2"/>
    </row>
    <row r="3" spans="1:3" x14ac:dyDescent="0.2">
      <c r="A3" s="669"/>
      <c r="B3"/>
      <c r="C3"/>
    </row>
    <row r="4" spans="1:3" x14ac:dyDescent="0.2">
      <c r="A4" s="669"/>
      <c r="B4"/>
      <c r="C4"/>
    </row>
    <row r="5" spans="1:3" x14ac:dyDescent="0.2">
      <c r="A5" s="669"/>
      <c r="B5"/>
      <c r="C5"/>
    </row>
    <row r="6" spans="1:3" x14ac:dyDescent="0.2">
      <c r="A6" s="669"/>
      <c r="B6"/>
      <c r="C6"/>
    </row>
    <row r="7" spans="1:3" x14ac:dyDescent="0.2">
      <c r="A7" s="669"/>
      <c r="B7"/>
      <c r="C7"/>
    </row>
    <row r="8" spans="1:3" x14ac:dyDescent="0.2">
      <c r="A8" s="669"/>
      <c r="B8"/>
      <c r="C8"/>
    </row>
    <row r="9" spans="1:3" x14ac:dyDescent="0.2">
      <c r="A9" s="669"/>
      <c r="B9"/>
      <c r="C9"/>
    </row>
    <row r="10" spans="1:3" x14ac:dyDescent="0.2">
      <c r="A10" s="669"/>
      <c r="B10"/>
      <c r="C10"/>
    </row>
    <row r="11" spans="1:3" x14ac:dyDescent="0.2">
      <c r="A11" s="669"/>
      <c r="B11"/>
      <c r="C11"/>
    </row>
    <row r="12" spans="1:3" x14ac:dyDescent="0.2">
      <c r="A12" s="669"/>
      <c r="B12"/>
      <c r="C12"/>
    </row>
    <row r="13" spans="1:3" x14ac:dyDescent="0.2">
      <c r="A13" s="669"/>
      <c r="B13"/>
      <c r="C13"/>
    </row>
    <row r="14" spans="1:3" x14ac:dyDescent="0.2">
      <c r="A14" s="669"/>
      <c r="B14"/>
      <c r="C14"/>
    </row>
    <row r="15" spans="1:3" x14ac:dyDescent="0.2">
      <c r="A15" s="669"/>
      <c r="B15"/>
      <c r="C15"/>
    </row>
    <row r="16" spans="1:3" x14ac:dyDescent="0.2">
      <c r="A16" s="669"/>
      <c r="B16"/>
      <c r="C16"/>
    </row>
    <row r="17" spans="1:3" x14ac:dyDescent="0.2">
      <c r="A17" s="669"/>
      <c r="B17"/>
      <c r="C17"/>
    </row>
    <row r="18" spans="1:3" x14ac:dyDescent="0.2">
      <c r="A18" s="669"/>
      <c r="B18"/>
      <c r="C18"/>
    </row>
    <row r="19" spans="1:3" x14ac:dyDescent="0.2">
      <c r="A19" s="669"/>
      <c r="B19"/>
      <c r="C19"/>
    </row>
    <row r="20" spans="1:3" x14ac:dyDescent="0.2">
      <c r="A20" s="669"/>
      <c r="B20"/>
      <c r="C20"/>
    </row>
    <row r="21" spans="1:3" x14ac:dyDescent="0.2">
      <c r="A21" s="669"/>
      <c r="B21"/>
      <c r="C21"/>
    </row>
    <row r="22" spans="1:3" x14ac:dyDescent="0.2">
      <c r="A22" s="669"/>
      <c r="B22"/>
      <c r="C22"/>
    </row>
    <row r="23" spans="1:3" x14ac:dyDescent="0.2">
      <c r="A23" s="669"/>
      <c r="B23"/>
      <c r="C23"/>
    </row>
    <row r="24" spans="1:3" x14ac:dyDescent="0.2">
      <c r="A24" s="669"/>
      <c r="B24"/>
      <c r="C24"/>
    </row>
    <row r="25" spans="1:3" x14ac:dyDescent="0.2">
      <c r="A25" s="669"/>
      <c r="B25"/>
      <c r="C25"/>
    </row>
    <row r="26" spans="1:3" x14ac:dyDescent="0.2">
      <c r="A26" s="669"/>
      <c r="B26"/>
      <c r="C26"/>
    </row>
    <row r="27" spans="1:3" x14ac:dyDescent="0.2">
      <c r="A27" s="669"/>
      <c r="B27"/>
      <c r="C27"/>
    </row>
    <row r="28" spans="1:3" x14ac:dyDescent="0.2">
      <c r="A28" s="669"/>
      <c r="B28"/>
      <c r="C28"/>
    </row>
    <row r="29" spans="1:3" x14ac:dyDescent="0.2">
      <c r="A29" s="669"/>
      <c r="B29"/>
      <c r="C29"/>
    </row>
    <row r="30" spans="1:3" x14ac:dyDescent="0.2">
      <c r="A30" s="669"/>
      <c r="B30"/>
      <c r="C30"/>
    </row>
    <row r="31" spans="1:3" x14ac:dyDescent="0.2">
      <c r="A31" s="669"/>
      <c r="B31"/>
      <c r="C31"/>
    </row>
    <row r="32" spans="1:3" x14ac:dyDescent="0.2">
      <c r="A32" s="669"/>
      <c r="B32"/>
      <c r="C32"/>
    </row>
    <row r="33" spans="1:3" x14ac:dyDescent="0.2">
      <c r="A33" s="669"/>
      <c r="B33"/>
      <c r="C33"/>
    </row>
    <row r="34" spans="1:3" x14ac:dyDescent="0.2">
      <c r="A34" s="669"/>
      <c r="B34"/>
      <c r="C34"/>
    </row>
    <row r="35" spans="1:3" x14ac:dyDescent="0.2">
      <c r="A35" s="669"/>
      <c r="B35"/>
      <c r="C35"/>
    </row>
    <row r="36" spans="1:3" x14ac:dyDescent="0.2">
      <c r="A36" s="669"/>
      <c r="B36"/>
      <c r="C36"/>
    </row>
    <row r="37" spans="1:3" x14ac:dyDescent="0.2">
      <c r="A37" s="669"/>
      <c r="B37"/>
      <c r="C37"/>
    </row>
    <row r="38" spans="1:3" x14ac:dyDescent="0.2">
      <c r="A38" s="669"/>
      <c r="B38"/>
      <c r="C38"/>
    </row>
    <row r="39" spans="1:3" x14ac:dyDescent="0.2">
      <c r="A39" s="669"/>
      <c r="B39"/>
      <c r="C39"/>
    </row>
    <row r="40" spans="1:3" x14ac:dyDescent="0.2">
      <c r="A40" s="669"/>
      <c r="B40"/>
      <c r="C40"/>
    </row>
    <row r="41" spans="1:3" x14ac:dyDescent="0.2">
      <c r="A41" s="669"/>
      <c r="B41"/>
      <c r="C41"/>
    </row>
    <row r="42" spans="1:3" x14ac:dyDescent="0.2">
      <c r="A42" s="669"/>
      <c r="B42"/>
      <c r="C42"/>
    </row>
    <row r="43" spans="1:3" x14ac:dyDescent="0.2">
      <c r="A43" s="669"/>
      <c r="B43"/>
      <c r="C43"/>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bT5Q/GuUVWUUvcjWunKiMdUydd/omQmgyC/OrBqS/FOMTG/+h8tHWsFyC5yfFhhVhHVDTmtTToNpuvfPzST7pg==" saltValue="Tp/pmr14eB2B4216DMQA9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3/kDbxU12fmUXvb++5qF8V41Lr23xr9JK28hQRIEnBjesHGpuUjbo3kI9MigOo9GURu+LYmEoVF1JGTioOSecg==" saltValue="ULP78jrB5yUeSPwNkyQJR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2" t="s">
        <v>909</v>
      </c>
      <c r="J1" s="503"/>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4"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4"/>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4"/>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4"/>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4"/>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4"/>
      <c r="M9" s="139">
        <v>6</v>
      </c>
      <c r="O9" t="str" cm="1">
        <f t="array" ref="O9">IF(
  Main!O10 = "",
  "",
  IF(
    COUNTIF(Survey[TestPoint], Alerts[[#This Row],[TestPoint]]) = 0,
    "DROPPED",
    IF(
      OR(
        _xlfn._xlws.FILTER(
          Survey[OutOfTolerance],
          Survey[TestPoint] = Alerts[[#This Row],[TestPoint]]
        )
      ),
      "Out of Tol",
      ""
    )
  )
)</f>
        <v/>
      </c>
    </row>
    <row r="10" spans="1:17" x14ac:dyDescent="0.2">
      <c r="L10" s="504"/>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4"/>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4"/>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4"/>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K9mPWV4TP77kj6/egvhFg9f/7bQPb1oBxP7f8dcxeO88wafALYmkoGpSguuuWnooDQYB12qgm6XSr6NQpPuMaQ==" saltValue="mRT3n0RR6/5nvq2cIsT+T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397</v>
      </c>
      <c r="F1" t="s">
        <v>961</v>
      </c>
      <c r="G1" t="s">
        <v>962</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E1" workbookViewId="0">
      <selection activeCell="O7" sqref="O7"/>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967</v>
      </c>
      <c r="B1" s="332"/>
      <c r="C1" s="524" t="s">
        <v>50</v>
      </c>
      <c r="D1" s="525"/>
      <c r="E1" s="525"/>
      <c r="F1" s="525"/>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6" t="s">
        <v>102</v>
      </c>
      <c r="K3" s="527"/>
      <c r="L3" s="528"/>
      <c r="M3" s="315"/>
      <c r="N3" s="543" t="s">
        <v>91</v>
      </c>
      <c r="O3" s="543"/>
      <c r="P3" s="543"/>
      <c r="Q3" s="543"/>
      <c r="R3" s="543"/>
      <c r="S3" s="543"/>
      <c r="T3" s="493"/>
    </row>
    <row r="4" spans="1:22" s="290" customFormat="1" x14ac:dyDescent="0.2">
      <c r="A4" s="333"/>
      <c r="B4" s="143"/>
      <c r="C4" s="144" t="s">
        <v>229</v>
      </c>
      <c r="D4" s="297" t="str">
        <f>IF(Condition="","",Condition)</f>
        <v/>
      </c>
      <c r="E4" s="315"/>
      <c r="F4" s="315"/>
      <c r="G4" s="315"/>
      <c r="H4" s="315"/>
      <c r="I4" s="315"/>
      <c r="J4" s="531" t="s">
        <v>1</v>
      </c>
      <c r="K4" s="532"/>
      <c r="L4" s="145">
        <f>IFERROR(Survey!N2,0)</f>
        <v>0</v>
      </c>
      <c r="M4" s="315"/>
      <c r="N4" s="146" t="s">
        <v>90</v>
      </c>
      <c r="O4" s="147" t="s">
        <v>89</v>
      </c>
      <c r="P4" s="529" t="s">
        <v>100</v>
      </c>
      <c r="Q4" s="530"/>
      <c r="R4" s="146" t="s">
        <v>137</v>
      </c>
      <c r="S4" s="146" t="s">
        <v>141</v>
      </c>
      <c r="T4" s="493"/>
    </row>
    <row r="5" spans="1:22" s="290" customFormat="1" x14ac:dyDescent="0.2">
      <c r="A5" s="333"/>
      <c r="B5" s="143"/>
      <c r="C5" s="144" t="s">
        <v>41</v>
      </c>
      <c r="D5" s="547" t="e">
        <f>companyName</f>
        <v>#N/A</v>
      </c>
      <c r="E5" s="548"/>
      <c r="F5" s="548"/>
      <c r="G5" s="548"/>
      <c r="H5" s="549"/>
      <c r="I5" s="298"/>
      <c r="J5" s="531" t="s">
        <v>2</v>
      </c>
      <c r="K5" s="532"/>
      <c r="L5" s="145">
        <f>IFERROR(Survey!N3,0)</f>
        <v>0</v>
      </c>
      <c r="M5" s="315"/>
      <c r="N5" s="461">
        <v>1</v>
      </c>
      <c r="O5" s="148"/>
      <c r="P5" s="505" t="str">
        <f>VLOOKUP(N5,Alerts[],3,FALSE)</f>
        <v/>
      </c>
      <c r="Q5" s="506"/>
      <c r="R5" s="462" t="str" cm="1">
        <f t="array" ref="R5">IFZERO(VLOOKUP(N5,Alerts[],4,FALSE),"")</f>
        <v/>
      </c>
      <c r="S5" s="149" t="str" cm="1">
        <f t="array" ref="S5">IFZERO(VLOOKUP(N5,Alerts[],5,FALSE),"")</f>
        <v/>
      </c>
      <c r="T5" s="493"/>
    </row>
    <row r="6" spans="1:22" s="290" customFormat="1" x14ac:dyDescent="0.2">
      <c r="A6" s="333"/>
      <c r="B6" s="143"/>
      <c r="C6" s="144" t="s">
        <v>40</v>
      </c>
      <c r="D6" s="544" t="e">
        <f>VLOOKUP("assetName",WorkItemDetails[],2,FALSE)</f>
        <v>#N/A</v>
      </c>
      <c r="E6" s="545"/>
      <c r="F6" s="545"/>
      <c r="G6" s="545"/>
      <c r="H6" s="546"/>
      <c r="J6" s="531" t="s">
        <v>101</v>
      </c>
      <c r="K6" s="532"/>
      <c r="L6" s="145">
        <f>L4-L5</f>
        <v>0</v>
      </c>
      <c r="M6" s="315"/>
      <c r="N6" s="461">
        <v>2</v>
      </c>
      <c r="O6" s="148"/>
      <c r="P6" s="505" t="str">
        <f>VLOOKUP(N6,Alerts[],3,FALSE)</f>
        <v/>
      </c>
      <c r="Q6" s="506"/>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05" t="str">
        <f>VLOOKUP(N7,Alerts[],3,FALSE)</f>
        <v/>
      </c>
      <c r="Q7" s="506"/>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05" t="str">
        <f>VLOOKUP(N8,Alerts[],3,FALSE)</f>
        <v/>
      </c>
      <c r="Q8" s="506"/>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05" t="str">
        <f>VLOOKUP(N9,Alerts[],3,FALSE)</f>
        <v/>
      </c>
      <c r="Q9" s="506"/>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05" t="str">
        <f>VLOOKUP(N10,Alerts[],3,FALSE)</f>
        <v/>
      </c>
      <c r="Q10" s="506"/>
      <c r="R10" s="462" t="str" cm="1">
        <f t="array" ref="R10">IFZERO(VLOOKUP(N10,Alerts[],4,FALSE),"")</f>
        <v/>
      </c>
      <c r="S10" s="149" t="str" cm="1">
        <f t="array" ref="S10">IFZERO(VLOOKUP(N10,Alerts[],5,FALSE),"")</f>
        <v/>
      </c>
      <c r="T10" s="493"/>
    </row>
    <row r="11" spans="1:22" s="290" customFormat="1" x14ac:dyDescent="0.2">
      <c r="A11" s="333"/>
      <c r="B11" s="143"/>
      <c r="C11" s="152" t="s">
        <v>53</v>
      </c>
      <c r="D11" s="491">
        <f>VLOOKUP("serial_number",DaqbookServiceRecord[], 2, FALSE)</f>
        <v>0</v>
      </c>
      <c r="E11" s="315"/>
      <c r="F11" s="315"/>
      <c r="G11" s="316" t="str">
        <f>IF(OR(ISBLANK(D3),ISBLANK(D13)),"",IF(D13&lt;D3,"!!!!! DAQBOOK IS OUT OF CERTIFICATION !!!!!",""))</f>
        <v/>
      </c>
      <c r="H11" s="315"/>
      <c r="I11" s="315"/>
      <c r="J11" s="315"/>
      <c r="K11" s="315"/>
      <c r="L11" s="315"/>
      <c r="M11" s="315"/>
      <c r="N11" s="461">
        <v>7</v>
      </c>
      <c r="O11" s="148"/>
      <c r="P11" s="505" t="str">
        <f>VLOOKUP(N11,Alerts[],3,FALSE)</f>
        <v/>
      </c>
      <c r="Q11" s="506"/>
      <c r="R11" s="462" t="str" cm="1">
        <f t="array" ref="R11">IFZERO(VLOOKUP(N11,Alerts[],4,FALSE),"")</f>
        <v/>
      </c>
      <c r="S11" s="149" t="str" cm="1">
        <f t="array" ref="S11">IFZERO(VLOOKUP(N11,Alerts[],5,FALSE),"")</f>
        <v/>
      </c>
      <c r="T11" s="493"/>
    </row>
    <row r="12" spans="1:22" s="290" customFormat="1" x14ac:dyDescent="0.2">
      <c r="A12" s="333"/>
      <c r="B12" s="143"/>
      <c r="C12" s="152" t="s">
        <v>87</v>
      </c>
      <c r="D12" s="291">
        <f>VLOOKUP("service_date",DaqbookServiceRecord[], 2, FALSE)</f>
        <v>0</v>
      </c>
      <c r="E12" s="315"/>
      <c r="F12" s="315"/>
      <c r="G12" s="316" t="str">
        <f>IF(IF(COUNTIFS(DataForChannels1to14[],"&gt;"&amp;B2,DataForChannels1to14[],"&lt;"&amp;(B2+200))&gt;0,1,0)=1,"!!!!! OVEN OVERSHOT IN POINTS 1-14 !!!!!","")</f>
        <v/>
      </c>
      <c r="H12" s="315"/>
      <c r="I12" s="315"/>
      <c r="J12" s="336"/>
      <c r="K12" s="319"/>
      <c r="L12" s="336"/>
      <c r="M12" s="319"/>
      <c r="N12" s="461">
        <v>8</v>
      </c>
      <c r="O12" s="148"/>
      <c r="P12" s="505" t="str">
        <f>VLOOKUP(N12,Alerts[],3,FALSE)</f>
        <v/>
      </c>
      <c r="Q12" s="506"/>
      <c r="R12" s="462" t="str" cm="1">
        <f t="array" ref="R12">IFZERO(VLOOKUP(N12,Alerts[],4,FALSE),"")</f>
        <v/>
      </c>
      <c r="S12" s="149" t="str" cm="1">
        <f t="array" ref="S12">IFZERO(VLOOKUP(N12,Alerts[],5,FALSE),"")</f>
        <v/>
      </c>
      <c r="T12" s="493"/>
    </row>
    <row r="13" spans="1:22" s="290" customFormat="1" x14ac:dyDescent="0.2">
      <c r="A13" s="333"/>
      <c r="B13" s="153"/>
      <c r="C13" s="154" t="s">
        <v>86</v>
      </c>
      <c r="D13" s="291">
        <f>VLOOKUP("next_service_date",DaqbookServiceRecord[], 2, FALSE)</f>
        <v>0</v>
      </c>
      <c r="E13" s="315"/>
      <c r="F13" s="340"/>
      <c r="G13" s="331" t="str">
        <f>IF(IF(COUNTIFS(DataForChannels15to28[],"&gt;"&amp;B2,DataForChannels15to28[],"&lt;"&amp;(B2+200))&gt;0,1,0)=1,"!!!!! OVEN OVERSHOT IN POINTS 15-28 !!!!!","")</f>
        <v/>
      </c>
      <c r="H13" s="315"/>
      <c r="I13" s="315"/>
      <c r="J13" s="251" t="s">
        <v>322</v>
      </c>
      <c r="K13" s="541" t="str">
        <f>IFERROR(VLOOKUP("PoNumber",WorkItemDetails[],2,FALSE),"")</f>
        <v/>
      </c>
      <c r="L13" s="542"/>
      <c r="M13" s="315"/>
      <c r="N13" s="461">
        <v>9</v>
      </c>
      <c r="O13" s="148"/>
      <c r="P13" s="505" t="str">
        <f>VLOOKUP(N13,Alerts[],3,FALSE)</f>
        <v/>
      </c>
      <c r="Q13" s="506"/>
      <c r="R13" s="462" t="str" cm="1">
        <f t="array" ref="R13">IFZERO(VLOOKUP(N13,Alerts[],4,FALSE),"")</f>
        <v/>
      </c>
      <c r="S13" s="149" t="str" cm="1">
        <f t="array" ref="S13">IFZERO(VLOOKUP(N13,Alerts[],5,FALSE),"")</f>
        <v/>
      </c>
      <c r="T13" s="493"/>
    </row>
    <row r="14" spans="1:22" s="290" customFormat="1" x14ac:dyDescent="0.2">
      <c r="A14" s="333"/>
      <c r="B14" s="143"/>
      <c r="C14" s="152" t="s">
        <v>88</v>
      </c>
      <c r="D14" s="491">
        <f>VLOOKUP("certificate_number",DaqbookServiceRecord[], 2, FALSE)</f>
        <v>0</v>
      </c>
      <c r="E14" s="315"/>
      <c r="F14" s="315"/>
      <c r="G14" s="316" t="str">
        <f>IF(IF(COUNTIFS(DataForChannels29to40[],"&gt;"&amp;B2,DataForChannels29to40[],"&lt;"&amp;(B2+200))&gt;0,1,0)=1,"!!!!! OVEN OVERSHOT IN POINTS 29-40 !!!!!","")</f>
        <v/>
      </c>
      <c r="H14" s="315"/>
      <c r="I14" s="315"/>
      <c r="J14" s="155" t="s">
        <v>136</v>
      </c>
      <c r="K14" s="550"/>
      <c r="L14" s="551"/>
      <c r="M14" s="315"/>
      <c r="N14" s="461">
        <v>10</v>
      </c>
      <c r="O14" s="148"/>
      <c r="P14" s="505" t="str">
        <f>VLOOKUP(N14,Alerts[],3,FALSE)</f>
        <v/>
      </c>
      <c r="Q14" s="506"/>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35"/>
      <c r="L15" s="536"/>
      <c r="M15" s="315"/>
      <c r="N15" s="461">
        <v>11</v>
      </c>
      <c r="O15" s="148"/>
      <c r="P15" s="505" t="str">
        <f>VLOOKUP(N15,Alerts[],3,FALSE)</f>
        <v/>
      </c>
      <c r="Q15" s="506"/>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55" t="s">
        <v>162</v>
      </c>
      <c r="K16" s="556"/>
      <c r="L16" s="296"/>
      <c r="M16" s="315"/>
      <c r="N16" s="461">
        <v>12</v>
      </c>
      <c r="O16" s="148"/>
      <c r="P16" s="505" t="str">
        <f>VLOOKUP(N16,Alerts[],3,FALSE)</f>
        <v/>
      </c>
      <c r="Q16" s="506"/>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55" t="s">
        <v>163</v>
      </c>
      <c r="K17" s="556"/>
      <c r="L17" s="159" t="str">
        <f>IF(K15="SIM Load Hot",TEXT(D26,"hh:mm"),"")</f>
        <v/>
      </c>
      <c r="M17" s="315"/>
      <c r="N17" s="461">
        <v>13</v>
      </c>
      <c r="O17" s="148"/>
      <c r="P17" s="505" t="str">
        <f>VLOOKUP(N17,Alerts[],3,FALSE)</f>
        <v/>
      </c>
      <c r="Q17" s="506"/>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07" t="s">
        <v>19</v>
      </c>
      <c r="H18" s="508"/>
      <c r="I18" s="316"/>
      <c r="J18" s="341"/>
      <c r="K18" s="315"/>
      <c r="L18" s="316"/>
      <c r="M18" s="315"/>
      <c r="N18" s="461">
        <v>14</v>
      </c>
      <c r="O18" s="148"/>
      <c r="P18" s="505" t="str">
        <f>VLOOKUP(N18,Alerts[],3,FALSE)</f>
        <v/>
      </c>
      <c r="Q18" s="506"/>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33" t="str">
        <f>IF(K15="Salt",0, IF(OR(K15="Hot",K15="SIM Load Hot"),IF(OR(D26="",D28=""),"N/A",IF(ISBLANK(D26),"N/A",D28-D26)),"N/A"))</f>
        <v>N/A</v>
      </c>
      <c r="H19" s="534"/>
      <c r="I19" s="342" t="str">
        <f>IF(G19="N/A","N/A",IF(G19=0,"&lt;2",ROUND(IF(LEN(G19)&gt;3,G19*1440,RIGHT(TEXT(G19,"hh:mm"),2)),0))&amp;" MINUTES")</f>
        <v>N/A</v>
      </c>
      <c r="J19" s="495">
        <f>V21</f>
        <v>40</v>
      </c>
      <c r="K19" s="315"/>
      <c r="L19" s="316"/>
      <c r="M19" s="315"/>
      <c r="N19" s="461">
        <v>15</v>
      </c>
      <c r="O19" s="148"/>
      <c r="P19" s="505" t="str">
        <f>VLOOKUP(N19,Alerts[],3,FALSE)</f>
        <v/>
      </c>
      <c r="Q19" s="506"/>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37" t="str">
        <f>"SAT Tolerance (per " &amp; IF(E20, "AMS2750", "BAC5621") &amp; "):"</f>
        <v>SAT Tolerance (per AMS2750):</v>
      </c>
      <c r="C20" s="538"/>
      <c r="D20" s="411" t="e">
        <f>G94</f>
        <v>#N/A</v>
      </c>
      <c r="E20" s="476" t="b">
        <v>1</v>
      </c>
      <c r="F20" s="315"/>
      <c r="G20" s="315"/>
      <c r="H20" s="315"/>
      <c r="I20" s="316"/>
      <c r="J20" s="315"/>
      <c r="K20" s="315"/>
      <c r="L20" s="477">
        <v>1</v>
      </c>
      <c r="M20" s="315"/>
      <c r="N20" s="461">
        <v>16</v>
      </c>
      <c r="O20" s="148"/>
      <c r="P20" s="505" t="str">
        <f>VLOOKUP(N20,Alerts[],3,FALSE)</f>
        <v/>
      </c>
      <c r="Q20" s="506"/>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05" t="str">
        <f>VLOOKUP(N21,Alerts[],3,FALSE)</f>
        <v/>
      </c>
      <c r="Q21" s="506"/>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05" t="str">
        <f>VLOOKUP(N22,Alerts[],3,FALSE)</f>
        <v/>
      </c>
      <c r="Q22" s="506"/>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63" t="s">
        <v>369</v>
      </c>
      <c r="H23" s="564"/>
      <c r="I23" s="564"/>
      <c r="J23" s="564"/>
      <c r="K23" s="565"/>
      <c r="L23" s="316"/>
      <c r="M23" s="315"/>
      <c r="N23" s="461">
        <v>19</v>
      </c>
      <c r="O23" s="148"/>
      <c r="P23" s="505" t="str">
        <f>VLOOKUP(N23,Alerts[],3,FALSE)</f>
        <v/>
      </c>
      <c r="Q23" s="506"/>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39" t="s">
        <v>550</v>
      </c>
      <c r="C24" s="540"/>
      <c r="D24" s="294">
        <v>1</v>
      </c>
      <c r="E24" s="315"/>
      <c r="F24" s="162" t="s">
        <v>98</v>
      </c>
      <c r="G24" s="566"/>
      <c r="H24" s="567"/>
      <c r="I24" s="567"/>
      <c r="J24" s="567"/>
      <c r="K24" s="568"/>
      <c r="L24" s="316"/>
      <c r="M24" s="315"/>
      <c r="N24" s="461">
        <v>20</v>
      </c>
      <c r="O24" s="148"/>
      <c r="P24" s="505" t="str">
        <f>VLOOKUP(N24,Alerts[],3,FALSE)</f>
        <v/>
      </c>
      <c r="Q24" s="506"/>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66"/>
      <c r="H25" s="567"/>
      <c r="I25" s="567"/>
      <c r="J25" s="567"/>
      <c r="K25" s="568"/>
      <c r="L25" s="316"/>
      <c r="M25" s="315"/>
      <c r="N25" s="461">
        <v>21</v>
      </c>
      <c r="O25" s="148"/>
      <c r="P25" s="505" t="str">
        <f>VLOOKUP(N25,Alerts[],3,FALSE)</f>
        <v/>
      </c>
      <c r="Q25" s="506"/>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05" t="str">
        <f>VLOOKUP(N26,Alerts[],3,FALSE)</f>
        <v/>
      </c>
      <c r="Q26" s="506"/>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61" t="str">
        <f>IF(ISBLANK(D6),"",IF(CheckRec="x","CHECK INSTRUMENT CAL DATES!!!!             CHECK INSTRUMENT CAL DATES!!!!",""))</f>
        <v/>
      </c>
      <c r="I27" s="562"/>
      <c r="J27" s="562"/>
      <c r="K27" s="562"/>
      <c r="L27" s="316"/>
      <c r="M27" s="315"/>
      <c r="N27" s="461">
        <v>23</v>
      </c>
      <c r="O27" s="148"/>
      <c r="P27" s="505" t="str">
        <f>VLOOKUP(N27,Alerts[],3,FALSE)</f>
        <v/>
      </c>
      <c r="Q27" s="506"/>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61"/>
      <c r="I28" s="562"/>
      <c r="J28" s="562"/>
      <c r="K28" s="562"/>
      <c r="L28" s="316"/>
      <c r="M28" s="315"/>
      <c r="N28" s="461">
        <v>24</v>
      </c>
      <c r="O28" s="148"/>
      <c r="P28" s="505" t="str">
        <f>VLOOKUP(N28,Alerts[],3,FALSE)</f>
        <v/>
      </c>
      <c r="Q28" s="506"/>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05" t="str">
        <f>VLOOKUP(N29,Alerts[],3,FALSE)</f>
        <v/>
      </c>
      <c r="Q29" s="506"/>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05" t="str">
        <f>VLOOKUP(N30,Alerts[],3,FALSE)</f>
        <v/>
      </c>
      <c r="Q30" s="506"/>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05" t="str">
        <f>VLOOKUP(N31,Alerts[],3,FALSE)</f>
        <v/>
      </c>
      <c r="Q31" s="506"/>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05" t="str">
        <f>VLOOKUP(N32,Alerts[],3,FALSE)</f>
        <v/>
      </c>
      <c r="Q32" s="506"/>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05" t="str">
        <f>VLOOKUP(N33,Alerts[],3,FALSE)</f>
        <v/>
      </c>
      <c r="Q33" s="506"/>
      <c r="R33" s="462" t="str" cm="1">
        <f t="array" ref="R33">IFZERO(VLOOKUP(N33,Alerts[],4,FALSE),"")</f>
        <v/>
      </c>
      <c r="S33" s="149" t="str" cm="1">
        <f t="array" ref="S33">IFZERO(VLOOKUP(N33,Alerts[],5,FALSE),"")</f>
        <v/>
      </c>
      <c r="T33" s="493"/>
    </row>
    <row r="34" spans="1:23" s="290" customFormat="1" ht="12.75" customHeight="1" x14ac:dyDescent="0.2">
      <c r="A34" s="333"/>
      <c r="B34" s="526" t="s">
        <v>49</v>
      </c>
      <c r="C34" s="527"/>
      <c r="D34" s="527"/>
      <c r="E34" s="527"/>
      <c r="F34" s="527"/>
      <c r="G34" s="527"/>
      <c r="H34" s="527"/>
      <c r="I34" s="527"/>
      <c r="J34" s="527"/>
      <c r="K34" s="527"/>
      <c r="L34" s="528"/>
      <c r="M34" s="315"/>
      <c r="N34" s="461">
        <v>30</v>
      </c>
      <c r="O34" s="148"/>
      <c r="P34" s="505" t="str">
        <f>VLOOKUP(N34,Alerts[],3,FALSE)</f>
        <v/>
      </c>
      <c r="Q34" s="506"/>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05" t="str">
        <f>VLOOKUP(N35,Alerts[],3,FALSE)</f>
        <v/>
      </c>
      <c r="Q35" s="506"/>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05" t="str">
        <f>VLOOKUP(N36,Alerts[],3,FALSE)</f>
        <v/>
      </c>
      <c r="Q36" s="506"/>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05" t="str">
        <f>VLOOKUP(N37,Alerts[],3,FALSE)</f>
        <v/>
      </c>
      <c r="Q37" s="506"/>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05" t="str">
        <f>VLOOKUP(N38,Alerts[],3,FALSE)</f>
        <v/>
      </c>
      <c r="Q38" s="506"/>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05" t="str">
        <f>VLOOKUP(N39,Alerts[],3,FALSE)</f>
        <v/>
      </c>
      <c r="Q39" s="506"/>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05" t="str">
        <f>VLOOKUP(N40,Alerts[],3,FALSE)</f>
        <v/>
      </c>
      <c r="Q40" s="506"/>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05" t="str">
        <f>VLOOKUP(N41,Alerts[],3,FALSE)</f>
        <v/>
      </c>
      <c r="Q41" s="506"/>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05" t="str">
        <f>VLOOKUP(N42,Alerts[],3,FALSE)</f>
        <v/>
      </c>
      <c r="Q42" s="506"/>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05" t="str">
        <f>VLOOKUP(N43,Alerts[],3,FALSE)</f>
        <v/>
      </c>
      <c r="Q43" s="506"/>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05" t="str">
        <f>VLOOKUP(N44,Alerts[],3,FALSE)</f>
        <v/>
      </c>
      <c r="Q44" s="506"/>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52" t="s">
        <v>33</v>
      </c>
      <c r="E46" s="553"/>
      <c r="F46" s="553"/>
      <c r="G46" s="553"/>
      <c r="H46" s="553"/>
      <c r="I46" s="554"/>
      <c r="J46" s="359"/>
      <c r="K46" s="359"/>
      <c r="L46" s="359"/>
      <c r="M46" s="569" t="s">
        <v>327</v>
      </c>
      <c r="N46" s="570"/>
      <c r="O46" s="571"/>
      <c r="P46" s="572"/>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59" t="s">
        <v>330</v>
      </c>
      <c r="Q47" s="559"/>
      <c r="R47" s="431" t="s">
        <v>331</v>
      </c>
      <c r="S47" s="319"/>
      <c r="T47" s="319"/>
      <c r="U47" s="319"/>
    </row>
    <row r="48" spans="1:23" x14ac:dyDescent="0.2">
      <c r="A48" s="333"/>
      <c r="B48" s="357"/>
      <c r="C48" s="429" t="s">
        <v>34</v>
      </c>
      <c r="D48" s="302"/>
      <c r="E48" s="302"/>
      <c r="F48" s="302"/>
      <c r="G48" s="302"/>
      <c r="H48" s="302"/>
      <c r="I48" s="302"/>
      <c r="J48" s="359"/>
      <c r="K48" s="359"/>
      <c r="L48" s="359"/>
      <c r="M48" s="560" t="s">
        <v>332</v>
      </c>
      <c r="N48" s="560"/>
      <c r="O48" s="361"/>
      <c r="P48" s="518" t="s">
        <v>378</v>
      </c>
      <c r="Q48" s="519"/>
      <c r="R48" s="520"/>
      <c r="S48" s="362"/>
      <c r="T48" s="320"/>
      <c r="U48" s="518" t="s">
        <v>381</v>
      </c>
      <c r="V48" s="519"/>
      <c r="W48" s="520"/>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21" t="s">
        <v>383</v>
      </c>
      <c r="Q49" s="522"/>
      <c r="R49" s="523"/>
      <c r="S49" s="432"/>
      <c r="T49" s="321"/>
      <c r="U49" s="521" t="s">
        <v>382</v>
      </c>
      <c r="V49" s="522"/>
      <c r="W49" s="523"/>
      <c r="X49" s="303"/>
    </row>
    <row r="50" spans="1:24" x14ac:dyDescent="0.2">
      <c r="A50" s="333"/>
      <c r="B50" s="364"/>
      <c r="C50" s="428" t="s">
        <v>36</v>
      </c>
      <c r="D50" s="300" t="str">
        <f>IF(D49="","",EDATE(D49,3))</f>
        <v/>
      </c>
      <c r="E50" s="300"/>
      <c r="F50" s="300"/>
      <c r="G50" s="300"/>
      <c r="H50" s="300"/>
      <c r="I50" s="300"/>
      <c r="J50" s="359"/>
      <c r="K50" s="359"/>
      <c r="L50" s="359"/>
      <c r="M50" s="251" t="s">
        <v>334</v>
      </c>
      <c r="N50" s="312" t="str">
        <f>IF(Integral="","",Integral)</f>
        <v/>
      </c>
      <c r="O50" s="329"/>
      <c r="P50" s="509" t="s">
        <v>335</v>
      </c>
      <c r="Q50" s="510"/>
      <c r="R50" s="511"/>
      <c r="S50" s="365"/>
      <c r="T50" s="322"/>
      <c r="U50" s="509" t="s">
        <v>335</v>
      </c>
      <c r="V50" s="510"/>
      <c r="W50" s="511"/>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21" t="s">
        <v>379</v>
      </c>
      <c r="Q51" s="522"/>
      <c r="R51" s="523"/>
      <c r="S51" s="432"/>
      <c r="T51" s="323"/>
      <c r="U51" s="521" t="s">
        <v>384</v>
      </c>
      <c r="V51" s="522"/>
      <c r="W51" s="523"/>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09" t="s">
        <v>335</v>
      </c>
      <c r="Q52" s="510"/>
      <c r="R52" s="511"/>
      <c r="S52" s="365"/>
      <c r="T52" s="324"/>
      <c r="U52" s="509" t="s">
        <v>335</v>
      </c>
      <c r="V52" s="510"/>
      <c r="W52" s="511"/>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12" t="s">
        <v>380</v>
      </c>
      <c r="Q53" s="513"/>
      <c r="R53" s="514"/>
      <c r="S53" s="433"/>
      <c r="T53" s="325"/>
      <c r="U53" s="512" t="s">
        <v>385</v>
      </c>
      <c r="V53" s="513"/>
      <c r="W53" s="514"/>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364</v>
      </c>
      <c r="N54" s="311">
        <v>0</v>
      </c>
      <c r="O54" s="317"/>
      <c r="P54" s="515"/>
      <c r="Q54" s="516"/>
      <c r="R54" s="517"/>
      <c r="S54" s="370"/>
      <c r="T54" s="326"/>
      <c r="U54" s="515"/>
      <c r="V54" s="516"/>
      <c r="W54" s="517"/>
    </row>
    <row r="55" spans="1:24" x14ac:dyDescent="0.2">
      <c r="A55" s="333"/>
      <c r="B55" s="357"/>
      <c r="C55" s="430" t="s">
        <v>151</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52" t="s">
        <v>157</v>
      </c>
      <c r="D58" s="553"/>
      <c r="E58" s="553"/>
      <c r="F58" s="553"/>
      <c r="G58" s="553"/>
      <c r="H58" s="553"/>
      <c r="I58" s="553"/>
      <c r="J58" s="553"/>
      <c r="K58" s="557"/>
      <c r="L58" s="558"/>
      <c r="M58" s="319"/>
      <c r="N58" s="319"/>
      <c r="O58" s="319"/>
      <c r="P58" s="319"/>
      <c r="Q58" s="319"/>
      <c r="R58" s="319"/>
      <c r="S58" s="319"/>
      <c r="T58" s="319"/>
      <c r="U58" s="319"/>
    </row>
    <row r="59" spans="1:24" x14ac:dyDescent="0.2">
      <c r="A59" s="333"/>
      <c r="B59" s="354"/>
      <c r="C59" s="552" t="s">
        <v>160</v>
      </c>
      <c r="D59" s="553"/>
      <c r="E59" s="553"/>
      <c r="F59" s="553"/>
      <c r="G59" s="553"/>
      <c r="H59" s="553"/>
      <c r="I59" s="553"/>
      <c r="J59" s="553"/>
      <c r="K59" s="553"/>
      <c r="L59" s="554"/>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IF(TolMin+TolMax=0,TolMax,"Not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ZaewfHWFZwy7vj+8Lqz0s27qfVb/ONnaeAYJpd6LWskD77yjRjjv9fN7Gsii/DMgHfp9XPZ8CjE3OPmHzEtaEg==" saltValue="zs3Uij7yYVNFPUklKcjga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75"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8 D27 D26"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5: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XHnCS9yYSlg5YDNn6NwA+9ylSkQATP1hB4T1Mp6x/5U0OXxKyBR6Sf13B2lbBr7hqkoYo24hrBlR+zYgyWH87Q==" saltValue="TBCStLkOmszy7YccRgCfJ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A3" s="670"/>
      <c r="B3" s="671"/>
      <c r="C3" s="671"/>
      <c r="D3" s="671"/>
      <c r="E3" s="671"/>
      <c r="F3" s="671"/>
      <c r="G3" s="671"/>
      <c r="H3" s="671"/>
      <c r="I3" s="671"/>
      <c r="J3" s="671"/>
      <c r="K3" s="671"/>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QxxR1HYGumDuhpqBIO3ElrjL89yvQCifsIqy9+gYKIvsE2VROiejBXSfxP2ReRRhbKosBqe9gCfcLC7ufTo2TA==" saltValue="Yj5B72EMPDEGHN903qekc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4" t="s">
        <v>371</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372</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dfsjNfnHEIQ4H1Nr1Co8GWCan0b9hM0x3HzxOEuCq8mijYEr9+2hlyCbJihWv5ypwKO/kfwCc2WuNbuH+wt5/g==" saltValue="cj+Z2FuDRRGo1l6kTtgnT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3" t="s">
        <v>116</v>
      </c>
      <c r="E1" s="593"/>
      <c r="F1" s="593"/>
      <c r="G1" s="593"/>
      <c r="H1" s="593"/>
      <c r="I1" s="593"/>
      <c r="J1" s="593"/>
      <c r="K1" s="593"/>
      <c r="L1" s="593"/>
      <c r="M1" s="593"/>
    </row>
    <row r="2" spans="1:18" ht="23.25" customHeight="1" x14ac:dyDescent="0.3">
      <c r="C2" s="241"/>
      <c r="D2" s="241" t="s">
        <v>320</v>
      </c>
      <c r="E2" s="241"/>
      <c r="F2" s="241"/>
      <c r="G2" s="241"/>
      <c r="H2" s="241"/>
      <c r="I2" s="241"/>
      <c r="J2" s="241"/>
      <c r="K2" s="241"/>
      <c r="L2" s="241"/>
      <c r="M2" s="241"/>
    </row>
    <row r="3" spans="1:18" ht="23.25" x14ac:dyDescent="0.35">
      <c r="C3" s="594"/>
      <c r="D3" s="594"/>
      <c r="E3" s="594"/>
      <c r="F3" s="594"/>
      <c r="G3" s="594"/>
      <c r="H3" s="594"/>
      <c r="I3" s="594"/>
      <c r="J3" s="594"/>
      <c r="K3" s="594"/>
      <c r="L3" s="594"/>
      <c r="M3" s="594"/>
    </row>
    <row r="4" spans="1:18" ht="23.25" x14ac:dyDescent="0.35">
      <c r="C4" s="225"/>
      <c r="D4" s="225"/>
      <c r="E4" s="225"/>
      <c r="F4" s="225"/>
      <c r="G4" s="225"/>
      <c r="H4" s="225"/>
      <c r="I4" s="225"/>
      <c r="J4" s="225"/>
      <c r="K4" s="225"/>
      <c r="L4" s="225"/>
      <c r="M4" s="225"/>
    </row>
    <row r="5" spans="1:18" ht="23.25" x14ac:dyDescent="0.35">
      <c r="C5" s="611" t="s">
        <v>6</v>
      </c>
      <c r="D5" s="611"/>
      <c r="E5" s="611"/>
      <c r="F5" s="611"/>
      <c r="G5" s="611"/>
      <c r="H5" s="611"/>
      <c r="I5" s="611"/>
      <c r="J5" s="611"/>
      <c r="K5" s="611"/>
      <c r="L5" s="611"/>
      <c r="M5" s="611"/>
    </row>
    <row r="6" spans="1:18" ht="23.25" x14ac:dyDescent="0.35">
      <c r="C6" s="226"/>
      <c r="D6" s="226"/>
      <c r="E6" s="577" t="str">
        <f>IFERROR(CONCATENATE("Report Number: ", WorkItemNumber),"")</f>
        <v/>
      </c>
      <c r="F6" s="577"/>
      <c r="G6" s="577"/>
      <c r="H6" s="577"/>
      <c r="I6" s="577"/>
      <c r="J6" s="577"/>
      <c r="K6" s="577"/>
      <c r="L6" s="226"/>
      <c r="M6" s="226"/>
    </row>
    <row r="7" spans="1:18" ht="18.75" customHeight="1" x14ac:dyDescent="0.3">
      <c r="G7" s="589"/>
      <c r="H7" s="589"/>
      <c r="I7" s="200"/>
      <c r="R7" t="str">
        <f>CONCATENATE("Page ",Main!L9," of ",Main!L10)</f>
        <v xml:space="preserve">Page  of </v>
      </c>
    </row>
    <row r="8" spans="1:18" ht="18" customHeight="1" x14ac:dyDescent="0.25">
      <c r="G8" s="606"/>
      <c r="H8" s="606"/>
      <c r="J8" s="81"/>
      <c r="K8" s="227" t="s">
        <v>317</v>
      </c>
      <c r="L8" s="590">
        <f>FormNumber</f>
        <v>0</v>
      </c>
      <c r="M8" s="590"/>
      <c r="N8" s="590"/>
      <c r="O8" s="590"/>
    </row>
    <row r="9" spans="1:18" ht="18" customHeight="1" x14ac:dyDescent="0.25">
      <c r="A9" s="227" t="s">
        <v>274</v>
      </c>
      <c r="B9" s="34" t="e">
        <f>Main!D5</f>
        <v>#N/A</v>
      </c>
      <c r="J9" s="81"/>
      <c r="K9" s="227" t="s">
        <v>318</v>
      </c>
      <c r="L9" s="591" t="str">
        <f>"JGI WP4100, "&amp;CalMethod</f>
        <v xml:space="preserve">JGI WP4100, </v>
      </c>
      <c r="M9" s="591"/>
      <c r="N9" s="591"/>
      <c r="O9" s="591"/>
    </row>
    <row r="10" spans="1:18" ht="18" customHeight="1" x14ac:dyDescent="0.25">
      <c r="A10" s="89"/>
      <c r="B10" s="222" t="str" cm="1">
        <f t="array" ref="B10">IFZERO('Customer Table'!R2,"")</f>
        <v/>
      </c>
      <c r="J10" s="81"/>
      <c r="K10" s="227"/>
      <c r="L10" s="591"/>
      <c r="M10" s="591"/>
      <c r="N10" s="591"/>
      <c r="O10" s="591"/>
    </row>
    <row r="11" spans="1:18" ht="18" customHeight="1" x14ac:dyDescent="0.25">
      <c r="A11" s="89"/>
      <c r="B11" s="222" t="str" cm="1">
        <f t="array" ref="B11">IFZERO('Customer Table'!S2,"")</f>
        <v/>
      </c>
      <c r="J11" s="81"/>
      <c r="K11" s="227" t="s">
        <v>319</v>
      </c>
      <c r="L11" s="590">
        <f>TolSource</f>
        <v>0</v>
      </c>
      <c r="M11" s="590"/>
      <c r="N11" s="590"/>
      <c r="O11" s="590"/>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8">
        <f>SerialNumber</f>
        <v>0</v>
      </c>
      <c r="C16" s="608"/>
      <c r="D16" s="608"/>
      <c r="E16" s="608"/>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597">
        <f>Class</f>
        <v>0</v>
      </c>
      <c r="C18" s="597"/>
      <c r="D18" s="597"/>
      <c r="E18" s="597"/>
      <c r="G18" s="227" t="s">
        <v>284</v>
      </c>
      <c r="H18" s="231">
        <f>CubicFeet</f>
        <v>0</v>
      </c>
      <c r="M18" s="227" t="s">
        <v>288</v>
      </c>
      <c r="N18" s="231" t="str">
        <f>Main!G18</f>
        <v>ACCEPTED</v>
      </c>
      <c r="O18" s="206"/>
    </row>
    <row r="19" spans="1:19" ht="18" customHeight="1" x14ac:dyDescent="0.25">
      <c r="A19" s="217"/>
      <c r="B19" s="598"/>
      <c r="C19" s="598"/>
      <c r="D19" s="598"/>
      <c r="E19" s="598"/>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09">
        <f>Controller</f>
        <v>0</v>
      </c>
      <c r="C21" s="609"/>
      <c r="D21" s="609"/>
      <c r="E21" s="609"/>
      <c r="F21" s="218" t="s">
        <v>291</v>
      </c>
      <c r="G21" s="609">
        <f>ContSN</f>
        <v>0</v>
      </c>
      <c r="H21" s="609"/>
      <c r="I21" s="609"/>
      <c r="J21" s="218" t="s">
        <v>292</v>
      </c>
      <c r="K21" s="230">
        <f>ContTol</f>
        <v>0</v>
      </c>
      <c r="L21" s="204"/>
      <c r="M21" s="218" t="s">
        <v>293</v>
      </c>
      <c r="N21" s="243" t="str">
        <f>Main!G27</f>
        <v/>
      </c>
      <c r="O21" s="205"/>
    </row>
    <row r="22" spans="1:19" ht="18" customHeight="1" x14ac:dyDescent="0.25">
      <c r="A22" s="236" t="s">
        <v>290</v>
      </c>
      <c r="B22" s="610">
        <f>_xlnm.Recorder</f>
        <v>0</v>
      </c>
      <c r="C22" s="610"/>
      <c r="D22" s="610"/>
      <c r="E22" s="610"/>
      <c r="F22" s="219" t="s">
        <v>291</v>
      </c>
      <c r="G22" s="610">
        <f>RecSN</f>
        <v>0</v>
      </c>
      <c r="H22" s="610"/>
      <c r="I22" s="610"/>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600" t="str">
        <f>CONCATENATE(Main!D22,Unit," / ",Main!D23,"% RH")</f>
        <v>°F / % RH</v>
      </c>
      <c r="E30" s="601"/>
      <c r="F30" s="601"/>
      <c r="G30" s="602"/>
      <c r="H30" s="600">
        <f>OvenLocation</f>
        <v>0</v>
      </c>
      <c r="I30" s="601"/>
      <c r="J30" s="601"/>
      <c r="K30" s="602"/>
      <c r="L30" s="600">
        <f>Condition</f>
        <v>0</v>
      </c>
      <c r="M30" s="601"/>
      <c r="N30" s="601"/>
      <c r="O30" s="602"/>
    </row>
    <row r="31" spans="1:19" ht="18" customHeight="1" x14ac:dyDescent="0.2"/>
    <row r="32" spans="1:19" ht="18" customHeight="1" x14ac:dyDescent="0.25">
      <c r="A32" s="246" t="s">
        <v>304</v>
      </c>
      <c r="B32" s="592" t="s">
        <v>305</v>
      </c>
      <c r="C32" s="592"/>
      <c r="D32" s="246" t="s">
        <v>268</v>
      </c>
      <c r="E32" s="246" t="s">
        <v>267</v>
      </c>
      <c r="F32" s="246" t="s">
        <v>306</v>
      </c>
      <c r="G32" s="81"/>
      <c r="H32" s="81"/>
      <c r="I32" s="246" t="s">
        <v>304</v>
      </c>
      <c r="J32" s="592" t="s">
        <v>305</v>
      </c>
      <c r="K32" s="592"/>
      <c r="L32" s="246" t="s">
        <v>268</v>
      </c>
      <c r="M32" s="246" t="s">
        <v>267</v>
      </c>
      <c r="N32" s="246" t="s">
        <v>306</v>
      </c>
    </row>
    <row r="33" spans="1:14" ht="18" customHeight="1" x14ac:dyDescent="0.2">
      <c r="A33" s="247" t="str">
        <f>IF(B33="","",1)</f>
        <v/>
      </c>
      <c r="B33" s="589" t="str">
        <f>IF(Main!O5="","",Main!O5)</f>
        <v/>
      </c>
      <c r="C33" s="589"/>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9" t="str">
        <f>IF(Main!O25="","",Main!O25)</f>
        <v/>
      </c>
      <c r="K33" s="589"/>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9" t="str">
        <f>IF(Main!O6="","",Main!O6)</f>
        <v/>
      </c>
      <c r="C34" s="589"/>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9" t="str">
        <f>IF(Main!O26="","",Main!O26)</f>
        <v/>
      </c>
      <c r="K34" s="589"/>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9" t="str">
        <f>IF(Main!O7="","",Main!O7)</f>
        <v/>
      </c>
      <c r="C35" s="589"/>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9" t="str">
        <f>IF(Main!O27="","",Main!O27)</f>
        <v/>
      </c>
      <c r="K35" s="589"/>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9" t="str">
        <f>IF(Main!O8="","",Main!O8)</f>
        <v/>
      </c>
      <c r="C36" s="589"/>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9" t="str">
        <f>IF(Main!O28="","",Main!O28)</f>
        <v/>
      </c>
      <c r="K36" s="589"/>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9" t="str">
        <f>IF(Main!O9="","",Main!O9)</f>
        <v/>
      </c>
      <c r="C37" s="589"/>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9" t="str">
        <f>IF(Main!O29="","",Main!O29)</f>
        <v/>
      </c>
      <c r="K37" s="589"/>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9" t="str">
        <f>IF(Main!O10="","",Main!O10)</f>
        <v/>
      </c>
      <c r="C38" s="589"/>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9" t="str">
        <f>IF(Main!O30="","",Main!O30)</f>
        <v/>
      </c>
      <c r="K38" s="589"/>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9" t="str">
        <f>IF(Main!O11="","",Main!O11)</f>
        <v/>
      </c>
      <c r="C39" s="589"/>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9" t="str">
        <f>IF(Main!O31="","",Main!O31)</f>
        <v/>
      </c>
      <c r="K39" s="589"/>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9" t="str">
        <f>IF(Main!O12="","",Main!O12)</f>
        <v/>
      </c>
      <c r="C40" s="589"/>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9" t="str">
        <f>IF(Main!O32="","",Main!O32)</f>
        <v/>
      </c>
      <c r="K40" s="589"/>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9" t="str">
        <f>IF(Main!O13="","",Main!O13)</f>
        <v/>
      </c>
      <c r="C41" s="589"/>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9" t="str">
        <f>IF(Main!O33="","",Main!O33)</f>
        <v/>
      </c>
      <c r="K41" s="589"/>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9" t="str">
        <f>IF(Main!O14="","",Main!O14)</f>
        <v/>
      </c>
      <c r="C42" s="589"/>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9" t="str">
        <f>IF(Main!O34="","",Main!O34)</f>
        <v/>
      </c>
      <c r="K42" s="589"/>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9" t="str">
        <f>IF(Main!O15="","",Main!O15)</f>
        <v/>
      </c>
      <c r="C43" s="589"/>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9" t="str">
        <f>IF(Main!O35="","",Main!O35)</f>
        <v/>
      </c>
      <c r="K43" s="589"/>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9" t="str">
        <f>IF(Main!O16="","",Main!O16)</f>
        <v/>
      </c>
      <c r="C44" s="589"/>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9" t="str">
        <f>IF(Main!O36="","",Main!O36)</f>
        <v/>
      </c>
      <c r="K44" s="589"/>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9" t="str">
        <f>IF(Main!O17="","",Main!O17)</f>
        <v/>
      </c>
      <c r="C45" s="589"/>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9" t="str">
        <f>IF(Main!O37="","",Main!O37)</f>
        <v/>
      </c>
      <c r="K45" s="589"/>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9" t="str">
        <f>IF(Main!O18="","",Main!O18)</f>
        <v/>
      </c>
      <c r="C46" s="589"/>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9" t="str">
        <f>IF(Main!O38="","",Main!O38)</f>
        <v/>
      </c>
      <c r="K46" s="589"/>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9" t="str">
        <f>IF(Main!O19="","",Main!O19)</f>
        <v/>
      </c>
      <c r="C47" s="589"/>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9" t="str">
        <f>IF(Main!O39="","",Main!O39)</f>
        <v/>
      </c>
      <c r="K47" s="589"/>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9" t="str">
        <f>IF(Main!O20="","",Main!O20)</f>
        <v/>
      </c>
      <c r="C48" s="589"/>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9" t="str">
        <f>IF(Main!O40="","",Main!O40)</f>
        <v/>
      </c>
      <c r="K48" s="589"/>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89" t="str">
        <f>IF(Main!O21="","",Main!O21)</f>
        <v/>
      </c>
      <c r="C49" s="589"/>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9" t="str">
        <f>IF(Main!O41="","",Main!O41)</f>
        <v/>
      </c>
      <c r="K49" s="589"/>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89" t="str">
        <f>IF(Main!O22="","",Main!O22)</f>
        <v/>
      </c>
      <c r="C50" s="589"/>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9" t="str">
        <f>IF(Main!O42="","",Main!O42)</f>
        <v/>
      </c>
      <c r="K50" s="589"/>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89" t="str">
        <f>IF(Main!O23="","",Main!O23)</f>
        <v/>
      </c>
      <c r="C51" s="589"/>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9" t="str">
        <f>IF(Main!O43="","",Main!O43)</f>
        <v/>
      </c>
      <c r="K51" s="589"/>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89" t="str">
        <f>IF(Main!O24="","",Main!O24)</f>
        <v/>
      </c>
      <c r="C52" s="589"/>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9" t="str">
        <f>IF(Main!O44="","",Main!O44)</f>
        <v/>
      </c>
      <c r="K52" s="589"/>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6" t="s">
        <v>307</v>
      </c>
      <c r="C53" s="596"/>
      <c r="D53" s="596"/>
      <c r="E53" s="596"/>
      <c r="F53" s="596"/>
      <c r="G53" s="596"/>
      <c r="H53" s="596"/>
      <c r="I53" s="596"/>
      <c r="J53" s="596"/>
      <c r="K53" s="596"/>
      <c r="L53" s="596"/>
      <c r="M53" s="596"/>
      <c r="N53" s="596"/>
    </row>
    <row r="54" spans="1:20" ht="18" customHeight="1" x14ac:dyDescent="0.25">
      <c r="A54" s="249" t="s">
        <v>308</v>
      </c>
      <c r="B54" s="591" t="str">
        <f>CONCATENATE(Main!G23,"  ",FurnaceSpecificComments,Main!V24)</f>
        <v xml:space="preserve">Found in tolerance.  No adjustment required.  </v>
      </c>
      <c r="C54" s="591"/>
      <c r="D54" s="591"/>
      <c r="E54" s="591"/>
      <c r="F54" s="591"/>
      <c r="G54" s="591"/>
      <c r="H54" s="591"/>
      <c r="I54" s="591"/>
      <c r="J54" s="591"/>
      <c r="K54" s="591"/>
      <c r="L54" s="591"/>
      <c r="M54" s="591"/>
      <c r="N54" s="591"/>
      <c r="O54" s="591"/>
    </row>
    <row r="55" spans="1:20" ht="18" customHeight="1" x14ac:dyDescent="0.25">
      <c r="A55" s="78"/>
      <c r="B55" s="591"/>
      <c r="C55" s="591"/>
      <c r="D55" s="591"/>
      <c r="E55" s="591"/>
      <c r="F55" s="591"/>
      <c r="G55" s="591"/>
      <c r="H55" s="591"/>
      <c r="I55" s="591"/>
      <c r="J55" s="591"/>
      <c r="K55" s="591"/>
      <c r="L55" s="591"/>
      <c r="M55" s="591"/>
      <c r="N55" s="591"/>
      <c r="O55" s="591"/>
    </row>
    <row r="56" spans="1:20" ht="18" customHeight="1" x14ac:dyDescent="0.25">
      <c r="A56" s="78"/>
      <c r="B56" s="591"/>
      <c r="C56" s="591"/>
      <c r="D56" s="591"/>
      <c r="E56" s="591"/>
      <c r="F56" s="591"/>
      <c r="G56" s="591"/>
      <c r="H56" s="591"/>
      <c r="I56" s="591"/>
      <c r="J56" s="591"/>
      <c r="K56" s="591"/>
      <c r="L56" s="591"/>
      <c r="M56" s="591"/>
      <c r="N56" s="591"/>
      <c r="O56" s="591"/>
    </row>
    <row r="57" spans="1:20" ht="18" customHeight="1" x14ac:dyDescent="0.25">
      <c r="A57" s="78"/>
      <c r="B57" s="591"/>
      <c r="C57" s="591"/>
      <c r="D57" s="591"/>
      <c r="E57" s="591"/>
      <c r="F57" s="591"/>
      <c r="G57" s="591"/>
      <c r="H57" s="591"/>
      <c r="I57" s="591"/>
      <c r="J57" s="591"/>
      <c r="K57" s="591"/>
      <c r="L57" s="591"/>
      <c r="M57" s="591"/>
      <c r="N57" s="591"/>
      <c r="O57" s="591"/>
    </row>
    <row r="58" spans="1:20" ht="18" customHeight="1" x14ac:dyDescent="0.25">
      <c r="A58" s="78"/>
      <c r="B58" s="591"/>
      <c r="C58" s="591"/>
      <c r="D58" s="591"/>
      <c r="E58" s="591"/>
      <c r="F58" s="591"/>
      <c r="G58" s="591"/>
      <c r="H58" s="591"/>
      <c r="I58" s="591"/>
      <c r="J58" s="591"/>
      <c r="K58" s="591"/>
      <c r="L58" s="591"/>
      <c r="M58" s="591"/>
      <c r="N58" s="591"/>
      <c r="O58" s="591"/>
    </row>
    <row r="59" spans="1:20" ht="18" customHeight="1" x14ac:dyDescent="0.25">
      <c r="A59" s="78"/>
      <c r="B59" s="591"/>
      <c r="C59" s="591"/>
      <c r="D59" s="591"/>
      <c r="E59" s="591"/>
      <c r="F59" s="591"/>
      <c r="G59" s="591"/>
      <c r="H59" s="591"/>
      <c r="I59" s="591"/>
      <c r="J59" s="591"/>
      <c r="K59" s="591"/>
      <c r="L59" s="591"/>
      <c r="M59" s="591"/>
      <c r="N59" s="591"/>
      <c r="O59" s="591"/>
    </row>
    <row r="60" spans="1:20" ht="18" customHeight="1" x14ac:dyDescent="0.2">
      <c r="A60" s="595" t="s">
        <v>316</v>
      </c>
      <c r="B60" s="595"/>
      <c r="C60" s="595"/>
      <c r="D60" s="595"/>
      <c r="E60" s="595"/>
      <c r="F60" s="595"/>
      <c r="G60" s="595"/>
      <c r="H60" s="595"/>
      <c r="I60" s="595"/>
      <c r="J60" s="595"/>
      <c r="K60" s="595"/>
      <c r="L60" s="595"/>
      <c r="M60" s="595"/>
      <c r="N60" s="595"/>
      <c r="O60" s="595"/>
    </row>
    <row r="61" spans="1:20" ht="18" customHeight="1" x14ac:dyDescent="0.2">
      <c r="A61" s="599" t="s">
        <v>309</v>
      </c>
      <c r="B61" s="599"/>
      <c r="C61" s="599"/>
      <c r="D61" s="599"/>
      <c r="E61" s="599"/>
      <c r="F61" s="588" t="s">
        <v>310</v>
      </c>
      <c r="G61" s="588"/>
      <c r="H61" s="588"/>
      <c r="I61" s="588" t="s">
        <v>311</v>
      </c>
      <c r="J61" s="588"/>
      <c r="K61" s="588" t="s">
        <v>312</v>
      </c>
      <c r="L61" s="588"/>
      <c r="M61" s="588" t="s">
        <v>313</v>
      </c>
      <c r="N61" s="588"/>
      <c r="O61" s="588"/>
      <c r="R61" s="39" t="s">
        <v>853</v>
      </c>
      <c r="T61" s="39" t="s">
        <v>854</v>
      </c>
    </row>
    <row r="62" spans="1:20" ht="18" customHeight="1" x14ac:dyDescent="0.2">
      <c r="A62" s="578" t="str">
        <f>IF(F62="","",CONCATENATE(T62," - ",R62))</f>
        <v/>
      </c>
      <c r="B62" s="579"/>
      <c r="C62" s="579"/>
      <c r="D62" s="579"/>
      <c r="E62" s="580"/>
      <c r="F62" s="578" t="str" cm="1">
        <f t="array" ref="F62">IFERROR(
  _xlfn.XLOOKUP(
    Main!D9,
    _xlfn._xlws.FILTER(AssetPool[AssetTag], AssetPool[RootCategoryName]= "DAQ Modules"),
    _xlfn._xlws.FILTER(AssetPool[SerialNumber], AssetPool[RootCategoryName]= "DAQ Modules")
  ),
  ""
)</f>
        <v/>
      </c>
      <c r="G62" s="579"/>
      <c r="H62" s="580"/>
      <c r="I62" s="584" t="str">
        <f>IF(F62="","",Main!D12)</f>
        <v/>
      </c>
      <c r="J62" s="585"/>
      <c r="K62" s="584" t="str">
        <f>IF(F62="","",Main!D13)</f>
        <v/>
      </c>
      <c r="L62" s="585"/>
      <c r="M62" s="612" t="str">
        <f>IF(F62="","",REPLACE(Main!D14,3,1,""))</f>
        <v/>
      </c>
      <c r="N62" s="613"/>
      <c r="O62" s="614"/>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81" t="str">
        <f t="shared" ref="A63:A68" si="0">IF(Q63="","",CONCATENATE(T63," - ",R63))</f>
        <v/>
      </c>
      <c r="B63" s="582"/>
      <c r="C63" s="582"/>
      <c r="D63" s="582"/>
      <c r="E63" s="583"/>
      <c r="F63" s="581" t="str">
        <f>IF(Main!D48="","",Main!D48)</f>
        <v/>
      </c>
      <c r="G63" s="582"/>
      <c r="H63" s="583"/>
      <c r="I63" s="586" t="str">
        <f>IF(Q63="","",Main!D49)</f>
        <v/>
      </c>
      <c r="J63" s="587"/>
      <c r="K63" s="586" t="str">
        <f>IF(Q63="","",Main!D50)</f>
        <v/>
      </c>
      <c r="L63" s="587"/>
      <c r="M63" s="581" t="str">
        <f>IF(Q63="","",Main!D54)</f>
        <v/>
      </c>
      <c r="N63" s="582"/>
      <c r="O63" s="583"/>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81" t="str">
        <f t="shared" si="0"/>
        <v/>
      </c>
      <c r="B64" s="582"/>
      <c r="C64" s="582"/>
      <c r="D64" s="582"/>
      <c r="E64" s="583"/>
      <c r="F64" s="581" t="str">
        <f>IF(Main!E48="","",Main!E48)</f>
        <v/>
      </c>
      <c r="G64" s="582"/>
      <c r="H64" s="583"/>
      <c r="I64" s="586" t="str">
        <f>IF(Q64="","",Main!E49)</f>
        <v/>
      </c>
      <c r="J64" s="587"/>
      <c r="K64" s="586" t="str">
        <f>IF(Q64="","",Main!E50)</f>
        <v/>
      </c>
      <c r="L64" s="587"/>
      <c r="M64" s="581" t="str">
        <f>IF(Q64="","",Main!E54)</f>
        <v/>
      </c>
      <c r="N64" s="582"/>
      <c r="O64" s="583"/>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81" t="str">
        <f t="shared" si="0"/>
        <v/>
      </c>
      <c r="B65" s="582"/>
      <c r="C65" s="582"/>
      <c r="D65" s="582"/>
      <c r="E65" s="583"/>
      <c r="F65" s="581" t="str">
        <f>IF(Main!F48="","",Main!F48)</f>
        <v/>
      </c>
      <c r="G65" s="582"/>
      <c r="H65" s="583"/>
      <c r="I65" s="586" t="str">
        <f>IF(Q65="","",Main!F49)</f>
        <v/>
      </c>
      <c r="J65" s="587"/>
      <c r="K65" s="586" t="str">
        <f>IF(Q65="","",Main!F50)</f>
        <v/>
      </c>
      <c r="L65" s="587"/>
      <c r="M65" s="581" t="str">
        <f>IF(Q65="","",Main!F54)</f>
        <v/>
      </c>
      <c r="N65" s="582"/>
      <c r="O65" s="583"/>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81" t="str">
        <f t="shared" si="0"/>
        <v/>
      </c>
      <c r="B66" s="582"/>
      <c r="C66" s="582"/>
      <c r="D66" s="582"/>
      <c r="E66" s="583"/>
      <c r="F66" s="581" t="str">
        <f>IF(Main!G48="","",Main!G48)</f>
        <v/>
      </c>
      <c r="G66" s="582"/>
      <c r="H66" s="583"/>
      <c r="I66" s="586" t="str">
        <f>IF(Q66="","",Main!G49)</f>
        <v/>
      </c>
      <c r="J66" s="587"/>
      <c r="K66" s="586" t="str">
        <f>IF(Q66="","",Main!G50)</f>
        <v/>
      </c>
      <c r="L66" s="587"/>
      <c r="M66" s="581" t="str">
        <f>IF(Q66="","",Main!G54)</f>
        <v/>
      </c>
      <c r="N66" s="582"/>
      <c r="O66" s="583"/>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81" t="str">
        <f t="shared" si="0"/>
        <v/>
      </c>
      <c r="B67" s="582"/>
      <c r="C67" s="582"/>
      <c r="D67" s="582"/>
      <c r="E67" s="583"/>
      <c r="F67" s="581" t="str">
        <f>IF(Main!H48="","",Main!H48)</f>
        <v/>
      </c>
      <c r="G67" s="582"/>
      <c r="H67" s="583"/>
      <c r="I67" s="586" t="str">
        <f>IF(Q67="","",Main!H49)</f>
        <v/>
      </c>
      <c r="J67" s="587"/>
      <c r="K67" s="586" t="str">
        <f>IF(Q67="","",Main!H50)</f>
        <v/>
      </c>
      <c r="L67" s="587"/>
      <c r="M67" s="581" t="str">
        <f>IF(Q67="","",Main!H54)</f>
        <v/>
      </c>
      <c r="N67" s="582"/>
      <c r="O67" s="583"/>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81" t="str">
        <f t="shared" si="0"/>
        <v/>
      </c>
      <c r="B68" s="582"/>
      <c r="C68" s="582"/>
      <c r="D68" s="582"/>
      <c r="E68" s="583"/>
      <c r="F68" s="581" t="str">
        <f>IF(Main!I48="","",Main!I48)</f>
        <v/>
      </c>
      <c r="G68" s="582"/>
      <c r="H68" s="583"/>
      <c r="I68" s="586" t="str">
        <f>IF(Q68="","",Main!I49)</f>
        <v/>
      </c>
      <c r="J68" s="587"/>
      <c r="K68" s="586" t="str">
        <f>IF(Q68="","",Main!I50)</f>
        <v/>
      </c>
      <c r="L68" s="587"/>
      <c r="M68" s="581" t="str">
        <f>IF(Q68="","",Main!I54)</f>
        <v/>
      </c>
      <c r="N68" s="582"/>
      <c r="O68" s="583"/>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600" t="str">
        <f>IF(T69="","",CONCATENATE(T69," - ",R69))</f>
        <v/>
      </c>
      <c r="B69" s="601"/>
      <c r="C69" s="601"/>
      <c r="D69" s="601"/>
      <c r="E69" s="602"/>
      <c r="F69" s="600" t="str">
        <f>IF(Main!J48="","",Main!J48)</f>
        <v/>
      </c>
      <c r="G69" s="601"/>
      <c r="H69" s="602"/>
      <c r="I69" s="615" t="str">
        <f>IF(Q69="","",Main!J49)</f>
        <v/>
      </c>
      <c r="J69" s="616"/>
      <c r="K69" s="615" t="str">
        <f>IF(Q69="","",Main!J50)</f>
        <v/>
      </c>
      <c r="L69" s="616"/>
      <c r="M69" s="600" t="str">
        <f>IF(Q69="","",Main!J54)</f>
        <v/>
      </c>
      <c r="N69" s="601"/>
      <c r="O69" s="602"/>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76" t="s">
        <v>968</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c r="A74" s="576"/>
      <c r="B74" s="576"/>
      <c r="C74" s="576"/>
      <c r="D74" s="576"/>
      <c r="E74" s="576"/>
      <c r="F74" s="576"/>
      <c r="G74" s="576"/>
      <c r="H74" s="576"/>
      <c r="I74" s="576"/>
      <c r="J74" s="576"/>
      <c r="K74" s="576"/>
      <c r="L74" s="576"/>
      <c r="M74" s="576"/>
      <c r="N74" s="576"/>
      <c r="O74" s="576"/>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SVL4cqmdUzFMP6utTOuaPhCLCTIWiJNpkPj2hQy0JA0HZX0LegGm4iuDR4yqk/7r5CAiDMyTOUK6WP54nbG1xA==" saltValue="EYcS/qq4VFTOH6RCuQMVv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J243"/>
      <c r="K243"/>
      <c r="L243"/>
      <c r="M243"/>
      <c r="N243"/>
      <c r="O243"/>
    </row>
    <row r="244" spans="1:15" x14ac:dyDescent="0.2">
      <c r="A244"/>
      <c r="B244"/>
      <c r="C244"/>
      <c r="F244"/>
      <c r="G244"/>
      <c r="M244"/>
      <c r="N244"/>
      <c r="O244"/>
    </row>
    <row r="245" spans="1:15" x14ac:dyDescent="0.2">
      <c r="A245"/>
      <c r="B245"/>
      <c r="C245"/>
      <c r="F245"/>
      <c r="G245"/>
      <c r="H245"/>
      <c r="I245"/>
      <c r="L245"/>
      <c r="M245"/>
      <c r="N245"/>
      <c r="O245"/>
    </row>
    <row r="246" spans="1:15" x14ac:dyDescent="0.2">
      <c r="A246"/>
      <c r="B246"/>
      <c r="C246"/>
      <c r="F246"/>
      <c r="G246"/>
      <c r="L246"/>
      <c r="M246"/>
      <c r="N246"/>
      <c r="O246"/>
    </row>
    <row r="247" spans="1:15" x14ac:dyDescent="0.2">
      <c r="A247"/>
      <c r="B247"/>
      <c r="C247"/>
      <c r="F247"/>
      <c r="G247"/>
      <c r="H247"/>
      <c r="I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J250"/>
      <c r="K250"/>
      <c r="L250"/>
      <c r="M250"/>
      <c r="N250"/>
      <c r="O250"/>
    </row>
    <row r="251" spans="1:15" x14ac:dyDescent="0.2">
      <c r="A251"/>
      <c r="B251"/>
      <c r="C251"/>
      <c r="F251"/>
      <c r="G251"/>
      <c r="L251"/>
      <c r="M251"/>
      <c r="N251"/>
      <c r="O251"/>
    </row>
    <row r="252" spans="1:15" x14ac:dyDescent="0.2">
      <c r="A252"/>
      <c r="B252"/>
      <c r="C252"/>
      <c r="F252"/>
      <c r="G252"/>
      <c r="I252"/>
      <c r="L252"/>
      <c r="M252"/>
      <c r="N252"/>
      <c r="O252"/>
    </row>
    <row r="253" spans="1:15" x14ac:dyDescent="0.2">
      <c r="A253"/>
      <c r="B253"/>
      <c r="C253"/>
      <c r="F253"/>
      <c r="G253"/>
      <c r="H253"/>
      <c r="I253"/>
      <c r="L253"/>
      <c r="N253"/>
      <c r="O253"/>
    </row>
    <row r="254" spans="1:15" x14ac:dyDescent="0.2">
      <c r="A254"/>
      <c r="B254"/>
      <c r="C254"/>
      <c r="F254"/>
      <c r="G254"/>
      <c r="H254"/>
      <c r="J254"/>
      <c r="K254"/>
      <c r="L254"/>
      <c r="M254"/>
      <c r="N254"/>
      <c r="O254"/>
    </row>
    <row r="255" spans="1:15" x14ac:dyDescent="0.2">
      <c r="A255"/>
      <c r="B255"/>
      <c r="C255"/>
      <c r="F255"/>
      <c r="G255"/>
      <c r="L255"/>
      <c r="M255"/>
      <c r="N255"/>
      <c r="O255"/>
    </row>
    <row r="256" spans="1:15" x14ac:dyDescent="0.2">
      <c r="A256"/>
      <c r="B256"/>
      <c r="C256"/>
      <c r="F256"/>
      <c r="G256"/>
      <c r="H256"/>
      <c r="I256"/>
      <c r="L256"/>
      <c r="M256"/>
      <c r="N256"/>
      <c r="O256"/>
    </row>
    <row r="257" spans="1:15" x14ac:dyDescent="0.2">
      <c r="A257"/>
      <c r="B257"/>
      <c r="C257"/>
      <c r="F257"/>
      <c r="G257"/>
      <c r="I257"/>
      <c r="L257"/>
      <c r="M257"/>
      <c r="N257"/>
      <c r="O257"/>
    </row>
    <row r="258" spans="1:15" x14ac:dyDescent="0.2">
      <c r="A258"/>
      <c r="B258"/>
      <c r="C258"/>
      <c r="F258"/>
      <c r="G258"/>
      <c r="H258"/>
      <c r="J258"/>
      <c r="K258"/>
      <c r="L258"/>
      <c r="M258"/>
      <c r="N258"/>
      <c r="O258"/>
    </row>
    <row r="259" spans="1:15" x14ac:dyDescent="0.2">
      <c r="A259"/>
      <c r="B259"/>
      <c r="C259"/>
      <c r="F259"/>
      <c r="G259"/>
      <c r="J259"/>
      <c r="L259"/>
      <c r="M259"/>
      <c r="N259"/>
      <c r="O259"/>
    </row>
    <row r="260" spans="1:15" x14ac:dyDescent="0.2">
      <c r="A260"/>
      <c r="B260"/>
      <c r="C260"/>
      <c r="F260"/>
      <c r="G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L265"/>
      <c r="M265"/>
      <c r="N265"/>
      <c r="O265"/>
    </row>
    <row r="266" spans="1:15" x14ac:dyDescent="0.2">
      <c r="A266"/>
      <c r="B266"/>
      <c r="C266"/>
      <c r="F266"/>
      <c r="G266"/>
      <c r="H266"/>
      <c r="I266"/>
      <c r="L266"/>
      <c r="M266"/>
      <c r="N266"/>
      <c r="O266"/>
    </row>
    <row r="267" spans="1:15" x14ac:dyDescent="0.2">
      <c r="A267"/>
      <c r="B267"/>
      <c r="C267"/>
      <c r="F267"/>
      <c r="G267"/>
      <c r="H267"/>
      <c r="I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I331"/>
      <c r="L331"/>
      <c r="M331"/>
      <c r="N331"/>
      <c r="O331"/>
    </row>
    <row r="332" spans="1:15" x14ac:dyDescent="0.2">
      <c r="A332"/>
      <c r="B332"/>
      <c r="C332"/>
      <c r="F332"/>
      <c r="G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N336"/>
      <c r="O336"/>
    </row>
    <row r="337" spans="1:15" x14ac:dyDescent="0.2">
      <c r="A337"/>
      <c r="B337"/>
      <c r="C337"/>
      <c r="F337"/>
      <c r="G337"/>
      <c r="H337"/>
      <c r="I337"/>
      <c r="L337"/>
      <c r="M337"/>
      <c r="N337"/>
      <c r="O337"/>
    </row>
    <row r="338" spans="1:15" x14ac:dyDescent="0.2">
      <c r="A338"/>
      <c r="B338"/>
      <c r="C338"/>
      <c r="F338"/>
      <c r="G338"/>
      <c r="J338"/>
      <c r="K338"/>
      <c r="L338"/>
      <c r="M338"/>
      <c r="N338"/>
      <c r="O338"/>
    </row>
    <row r="339" spans="1:15" x14ac:dyDescent="0.2">
      <c r="A339"/>
      <c r="B339"/>
      <c r="C339"/>
      <c r="F339"/>
      <c r="G339"/>
      <c r="H339"/>
      <c r="J339"/>
      <c r="K339"/>
      <c r="L339"/>
      <c r="M339"/>
      <c r="N339"/>
      <c r="O339"/>
    </row>
    <row r="340" spans="1:15" x14ac:dyDescent="0.2">
      <c r="A340"/>
      <c r="B340"/>
      <c r="C340"/>
      <c r="F340"/>
      <c r="G340"/>
      <c r="M340"/>
      <c r="N340"/>
      <c r="O340"/>
    </row>
    <row r="341" spans="1:15" x14ac:dyDescent="0.2">
      <c r="A341"/>
      <c r="B341"/>
      <c r="C341"/>
      <c r="F341"/>
      <c r="G341"/>
      <c r="H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J344"/>
      <c r="K344"/>
      <c r="L344"/>
      <c r="M344"/>
      <c r="N344"/>
      <c r="O344"/>
    </row>
    <row r="345" spans="1:15" x14ac:dyDescent="0.2">
      <c r="A345"/>
      <c r="B345"/>
      <c r="C345"/>
      <c r="F345"/>
      <c r="G345"/>
      <c r="M345"/>
      <c r="N345"/>
      <c r="O345"/>
    </row>
    <row r="346" spans="1:15" x14ac:dyDescent="0.2">
      <c r="A346"/>
      <c r="B346"/>
      <c r="C346"/>
      <c r="F346"/>
      <c r="G346"/>
      <c r="L346"/>
      <c r="M346"/>
      <c r="N346"/>
      <c r="O346"/>
    </row>
    <row r="347" spans="1:15" x14ac:dyDescent="0.2">
      <c r="A347"/>
      <c r="B347"/>
      <c r="C347"/>
      <c r="F347"/>
      <c r="G347"/>
      <c r="H347"/>
      <c r="I347"/>
      <c r="J347"/>
      <c r="K347"/>
      <c r="L347"/>
      <c r="M347"/>
      <c r="N347"/>
      <c r="O347"/>
    </row>
    <row r="348" spans="1:15" x14ac:dyDescent="0.2">
      <c r="A348"/>
      <c r="B348"/>
      <c r="C348"/>
      <c r="F348"/>
      <c r="G348"/>
      <c r="H348"/>
      <c r="I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I351"/>
      <c r="L351"/>
      <c r="M351"/>
      <c r="N351"/>
      <c r="O351"/>
    </row>
    <row r="352" spans="1:15" x14ac:dyDescent="0.2">
      <c r="A352"/>
      <c r="B352"/>
      <c r="C352"/>
      <c r="F352"/>
      <c r="G352"/>
      <c r="I352"/>
      <c r="L352"/>
      <c r="M352"/>
      <c r="N352"/>
      <c r="O352"/>
    </row>
    <row r="353" spans="1:15" x14ac:dyDescent="0.2">
      <c r="A353"/>
      <c r="B353"/>
      <c r="C353"/>
      <c r="F353"/>
      <c r="G353"/>
      <c r="J353"/>
      <c r="L353"/>
      <c r="M353"/>
      <c r="N353"/>
      <c r="O353"/>
    </row>
    <row r="354" spans="1:15" x14ac:dyDescent="0.2">
      <c r="A354"/>
      <c r="B354"/>
      <c r="C354"/>
      <c r="F354"/>
      <c r="G354"/>
      <c r="H354"/>
      <c r="I354"/>
      <c r="L354"/>
      <c r="M354"/>
      <c r="N354"/>
      <c r="O354"/>
    </row>
    <row r="355" spans="1:15" x14ac:dyDescent="0.2">
      <c r="A355"/>
      <c r="B355"/>
      <c r="C355"/>
      <c r="F355"/>
      <c r="G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M360"/>
      <c r="N360"/>
      <c r="O360"/>
    </row>
    <row r="361" spans="1:15" x14ac:dyDescent="0.2">
      <c r="A361"/>
      <c r="B361"/>
      <c r="C361"/>
      <c r="F361"/>
      <c r="G361"/>
      <c r="H361"/>
      <c r="I361"/>
      <c r="L361"/>
      <c r="M361"/>
      <c r="N361"/>
      <c r="O361"/>
    </row>
    <row r="362" spans="1:15" x14ac:dyDescent="0.2">
      <c r="A362"/>
      <c r="B362"/>
      <c r="C362"/>
      <c r="F362"/>
      <c r="G362"/>
      <c r="H362"/>
      <c r="I362"/>
      <c r="L362"/>
      <c r="M362"/>
      <c r="N362"/>
      <c r="O362"/>
    </row>
    <row r="363" spans="1:15" x14ac:dyDescent="0.2">
      <c r="A363"/>
      <c r="B363"/>
      <c r="C363"/>
      <c r="F363"/>
      <c r="G363"/>
      <c r="H363"/>
      <c r="I363"/>
      <c r="L363"/>
      <c r="N363"/>
      <c r="O363"/>
    </row>
    <row r="364" spans="1:15" x14ac:dyDescent="0.2">
      <c r="A364"/>
      <c r="B364"/>
      <c r="C364"/>
      <c r="F364"/>
      <c r="G364"/>
      <c r="H364"/>
      <c r="I364"/>
      <c r="L364"/>
      <c r="M364"/>
      <c r="N364"/>
      <c r="O364"/>
    </row>
    <row r="365" spans="1:15" x14ac:dyDescent="0.2">
      <c r="A365"/>
      <c r="B365"/>
      <c r="C365"/>
      <c r="F365"/>
      <c r="G365"/>
      <c r="L365"/>
      <c r="M365"/>
      <c r="N365"/>
      <c r="O365"/>
    </row>
    <row r="366" spans="1:15" x14ac:dyDescent="0.2">
      <c r="A366"/>
      <c r="B366"/>
      <c r="C366"/>
      <c r="F366"/>
      <c r="G366"/>
      <c r="I366"/>
      <c r="L366"/>
      <c r="M366"/>
      <c r="N366"/>
      <c r="O366"/>
    </row>
    <row r="367" spans="1:15" x14ac:dyDescent="0.2">
      <c r="A367"/>
      <c r="B367"/>
      <c r="C367"/>
      <c r="F367"/>
      <c r="G367"/>
      <c r="H367"/>
      <c r="I367"/>
      <c r="L367"/>
      <c r="N367"/>
      <c r="O367"/>
    </row>
    <row r="368" spans="1:15" x14ac:dyDescent="0.2">
      <c r="A368"/>
      <c r="B368"/>
      <c r="C368"/>
      <c r="F368"/>
      <c r="G368"/>
      <c r="I368"/>
      <c r="L368"/>
      <c r="M368"/>
      <c r="N368"/>
      <c r="O368"/>
    </row>
    <row r="369" spans="1:15" x14ac:dyDescent="0.2">
      <c r="A369"/>
      <c r="B369"/>
      <c r="C369"/>
      <c r="F369"/>
      <c r="G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I373"/>
      <c r="L373"/>
      <c r="M373"/>
      <c r="N373"/>
      <c r="O373"/>
    </row>
    <row r="374" spans="1:15" x14ac:dyDescent="0.2">
      <c r="A374"/>
      <c r="B374"/>
      <c r="C374"/>
      <c r="F374"/>
      <c r="G374"/>
      <c r="I374"/>
      <c r="L374"/>
      <c r="M374"/>
      <c r="N374"/>
      <c r="O374"/>
    </row>
    <row r="375" spans="1:15" x14ac:dyDescent="0.2">
      <c r="A375"/>
      <c r="B375"/>
      <c r="C375"/>
      <c r="F375"/>
      <c r="G375"/>
      <c r="L375"/>
      <c r="N375"/>
      <c r="O375"/>
    </row>
    <row r="376" spans="1:15" x14ac:dyDescent="0.2">
      <c r="A376"/>
      <c r="B376"/>
      <c r="C376"/>
      <c r="F376"/>
      <c r="G376"/>
      <c r="H376"/>
      <c r="I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L379"/>
      <c r="M379"/>
      <c r="N379"/>
      <c r="O379"/>
    </row>
    <row r="380" spans="1:15" x14ac:dyDescent="0.2">
      <c r="A380"/>
      <c r="B380"/>
      <c r="C380"/>
      <c r="F380"/>
      <c r="G380"/>
      <c r="J380"/>
      <c r="K380"/>
      <c r="L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M386"/>
      <c r="N386"/>
      <c r="O386"/>
    </row>
    <row r="387" spans="1:15" x14ac:dyDescent="0.2">
      <c r="A387"/>
      <c r="B387"/>
      <c r="C387"/>
      <c r="F387"/>
      <c r="G387"/>
      <c r="J387"/>
      <c r="K387"/>
      <c r="L387"/>
      <c r="M387"/>
      <c r="N387"/>
      <c r="O387"/>
    </row>
    <row r="388" spans="1:15" x14ac:dyDescent="0.2">
      <c r="A388"/>
      <c r="B388"/>
      <c r="C388"/>
      <c r="F388"/>
      <c r="G388"/>
      <c r="H388"/>
      <c r="I388"/>
      <c r="L388"/>
      <c r="M388"/>
      <c r="N388"/>
      <c r="O388"/>
    </row>
    <row r="389" spans="1:15" x14ac:dyDescent="0.2">
      <c r="A389"/>
      <c r="B389"/>
      <c r="C389"/>
      <c r="F389"/>
      <c r="G389"/>
      <c r="I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J392"/>
      <c r="K392"/>
      <c r="L392"/>
      <c r="M392"/>
      <c r="N392"/>
      <c r="O392"/>
    </row>
    <row r="393" spans="1:15" x14ac:dyDescent="0.2">
      <c r="A393"/>
      <c r="B393"/>
      <c r="C393"/>
      <c r="F393"/>
      <c r="G393"/>
      <c r="I393"/>
      <c r="L393"/>
      <c r="M393"/>
      <c r="N393"/>
      <c r="O393"/>
    </row>
    <row r="394" spans="1:15" x14ac:dyDescent="0.2">
      <c r="A394"/>
      <c r="B394"/>
      <c r="C394"/>
      <c r="F394"/>
      <c r="G394"/>
      <c r="H394"/>
      <c r="I394"/>
      <c r="L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M400"/>
      <c r="N400"/>
      <c r="O400"/>
    </row>
    <row r="401" spans="1:15" x14ac:dyDescent="0.2">
      <c r="A401"/>
      <c r="B401"/>
      <c r="C401"/>
      <c r="F401"/>
      <c r="G401"/>
      <c r="H401"/>
      <c r="J401"/>
      <c r="K401"/>
      <c r="L401"/>
      <c r="M401"/>
      <c r="N401"/>
      <c r="O401"/>
    </row>
    <row r="402" spans="1:15" x14ac:dyDescent="0.2">
      <c r="A402"/>
      <c r="B402"/>
      <c r="C402"/>
      <c r="F402"/>
      <c r="G402"/>
      <c r="H402"/>
      <c r="J402"/>
      <c r="K402"/>
      <c r="L402"/>
      <c r="M402"/>
      <c r="N402"/>
      <c r="O402"/>
    </row>
    <row r="403" spans="1:15" x14ac:dyDescent="0.2">
      <c r="A403"/>
      <c r="B403"/>
      <c r="C403"/>
      <c r="F403"/>
      <c r="G403"/>
      <c r="H403"/>
      <c r="L403"/>
      <c r="M403"/>
      <c r="N403"/>
      <c r="O403"/>
    </row>
    <row r="404" spans="1:15" x14ac:dyDescent="0.2">
      <c r="A404"/>
      <c r="B404"/>
      <c r="C404"/>
      <c r="F404"/>
      <c r="G404"/>
      <c r="J404"/>
      <c r="K404"/>
      <c r="L404"/>
      <c r="M404"/>
      <c r="N404"/>
      <c r="O404"/>
    </row>
    <row r="405" spans="1:15" x14ac:dyDescent="0.2">
      <c r="A405"/>
      <c r="B405"/>
      <c r="C405"/>
      <c r="F405"/>
      <c r="G405"/>
      <c r="H405"/>
      <c r="J405"/>
      <c r="K405"/>
      <c r="L405"/>
      <c r="M405"/>
      <c r="N405"/>
      <c r="O405"/>
    </row>
    <row r="406" spans="1:15" x14ac:dyDescent="0.2">
      <c r="A406"/>
      <c r="B406"/>
      <c r="C406"/>
      <c r="G406"/>
      <c r="M406"/>
      <c r="N406"/>
      <c r="O406"/>
    </row>
    <row r="407" spans="1:15" x14ac:dyDescent="0.2">
      <c r="A407"/>
      <c r="B407"/>
      <c r="C407"/>
      <c r="F407"/>
      <c r="G407"/>
      <c r="H407"/>
      <c r="J407"/>
      <c r="K407"/>
      <c r="L407"/>
      <c r="M407"/>
      <c r="N407"/>
      <c r="O407"/>
    </row>
    <row r="408" spans="1:15" x14ac:dyDescent="0.2">
      <c r="A408"/>
      <c r="B408"/>
      <c r="C408"/>
      <c r="F408"/>
      <c r="G408"/>
      <c r="H408"/>
      <c r="K408"/>
      <c r="L408"/>
      <c r="M408"/>
      <c r="N408"/>
      <c r="O408"/>
    </row>
    <row r="409" spans="1:15" x14ac:dyDescent="0.2">
      <c r="A409"/>
      <c r="B409"/>
      <c r="C409"/>
      <c r="F409"/>
      <c r="G409"/>
      <c r="H409"/>
      <c r="I409"/>
      <c r="L409"/>
      <c r="N409"/>
      <c r="O409"/>
    </row>
    <row r="410" spans="1:15" x14ac:dyDescent="0.2">
      <c r="A410"/>
      <c r="B410"/>
      <c r="C410"/>
      <c r="F410"/>
      <c r="G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M415"/>
      <c r="N415"/>
      <c r="O415"/>
    </row>
    <row r="416" spans="1:15" x14ac:dyDescent="0.2">
      <c r="A416"/>
      <c r="B416"/>
      <c r="C416"/>
      <c r="F416"/>
      <c r="G416"/>
      <c r="H416"/>
      <c r="J416"/>
      <c r="K416"/>
      <c r="L416"/>
      <c r="M416"/>
      <c r="N416"/>
      <c r="O416"/>
    </row>
    <row r="417" spans="1:15" x14ac:dyDescent="0.2">
      <c r="A417"/>
      <c r="B417"/>
      <c r="C417"/>
      <c r="F417"/>
      <c r="G417"/>
      <c r="H417"/>
      <c r="I417"/>
      <c r="L417"/>
      <c r="M417"/>
      <c r="N417"/>
      <c r="O417"/>
    </row>
    <row r="418" spans="1:15" x14ac:dyDescent="0.2">
      <c r="A418"/>
      <c r="B418"/>
      <c r="C418"/>
      <c r="F418"/>
      <c r="G418"/>
      <c r="H418"/>
      <c r="I418"/>
      <c r="L418"/>
      <c r="M418"/>
      <c r="N418"/>
      <c r="O418"/>
    </row>
    <row r="419" spans="1:15" x14ac:dyDescent="0.2">
      <c r="A419"/>
      <c r="B419"/>
      <c r="C419"/>
      <c r="F419"/>
      <c r="G419"/>
      <c r="L419"/>
      <c r="M419"/>
      <c r="N419"/>
      <c r="O419"/>
    </row>
    <row r="420" spans="1:15" x14ac:dyDescent="0.2">
      <c r="A420"/>
      <c r="B420"/>
      <c r="C420"/>
      <c r="F420"/>
      <c r="G420"/>
      <c r="I420"/>
      <c r="L420"/>
      <c r="M420"/>
      <c r="N420"/>
      <c r="O420"/>
    </row>
    <row r="421" spans="1:15" x14ac:dyDescent="0.2">
      <c r="A421"/>
      <c r="B421"/>
      <c r="C421"/>
      <c r="F421"/>
      <c r="G421"/>
      <c r="H421"/>
      <c r="I421"/>
      <c r="L421"/>
      <c r="N421"/>
      <c r="O421"/>
    </row>
    <row r="422" spans="1:15" x14ac:dyDescent="0.2">
      <c r="A422"/>
      <c r="B422"/>
      <c r="C422"/>
      <c r="F422"/>
      <c r="G422"/>
      <c r="I422"/>
      <c r="L422"/>
      <c r="M422"/>
      <c r="N422"/>
      <c r="O422"/>
    </row>
    <row r="423" spans="1:15" x14ac:dyDescent="0.2">
      <c r="A423"/>
      <c r="B423"/>
      <c r="C423"/>
      <c r="F423"/>
      <c r="G423"/>
      <c r="I423"/>
      <c r="L423"/>
      <c r="M423"/>
      <c r="N423"/>
      <c r="O423"/>
    </row>
    <row r="424" spans="1:15" x14ac:dyDescent="0.2">
      <c r="A424"/>
      <c r="B424"/>
      <c r="C424"/>
      <c r="F424"/>
      <c r="G424"/>
      <c r="H424"/>
      <c r="I424"/>
      <c r="L424"/>
      <c r="M424"/>
      <c r="N424"/>
      <c r="O424"/>
    </row>
    <row r="425" spans="1:15" x14ac:dyDescent="0.2">
      <c r="A425"/>
      <c r="B425"/>
      <c r="C425"/>
      <c r="F425"/>
      <c r="G425"/>
      <c r="H425"/>
      <c r="I425"/>
      <c r="L425"/>
      <c r="M425"/>
      <c r="N425"/>
      <c r="O425"/>
    </row>
    <row r="426" spans="1:15" x14ac:dyDescent="0.2">
      <c r="A426"/>
      <c r="B426"/>
      <c r="C426"/>
      <c r="F426"/>
      <c r="G426"/>
      <c r="H426"/>
      <c r="I426"/>
      <c r="L426"/>
      <c r="N426"/>
      <c r="O426"/>
    </row>
    <row r="427" spans="1:15" x14ac:dyDescent="0.2">
      <c r="A427"/>
      <c r="B427"/>
      <c r="C427"/>
      <c r="F427"/>
      <c r="G427"/>
      <c r="H427"/>
      <c r="I427"/>
      <c r="L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I436"/>
      <c r="L436"/>
      <c r="M436"/>
      <c r="N436"/>
      <c r="O436"/>
    </row>
    <row r="437" spans="1:15" x14ac:dyDescent="0.2">
      <c r="A437"/>
      <c r="B437"/>
      <c r="C437"/>
      <c r="F437"/>
      <c r="G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I447"/>
      <c r="L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M455"/>
      <c r="N455"/>
      <c r="O455"/>
    </row>
    <row r="456" spans="1:15" x14ac:dyDescent="0.2">
      <c r="A456"/>
      <c r="B456"/>
      <c r="C456"/>
      <c r="F456"/>
      <c r="G456"/>
      <c r="I456"/>
      <c r="L456"/>
      <c r="M456"/>
      <c r="N456"/>
      <c r="O456"/>
    </row>
    <row r="457" spans="1:15" x14ac:dyDescent="0.2">
      <c r="A457"/>
      <c r="B457"/>
      <c r="C457"/>
      <c r="F457"/>
      <c r="G457"/>
      <c r="M457"/>
      <c r="N457"/>
      <c r="O457"/>
    </row>
    <row r="458" spans="1:15" x14ac:dyDescent="0.2">
      <c r="A458"/>
      <c r="B458"/>
      <c r="C458"/>
      <c r="F458"/>
      <c r="G458"/>
      <c r="H458"/>
      <c r="I458"/>
      <c r="L458"/>
      <c r="M458"/>
      <c r="N458"/>
      <c r="O458"/>
    </row>
    <row r="459" spans="1:15" x14ac:dyDescent="0.2">
      <c r="A459"/>
      <c r="B459"/>
      <c r="C459"/>
      <c r="F459"/>
      <c r="G459"/>
      <c r="I459"/>
      <c r="L459"/>
      <c r="M459"/>
      <c r="N459"/>
      <c r="O459"/>
    </row>
    <row r="460" spans="1:15" x14ac:dyDescent="0.2">
      <c r="A460"/>
      <c r="B460"/>
      <c r="C460"/>
      <c r="F460"/>
      <c r="G460"/>
      <c r="M460"/>
      <c r="N460"/>
      <c r="O460"/>
    </row>
    <row r="461" spans="1:15" x14ac:dyDescent="0.2">
      <c r="A461"/>
      <c r="B461"/>
      <c r="C461"/>
      <c r="F461"/>
      <c r="G461"/>
      <c r="H461"/>
      <c r="I461"/>
      <c r="J461"/>
      <c r="K461"/>
      <c r="L461"/>
      <c r="M461"/>
      <c r="N461"/>
      <c r="O461"/>
    </row>
    <row r="462" spans="1:15" x14ac:dyDescent="0.2">
      <c r="A462"/>
      <c r="B462"/>
      <c r="C462"/>
      <c r="F462"/>
      <c r="G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L468"/>
      <c r="M468"/>
      <c r="N468"/>
      <c r="O468"/>
    </row>
    <row r="469" spans="1:15" x14ac:dyDescent="0.2">
      <c r="A469"/>
      <c r="B469"/>
      <c r="C469"/>
      <c r="F469"/>
      <c r="G469"/>
      <c r="H469"/>
      <c r="I469"/>
      <c r="L469"/>
      <c r="M469"/>
      <c r="N469"/>
      <c r="O469"/>
    </row>
    <row r="470" spans="1:15" x14ac:dyDescent="0.2">
      <c r="A470"/>
      <c r="B470"/>
      <c r="C470"/>
      <c r="F470"/>
      <c r="G470"/>
      <c r="H470"/>
      <c r="J470"/>
      <c r="K470"/>
      <c r="L470"/>
      <c r="M470"/>
      <c r="N470"/>
      <c r="O470"/>
    </row>
    <row r="471" spans="1:15" x14ac:dyDescent="0.2">
      <c r="A471"/>
      <c r="B471"/>
      <c r="C471"/>
      <c r="F471"/>
      <c r="G471"/>
      <c r="H471"/>
      <c r="J471"/>
      <c r="K471"/>
      <c r="L471"/>
      <c r="M471"/>
      <c r="N471"/>
      <c r="O471"/>
    </row>
    <row r="472" spans="1:15" x14ac:dyDescent="0.2">
      <c r="A472"/>
      <c r="B472"/>
      <c r="C472"/>
      <c r="F472"/>
      <c r="G472"/>
      <c r="J472"/>
      <c r="K472"/>
      <c r="L472"/>
      <c r="M472"/>
      <c r="N472"/>
      <c r="O472"/>
    </row>
    <row r="473" spans="1:15" x14ac:dyDescent="0.2">
      <c r="A473"/>
      <c r="B473"/>
      <c r="C473"/>
      <c r="F473"/>
      <c r="G473"/>
      <c r="J473"/>
      <c r="K473"/>
      <c r="L473"/>
      <c r="M473"/>
      <c r="N473"/>
      <c r="O473"/>
    </row>
    <row r="474" spans="1:15" x14ac:dyDescent="0.2">
      <c r="A474"/>
      <c r="B474"/>
      <c r="C474"/>
      <c r="F474"/>
      <c r="G474"/>
      <c r="H474"/>
      <c r="I474"/>
      <c r="L474"/>
      <c r="N474"/>
      <c r="O474"/>
    </row>
    <row r="475" spans="1:15" x14ac:dyDescent="0.2">
      <c r="A475"/>
      <c r="B475"/>
      <c r="C475"/>
      <c r="F475"/>
      <c r="G475"/>
      <c r="J475"/>
      <c r="K475"/>
      <c r="L475"/>
      <c r="M475"/>
      <c r="N475"/>
      <c r="O475"/>
    </row>
    <row r="476" spans="1:15" x14ac:dyDescent="0.2">
      <c r="A476"/>
      <c r="B476"/>
      <c r="C476"/>
      <c r="F476"/>
      <c r="G476"/>
      <c r="I476"/>
      <c r="L476"/>
      <c r="M476"/>
      <c r="N476"/>
      <c r="O476"/>
    </row>
    <row r="477" spans="1:15" x14ac:dyDescent="0.2">
      <c r="A477"/>
      <c r="B477"/>
      <c r="C477"/>
      <c r="F477"/>
      <c r="G477"/>
      <c r="H477"/>
      <c r="I477"/>
      <c r="L477"/>
      <c r="M477"/>
      <c r="N477"/>
      <c r="O477"/>
    </row>
    <row r="478" spans="1:15" x14ac:dyDescent="0.2">
      <c r="A478"/>
      <c r="B478"/>
      <c r="C478"/>
      <c r="F478"/>
      <c r="G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I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J490"/>
      <c r="L490"/>
      <c r="M490"/>
      <c r="N490"/>
      <c r="O490"/>
    </row>
    <row r="491" spans="1:15" x14ac:dyDescent="0.2">
      <c r="A491"/>
      <c r="B491"/>
      <c r="C491"/>
      <c r="F491"/>
      <c r="G491"/>
      <c r="H491"/>
      <c r="I491"/>
      <c r="L491"/>
      <c r="M491"/>
      <c r="N491"/>
      <c r="O491"/>
    </row>
    <row r="492" spans="1:15" x14ac:dyDescent="0.2">
      <c r="A492"/>
      <c r="B492"/>
      <c r="C492"/>
      <c r="F492"/>
      <c r="G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I500"/>
      <c r="L500"/>
      <c r="M500"/>
      <c r="N500"/>
      <c r="O500"/>
    </row>
    <row r="501" spans="1:15" x14ac:dyDescent="0.2">
      <c r="A501"/>
      <c r="B501"/>
      <c r="C501"/>
      <c r="F501"/>
      <c r="G501"/>
      <c r="H501"/>
      <c r="J501"/>
      <c r="K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J507"/>
      <c r="K507"/>
      <c r="L507"/>
      <c r="M507"/>
      <c r="N507"/>
      <c r="O507"/>
    </row>
    <row r="508" spans="1:15" x14ac:dyDescent="0.2">
      <c r="A508"/>
      <c r="B508"/>
      <c r="C508"/>
      <c r="F508"/>
      <c r="G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I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J527"/>
      <c r="L527"/>
      <c r="M527"/>
      <c r="N527"/>
      <c r="O527"/>
    </row>
    <row r="528" spans="1:15" x14ac:dyDescent="0.2">
      <c r="A528"/>
      <c r="B528"/>
      <c r="C528"/>
      <c r="F528"/>
      <c r="G528"/>
      <c r="H528"/>
      <c r="L528"/>
      <c r="M528"/>
      <c r="N528"/>
      <c r="O528"/>
    </row>
    <row r="529" spans="1:15" x14ac:dyDescent="0.2">
      <c r="A529"/>
      <c r="B529"/>
      <c r="C529"/>
      <c r="F529"/>
      <c r="G529"/>
      <c r="J529"/>
      <c r="K529"/>
      <c r="L529"/>
      <c r="M529"/>
      <c r="N529"/>
      <c r="O529"/>
    </row>
    <row r="530" spans="1:15" x14ac:dyDescent="0.2">
      <c r="A530"/>
      <c r="B530"/>
      <c r="C530"/>
      <c r="F530"/>
      <c r="G530"/>
      <c r="L530"/>
      <c r="M530"/>
      <c r="N530"/>
      <c r="O530"/>
    </row>
    <row r="531" spans="1:15" x14ac:dyDescent="0.2">
      <c r="A531"/>
      <c r="B531"/>
      <c r="C531"/>
      <c r="F531"/>
      <c r="G531"/>
      <c r="H531"/>
      <c r="J531"/>
      <c r="K531"/>
      <c r="L531"/>
      <c r="M531"/>
      <c r="N531"/>
      <c r="O531"/>
    </row>
    <row r="532" spans="1:15" x14ac:dyDescent="0.2">
      <c r="A532"/>
      <c r="B532"/>
      <c r="C532"/>
      <c r="F532"/>
      <c r="G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I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H542"/>
      <c r="I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H545"/>
      <c r="I545"/>
      <c r="L545"/>
      <c r="M545"/>
      <c r="N545"/>
      <c r="O545"/>
    </row>
    <row r="546" spans="1:15" x14ac:dyDescent="0.2">
      <c r="A546"/>
      <c r="B546"/>
      <c r="C546"/>
      <c r="F546"/>
      <c r="G546"/>
      <c r="I546"/>
      <c r="L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M549"/>
      <c r="N549"/>
      <c r="O549"/>
    </row>
    <row r="550" spans="1:15" x14ac:dyDescent="0.2">
      <c r="A550"/>
      <c r="B550"/>
      <c r="C550"/>
      <c r="F550"/>
      <c r="G550"/>
      <c r="H550"/>
      <c r="I550"/>
      <c r="L550"/>
      <c r="M550"/>
      <c r="N550"/>
      <c r="O550"/>
    </row>
    <row r="551" spans="1:15" x14ac:dyDescent="0.2">
      <c r="A551"/>
      <c r="B551"/>
      <c r="C551"/>
      <c r="F551"/>
      <c r="G551"/>
      <c r="I551"/>
      <c r="L551"/>
      <c r="M551"/>
      <c r="N551"/>
      <c r="O551"/>
    </row>
    <row r="552" spans="1:15" x14ac:dyDescent="0.2">
      <c r="A552"/>
      <c r="B552"/>
      <c r="C552"/>
      <c r="F552"/>
      <c r="G552"/>
      <c r="M552"/>
      <c r="N552"/>
      <c r="O552"/>
    </row>
    <row r="553" spans="1:15" x14ac:dyDescent="0.2">
      <c r="A553"/>
      <c r="B553"/>
      <c r="C553"/>
      <c r="F553"/>
      <c r="G553"/>
      <c r="H553"/>
      <c r="I553"/>
      <c r="L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H557"/>
      <c r="I557"/>
      <c r="L557"/>
      <c r="M557"/>
      <c r="N557"/>
      <c r="O557"/>
    </row>
    <row r="558" spans="1:15" x14ac:dyDescent="0.2">
      <c r="A558"/>
      <c r="B558"/>
      <c r="C558"/>
      <c r="F558"/>
      <c r="G558"/>
      <c r="I558"/>
      <c r="L558"/>
      <c r="M558"/>
      <c r="N558"/>
      <c r="O558"/>
    </row>
    <row r="559" spans="1:15" x14ac:dyDescent="0.2">
      <c r="A559"/>
      <c r="B559"/>
      <c r="C559"/>
      <c r="F559"/>
      <c r="G559"/>
      <c r="L559"/>
      <c r="M559"/>
      <c r="N559"/>
      <c r="O559"/>
    </row>
    <row r="560" spans="1:15" x14ac:dyDescent="0.2">
      <c r="A560"/>
      <c r="B560"/>
      <c r="C560"/>
      <c r="F560"/>
      <c r="G560"/>
      <c r="I560"/>
      <c r="L560"/>
      <c r="M560"/>
      <c r="N560"/>
      <c r="O560"/>
    </row>
    <row r="561" spans="1:15" x14ac:dyDescent="0.2">
      <c r="A561"/>
      <c r="B561"/>
      <c r="C561"/>
      <c r="F561"/>
      <c r="G561"/>
      <c r="H561"/>
      <c r="I561"/>
      <c r="L561"/>
      <c r="N561"/>
      <c r="O561"/>
    </row>
    <row r="562" spans="1:15" x14ac:dyDescent="0.2">
      <c r="A562"/>
      <c r="B562"/>
      <c r="C562"/>
      <c r="F562"/>
      <c r="G562"/>
      <c r="H562"/>
      <c r="I562"/>
      <c r="L562"/>
      <c r="N562"/>
      <c r="O562"/>
    </row>
    <row r="563" spans="1:15" x14ac:dyDescent="0.2">
      <c r="A563"/>
      <c r="B563"/>
      <c r="C563"/>
      <c r="F563"/>
      <c r="G563"/>
      <c r="M563"/>
      <c r="N563"/>
      <c r="O563"/>
    </row>
    <row r="564" spans="1:15" x14ac:dyDescent="0.2">
      <c r="A564"/>
      <c r="B564"/>
      <c r="C564"/>
      <c r="F564"/>
      <c r="G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J568"/>
      <c r="K568"/>
      <c r="L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J572"/>
      <c r="M572"/>
      <c r="N572"/>
      <c r="O572"/>
    </row>
    <row r="573" spans="1:15" x14ac:dyDescent="0.2">
      <c r="A573"/>
      <c r="B573"/>
      <c r="C573"/>
      <c r="F573"/>
      <c r="G573"/>
      <c r="H573"/>
      <c r="I573"/>
      <c r="L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N576"/>
      <c r="O576"/>
    </row>
    <row r="577" spans="1:15" x14ac:dyDescent="0.2">
      <c r="A577"/>
      <c r="B577"/>
      <c r="C577"/>
      <c r="F577"/>
      <c r="G577"/>
      <c r="H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J585"/>
      <c r="K585"/>
      <c r="L585"/>
      <c r="M585"/>
      <c r="N585"/>
      <c r="O585"/>
    </row>
    <row r="586" spans="1:15" x14ac:dyDescent="0.2">
      <c r="A586"/>
      <c r="B586"/>
      <c r="C586"/>
      <c r="F586"/>
      <c r="G586"/>
      <c r="H586"/>
      <c r="J586"/>
      <c r="K586"/>
      <c r="L586"/>
      <c r="M586"/>
      <c r="N586"/>
      <c r="O586"/>
    </row>
    <row r="587" spans="1:15" x14ac:dyDescent="0.2">
      <c r="A587"/>
      <c r="B587"/>
      <c r="C587"/>
      <c r="F587"/>
      <c r="G587"/>
      <c r="L587"/>
      <c r="M587"/>
      <c r="N587"/>
      <c r="O587"/>
    </row>
    <row r="588" spans="1:15" x14ac:dyDescent="0.2">
      <c r="A588"/>
      <c r="B588"/>
      <c r="C588"/>
      <c r="F588"/>
      <c r="G588"/>
      <c r="J588"/>
      <c r="K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L591"/>
      <c r="M591"/>
      <c r="N591"/>
      <c r="O591"/>
    </row>
    <row r="592" spans="1:15" x14ac:dyDescent="0.2">
      <c r="A592"/>
      <c r="B592"/>
      <c r="C592"/>
      <c r="F592"/>
      <c r="G592"/>
      <c r="J592"/>
      <c r="K592"/>
      <c r="L592"/>
      <c r="M592"/>
      <c r="N592"/>
      <c r="O592"/>
    </row>
    <row r="593" spans="1:15" x14ac:dyDescent="0.2">
      <c r="A593"/>
      <c r="B593"/>
      <c r="C593"/>
      <c r="F593"/>
      <c r="G593"/>
      <c r="H593"/>
      <c r="J593"/>
      <c r="K593"/>
      <c r="L593"/>
      <c r="M593"/>
      <c r="N593"/>
      <c r="O593"/>
    </row>
    <row r="594" spans="1:15" x14ac:dyDescent="0.2">
      <c r="A594"/>
      <c r="B594"/>
      <c r="C594"/>
      <c r="F594"/>
      <c r="G594"/>
      <c r="M594"/>
      <c r="N594"/>
      <c r="O594"/>
    </row>
    <row r="595" spans="1:15" x14ac:dyDescent="0.2">
      <c r="A595"/>
      <c r="B595"/>
      <c r="C595"/>
      <c r="F595"/>
      <c r="G595"/>
      <c r="L595"/>
      <c r="M595"/>
      <c r="N595"/>
      <c r="O595"/>
    </row>
    <row r="596" spans="1:15" x14ac:dyDescent="0.2">
      <c r="A596"/>
      <c r="B596"/>
      <c r="C596"/>
      <c r="F596"/>
      <c r="G596"/>
      <c r="H596"/>
      <c r="I596"/>
      <c r="L596"/>
      <c r="N596"/>
      <c r="O596"/>
    </row>
    <row r="597" spans="1:15" x14ac:dyDescent="0.2">
      <c r="A597"/>
      <c r="B597"/>
      <c r="C597"/>
      <c r="F597"/>
      <c r="G597"/>
      <c r="H597"/>
      <c r="I597"/>
      <c r="L597"/>
      <c r="M597"/>
      <c r="N597"/>
      <c r="O597"/>
    </row>
    <row r="598" spans="1:15" x14ac:dyDescent="0.2">
      <c r="A598"/>
      <c r="B598"/>
      <c r="C598"/>
      <c r="F598"/>
      <c r="G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I601"/>
      <c r="L601"/>
      <c r="M601"/>
      <c r="N601"/>
      <c r="O601"/>
    </row>
    <row r="602" spans="1:15" x14ac:dyDescent="0.2">
      <c r="A602"/>
      <c r="B602"/>
      <c r="C602"/>
      <c r="F602"/>
      <c r="G602"/>
      <c r="H602"/>
      <c r="L602"/>
      <c r="M602"/>
      <c r="N602"/>
      <c r="O602"/>
    </row>
    <row r="603" spans="1:15" x14ac:dyDescent="0.2">
      <c r="A603"/>
      <c r="B603"/>
      <c r="C603"/>
      <c r="F603"/>
      <c r="G603"/>
      <c r="H603"/>
      <c r="I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L616"/>
      <c r="M616"/>
      <c r="N616"/>
      <c r="O616"/>
    </row>
    <row r="617" spans="1:15" x14ac:dyDescent="0.2">
      <c r="A617"/>
      <c r="B617"/>
      <c r="C617"/>
      <c r="F617"/>
      <c r="G617"/>
      <c r="I617"/>
      <c r="L617"/>
      <c r="M617"/>
      <c r="N617"/>
      <c r="O617"/>
    </row>
    <row r="618" spans="1:15" x14ac:dyDescent="0.2">
      <c r="A618"/>
      <c r="B618"/>
      <c r="C618"/>
      <c r="F618"/>
      <c r="G618"/>
      <c r="H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J626"/>
      <c r="K626"/>
      <c r="L626"/>
      <c r="M626"/>
      <c r="N626"/>
      <c r="O626"/>
    </row>
    <row r="627" spans="1:15" x14ac:dyDescent="0.2">
      <c r="A627"/>
      <c r="B627"/>
      <c r="C627"/>
      <c r="F627"/>
      <c r="G627"/>
      <c r="L627"/>
      <c r="M627"/>
      <c r="N627"/>
      <c r="O627"/>
    </row>
    <row r="628" spans="1:15" x14ac:dyDescent="0.2">
      <c r="A628"/>
      <c r="B628"/>
      <c r="C628"/>
      <c r="F628"/>
      <c r="G628"/>
      <c r="H628"/>
      <c r="I628"/>
      <c r="L628"/>
      <c r="M628"/>
      <c r="N628"/>
      <c r="O628"/>
    </row>
    <row r="629" spans="1:15" x14ac:dyDescent="0.2">
      <c r="A629"/>
      <c r="B629"/>
      <c r="C629"/>
      <c r="F629"/>
      <c r="G629"/>
      <c r="M629"/>
      <c r="N629"/>
      <c r="O629"/>
    </row>
    <row r="630" spans="1:15" x14ac:dyDescent="0.2">
      <c r="A630"/>
      <c r="B630"/>
      <c r="C630"/>
      <c r="F630"/>
      <c r="G630"/>
      <c r="I630"/>
      <c r="L630"/>
      <c r="M630"/>
      <c r="N630"/>
      <c r="O630"/>
    </row>
    <row r="631" spans="1:15" x14ac:dyDescent="0.2">
      <c r="A631"/>
      <c r="B631"/>
      <c r="C631"/>
      <c r="F631"/>
      <c r="G631"/>
      <c r="H631"/>
      <c r="I631"/>
      <c r="L631"/>
      <c r="M631"/>
      <c r="N631"/>
      <c r="O631"/>
    </row>
    <row r="632" spans="1:15" x14ac:dyDescent="0.2">
      <c r="A632"/>
      <c r="B632"/>
      <c r="C632"/>
      <c r="F632"/>
      <c r="G632"/>
      <c r="L632"/>
      <c r="M632"/>
      <c r="N632"/>
      <c r="O632"/>
    </row>
    <row r="633" spans="1:15" x14ac:dyDescent="0.2">
      <c r="A633"/>
      <c r="B633"/>
      <c r="C633"/>
      <c r="F633"/>
      <c r="G633"/>
      <c r="H633"/>
      <c r="I633"/>
      <c r="L633"/>
      <c r="M633"/>
      <c r="N633"/>
      <c r="O633"/>
    </row>
    <row r="634" spans="1:15" x14ac:dyDescent="0.2">
      <c r="A634"/>
      <c r="B634"/>
      <c r="C634"/>
      <c r="F634"/>
      <c r="G634"/>
      <c r="H634"/>
      <c r="I634"/>
      <c r="L634"/>
      <c r="M634"/>
      <c r="N634"/>
      <c r="O634"/>
    </row>
    <row r="635" spans="1:15" x14ac:dyDescent="0.2">
      <c r="A635"/>
      <c r="B635"/>
      <c r="C635"/>
      <c r="F635"/>
      <c r="G635"/>
      <c r="I635"/>
      <c r="L635"/>
      <c r="M635"/>
      <c r="N635"/>
      <c r="O635"/>
    </row>
    <row r="636" spans="1:15" x14ac:dyDescent="0.2">
      <c r="A636"/>
      <c r="B636"/>
      <c r="C636"/>
      <c r="F636"/>
      <c r="G636"/>
      <c r="H636"/>
      <c r="I636"/>
      <c r="L636"/>
      <c r="M636"/>
      <c r="N636"/>
      <c r="O636"/>
    </row>
    <row r="637" spans="1:15" x14ac:dyDescent="0.2">
      <c r="A637"/>
      <c r="B637"/>
      <c r="C637"/>
      <c r="F637"/>
      <c r="G637"/>
      <c r="H637"/>
      <c r="I637"/>
      <c r="L637"/>
      <c r="M637"/>
      <c r="N637"/>
      <c r="O637"/>
    </row>
    <row r="638" spans="1:15" x14ac:dyDescent="0.2">
      <c r="A638"/>
      <c r="B638"/>
      <c r="C638"/>
      <c r="F638"/>
      <c r="G638"/>
      <c r="H638"/>
      <c r="J638"/>
      <c r="K638"/>
      <c r="L638"/>
      <c r="M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H644"/>
      <c r="I644"/>
      <c r="L644"/>
      <c r="N644"/>
      <c r="O644"/>
    </row>
    <row r="645" spans="1:15" x14ac:dyDescent="0.2">
      <c r="A645"/>
      <c r="B645"/>
      <c r="C645"/>
      <c r="F645"/>
      <c r="G645"/>
      <c r="H645"/>
      <c r="I645"/>
      <c r="L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L656"/>
      <c r="M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H659"/>
      <c r="I659"/>
      <c r="L659"/>
      <c r="N659"/>
      <c r="O659"/>
    </row>
    <row r="660" spans="1:15" x14ac:dyDescent="0.2">
      <c r="A660"/>
      <c r="B660"/>
      <c r="C660"/>
      <c r="F660"/>
      <c r="G660"/>
      <c r="H660"/>
      <c r="I660"/>
      <c r="L660"/>
      <c r="M660"/>
      <c r="N660"/>
      <c r="O660"/>
    </row>
    <row r="661" spans="1:15" x14ac:dyDescent="0.2">
      <c r="A661"/>
      <c r="B661"/>
      <c r="C661"/>
      <c r="F661"/>
      <c r="G661"/>
      <c r="J661"/>
      <c r="K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I668"/>
      <c r="L668"/>
      <c r="M668"/>
      <c r="N668"/>
      <c r="O668"/>
    </row>
    <row r="669" spans="1:15" x14ac:dyDescent="0.2">
      <c r="A669"/>
      <c r="B669"/>
      <c r="C669"/>
      <c r="F669"/>
      <c r="G669"/>
      <c r="H669"/>
      <c r="I669"/>
      <c r="L669"/>
      <c r="M669"/>
      <c r="N669"/>
      <c r="O669"/>
    </row>
    <row r="670" spans="1:15" x14ac:dyDescent="0.2">
      <c r="A670"/>
      <c r="B670"/>
      <c r="C670"/>
      <c r="F670"/>
      <c r="G670"/>
      <c r="L670"/>
      <c r="M670"/>
      <c r="N670"/>
      <c r="O670"/>
    </row>
    <row r="671" spans="1:15" x14ac:dyDescent="0.2">
      <c r="A671"/>
      <c r="B671"/>
      <c r="C671"/>
      <c r="F671"/>
      <c r="G671"/>
      <c r="I671"/>
      <c r="L671"/>
      <c r="M671"/>
      <c r="N671"/>
      <c r="O671"/>
    </row>
    <row r="672" spans="1:15" x14ac:dyDescent="0.2">
      <c r="A672"/>
      <c r="B672"/>
      <c r="C672"/>
      <c r="F672"/>
      <c r="G672"/>
      <c r="H672"/>
      <c r="I672"/>
      <c r="L672"/>
      <c r="M672"/>
      <c r="N672"/>
      <c r="O672"/>
    </row>
    <row r="673" spans="1:15" x14ac:dyDescent="0.2">
      <c r="A673"/>
      <c r="B673"/>
      <c r="C673"/>
      <c r="F673"/>
      <c r="G673"/>
      <c r="H673"/>
      <c r="I673"/>
      <c r="L673"/>
      <c r="N673"/>
      <c r="O673"/>
    </row>
    <row r="674" spans="1:15" x14ac:dyDescent="0.2">
      <c r="A674"/>
      <c r="B674"/>
      <c r="C674"/>
      <c r="F674"/>
      <c r="G674"/>
      <c r="H674"/>
      <c r="I674"/>
      <c r="L674"/>
      <c r="M674"/>
      <c r="N674"/>
      <c r="O674"/>
    </row>
    <row r="675" spans="1:15" x14ac:dyDescent="0.2">
      <c r="A675"/>
      <c r="B675"/>
      <c r="C675"/>
      <c r="F675"/>
      <c r="G675"/>
      <c r="H675"/>
      <c r="J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M678"/>
      <c r="N678"/>
      <c r="O678"/>
    </row>
    <row r="679" spans="1:15" x14ac:dyDescent="0.2">
      <c r="A679"/>
      <c r="B679"/>
      <c r="C679"/>
      <c r="F679"/>
      <c r="G679"/>
      <c r="H679"/>
      <c r="M679"/>
      <c r="N679"/>
      <c r="O679"/>
    </row>
    <row r="680" spans="1:15" x14ac:dyDescent="0.2">
      <c r="A680"/>
      <c r="B680"/>
      <c r="C680"/>
      <c r="F680"/>
      <c r="G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M690"/>
      <c r="N690"/>
      <c r="O690"/>
    </row>
    <row r="691" spans="1:15" x14ac:dyDescent="0.2">
      <c r="A691"/>
      <c r="B691"/>
      <c r="C691"/>
      <c r="F691"/>
      <c r="G691"/>
      <c r="L691"/>
      <c r="M691"/>
      <c r="N691"/>
      <c r="O691"/>
    </row>
    <row r="692" spans="1:15" x14ac:dyDescent="0.2">
      <c r="A692"/>
      <c r="B692"/>
      <c r="C692"/>
      <c r="F692"/>
      <c r="G692"/>
      <c r="I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I702"/>
      <c r="L702"/>
      <c r="M702"/>
      <c r="N702"/>
      <c r="O702"/>
    </row>
    <row r="703" spans="1:15" x14ac:dyDescent="0.2">
      <c r="A703"/>
      <c r="B703"/>
      <c r="C703"/>
      <c r="F703"/>
      <c r="G703"/>
      <c r="J703"/>
      <c r="K703"/>
      <c r="L703"/>
      <c r="M703"/>
      <c r="N703"/>
      <c r="O703"/>
    </row>
    <row r="704" spans="1:15" x14ac:dyDescent="0.2">
      <c r="A704"/>
      <c r="B704"/>
      <c r="C704"/>
      <c r="F704"/>
      <c r="G704"/>
      <c r="H704"/>
      <c r="I704"/>
      <c r="L704"/>
      <c r="M704"/>
      <c r="N704"/>
      <c r="O704"/>
    </row>
    <row r="705" spans="1:15" x14ac:dyDescent="0.2">
      <c r="A705"/>
      <c r="B705"/>
      <c r="C705"/>
      <c r="F705"/>
      <c r="G705"/>
      <c r="I705"/>
      <c r="L705"/>
      <c r="M705"/>
      <c r="N705"/>
      <c r="O705"/>
    </row>
    <row r="706" spans="1:15" x14ac:dyDescent="0.2">
      <c r="A706"/>
      <c r="B706"/>
      <c r="C706"/>
      <c r="F706"/>
      <c r="G706"/>
      <c r="L706"/>
      <c r="M706"/>
      <c r="N706"/>
      <c r="O706"/>
    </row>
    <row r="707" spans="1:15" x14ac:dyDescent="0.2">
      <c r="A707"/>
      <c r="B707"/>
      <c r="C707"/>
      <c r="F707"/>
      <c r="G707"/>
      <c r="H707"/>
      <c r="J707"/>
      <c r="K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I710"/>
      <c r="L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J713"/>
      <c r="K713"/>
      <c r="L713"/>
      <c r="M713"/>
      <c r="N713"/>
      <c r="O713"/>
    </row>
    <row r="714" spans="1:15" x14ac:dyDescent="0.2">
      <c r="A714"/>
      <c r="B714"/>
      <c r="C714"/>
      <c r="F714"/>
      <c r="G714"/>
      <c r="H714"/>
      <c r="I714"/>
      <c r="L714"/>
      <c r="M714"/>
      <c r="N714"/>
      <c r="O714"/>
    </row>
    <row r="715" spans="1:15" x14ac:dyDescent="0.2">
      <c r="A715"/>
      <c r="B715"/>
      <c r="C715"/>
      <c r="F715"/>
      <c r="G715"/>
      <c r="H715"/>
      <c r="I715"/>
      <c r="J715"/>
      <c r="K715"/>
      <c r="L715"/>
      <c r="M715"/>
      <c r="N715"/>
      <c r="O715"/>
    </row>
    <row r="716" spans="1:15" x14ac:dyDescent="0.2">
      <c r="A716"/>
      <c r="B716"/>
      <c r="C716"/>
      <c r="F716"/>
      <c r="G716"/>
      <c r="I716"/>
      <c r="L716"/>
      <c r="M716"/>
      <c r="N716"/>
      <c r="O716"/>
    </row>
    <row r="717" spans="1:15" x14ac:dyDescent="0.2">
      <c r="A717"/>
      <c r="B717"/>
      <c r="C717"/>
      <c r="F717"/>
      <c r="G717"/>
      <c r="H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H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L728"/>
      <c r="M728"/>
      <c r="N728"/>
      <c r="O728"/>
    </row>
    <row r="729" spans="1:15" x14ac:dyDescent="0.2">
      <c r="A729"/>
      <c r="B729"/>
      <c r="C729"/>
      <c r="F729"/>
      <c r="G729"/>
      <c r="L729"/>
      <c r="M729"/>
      <c r="N729"/>
      <c r="O729"/>
    </row>
    <row r="730" spans="1:15" x14ac:dyDescent="0.2">
      <c r="A730"/>
      <c r="B730"/>
      <c r="C730"/>
      <c r="F730"/>
      <c r="G730"/>
      <c r="H730"/>
      <c r="J730"/>
      <c r="K730"/>
      <c r="L730"/>
      <c r="M730"/>
      <c r="N730"/>
      <c r="O730"/>
    </row>
    <row r="731" spans="1:15" x14ac:dyDescent="0.2">
      <c r="A731"/>
      <c r="B731"/>
      <c r="C731"/>
      <c r="F731"/>
      <c r="G731"/>
      <c r="H731"/>
      <c r="I731"/>
      <c r="L731"/>
      <c r="M731"/>
      <c r="N731"/>
      <c r="O731"/>
    </row>
    <row r="732" spans="1:15" x14ac:dyDescent="0.2">
      <c r="A732"/>
      <c r="B732"/>
      <c r="C732"/>
      <c r="F732"/>
      <c r="G732"/>
      <c r="J732"/>
      <c r="K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I735"/>
      <c r="K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J738"/>
      <c r="L738"/>
      <c r="M738"/>
      <c r="N738"/>
      <c r="O738"/>
    </row>
    <row r="739" spans="1:15" x14ac:dyDescent="0.2">
      <c r="A739"/>
      <c r="B739"/>
      <c r="C739"/>
      <c r="F739"/>
      <c r="G739"/>
      <c r="H739"/>
      <c r="L739"/>
      <c r="M739"/>
      <c r="N739"/>
      <c r="O739"/>
    </row>
    <row r="740" spans="1:15" x14ac:dyDescent="0.2">
      <c r="A740"/>
      <c r="B740"/>
      <c r="C740"/>
      <c r="F740"/>
      <c r="G740"/>
      <c r="H740"/>
      <c r="I740"/>
      <c r="L740"/>
      <c r="M740"/>
      <c r="N740"/>
      <c r="O740"/>
    </row>
    <row r="741" spans="1:15" x14ac:dyDescent="0.2">
      <c r="A741"/>
      <c r="B741"/>
      <c r="C741"/>
      <c r="F741"/>
      <c r="G741"/>
      <c r="L741"/>
      <c r="M741"/>
      <c r="N741"/>
      <c r="O741"/>
    </row>
    <row r="742" spans="1:15" x14ac:dyDescent="0.2">
      <c r="A742"/>
      <c r="B742"/>
      <c r="C742"/>
      <c r="F742"/>
      <c r="G742"/>
      <c r="J742"/>
      <c r="K742"/>
      <c r="L742"/>
      <c r="M742"/>
      <c r="N742"/>
      <c r="O742"/>
    </row>
    <row r="743" spans="1:15" x14ac:dyDescent="0.2">
      <c r="A743"/>
      <c r="B743"/>
      <c r="C743"/>
      <c r="F743"/>
      <c r="G743"/>
      <c r="H743"/>
      <c r="I743"/>
      <c r="L743"/>
      <c r="M743"/>
      <c r="N743"/>
      <c r="O743"/>
    </row>
    <row r="744" spans="1:15" x14ac:dyDescent="0.2">
      <c r="A744"/>
      <c r="B744"/>
      <c r="C744"/>
      <c r="F744"/>
      <c r="G744"/>
      <c r="M744"/>
      <c r="N744"/>
      <c r="O744"/>
    </row>
    <row r="745" spans="1:15" x14ac:dyDescent="0.2">
      <c r="A745"/>
      <c r="B745"/>
      <c r="C745"/>
      <c r="F745"/>
      <c r="G745"/>
      <c r="H745"/>
      <c r="I745"/>
      <c r="L745"/>
      <c r="M745"/>
      <c r="N745"/>
      <c r="O745"/>
    </row>
    <row r="746" spans="1:15" x14ac:dyDescent="0.2">
      <c r="A746"/>
      <c r="B746"/>
      <c r="C746"/>
      <c r="F746"/>
      <c r="G746"/>
      <c r="I746"/>
      <c r="L746"/>
      <c r="M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H749"/>
      <c r="I749"/>
      <c r="L749"/>
      <c r="N749"/>
      <c r="O749"/>
    </row>
    <row r="750" spans="1:15" x14ac:dyDescent="0.2">
      <c r="A750"/>
      <c r="B750"/>
      <c r="C750"/>
      <c r="F750"/>
      <c r="G750"/>
      <c r="H750"/>
      <c r="I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H753"/>
      <c r="I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L764"/>
      <c r="M764"/>
      <c r="N764"/>
      <c r="O764"/>
    </row>
    <row r="765" spans="1:15" x14ac:dyDescent="0.2">
      <c r="A765"/>
      <c r="B765"/>
      <c r="C765"/>
      <c r="F765"/>
      <c r="G765"/>
      <c r="H765"/>
      <c r="I765"/>
      <c r="L765"/>
      <c r="M765"/>
      <c r="N765"/>
      <c r="O765"/>
    </row>
    <row r="766" spans="1:15" x14ac:dyDescent="0.2">
      <c r="A766"/>
      <c r="B766"/>
      <c r="C766"/>
      <c r="F766"/>
      <c r="G766"/>
      <c r="I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M772"/>
      <c r="N772"/>
      <c r="O772"/>
    </row>
    <row r="773" spans="1:15" x14ac:dyDescent="0.2">
      <c r="A773"/>
      <c r="B773"/>
      <c r="C773"/>
      <c r="F773"/>
      <c r="G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L777"/>
      <c r="M777"/>
      <c r="N777"/>
      <c r="O777"/>
    </row>
    <row r="778" spans="1:15" x14ac:dyDescent="0.2">
      <c r="A778"/>
      <c r="B778"/>
      <c r="C778"/>
      <c r="F778"/>
      <c r="G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L781"/>
      <c r="M781"/>
      <c r="N781"/>
      <c r="O781"/>
    </row>
    <row r="782" spans="1:15" x14ac:dyDescent="0.2">
      <c r="A782"/>
      <c r="B782"/>
      <c r="C782"/>
      <c r="F782"/>
      <c r="G782"/>
      <c r="M782"/>
      <c r="N782"/>
      <c r="O782"/>
    </row>
    <row r="783" spans="1:15" x14ac:dyDescent="0.2">
      <c r="A783"/>
      <c r="B783"/>
      <c r="C783"/>
      <c r="F783"/>
      <c r="G783"/>
      <c r="H783"/>
      <c r="I783"/>
      <c r="L783"/>
      <c r="N783"/>
      <c r="O783"/>
    </row>
    <row r="784" spans="1:15" x14ac:dyDescent="0.2">
      <c r="A784"/>
      <c r="B784"/>
      <c r="C784"/>
      <c r="F784"/>
      <c r="G784"/>
      <c r="H784"/>
      <c r="J784"/>
      <c r="K784"/>
      <c r="L784"/>
      <c r="M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J787"/>
      <c r="K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H794"/>
      <c r="I794"/>
      <c r="L794"/>
      <c r="M794"/>
      <c r="N794"/>
      <c r="O794"/>
    </row>
    <row r="795" spans="1:15" x14ac:dyDescent="0.2">
      <c r="A795"/>
      <c r="B795"/>
      <c r="C795"/>
      <c r="F795"/>
      <c r="G795"/>
      <c r="H795"/>
      <c r="I795"/>
      <c r="L795"/>
      <c r="N795"/>
      <c r="O795"/>
    </row>
    <row r="796" spans="1:15" x14ac:dyDescent="0.2">
      <c r="A796"/>
      <c r="B796"/>
      <c r="C796"/>
      <c r="F796"/>
      <c r="G796"/>
      <c r="H796"/>
      <c r="L796"/>
      <c r="M796"/>
      <c r="N796"/>
      <c r="O796"/>
    </row>
    <row r="797" spans="1:15" x14ac:dyDescent="0.2">
      <c r="A797"/>
      <c r="B797"/>
      <c r="C797"/>
      <c r="F797"/>
      <c r="G797"/>
      <c r="L797"/>
      <c r="M797"/>
      <c r="N797"/>
      <c r="O797"/>
    </row>
    <row r="798" spans="1:15" x14ac:dyDescent="0.2">
      <c r="A798"/>
      <c r="B798"/>
      <c r="C798"/>
      <c r="F798"/>
      <c r="G798"/>
      <c r="I798"/>
      <c r="L798"/>
      <c r="M798"/>
      <c r="N798"/>
      <c r="O798"/>
    </row>
    <row r="799" spans="1:15" x14ac:dyDescent="0.2">
      <c r="A799"/>
      <c r="B799"/>
      <c r="C799"/>
      <c r="F799"/>
      <c r="G799"/>
      <c r="L799"/>
      <c r="M799"/>
      <c r="N799"/>
      <c r="O799"/>
    </row>
    <row r="800" spans="1:15" x14ac:dyDescent="0.2">
      <c r="A800"/>
      <c r="B800"/>
      <c r="C800"/>
      <c r="F800"/>
      <c r="G800"/>
      <c r="H800"/>
      <c r="I800"/>
      <c r="J800"/>
      <c r="K800"/>
      <c r="L800"/>
      <c r="M800"/>
      <c r="N800"/>
      <c r="O800"/>
    </row>
    <row r="801" spans="1:15" x14ac:dyDescent="0.2">
      <c r="A801"/>
      <c r="B801"/>
      <c r="C801"/>
      <c r="F801"/>
      <c r="G801"/>
      <c r="J801"/>
      <c r="M801"/>
      <c r="N801"/>
      <c r="O801"/>
    </row>
    <row r="802" spans="1:15" x14ac:dyDescent="0.2">
      <c r="A802"/>
      <c r="B802"/>
      <c r="C802"/>
      <c r="F802"/>
      <c r="G802"/>
      <c r="I802"/>
      <c r="L802"/>
      <c r="M802"/>
      <c r="N802"/>
      <c r="O802"/>
    </row>
    <row r="803" spans="1:15" x14ac:dyDescent="0.2">
      <c r="A803"/>
      <c r="B803"/>
      <c r="C803"/>
      <c r="F803"/>
      <c r="G803"/>
      <c r="H803"/>
      <c r="J803"/>
      <c r="K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J806"/>
      <c r="K806"/>
      <c r="L806"/>
      <c r="M806"/>
      <c r="N806"/>
      <c r="O806"/>
    </row>
    <row r="807" spans="1:15" x14ac:dyDescent="0.2">
      <c r="A807"/>
      <c r="B807"/>
      <c r="C807"/>
      <c r="F807"/>
      <c r="G807"/>
      <c r="H807"/>
      <c r="I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H811"/>
      <c r="I811"/>
      <c r="L811"/>
      <c r="M811"/>
      <c r="N811"/>
      <c r="O811"/>
    </row>
    <row r="812" spans="1:15" x14ac:dyDescent="0.2">
      <c r="A812"/>
      <c r="B812"/>
      <c r="C812"/>
      <c r="F812"/>
      <c r="G812"/>
      <c r="L812"/>
      <c r="M812"/>
      <c r="N812"/>
      <c r="O812"/>
    </row>
    <row r="813" spans="1:15" x14ac:dyDescent="0.2">
      <c r="A813"/>
      <c r="B813"/>
      <c r="C813"/>
      <c r="F813"/>
      <c r="G813"/>
      <c r="H813"/>
      <c r="J813"/>
      <c r="K813"/>
      <c r="L813"/>
      <c r="M813"/>
      <c r="N813"/>
      <c r="O813"/>
    </row>
    <row r="814" spans="1:15" x14ac:dyDescent="0.2">
      <c r="A814"/>
      <c r="B814"/>
      <c r="C814"/>
      <c r="F814"/>
      <c r="G814"/>
      <c r="H814"/>
      <c r="I814"/>
      <c r="L814"/>
      <c r="M814"/>
      <c r="N814"/>
      <c r="O814"/>
    </row>
    <row r="815" spans="1:15" x14ac:dyDescent="0.2">
      <c r="A815"/>
      <c r="B815"/>
      <c r="C815"/>
      <c r="F815"/>
      <c r="G815"/>
      <c r="I815"/>
      <c r="L815"/>
      <c r="M815"/>
      <c r="N815"/>
      <c r="O815"/>
    </row>
    <row r="816" spans="1:15" x14ac:dyDescent="0.2">
      <c r="A816"/>
      <c r="B816"/>
      <c r="C816"/>
      <c r="F816"/>
      <c r="G816"/>
      <c r="H816"/>
      <c r="I816"/>
      <c r="L816"/>
      <c r="M816"/>
      <c r="N816"/>
      <c r="O816"/>
    </row>
    <row r="817" spans="1:15" x14ac:dyDescent="0.2">
      <c r="A817"/>
      <c r="B817"/>
      <c r="C817"/>
      <c r="F817"/>
      <c r="G817"/>
      <c r="H817"/>
      <c r="I817"/>
      <c r="L817"/>
      <c r="M817"/>
      <c r="N817"/>
      <c r="O817"/>
    </row>
    <row r="818" spans="1:15" x14ac:dyDescent="0.2">
      <c r="A818"/>
      <c r="B818"/>
      <c r="C818"/>
      <c r="F818"/>
      <c r="G818"/>
      <c r="L818"/>
      <c r="M818"/>
      <c r="N818"/>
      <c r="O818"/>
    </row>
    <row r="819" spans="1:15" x14ac:dyDescent="0.2">
      <c r="A819"/>
      <c r="B819"/>
      <c r="C819"/>
      <c r="F819"/>
      <c r="G819"/>
      <c r="H819"/>
      <c r="I819"/>
      <c r="L819"/>
      <c r="M819"/>
      <c r="N819"/>
      <c r="O819"/>
    </row>
    <row r="820" spans="1:15" x14ac:dyDescent="0.2">
      <c r="A820"/>
      <c r="B820"/>
      <c r="C820"/>
      <c r="F820"/>
      <c r="G820"/>
      <c r="J820"/>
      <c r="K820"/>
      <c r="L820"/>
      <c r="M820"/>
      <c r="N820"/>
      <c r="O820"/>
    </row>
    <row r="821" spans="1:15" x14ac:dyDescent="0.2">
      <c r="A821"/>
      <c r="B821"/>
      <c r="C821"/>
      <c r="F821"/>
      <c r="G821"/>
      <c r="L821"/>
      <c r="M821"/>
      <c r="N821"/>
      <c r="O821"/>
    </row>
    <row r="822" spans="1:15" x14ac:dyDescent="0.2">
      <c r="A822"/>
      <c r="B822"/>
      <c r="C822"/>
      <c r="F822"/>
      <c r="G822"/>
      <c r="M822"/>
      <c r="N822"/>
      <c r="O822"/>
    </row>
    <row r="823" spans="1:15" x14ac:dyDescent="0.2">
      <c r="A823"/>
      <c r="B823"/>
      <c r="C823"/>
      <c r="F823"/>
      <c r="G823"/>
      <c r="H823"/>
      <c r="I823"/>
      <c r="L823"/>
      <c r="M823"/>
      <c r="N823"/>
      <c r="O823"/>
    </row>
    <row r="824" spans="1:15" x14ac:dyDescent="0.2">
      <c r="A824"/>
      <c r="B824"/>
      <c r="C824"/>
      <c r="F824"/>
      <c r="G824"/>
      <c r="H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I828"/>
      <c r="L828"/>
      <c r="M828"/>
      <c r="N828"/>
      <c r="O828"/>
    </row>
    <row r="829" spans="1:15" x14ac:dyDescent="0.2">
      <c r="A829"/>
      <c r="B829"/>
      <c r="C829"/>
      <c r="F829"/>
      <c r="G829"/>
      <c r="H829"/>
      <c r="I829"/>
      <c r="L829"/>
      <c r="N829"/>
      <c r="O829"/>
    </row>
    <row r="830" spans="1:15" x14ac:dyDescent="0.2">
      <c r="A830"/>
      <c r="B830"/>
      <c r="C830"/>
      <c r="F830"/>
      <c r="G830"/>
      <c r="I830"/>
      <c r="L830"/>
      <c r="M830"/>
      <c r="N830"/>
      <c r="O830"/>
    </row>
    <row r="831" spans="1:15" x14ac:dyDescent="0.2">
      <c r="A831"/>
      <c r="B831"/>
      <c r="C831"/>
      <c r="F831"/>
      <c r="G831"/>
      <c r="H831"/>
      <c r="L831"/>
      <c r="M831"/>
      <c r="N831"/>
      <c r="O831"/>
    </row>
    <row r="832" spans="1:15" x14ac:dyDescent="0.2">
      <c r="A832"/>
      <c r="B832"/>
      <c r="C832"/>
      <c r="F832"/>
      <c r="G832"/>
      <c r="H832"/>
      <c r="I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M836"/>
      <c r="N836"/>
      <c r="O836"/>
    </row>
    <row r="837" spans="1:15" x14ac:dyDescent="0.2">
      <c r="A837"/>
      <c r="B837"/>
      <c r="C837"/>
      <c r="F837"/>
      <c r="G837"/>
      <c r="I837"/>
      <c r="L837"/>
      <c r="M837"/>
      <c r="N837"/>
      <c r="O837"/>
    </row>
    <row r="838" spans="1:15" x14ac:dyDescent="0.2">
      <c r="A838"/>
      <c r="B838"/>
      <c r="C838"/>
      <c r="F838"/>
      <c r="G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M841"/>
      <c r="N841"/>
      <c r="O841"/>
    </row>
    <row r="842" spans="1:15" x14ac:dyDescent="0.2">
      <c r="A842"/>
      <c r="B842"/>
      <c r="C842"/>
      <c r="F842"/>
      <c r="G842"/>
      <c r="L842"/>
      <c r="M842"/>
      <c r="N842"/>
      <c r="O842"/>
    </row>
    <row r="843" spans="1:15" x14ac:dyDescent="0.2">
      <c r="A843"/>
      <c r="B843"/>
      <c r="C843"/>
      <c r="F843"/>
      <c r="G843"/>
      <c r="H843"/>
      <c r="I843"/>
      <c r="L843"/>
      <c r="M843"/>
      <c r="N843"/>
      <c r="O843"/>
    </row>
    <row r="844" spans="1:15" x14ac:dyDescent="0.2">
      <c r="A844"/>
      <c r="B844"/>
      <c r="C844"/>
      <c r="F844"/>
      <c r="G844"/>
      <c r="L844"/>
      <c r="M844"/>
      <c r="N844"/>
      <c r="O844"/>
    </row>
    <row r="845" spans="1:15" x14ac:dyDescent="0.2">
      <c r="A845"/>
      <c r="B845"/>
      <c r="C845"/>
      <c r="F845"/>
      <c r="G845"/>
      <c r="L845"/>
      <c r="M845"/>
      <c r="N845"/>
      <c r="O845"/>
    </row>
    <row r="846" spans="1:15" x14ac:dyDescent="0.2">
      <c r="A846"/>
      <c r="B846"/>
      <c r="C846"/>
      <c r="F846"/>
      <c r="G846"/>
      <c r="H846"/>
      <c r="I846"/>
      <c r="J846"/>
      <c r="K846"/>
      <c r="L846"/>
      <c r="M846"/>
      <c r="N846"/>
      <c r="O846"/>
    </row>
    <row r="847" spans="1:15" x14ac:dyDescent="0.2">
      <c r="A847"/>
      <c r="B847"/>
      <c r="C847"/>
      <c r="F847"/>
      <c r="G847"/>
      <c r="I847"/>
      <c r="L847"/>
      <c r="M847"/>
      <c r="N847"/>
      <c r="O847"/>
    </row>
    <row r="848" spans="1:15" x14ac:dyDescent="0.2">
      <c r="A848"/>
      <c r="B848"/>
      <c r="C848"/>
      <c r="F848"/>
      <c r="G848"/>
      <c r="H848"/>
      <c r="I848"/>
      <c r="L848"/>
      <c r="M848"/>
      <c r="N848"/>
      <c r="O848"/>
    </row>
    <row r="849" spans="1:15" x14ac:dyDescent="0.2">
      <c r="A849"/>
      <c r="B849"/>
      <c r="C849"/>
      <c r="F849"/>
      <c r="G849"/>
      <c r="I849"/>
      <c r="L849"/>
      <c r="M849"/>
      <c r="N849"/>
      <c r="O849"/>
    </row>
    <row r="850" spans="1:15" x14ac:dyDescent="0.2">
      <c r="A850"/>
      <c r="B850"/>
      <c r="C850"/>
      <c r="F850"/>
      <c r="G850"/>
      <c r="H850"/>
      <c r="I850"/>
      <c r="L850"/>
      <c r="M850"/>
      <c r="N850"/>
      <c r="O850"/>
    </row>
    <row r="851" spans="1:15" x14ac:dyDescent="0.2">
      <c r="A851"/>
      <c r="B851"/>
      <c r="C851"/>
      <c r="F851"/>
      <c r="G851"/>
      <c r="L851"/>
      <c r="M851"/>
      <c r="N851"/>
      <c r="O851"/>
    </row>
    <row r="852" spans="1:15" x14ac:dyDescent="0.2">
      <c r="A852"/>
      <c r="B852"/>
      <c r="C852"/>
      <c r="F852"/>
      <c r="G852"/>
      <c r="J852"/>
      <c r="K852"/>
      <c r="L852"/>
      <c r="M852"/>
      <c r="N852"/>
      <c r="O852"/>
    </row>
    <row r="853" spans="1:15" x14ac:dyDescent="0.2">
      <c r="A853"/>
      <c r="B853"/>
      <c r="C853"/>
      <c r="F853"/>
      <c r="G853"/>
      <c r="I853"/>
      <c r="L853"/>
      <c r="M853"/>
      <c r="N853"/>
      <c r="O853"/>
    </row>
    <row r="854" spans="1:15" x14ac:dyDescent="0.2">
      <c r="A854"/>
      <c r="B854"/>
      <c r="C854"/>
      <c r="F854"/>
      <c r="G854"/>
      <c r="H854"/>
      <c r="I854"/>
      <c r="L854"/>
      <c r="N854"/>
      <c r="O854"/>
    </row>
    <row r="855" spans="1:15" x14ac:dyDescent="0.2">
      <c r="A855"/>
      <c r="B855"/>
      <c r="C855"/>
      <c r="F855"/>
      <c r="G855"/>
      <c r="H855"/>
      <c r="I855"/>
      <c r="L855"/>
      <c r="M855"/>
      <c r="N855"/>
      <c r="O855"/>
    </row>
    <row r="856" spans="1:15" x14ac:dyDescent="0.2">
      <c r="A856"/>
      <c r="B856"/>
      <c r="C856"/>
      <c r="F856"/>
      <c r="G856"/>
      <c r="J856"/>
      <c r="K856"/>
      <c r="L856"/>
      <c r="M856"/>
      <c r="N856"/>
      <c r="O856"/>
    </row>
    <row r="857" spans="1:15" x14ac:dyDescent="0.2">
      <c r="A857"/>
      <c r="B857"/>
      <c r="C857"/>
      <c r="F857"/>
      <c r="G857"/>
      <c r="H857"/>
      <c r="I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J861"/>
      <c r="K861"/>
      <c r="L861"/>
      <c r="M861"/>
      <c r="N861"/>
      <c r="O861"/>
    </row>
    <row r="862" spans="1:15" x14ac:dyDescent="0.2">
      <c r="A862"/>
      <c r="B862"/>
      <c r="C862"/>
      <c r="F862"/>
      <c r="G862"/>
      <c r="J862"/>
      <c r="K862"/>
      <c r="L862"/>
      <c r="M862"/>
      <c r="N862"/>
      <c r="O862"/>
    </row>
    <row r="863" spans="1:15" x14ac:dyDescent="0.2">
      <c r="A863"/>
      <c r="B863"/>
      <c r="C863"/>
      <c r="F863"/>
      <c r="G863"/>
      <c r="H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9"/>
    </row>
    <row r="3" spans="1:2" x14ac:dyDescent="0.2">
      <c r="A3" s="669"/>
    </row>
    <row r="4" spans="1:2" x14ac:dyDescent="0.2">
      <c r="A4" s="669"/>
    </row>
    <row r="5" spans="1:2" x14ac:dyDescent="0.2">
      <c r="A5" s="669"/>
    </row>
    <row r="6" spans="1:2" x14ac:dyDescent="0.2">
      <c r="A6" s="669"/>
    </row>
    <row r="7" spans="1:2" x14ac:dyDescent="0.2">
      <c r="A7" s="669"/>
    </row>
    <row r="8" spans="1:2" x14ac:dyDescent="0.2">
      <c r="A8" s="669"/>
    </row>
    <row r="9" spans="1:2" x14ac:dyDescent="0.2">
      <c r="A9" s="669"/>
    </row>
    <row r="10" spans="1:2" x14ac:dyDescent="0.2">
      <c r="A10" s="669"/>
    </row>
    <row r="11" spans="1:2" x14ac:dyDescent="0.2">
      <c r="A11" s="669"/>
    </row>
    <row r="12" spans="1:2" x14ac:dyDescent="0.2">
      <c r="A12" s="669"/>
    </row>
    <row r="13" spans="1:2" x14ac:dyDescent="0.2">
      <c r="A13" s="669"/>
    </row>
    <row r="14" spans="1:2" x14ac:dyDescent="0.2">
      <c r="A14" s="669"/>
    </row>
    <row r="15" spans="1:2" x14ac:dyDescent="0.2">
      <c r="A15" s="669"/>
    </row>
    <row r="16" spans="1:2" x14ac:dyDescent="0.2">
      <c r="A16" s="669"/>
    </row>
    <row r="17" spans="1:1" x14ac:dyDescent="0.2">
      <c r="A17" s="669"/>
    </row>
    <row r="18" spans="1:1" x14ac:dyDescent="0.2">
      <c r="A18" s="669"/>
    </row>
    <row r="19" spans="1:1" x14ac:dyDescent="0.2">
      <c r="A19" s="669"/>
    </row>
    <row r="20" spans="1:1" x14ac:dyDescent="0.2">
      <c r="A20" s="669"/>
    </row>
    <row r="21" spans="1:1" x14ac:dyDescent="0.2">
      <c r="A21" s="669"/>
    </row>
    <row r="22" spans="1:1" x14ac:dyDescent="0.2">
      <c r="A22" s="669"/>
    </row>
    <row r="23" spans="1:1" x14ac:dyDescent="0.2">
      <c r="A23" s="669"/>
    </row>
    <row r="24" spans="1:1" x14ac:dyDescent="0.2">
      <c r="A24" s="669"/>
    </row>
    <row r="25" spans="1:1" x14ac:dyDescent="0.2">
      <c r="A25" s="669"/>
    </row>
    <row r="26" spans="1:1" x14ac:dyDescent="0.2">
      <c r="A26" s="669"/>
    </row>
    <row r="27" spans="1:1" x14ac:dyDescent="0.2">
      <c r="A27" s="669"/>
    </row>
    <row r="28" spans="1:1" x14ac:dyDescent="0.2">
      <c r="A28" s="669"/>
    </row>
    <row r="29" spans="1:1" x14ac:dyDescent="0.2">
      <c r="A29" s="669"/>
    </row>
    <row r="30" spans="1:1" x14ac:dyDescent="0.2">
      <c r="A30" s="669"/>
    </row>
    <row r="31" spans="1:1" x14ac:dyDescent="0.2">
      <c r="A31" s="669"/>
    </row>
    <row r="32" spans="1:1" x14ac:dyDescent="0.2">
      <c r="A32" s="669"/>
    </row>
    <row r="33" spans="1:1" x14ac:dyDescent="0.2">
      <c r="A33" s="669"/>
    </row>
    <row r="34" spans="1:1" x14ac:dyDescent="0.2">
      <c r="A34" s="669"/>
    </row>
    <row r="35" spans="1:1" x14ac:dyDescent="0.2">
      <c r="A35" s="669"/>
    </row>
    <row r="36" spans="1:1" x14ac:dyDescent="0.2">
      <c r="A36" s="669"/>
    </row>
    <row r="37" spans="1:1" x14ac:dyDescent="0.2">
      <c r="A37" s="669"/>
    </row>
    <row r="38" spans="1:1" x14ac:dyDescent="0.2">
      <c r="A38" s="669"/>
    </row>
    <row r="39" spans="1:1" x14ac:dyDescent="0.2">
      <c r="A39" s="669"/>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166</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dOaAvM6OYitCnC8TSHiSLLbJ+osLK8AgDRDjrbCiDf+FswC5MOVl8N543XdgShAP9PIn2GQD8zl79s0S5aGx3Q==" saltValue="M21PxjDWWzEhVdpAa7A2/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4" priority="1">
      <formula>AND(ROW() &gt;= $Q$1, ROW() &lt;= $Q$2)</formula>
    </cfRule>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WKGTq4l94BzdPm52m12BVNbY7eVisb8TkqWbGU+C5W4zqzQHe26TJABO0y1yT+OqpMy1QCWr+RFrnXyVSyP5xQ==" saltValue="B7T0AoFS4VoiCdQmlGatD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PTLof5YABQr3MKcWtUmZ8Go8CsT+axGI+DL3Jxh4zsu3rLqHuH4XKuuH7gnpw6pixU3JTgG6Zf3Sz9qWmxsphQ==" saltValue="ISbZ+kKTsu0zB38nQLpEz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6"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xDkvYdj9tHk5/mLn54+W/cIAKjMZStxrYLakF9wi/qW3bbUmTLLlBfHzQwQE0RjdxhEc9In0h9SmoOAo3wDytw==" saltValue="maE8Dcu/cmqklvGTTx0cpg==" spinCount="100000" sheet="1" objects="1" scenarios="1" selectLockedCells="1" autoFilter="0"/>
  <mergeCells count="2">
    <mergeCell ref="D32:M34"/>
    <mergeCell ref="C37:M40"/>
  </mergeCells>
  <phoneticPr fontId="20" type="noConversion"/>
  <conditionalFormatting sqref="C45">
    <cfRule type="expression" dxfId="59" priority="65">
      <formula>ISNUMBER(SEARCH(".",C45))</formula>
    </cfRule>
    <cfRule type="expression" dxfId="58" priority="66">
      <formula>ISERROR(SEARCH(".",C45))</formula>
    </cfRule>
  </conditionalFormatting>
  <conditionalFormatting sqref="D14:D18">
    <cfRule type="expression" dxfId="57" priority="63">
      <formula>ISERROR(SEARCH(1,$D$19))</formula>
    </cfRule>
    <cfRule type="expression" dxfId="56" priority="64">
      <formula>ISNUMBER(SEARCH(1,$D$19))</formula>
    </cfRule>
  </conditionalFormatting>
  <conditionalFormatting sqref="G14:G18">
    <cfRule type="expression" dxfId="55" priority="61">
      <formula>ISERROR(SEARCH(1,$G$19))</formula>
    </cfRule>
    <cfRule type="expression" dxfId="54" priority="62">
      <formula>ISNUMBER(SEARCH(1,$G$19))</formula>
    </cfRule>
  </conditionalFormatting>
  <conditionalFormatting sqref="J14:J18">
    <cfRule type="expression" dxfId="53" priority="57">
      <formula>ISERROR(SEARCH(1,$J$19))</formula>
    </cfRule>
    <cfRule type="expression" dxfId="52" priority="58">
      <formula>ISNUMBER(SEARCH(1,$J$19))</formula>
    </cfRule>
  </conditionalFormatting>
  <conditionalFormatting sqref="M14:M18">
    <cfRule type="expression" dxfId="51" priority="53">
      <formula>ISERROR(SEARCH(1,$M$19))</formula>
    </cfRule>
    <cfRule type="expression" dxfId="50" priority="54">
      <formula>ISNUMBER(SEARCH(1,$M$19))</formula>
    </cfRule>
  </conditionalFormatting>
  <conditionalFormatting sqref="G26:G30">
    <cfRule type="expression" dxfId="49" priority="45">
      <formula>ISERROR(SEARCH(1,$G$31))</formula>
    </cfRule>
    <cfRule type="expression" dxfId="48" priority="46">
      <formula>ISNUMBER(SEARCH(1,$G$31))</formula>
    </cfRule>
  </conditionalFormatting>
  <conditionalFormatting sqref="J26:J30">
    <cfRule type="expression" dxfId="47" priority="41">
      <formula>ISERROR(SEARCH(1,$J$31))</formula>
    </cfRule>
    <cfRule type="expression" dxfId="46" priority="42">
      <formula>ISNUMBER(SEARCH(1,$J$31))</formula>
    </cfRule>
  </conditionalFormatting>
  <conditionalFormatting sqref="M26:M30">
    <cfRule type="expression" dxfId="45" priority="37">
      <formula>ISERROR(SEARCH(1,$M$31))</formula>
    </cfRule>
    <cfRule type="expression" dxfId="44" priority="38">
      <formula>ISNUMBER(SEARCH(1,$M$31))</formula>
    </cfRule>
  </conditionalFormatting>
  <conditionalFormatting sqref="D26:D30">
    <cfRule type="expression" dxfId="43" priority="33">
      <formula>ISERROR(SEARCH(1,$D$19))</formula>
    </cfRule>
    <cfRule type="expression" dxfId="42" priority="34">
      <formula>ISNUMBER(SEARCH(1,$D$19))</formula>
    </cfRule>
  </conditionalFormatting>
  <conditionalFormatting sqref="D11:D13">
    <cfRule type="expression" dxfId="41" priority="31">
      <formula>ISERROR(SEARCH(1,$G$19))</formula>
    </cfRule>
    <cfRule type="expression" dxfId="40" priority="32">
      <formula>ISNUMBER(SEARCH(1,$G$19))</formula>
    </cfRule>
  </conditionalFormatting>
  <conditionalFormatting sqref="D10">
    <cfRule type="expression" dxfId="39" priority="29">
      <formula>ISERROR(SEARCH(1,$G$19))</formula>
    </cfRule>
    <cfRule type="expression" dxfId="38" priority="30">
      <formula>ISNUMBER(SEARCH(1,$G$19))</formula>
    </cfRule>
  </conditionalFormatting>
  <conditionalFormatting sqref="G11:G13">
    <cfRule type="expression" dxfId="37" priority="27">
      <formula>ISERROR(SEARCH(1,$G$19))</formula>
    </cfRule>
    <cfRule type="expression" dxfId="36" priority="28">
      <formula>ISNUMBER(SEARCH(1,$G$19))</formula>
    </cfRule>
  </conditionalFormatting>
  <conditionalFormatting sqref="G10">
    <cfRule type="expression" dxfId="35" priority="25">
      <formula>ISERROR(SEARCH(1,$G$19))</formula>
    </cfRule>
    <cfRule type="expression" dxfId="34" priority="26">
      <formula>ISNUMBER(SEARCH(1,$G$19))</formula>
    </cfRule>
  </conditionalFormatting>
  <conditionalFormatting sqref="J11:J13">
    <cfRule type="expression" dxfId="33" priority="23">
      <formula>ISERROR(SEARCH(1,$G$19))</formula>
    </cfRule>
    <cfRule type="expression" dxfId="32" priority="24">
      <formula>ISNUMBER(SEARCH(1,$G$19))</formula>
    </cfRule>
  </conditionalFormatting>
  <conditionalFormatting sqref="J10">
    <cfRule type="expression" dxfId="31" priority="21">
      <formula>ISERROR(SEARCH(1,$G$19))</formula>
    </cfRule>
    <cfRule type="expression" dxfId="30" priority="22">
      <formula>ISNUMBER(SEARCH(1,$G$19))</formula>
    </cfRule>
  </conditionalFormatting>
  <conditionalFormatting sqref="M11:M13">
    <cfRule type="expression" dxfId="29" priority="19">
      <formula>ISERROR(SEARCH(1,$G$19))</formula>
    </cfRule>
    <cfRule type="expression" dxfId="28" priority="20">
      <formula>ISNUMBER(SEARCH(1,$G$19))</formula>
    </cfRule>
  </conditionalFormatting>
  <conditionalFormatting sqref="M10">
    <cfRule type="expression" dxfId="27" priority="17">
      <formula>ISERROR(SEARCH(1,$G$19))</formula>
    </cfRule>
    <cfRule type="expression" dxfId="26" priority="18">
      <formula>ISNUMBER(SEARCH(1,$G$19))</formula>
    </cfRule>
  </conditionalFormatting>
  <conditionalFormatting sqref="D23:D25">
    <cfRule type="expression" dxfId="25" priority="15">
      <formula>ISERROR(SEARCH(1,$G$19))</formula>
    </cfRule>
    <cfRule type="expression" dxfId="24" priority="16">
      <formula>ISNUMBER(SEARCH(1,$G$19))</formula>
    </cfRule>
  </conditionalFormatting>
  <conditionalFormatting sqref="D22">
    <cfRule type="expression" dxfId="23" priority="13">
      <formula>ISERROR(SEARCH(1,$G$19))</formula>
    </cfRule>
    <cfRule type="expression" dxfId="22" priority="14">
      <formula>ISNUMBER(SEARCH(1,$G$19))</formula>
    </cfRule>
  </conditionalFormatting>
  <conditionalFormatting sqref="G23:G25">
    <cfRule type="expression" dxfId="21" priority="11">
      <formula>ISERROR(SEARCH(1,$G$19))</formula>
    </cfRule>
    <cfRule type="expression" dxfId="20" priority="12">
      <formula>ISNUMBER(SEARCH(1,$G$19))</formula>
    </cfRule>
  </conditionalFormatting>
  <conditionalFormatting sqref="G22">
    <cfRule type="expression" dxfId="19" priority="9">
      <formula>ISERROR(SEARCH(1,$G$19))</formula>
    </cfRule>
    <cfRule type="expression" dxfId="18" priority="10">
      <formula>ISNUMBER(SEARCH(1,$G$19))</formula>
    </cfRule>
  </conditionalFormatting>
  <conditionalFormatting sqref="J23:J25">
    <cfRule type="expression" dxfId="17" priority="7">
      <formula>ISERROR(SEARCH(1,$G$19))</formula>
    </cfRule>
    <cfRule type="expression" dxfId="16" priority="8">
      <formula>ISNUMBER(SEARCH(1,$G$19))</formula>
    </cfRule>
  </conditionalFormatting>
  <conditionalFormatting sqref="J22">
    <cfRule type="expression" dxfId="15" priority="5">
      <formula>ISERROR(SEARCH(1,$G$19))</formula>
    </cfRule>
    <cfRule type="expression" dxfId="14" priority="6">
      <formula>ISNUMBER(SEARCH(1,$G$19))</formula>
    </cfRule>
  </conditionalFormatting>
  <conditionalFormatting sqref="M23:M25">
    <cfRule type="expression" dxfId="13" priority="3">
      <formula>ISERROR(SEARCH(1,$G$19))</formula>
    </cfRule>
    <cfRule type="expression" dxfId="12" priority="4">
      <formula>ISNUMBER(SEARCH(1,$G$19))</formula>
    </cfRule>
  </conditionalFormatting>
  <conditionalFormatting sqref="M22">
    <cfRule type="expression" dxfId="11" priority="1">
      <formula>ISERROR(SEARCH(1,$G$19))</formula>
    </cfRule>
    <cfRule type="expression" dxfId="1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344</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1"/>
      <c r="H29" s="268" t="s">
        <v>345</v>
      </c>
      <c r="I29" s="114" t="str">
        <f>IF(Main!N47="","",Main!N47)</f>
        <v>Periodic</v>
      </c>
      <c r="J29" s="663" t="s">
        <v>346</v>
      </c>
      <c r="K29" s="664"/>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58" t="s">
        <v>332</v>
      </c>
      <c r="I30" s="658"/>
      <c r="J30" s="665" t="s">
        <v>378</v>
      </c>
      <c r="K30" s="666"/>
      <c r="L30" s="667"/>
      <c r="M30" s="265"/>
      <c r="O30" s="659" t="s">
        <v>381</v>
      </c>
      <c r="P30" s="660"/>
      <c r="Q30" s="661"/>
      <c r="T30" s="39"/>
    </row>
    <row r="31" spans="1:20" x14ac:dyDescent="0.2">
      <c r="A31" s="646" t="s">
        <v>36</v>
      </c>
      <c r="B31" s="647"/>
      <c r="C31" s="50" t="str">
        <f>IF(Main!D50="","",Main!D50)</f>
        <v/>
      </c>
      <c r="D31" s="50" t="str">
        <f>IF(Main!E50="","",Main!E50)</f>
        <v/>
      </c>
      <c r="E31" s="50" t="str">
        <f>IF(Main!F50="","",Main!F50)</f>
        <v/>
      </c>
      <c r="F31" s="50" t="str">
        <f>IF(Main!G50="","",Main!G50)</f>
        <v/>
      </c>
      <c r="G31" s="273"/>
      <c r="H31" s="253" t="s">
        <v>347</v>
      </c>
      <c r="I31" s="255" t="str">
        <f>IF(Main!N49="","",Main!N49)</f>
        <v/>
      </c>
      <c r="J31" s="648" t="s">
        <v>386</v>
      </c>
      <c r="K31" s="649"/>
      <c r="L31" s="650"/>
      <c r="M31" s="266" t="str">
        <f>IF(Main!S49="","",Main!S49)</f>
        <v/>
      </c>
      <c r="O31" s="569" t="s">
        <v>388</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363</v>
      </c>
      <c r="I32" s="255" t="str">
        <f>IF(Main!N50="","",Main!N50)</f>
        <v/>
      </c>
      <c r="J32" s="651" t="s">
        <v>335</v>
      </c>
      <c r="K32" s="652"/>
      <c r="L32" s="653"/>
      <c r="M32" s="261"/>
      <c r="O32" s="651" t="s">
        <v>335</v>
      </c>
      <c r="P32" s="652"/>
      <c r="Q32" s="653"/>
      <c r="T32" s="39"/>
    </row>
    <row r="33" spans="1:20" ht="12.75" customHeight="1" x14ac:dyDescent="0.2">
      <c r="A33" s="646" t="s">
        <v>348</v>
      </c>
      <c r="B33" s="647"/>
      <c r="C33" s="49" t="str">
        <f>IF(Main!D52="","",Main!D52)</f>
        <v/>
      </c>
      <c r="D33" s="49" t="str">
        <f>IF(Main!E52="","",Main!E52)</f>
        <v/>
      </c>
      <c r="E33" s="49" t="str">
        <f>IF(Main!F52="","",Main!F52)</f>
        <v/>
      </c>
      <c r="F33" s="49" t="str">
        <f>IF(Main!G52="","",Main!G52)</f>
        <v/>
      </c>
      <c r="G33" s="271"/>
      <c r="H33" s="253" t="s">
        <v>349</v>
      </c>
      <c r="I33" s="255" t="str">
        <f>IF(Main!N51="","",Main!N51)</f>
        <v/>
      </c>
      <c r="J33" s="654" t="s">
        <v>387</v>
      </c>
      <c r="K33" s="655"/>
      <c r="L33" s="656"/>
      <c r="M33" s="260" t="str">
        <f>IF(Main!S51="","",Main!S51)</f>
        <v/>
      </c>
      <c r="O33" s="654" t="s">
        <v>389</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350</v>
      </c>
      <c r="I34" s="252" t="str">
        <f>IF(Main!N52="","",Main!N52)</f>
        <v/>
      </c>
      <c r="J34" s="651" t="s">
        <v>335</v>
      </c>
      <c r="K34" s="652"/>
      <c r="L34" s="653"/>
      <c r="O34" s="651" t="s">
        <v>335</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350</v>
      </c>
      <c r="I35" s="252" t="str">
        <f>IF(Main!N53="","",Main!N53)</f>
        <v/>
      </c>
      <c r="J35" s="640" t="s">
        <v>390</v>
      </c>
      <c r="K35" s="641"/>
      <c r="L35" s="642"/>
      <c r="M35" s="269" t="str">
        <f>IF(Main!S53="","",Main!S53)</f>
        <v/>
      </c>
      <c r="O35" s="640" t="s">
        <v>391</v>
      </c>
      <c r="P35" s="641"/>
      <c r="Q35" s="642"/>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43"/>
      <c r="K36" s="644"/>
      <c r="L36" s="645"/>
      <c r="M36" s="264"/>
      <c r="O36" s="643"/>
      <c r="P36" s="644"/>
      <c r="Q36" s="645"/>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x+S0B1p2G/AkfvOhrNM+9lz61mx1tewUTCUodxmW5aAhHHSEfcydkIMZ+qBJ34hg3cRzkVJH9UGeTAYj966cnw==" saltValue="1Mfe21OrYUCKHe9GAGtRt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ANcxapFXnimyb+4+hKM26Wpb2z29pIwTrutgGNJB2x4lTC8bmrBTL1OeB4Nbka+o1Osb8ecrchyNpj9olg0zEw==" saltValue="qPIyWw+dISYH/lzoYVxGY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Matt Coleman</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368</v>
      </c>
      <c r="AE12" s="39" t="s">
        <v>357</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SfXDt6djLbzNuSXRnB1N9u7vylaa27ReAP1A0alEdzVdysLl+h+Wyy8mUCgP8yhxdF24Tn9nBBaQCtSOmEWH0g==" saltValue="pexHjFT1sVdq/wRqDZlSD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2025-09-24T21:51:37Z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