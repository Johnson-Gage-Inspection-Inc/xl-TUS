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7210F25-7EAB-4953-A13D-57D785613951}"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19" i="4"/>
  <c r="E2" i="71" l="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R14" i="8" a="1"/>
  <c r="R7" i="8" a="1"/>
  <c r="S25" i="8" a="1"/>
  <c r="R38" i="8" a="1"/>
  <c r="R5" i="8" a="1"/>
  <c r="R34" i="8" a="1"/>
  <c r="S14" i="8" a="1"/>
  <c r="S37" i="8" a="1"/>
  <c r="R17" i="8" a="1"/>
  <c r="R27" i="8" a="1"/>
  <c r="R30" i="8" a="1"/>
  <c r="R42" i="8" a="1"/>
  <c r="S30" i="8" a="1"/>
  <c r="S28" i="8" a="1"/>
  <c r="R44" i="8" a="1"/>
  <c r="S22" i="8" a="1"/>
  <c r="R8" i="8" a="1"/>
  <c r="S10" i="8" a="1"/>
  <c r="R20" i="8" a="1"/>
  <c r="R32" i="8" a="1"/>
  <c r="S31" i="8" a="1"/>
  <c r="S7" i="8" a="1"/>
  <c r="R18" i="8" a="1"/>
  <c r="S21" i="8" a="1"/>
  <c r="R39" i="8" a="1"/>
  <c r="R19" i="8" a="1"/>
  <c r="S36" i="8" a="1"/>
  <c r="S42" i="8" a="1"/>
  <c r="S19" i="8" a="1"/>
  <c r="S43" i="8" a="1"/>
  <c r="R28" i="8" a="1"/>
  <c r="S40" i="8" a="1"/>
  <c r="S20" i="8" a="1"/>
  <c r="S18" i="8" a="1"/>
  <c r="S34" i="8" a="1"/>
  <c r="R22" i="8" a="1"/>
  <c r="S13" i="8" a="1"/>
  <c r="R43" i="8" a="1"/>
  <c r="R26" i="8" a="1"/>
  <c r="R9" i="8" a="1"/>
  <c r="R24" i="8" a="1"/>
  <c r="S35" i="8" a="1"/>
  <c r="R15" i="8" a="1"/>
  <c r="S9" i="8" a="1"/>
  <c r="S38" i="8" a="1"/>
  <c r="S41" i="8" a="1"/>
  <c r="R40" i="8" a="1"/>
  <c r="S15" i="8" a="1"/>
  <c r="S5" i="8" a="1"/>
  <c r="R23" i="8" a="1"/>
  <c r="R35" i="8" a="1"/>
  <c r="S33" i="8" a="1"/>
  <c r="R16" i="8" a="1"/>
  <c r="S8" i="8" a="1"/>
  <c r="S16" i="8" a="1"/>
  <c r="S24" i="8" a="1"/>
  <c r="R25" i="8" a="1"/>
  <c r="R36" i="8" a="1"/>
  <c r="S12" i="8" a="1"/>
  <c r="R21" i="8" a="1"/>
  <c r="R13" i="8" a="1"/>
  <c r="S44" i="8" a="1"/>
  <c r="R37" i="8" a="1"/>
  <c r="S27" i="8" a="1"/>
  <c r="R12" i="8" a="1"/>
  <c r="R31" i="8" a="1"/>
  <c r="R10" i="8" a="1"/>
  <c r="S23" i="8" a="1"/>
  <c r="S17" i="8" a="1"/>
  <c r="R33" i="8" a="1"/>
  <c r="R6" i="8" a="1"/>
  <c r="S26" i="8" a="1"/>
  <c r="S39" i="8" a="1"/>
  <c r="S11" i="8" a="1"/>
  <c r="R41" i="8" a="1"/>
  <c r="S32" i="8" a="1"/>
  <c r="R11" i="8" a="1"/>
  <c r="S6" i="8" a="1"/>
  <c r="R29"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D7" i="8" l="1" a="1"/>
  <c r="D7" i="8" s="1"/>
  <c r="AG2" i="12"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A2" i="12"/>
  <c r="D2" i="12" s="1"/>
  <c r="D3" i="12"/>
  <c r="D6" i="12"/>
  <c r="D8" i="12"/>
  <c r="D4" i="12"/>
  <c r="D7" i="12"/>
  <c r="D9" i="12"/>
  <c r="D5" i="12"/>
  <c r="G17" i="8"/>
  <c r="B54" i="26"/>
  <c r="J6" i="5"/>
  <c r="B7" i="5"/>
  <c r="B5" i="5"/>
  <c r="K13" i="8"/>
  <c r="F62" i="26" a="1"/>
  <c r="F62" i="26" s="1"/>
  <c r="E9" i="8" a="1"/>
  <c r="E9" i="8" s="1"/>
  <c r="Q2" i="29" a="1"/>
  <c r="Q2" i="29" s="1"/>
  <c r="D5" i="8" s="1"/>
  <c r="Q1" i="29" a="1"/>
  <c r="Q1" i="29" s="1"/>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tc={D4D3909A-71EB-4102-B2D0-0FF48A8A55B5}</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<sst xmlns="http://schemas.openxmlformats.org/spreadsheetml/2006/main" count="1916" uniqueCount="953">
  <si>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</si>
  <si>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</si>
  <si>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</si>
  <si>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</si>
  <si>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</si>
  <si>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</si>
  <si>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</si>
  <si>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</si>
  <si>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</si>
  <si>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</si>
  <si>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</si>
  <si>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</si>
  <si>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</si>
  <si>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</si>
  <si>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</si>
  <si>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</si>
  <si>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</si>
  <si>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</si>
  <si>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</si>
  <si>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</si>
  <si>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</si>
  <si>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</si>
  <si>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</si>
  <si>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</si>
  <si>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</si>
  <si>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</si>
  <si>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</si>
  <si>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</si>
  <si>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</si>
  <si>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</si>
  <si>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</si>
  <si>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</si>
  <si>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</si>
  <si>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</si>
  <si>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</si>
  <si>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</si>
  <si>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</si>
  <si>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</si>
  <si>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</si>
  <si>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</si>
  <si>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</si>
  <si>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</si>
  <si>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</si>
  <si>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</si>
  <si>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</si>
  <si>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</si>
  <si>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</si>
  <si>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</si>
  <si>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</si>
  <si>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</si>
  <si>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</si>
  <si>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</si>
  <si>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</si>
  <si>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</si>
  <si>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</si>
  <si>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</si>
  <si>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</si>
  <si>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</si>
  <si>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</si>
  <si>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</si>
  <si>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</si>
  <si>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</si>
  <si>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</si>
  <si>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</si>
  <si>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</si>
  <si>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</si>
  <si>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</si>
  <si>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</si>
  <si>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</si>
  <si>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</si>
  <si>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</si>
  <si>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</si>
  <si>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</si>
  <si>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</si>
  <si>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</si>
  <si>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</si>
  <si>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</si>
  <si>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</si>
  <si>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</si>
  <si>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</si>
  <si>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</si>
  <si>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</si>
  <si>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</si>
  <si>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</si>
  <si>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</si>
  <si>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</si>
  <si>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</si>
  <si>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</si>
  <si>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</si>
  <si>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</si>
  <si>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</si>
  <si>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</si>
  <si>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</si>
  <si>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</si>
  <si>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</si>
  <si>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</si>
  <si>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</si>
  <si>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</si>
  <si>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</si>
  <si>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</si>
  <si>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</si>
  <si>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</si>
  <si>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</si>
  <si>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</si>
  <si>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</si>
  <si>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</si>
  <si>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</si>
  <si>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</si>
  <si>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</si>
  <si>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</si>
  <si>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</si>
  <si>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</si>
  <si>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</si>
  <si>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</si>
  <si>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</si>
  <si>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</si>
  <si>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</si>
  <si>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</si>
  <si>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</si>
  <si>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</si>
  <si>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</si>
  <si>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</si>
  <si>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</si>
  <si>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</si>
  <si>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</si>
  <si>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</si>
  <si>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</si>
  <si>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</si>
  <si>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</si>
  <si>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</si>
  <si>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</si>
  <si>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</si>
  <si>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</si>
  <si>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</si>
  <si>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</si>
  <si>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</si>
  <si>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</si>
  <si>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</si>
  <si>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</si>
  <si>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</si>
  <si>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</si>
  <si>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</si>
  <si>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</si>
  <si>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</si>
  <si>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</si>
  <si>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</si>
  <si>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</si>
  <si>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</si>
  <si>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</si>
  <si>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</si>
  <si>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</si>
  <si>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</si>
  <si>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</si>
  <si>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</si>
  <si>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</si>
  <si>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</si>
  <si>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</si>
  <si>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</si>
  <si>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</si>
  <si>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</si>
  <si>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</si>
  <si>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</si>
  <si>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</si>
  <si>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</si>
  <si>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</si>
  <si>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</si>
  <si>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</si>
  <si>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</si>
  <si>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</si>
  <si>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</si>
  <si>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</si>
  <si>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</si>
  <si>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</si>
  <si>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</si>
  <si>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</si>
  <si>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</si>
  <si>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</si>
  <si>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</si>
  <si>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</si>
  <si>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</si>
  <si>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</si>
  <si>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</si>
  <si>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</si>
  <si>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</si>
  <si>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</si>
  <si>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</si>
  <si>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</si>
  <si>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</si>
  <si>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</si>
  <si>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</si>
  <si>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</si>
  <si>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</si>
  <si>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</si>
  <si>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</si>
  <si>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</si>
  <si>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</si>
  <si>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</si>
  <si>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</si>
  <si>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</si>
  <si>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</si>
  <si>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</si>
  <si>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</si>
  <si>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</si>
  <si>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</si>
  <si>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</si>
  <si>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</si>
  <si>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</si>
  <si>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</si>
  <si>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</si>
  <si>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</si>
  <si>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</si>
  <si>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</si>
  <si>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</si>
  <si>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</si>
  <si>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</si>
  <si>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</si>
  <si>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</si>
  <si>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</si>
  <si>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</si>
  <si>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</si>
  <si>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</si>
  <si>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</si>
  <si>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</si>
  <si>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</si>
  <si>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</si>
  <si>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</si>
  <si>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</si>
  <si>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</si>
  <si>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</si>
  <si>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</si>
  <si>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</si>
  <si>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</si>
  <si>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</si>
  <si>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</si>
  <si>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</si>
  <si>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</si>
  <si>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</si>
  <si>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</si>
  <si>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</si>
  <si>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</si>
  <si>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</si>
  <si>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</si>
  <si>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</si>
  <si>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</si>
  <si>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</si>
  <si>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</si>
  <si>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</si>
  <si>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</si>
  <si>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</si>
  <si>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</si>
  <si>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</si>
  <si>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</si>
  <si>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</si>
  <si>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</si>
  <si>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</si>
  <si>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</si>
  <si>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</si>
  <si>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</si>
  <si>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</si>
  <si>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</si>
  <si>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</si>
  <si>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</si>
  <si>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</si>
  <si>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</si>
  <si>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</si>
  <si>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</si>
  <si>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</si>
  <si>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</si>
  <si>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</si>
  <si>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</si>
  <si>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</si>
  <si>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</si>
  <si>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</si>
  <si>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</si>
  <si>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</si>
  <si>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</si>
  <si>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</si>
  <si>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</si>
  <si>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</si>
  <si>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</si>
  <si>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</si>
  <si>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</si>
  <si>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</si>
  <si>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</si>
  <si>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</si>
  <si>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</si>
  <si>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</si>
  <si>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</si>
  <si>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</si>
  <si>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</si>
  <si>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</si>
  <si>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</si>
  <si>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</si>
  <si>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</si>
  <si>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</si>
  <si>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</si>
  <si>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</si>
  <si>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</si>
  <si>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</si>
  <si>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</si>
  <si>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</si>
  <si>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</si>
  <si>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</si>
  <si>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</si>
  <si>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</si>
  <si>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</si>
  <si>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</si>
  <si>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</si>
  <si>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</si>
  <si>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</si>
  <si>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</si>
  <si>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</si>
  <si>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</si>
  <si>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</si>
  <si>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</si>
  <si>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</si>
  <si>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</si>
  <si>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</si>
  <si>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</si>
  <si>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</si>
  <si>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</si>
  <si>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</si>
  <si>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</si>
  <si>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</si>
  <si>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</si>
  <si>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</si>
  <si>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</si>
  <si>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</si>
  <si>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</si>
  <si>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</si>
  <si>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</si>
  <si>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</si>
  <si>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</si>
  <si>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</si>
  <si>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</si>
  <si>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</si>
  <si>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</si>
  <si>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</si>
  <si>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</si>
  <si>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</si>
  <si>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</si>
  <si>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</si>
  <si>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</si>
  <si>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</si>
  <si>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</si>
  <si>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</si>
  <si>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</si>
  <si>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</si>
  <si>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</si>
  <si>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</si>
  <si>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</si>
  <si>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</si>
  <si>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</si>
  <si>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</si>
  <si>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</si>
  <si>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</si>
  <si>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</si>
  <si>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</si>
  <si>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</si>
  <si>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</si>
  <si>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</si>
  <si>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</si>
  <si>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</si>
  <si>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</si>
  <si>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</si>
  <si>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</si>
  <si>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</si>
  <si>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</si>
  <si>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</si>
  <si>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</si>
  <si>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</si>
  <si>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</si>
  <si>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</si>
  <si>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</si>
  <si>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</si>
  <si>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</si>
  <si>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</si>
  <si>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</si>
  <si>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</si>
  <si>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</si>
  <si>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</si>
  <si>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</si>
  <si>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</si>
  <si>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</si>
  <si>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</si>
  <si>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</si>
  <si>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</si>
  <si>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</si>
  <si>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</si>
  <si>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</si>
  <si>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</si>
  <si>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</si>
  <si>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</si>
  <si>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</si>
  <si>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</si>
  <si>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</si>
  <si>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</si>
  <si>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</si>
  <si>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</si>
  <si>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</si>
  <si>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</si>
  <si>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</si>
  <si>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</si>
  <si>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</si>
  <si>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</si>
  <si>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</si>
  <si>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</si>
  <si>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</si>
  <si>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</si>
  <si>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</si>
  <si>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</si>
  <si>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</si>
  <si>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</si>
  <si>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</si>
  <si>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</si>
  <si>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</si>
  <si>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</si>
  <si>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</si>
  <si>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</si>
  <si>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</si>
  <si>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</si>
  <si>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</si>
  <si>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</si>
  <si>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</si>
  <si>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</si>
  <si>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</si>
  <si>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</si>
  <si>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</si>
  <si>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</si>
  <si>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</si>
  <si>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</si>
  <si>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</si>
  <si>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</si>
  <si>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</si>
  <si>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</si>
  <si>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</si>
  <si>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</si>
  <si>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</si>
  <si>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</si>
  <si>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</si>
  <si>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</si>
  <si>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</si>
  <si>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</si>
  <si>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</si>
  <si>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</si>
  <si>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</si>
  <si>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</si>
  <si>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</si>
  <si>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</si>
  <si>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</si>
  <si>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</si>
  <si>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</si>
  <si>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</si>
  <si>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</si>
  <si>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</si>
  <si>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</si>
  <si>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</si>
  <si>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</si>
  <si>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</si>
  <si>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</si>
  <si>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</si>
  <si>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</si>
  <si>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</si>
  <si>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</si>
  <si>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</si>
  <si>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</si>
  <si>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</si>
  <si>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</si>
  <si>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</si>
  <si>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</si>
  <si>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</si>
  <si>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</si>
  <si>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</si>
  <si>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</si>
  <si>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</si>
  <si>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</si>
  <si>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</si>
  <si>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</si>
  <si>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</si>
  <si>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</si>
  <si>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</si>
  <si>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</si>
  <si>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</si>
  <si>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</si>
  <si>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</si>
  <si>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</si>
  <si>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</si>
  <si>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</si>
  <si>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</si>
  <si>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</si>
  <si>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</si>
  <si>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</si>
  <si>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</si>
  <si>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</si>
  <si>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</si>
  <si>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</si>
  <si>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</si>
  <si>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</si>
  <si>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</si>
  <si>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</si>
  <si>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</si>
  <si>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</si>
  <si>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</si>
  <si>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</si>
  <si>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</si>
  <si>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</si>
  <si>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</si>
  <si>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</si>
  <si>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</si>
  <si>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</si>
  <si>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</si>
  <si>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</si>
  <si>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</si>
  <si>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</si>
  <si>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</si>
  <si>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</si>
  <si>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</si>
  <si>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</si>
  <si>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</si>
  <si>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</si>
  <si>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</si>
  <si>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</si>
  <si>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</si>
  <si>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</si>
  <si>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</si>
  <si>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</si>
  <si>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</si>
  <si>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</si>
  <si>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</si>
  <si>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</si>
  <si>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</si>
  <si>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</si>
  <si>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</si>
  <si>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</si>
  <si>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</si>
  <si>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</si>
  <si>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</si>
  <si>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</si>
  <si>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</si>
  <si>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</si>
  <si>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</si>
  <si>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</si>
  <si>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</si>
  <si>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</si>
  <si>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</si>
  <si>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</si>
  <si>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</si>
  <si>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</si>
  <si>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</si>
  <si>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</si>
  <si>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</si>
  <si>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</si>
  <si>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</si>
  <si>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</si>
  <si>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</si>
  <si>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</si>
  <si>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</si>
  <si>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</si>
  <si>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</si>
  <si>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</si>
  <si>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</si>
  <si>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</si>
  <si>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</si>
  <si>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</si>
  <si>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</si>
  <si>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</si>
  <si>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</si>
  <si>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</si>
  <si>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</si>
  <si>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</si>
  <si>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</si>
  <si>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</si>
  <si>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</si>
  <si>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</si>
  <si>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</si>
  <si>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</si>
  <si>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</si>
  <si>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</si>
  <si>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</si>
  <si>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</si>
  <si>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</si>
  <si>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</si>
  <si>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</si>
  <si>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</si>
  <si>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</si>
  <si>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</si>
  <si>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</si>
  <si>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</si>
  <si>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</si>
  <si>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</si>
  <si>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</si>
  <si>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</si>
  <si>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</si>
  <si>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</si>
  <si>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</si>
  <si>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</si>
  <si>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</si>
  <si>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</si>
  <si>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</si>
  <si>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</si>
  <si>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</si>
  <si>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</si>
  <si>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</si>
  <si>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</si>
  <si>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</si>
  <si>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</si>
  <si>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</si>
  <si>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</si>
  <si>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</si>
  <si>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</si>
  <si>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</si>
  <si>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</si>
  <si>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</si>
  <si>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</si>
  <si>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</si>
  <si>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</si>
  <si>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</si>
  <si>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</si>
  <si>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</si>
  <si>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</si>
  <si>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</si>
  <si>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</si>
  <si>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</si>
  <si>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</si>
  <si>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</si>
  <si>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</si>
  <si>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</si>
  <si>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</si>
  <si>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</si>
  <si>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</si>
  <si>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</si>
  <si>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</si>
  <si>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</si>
  <si>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</si>
  <si>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</si>
  <si>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</si>
  <si>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</si>
  <si>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</si>
  <si>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</si>
  <si>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</si>
  <si>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</si>
  <si>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</si>
  <si>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</si>
  <si>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</si>
  <si>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</si>
  <si>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</si>
  <si>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</si>
  <si>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</si>
  <si>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</si>
  <si>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</si>
  <si>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</si>
  <si>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</si>
  <si>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</si>
  <si>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</si>
  <si>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</si>
  <si>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</si>
  <si>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</si>
  <si>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</si>
  <si>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</si>
  <si>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</si>
  <si>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</si>
  <si>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</si>
  <si>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</si>
  <si>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</si>
  <si>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</si>
  <si>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</si>
  <si>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</si>
  <si>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</si>
  <si>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</si>
  <si>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</si>
  <si>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</si>
  <si>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</si>
  <si>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</si>
  <si>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</si>
  <si>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</si>
  <si>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</si>
  <si>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</si>
  <si>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</si>
  <si>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</si>
  <si>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</si>
  <si>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</si>
  <si>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</si>
  <si>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</si>
  <si>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</si>
  <si>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</si>
  <si>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</si>
  <si>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</si>
  <si>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</si>
  <si>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</si>
  <si>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</si>
  <si>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</si>
  <si>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</si>
  <si>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</si>
  <si>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</si>
  <si>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</si>
  <si>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</si>
  <si>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</si>
  <si>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</si>
  <si>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</si>
  <si>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</si>
  <si>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</si>
  <si>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</si>
  <si>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</si>
  <si>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</si>
  <si>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</si>
  <si>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</si>
  <si>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</si>
  <si>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</si>
  <si>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</si>
  <si>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</si>
  <si>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</si>
  <si>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</si>
  <si>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</si>
  <si>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</si>
  <si>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</si>
  <si>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</si>
  <si>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</si>
  <si>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</si>
  <si>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</si>
  <si>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</si>
  <si>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</si>
  <si>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</si>
  <si>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</si>
  <si>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</si>
  <si>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</si>
  <si>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</si>
  <si>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</si>
  <si>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</si>
  <si>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</si>
  <si>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</si>
  <si>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</si>
  <si>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</si>
  <si>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</si>
  <si>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</si>
  <si>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</si>
  <si>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</si>
  <si>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</si>
  <si>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</si>
  <si>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</si>
  <si>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</si>
  <si>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</si>
  <si>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</si>
  <si>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</si>
  <si>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</si>
  <si>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</si>
  <si>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</si>
  <si>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</si>
  <si>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</si>
  <si>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</si>
  <si>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</si>
  <si>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</si>
  <si>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</si>
  <si>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</si>
  <si>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</si>
  <si>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</si>
  <si>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</si>
  <si>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</si>
  <si>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</si>
  <si>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</si>
  <si>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</si>
  <si>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</si>
  <si>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</si>
  <si>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</si>
  <si>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</si>
  <si>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</si>
  <si>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</si>
  <si>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</si>
  <si>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</si>
  <si>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</si>
  <si>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</si>
  <si>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</si>
  <si>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</si>
  <si>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</si>
  <si>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</si>
  <si>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</si>
  <si>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</si>
  <si>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</si>
  <si>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</si>
  <si>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</si>
  <si>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</si>
  <si>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</si>
  <si>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</si>
  <si>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</si>
  <si>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</si>
  <si>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</si>
  <si>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</si>
  <si>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</si>
  <si>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</si>
  <si>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</si>
  <si>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</si>
  <si>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</si>
  <si>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</si>
  <si>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</si>
  <si>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</si>
  <si>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</si>
  <si>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</si>
  <si>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</si>
  <si>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</si>
  <si>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</si>
  <si>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</si>
  <si>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</si>
  <si>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</si>
  <si>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</si>
  <si>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</si>
  <si>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</si>
  <si>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</si>
  <si>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</si>
  <si>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</si>
  <si>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</si>
  <si>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</si>
  <si>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</si>
  <si>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</si>
  <si>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</si>
  <si>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</si>
  <si>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</si>
  <si>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</si>
  <si>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</si>
  <si>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</si>
  <si>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</si>
  <si>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</si>
  <si>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</si>
  <si>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</si>
  <si>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</si>
  <si>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</si>
  <si>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</si>
  <si>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</si>
  <si>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</si>
  <si>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</si>
  <si>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</si>
  <si>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</si>
  <si>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</si>
  <si>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</si>
  <si>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</si>
  <si>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</si>
  <si>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</si>
  <si>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</si>
  <si>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</si>
  <si>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</si>
  <si>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</si>
  <si>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</si>
  <si>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</si>
  <si>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</si>
  <si>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</si>
  <si>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</si>
  <si>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</si>
  <si>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</si>
  <si>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</si>
  <si>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</si>
  <si>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</si>
  <si>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</si>
  <si>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</si>
  <si>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</si>
  <si>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</si>
  <si>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</si>
  <si>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</si>
  <si>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</si>
  <si>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</si>
  <si>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</si>
  <si>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</si>
  <si>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</si>
  <si>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</si>
  <si>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</si>
  <si>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</si>
  <si>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</si>
  <si>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</si>
  <si>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</si>
  <si>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</si>
  <si>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</si>
  <si>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</si>
  <si>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</si>
  <si>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</si>
  <si>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</si>
  <si>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</si>
  <si>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</si>
  <si>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</si>
  <si>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</si>
  <si>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</si>
  <si>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</si>
  <si>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</si>
  <si>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</si>
  <si>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</si>
  <si>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</si>
  <si>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</si>
  <si>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</si>
  <si>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</si>
  <si>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</si>
  <si>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</si>
  <si>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</si>
  <si>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</si>
  <si>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</si>
  <si>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</si>
  <si>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</si>
  <si>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</si>
  <si>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</si>
  <si>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</si>
  <si>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</si>
  <si>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</si>
  <si>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</si>
  <si>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</si>
  <si>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</si>
  <si>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</si>
  <si>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</si>
  <si>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</si>
  <si>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</si>
  <si>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</si>
  <si>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</si>
  <si>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</si>
  <si>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</si>
  <si>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</si>
  <si>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</si>
  <si>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</si>
  <si>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</si>
  <si>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</si>
  <si>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</si>
  <si>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</si>
  <si>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</si>
  <si>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</si>
  <si>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</si>
  <si>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</si>
  <si>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</si>
  <si>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</si>
  <si>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</si>
  <si>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</si>
  <si>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</si>
  <si>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</si>
  <si>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</si>
  <si>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</si>
  <si>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</si>
  <si>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</si>
  <si>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</si>
  <si>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</si>
  <si>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</si>
  <si>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</si>
  <si>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</si>
  <si>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</si>
  <si>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</si>
  <si>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</si>
  <si>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</si>
  <si>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</si>
  <si>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</si>
  <si>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</si>
  <si>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</si>
  <si>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</si>
  <si>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</si>
  <si>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</si>
  <si>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</si>
  <si>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</si>
  <si>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</si>
  <si>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</si>
  <si>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</si>
  <si>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Ver. 07.04.25</t>
  </si>
  <si>
    <t>Numeric Tol</t>
  </si>
  <si>
    <t>UUT 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</si>
</sst>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9" fontId="20" fillId="3" borderId="4" xfId="0" applyNumberFormat="1" applyFont="1" applyFill="1" applyBorder="1" applyAlignment="1">
      <alignment horizontal="left"/>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0" fontId="6" fillId="0" borderId="0" xfId="3" applyProtection="1">
      <protection locked="0"/>
    </xf>
    <xf numFmtId="166" fontId="50" fillId="0" borderId="3" xfId="1" applyNumberFormat="1" applyBorder="1" applyAlignment="1">
      <alignment horizontal="center"/>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7">
    <dxf>
      <numFmt numFmtId="1" formatCode="0"/>
    </dxf>
    <dxf>
      <numFmt numFmtId="19" formatCode="m/d/yyyy"/>
    </dxf>
    <dxf>
      <numFmt numFmtId="19" formatCode="m/d/yyyy"/>
    </dxf>
    <dxf>
      <numFmt numFmtId="30" formatCode="@"/>
    </dxf>
    <dxf>
      <protection locked="0" hidden="0"/>
    </dxf>
    <dxf>
      <protection locked="0" hidden="0"/>
    </dxf>
    <dxf>
      <numFmt numFmtId="184" formatCode="[$-F400]h:mm:ss\ AM/PM"/>
    </dxf>
    <dxf>
      <numFmt numFmtId="2" formatCode="0.0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3"/>
    <tableColumn id="8" xr3:uid="{7C740CB9-37DA-435E-A87E-AF050E31623C}" uniqueName="8" name="wire_roll_cert_number" queryTableFieldId="8" dataDxfId="176"/>
    <tableColumn id="7" xr3:uid="{297A4F29-F6E9-4BD3-A7A2-5F1039480BAE}" uniqueName="7" name="certificate_number" queryTableFieldId="7" dataDxfId="175"/>
    <tableColumn id="6" xr3:uid="{B359FFDA-2633-4F67-9E7E-BA0BB88ADA64}" uniqueName="6" name="next_service_date" queryTableFieldId="6" dataDxfId="2"/>
    <tableColumn id="5" xr3:uid="{412A70E1-7452-417E-A3A9-BD3499EBD33C}" uniqueName="5" name="service_date" queryTableFieldId="5" dataDxfId="1"/>
    <tableColumn id="4" xr3:uid="{44F03B5B-6C09-4D5C-B2E2-D809B4EDF2B0}" uniqueName="4" name="custom_order_number" queryTableFieldId="4" dataDxfId="174"/>
    <tableColumn id="3" xr3:uid="{D963BD5C-EE98-4CDD-ABAE-5315BBDA1135}" uniqueName="3" name="asset_tag" queryTableFieldId="3" dataDxfId="173"/>
    <tableColumn id="2" xr3:uid="{D07D770F-21F7-425E-8CCA-AA85FFD513A3}" uniqueName="2" name="serial_number" queryTableFieldId="2" dataDxfId="172"/>
    <tableColumn id="1" xr3:uid="{4CB1C976-73DA-4579-B7F8-9D891581EA5A}" uniqueName="1" name="asset_id" queryTableFieldId="1"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1"/>
    <tableColumn id="2" xr3:uid="{44100894-4C9D-4514-95AC-618BC19E5917}" uniqueName="2" name="Temp" queryTableFieldId="4" dataDxfId="170"/>
    <tableColumn id="3" xr3:uid="{ECB904AC-F679-49D7-806F-647089E4822A}" uniqueName="3" name="Offset" queryTableFieldId="5" dataDxfId="169"/>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68"/>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7">
  <autoFilter ref="A1:C9" xr:uid="{8AF992F3-27EF-4265-960D-70EC6F74FAFA}"/>
  <sortState xmlns:xlrd2="http://schemas.microsoft.com/office/spreadsheetml/2017/richdata2" ref="A2:C9">
    <sortCondition ref="B1:B9"/>
  </sortState>
  <tableColumns count="3">
    <tableColumn id="1" xr3:uid="{1F7D0D09-7152-4679-B25C-65CF0E0AB2D4}" name="Type" dataDxfId="166"/>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5">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4">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3"/>
    <tableColumn id="3" xr3:uid="{2724CA85-C781-4E38-A0DA-097BFEEFE8B1}" uniqueName="3" name="Temp" queryTableFieldId="3" dataDxfId="162"/>
    <tableColumn id="6" xr3:uid="{12D5EB84-2052-49F7-A25B-127266D7FB89}" uniqueName="6" name="traceability_no" queryTableFieldId="6" dataDxfId="161"/>
    <tableColumn id="5" xr3:uid="{D8FBA668-C3CE-41DC-B112-B2663A4558F7}" uniqueName="5" name="Offset" queryTableFieldId="5" dataDxfId="16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59"/>
    <tableColumn id="5" xr3:uid="{27363C9A-3D85-416E-8BCC-52B2C8D77A72}" uniqueName="5" name="Uncert Units" queryTableFieldId="5" dataDxfId="15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7">
  <autoFilter ref="A3:C8" xr:uid="{5AC13131-9A1C-4C12-B4F9-A393708ED370}"/>
  <tableColumns count="3">
    <tableColumn id="1" xr3:uid="{97181276-3609-45C8-AD82-B2880A7AEDE4}" name="Min" dataDxfId="156"/>
    <tableColumn id="2" xr3:uid="{FCA9B2A8-03BC-4152-9483-74D5E30011E8}" name="Max" dataDxfId="155"/>
    <tableColumn id="3" xr3:uid="{53EFB432-094F-4AB8-B706-DACB84CFAD58}" name="CMC" dataDxfId="154"/>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3"/>
    <tableColumn id="7" xr3:uid="{3E130632-D63E-485B-AA7F-FF01BB115CD8}" uniqueName="7" name="AddressLine2" queryTableFieldId="7" dataDxfId="152"/>
    <tableColumn id="8" xr3:uid="{B07B805E-B475-4FEF-A83E-C870164F0C1C}" uniqueName="8" name="AddressLine3" queryTableFieldId="8" dataDxfId="151"/>
    <tableColumn id="9" xr3:uid="{3603DEDD-08A6-4233-A5D5-79D5A1A0055E}" uniqueName="9" name="FormNumber" queryTableFieldId="9" dataDxfId="150"/>
    <tableColumn id="10" xr3:uid="{B63B6E05-D199-4BCD-9A28-28B5F5832CE0}" uniqueName="10" name="CalibrationMethod" queryTableFieldId="10" dataDxfId="149"/>
    <tableColumn id="11" xr3:uid="{EC51B02C-FD97-492B-BF24-15D683C6ED4C}" uniqueName="11" name="ToleranceSource" queryTableFieldId="11" dataDxfId="148"/>
    <tableColumn id="12" xr3:uid="{706BF144-B069-4B3F-AFB9-7848E93D758C}" uniqueName="12" name="Item" queryTableFieldId="12" dataDxfId="14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6"/>
    <tableColumn id="18" xr3:uid="{2B4941C4-9755-4A0D-86C3-2C668815DEF2}" uniqueName="18" name="Tolerance" queryTableFieldId="18" dataDxfId="145"/>
    <tableColumn id="19" xr3:uid="{756D3CB6-E1A4-4B24-93A7-8AB4732E9BE6}" uniqueName="19" name="HeatingMethod" queryTableFieldId="19" dataDxfId="144"/>
    <tableColumn id="20" xr3:uid="{A46E5597-E3E9-444B-8D64-D35898DCC2B4}" uniqueName="20" name="WorkingZoneSize" queryTableFieldId="20" dataDxfId="14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2"/>
    <tableColumn id="32" xr3:uid="{1852EB3E-F034-42EA-8A35-98DDD1845F7B}" uniqueName="32" name="TestLocation" queryTableFieldId="32" dataDxfId="141"/>
    <tableColumn id="33" xr3:uid="{15129CDA-47B3-4B02-8524-3F9672DC4216}" uniqueName="33" name="OvenLocation" queryTableFieldId="33" dataDxfId="140"/>
    <tableColumn id="34" xr3:uid="{F4A9D00F-E54E-4736-976C-15166BF81AEF}" uniqueName="34" name="Condition" queryTableFieldId="34" dataDxfId="13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7"/>
    <tableColumn id="3" xr3:uid="{E88E0260-3227-45C4-8780-42D2D8D460DF}" name="SAT TOL" dataDxfId="13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tableColumn id="3" xr3:uid="{52334E52-C590-4A01-82BC-CCC9DA2C2817}" name="30" dataDxfId="130"/>
    <tableColumn id="4" xr3:uid="{145DAD22-055B-47E2-958D-C0E0B68ECCC8}" name="31" dataDxfId="129"/>
    <tableColumn id="5" xr3:uid="{09C3BF4E-C2AE-4497-AAA2-CF5A8A70B030}" name="32" dataDxfId="128"/>
    <tableColumn id="6" xr3:uid="{E9F444F5-7F75-4B80-BC2D-E9E92BB7C32D}" name="33" dataDxfId="127"/>
    <tableColumn id="7" xr3:uid="{C42F56B6-C38E-41DC-811A-50AF69D04B80}" name="34" dataDxfId="126"/>
    <tableColumn id="8" xr3:uid="{1930235F-D2C0-482D-8CC0-6B3AC765E7EA}" name="35" dataDxfId="125"/>
    <tableColumn id="9" xr3:uid="{6FCF613B-A86F-4DC6-9CC5-0A1E44E3DFE0}" name="36" dataDxfId="124"/>
    <tableColumn id="10" xr3:uid="{19EA3429-FD7E-4BA0-96B7-70F520D9FE0F}" name="37" dataDxfId="123"/>
    <tableColumn id="11" xr3:uid="{A5D0DAE1-1017-4DE3-AEA6-1BAF97E0FBDC}" name="38" dataDxfId="122"/>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tableColumn id="3" xr3:uid="{5D74EEBF-1FB4-4DF9-8EDD-C656F929ADA2}" name="16" dataDxfId="115"/>
    <tableColumn id="4" xr3:uid="{B1176DF8-22B4-4741-A534-22D0C72EF1F0}" name="17" dataDxfId="114"/>
    <tableColumn id="5" xr3:uid="{1E29EA65-5182-4B3E-817F-0D30B2884EC7}" name="18" dataDxfId="113"/>
    <tableColumn id="6" xr3:uid="{AF53AEFB-F310-4F08-91BC-82FB0F484ECA}" name="19" dataDxfId="112"/>
    <tableColumn id="7" xr3:uid="{EE472F61-D1B5-43CF-A661-FA1D47001C17}" name="20" dataDxfId="111"/>
    <tableColumn id="8" xr3:uid="{841D54C1-AB74-4CB1-8C7F-C38D11EFAD3F}" name="21" dataDxfId="110"/>
    <tableColumn id="9" xr3:uid="{F1FB485B-DEAA-4958-8C40-80934EA1437F}" name="22" dataDxfId="109"/>
    <tableColumn id="10" xr3:uid="{5C552A76-BD54-46C5-93AD-8F25289FA051}" name="23" dataDxfId="108"/>
    <tableColumn id="11" xr3:uid="{B20FA5F1-0522-49D0-9B5A-34570A8AE6EA}" name="24" dataDxfId="107"/>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4" dataDxfId="83">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10"/>
    <tableColumn id="19" xr3:uid="{31D68568-B5E1-4705-9496-19F08F967786}" uniqueName="19" name="Address2" queryTableFieldId="19" dataDxfId="9"/>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8"/>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2" dataDxfId="81">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
    <tableColumn id="12" xr3:uid="{C13B0E02-FD03-4438-B98A-E6A8ED8A9F13}" uniqueName="12" name="manufacturer_part_number" queryTableFieldId="25"/>
    <tableColumn id="11" xr3:uid="{48BC425D-225D-4DB3-A151-D583A73AA082}" uniqueName="11" name="notes" queryTableFieldId="11" dataDxfId="4"/>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0"/>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4" dataDxfId="13" headerRowCellStyle="Normal 2" dataCellStyle="Normal 2">
  <autoFilter ref="U11:V25" xr:uid="{DCCFF26E-EC5C-4962-98DB-A7DA1F3C8CE2}"/>
  <tableColumns count="2">
    <tableColumn id="1" xr3:uid="{DFC40837-B092-4826-9847-4A23BE22020F}" name="4" dataDxfId="12" dataCellStyle="Normal 2"/>
    <tableColumn id="2" xr3:uid="{0711DB07-19DA-4D5E-A417-C242A0304453}" name="10" dataDxfId="1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c r="C2"/>
      <c r="D2" s="89"/>
      <c r="E2" s="89"/>
      <c r="F2"/>
      <c r="G2"/>
      <c r="H2"/>
      <c r="I2" s="143"/>
    </row>
    <row r="3" spans="1:9" x14ac:dyDescent="0.2">
      <c r="A3" s="78"/>
      <c r="B3"/>
      <c r="C3"/>
      <c r="D3" s="89"/>
      <c r="E3" s="89"/>
      <c r="F3"/>
      <c r="G3"/>
      <c r="H3"/>
      <c r="I3" s="143"/>
    </row>
    <row r="4" spans="1:9" x14ac:dyDescent="0.2">
      <c r="A4" s="78"/>
      <c r="B4"/>
      <c r="C4"/>
      <c r="D4" s="89"/>
      <c r="E4" s="89"/>
      <c r="F4"/>
      <c r="G4"/>
      <c r="H4"/>
      <c r="I4" s="143"/>
    </row>
    <row r="5" spans="1:9" x14ac:dyDescent="0.2">
      <c r="A5" s="78"/>
      <c r="C5"/>
      <c r="D5" s="89"/>
      <c r="E5" s="89"/>
      <c r="F5"/>
      <c r="G5"/>
      <c r="H5"/>
      <c r="I5" s="143"/>
    </row>
    <row r="6" spans="1:9" x14ac:dyDescent="0.2">
      <c r="A6" s="78"/>
      <c r="B6"/>
      <c r="C6"/>
      <c r="D6" s="89"/>
      <c r="E6" s="89"/>
      <c r="F6"/>
      <c r="G6"/>
      <c r="H6"/>
      <c r="I6" s="143"/>
    </row>
    <row r="7" spans="1:9" x14ac:dyDescent="0.2">
      <c r="A7" s="78"/>
      <c r="B7"/>
      <c r="C7"/>
      <c r="D7" s="89"/>
      <c r="E7" s="89"/>
      <c r="F7"/>
      <c r="G7"/>
      <c r="H7"/>
      <c r="I7" s="143"/>
    </row>
    <row r="8" spans="1:9" x14ac:dyDescent="0.2">
      <c r="A8" s="78"/>
      <c r="B8"/>
      <c r="C8"/>
      <c r="D8" s="89"/>
      <c r="E8" s="89"/>
      <c r="F8"/>
      <c r="G8"/>
      <c r="H8"/>
      <c r="I8" s="143"/>
    </row>
    <row r="9" spans="1:9" x14ac:dyDescent="0.2">
      <c r="A9" s="78"/>
      <c r="B9"/>
      <c r="C9"/>
      <c r="D9" s="89"/>
      <c r="E9" s="89"/>
      <c r="F9"/>
      <c r="G9"/>
      <c r="H9"/>
      <c r="I9" s="143"/>
    </row>
    <row r="10" spans="1:9" x14ac:dyDescent="0.2">
      <c r="A10" s="78"/>
      <c r="B10"/>
      <c r="C10"/>
      <c r="D10" s="89"/>
      <c r="E10" s="89"/>
      <c r="F10"/>
      <c r="G10"/>
      <c r="H10"/>
      <c r="I10" s="143"/>
    </row>
    <row r="11" spans="1:9" x14ac:dyDescent="0.2">
      <c r="A11" s="78"/>
      <c r="B11"/>
      <c r="C11"/>
      <c r="D11" s="89"/>
      <c r="E11" s="89"/>
      <c r="F11"/>
      <c r="G11"/>
      <c r="H11"/>
      <c r="I11" s="143"/>
    </row>
    <row r="12" spans="1:9" x14ac:dyDescent="0.2">
      <c r="A12" s="78"/>
      <c r="B12"/>
      <c r="C12"/>
      <c r="D12" s="89"/>
      <c r="E12" s="89"/>
      <c r="F12"/>
      <c r="G12"/>
      <c r="H12"/>
      <c r="I12" s="143"/>
    </row>
    <row r="13" spans="1:9" x14ac:dyDescent="0.2">
      <c r="A13" s="78"/>
      <c r="B13"/>
      <c r="C13"/>
      <c r="D13" s="89"/>
      <c r="E13" s="89"/>
      <c r="F13"/>
      <c r="G13"/>
      <c r="H13"/>
      <c r="I13" s="143"/>
    </row>
    <row r="14" spans="1:9" x14ac:dyDescent="0.2">
      <c r="A14" s="78"/>
      <c r="B14"/>
      <c r="C14"/>
      <c r="D14" s="89"/>
      <c r="E14" s="89"/>
      <c r="F14"/>
      <c r="G14"/>
      <c r="H14"/>
      <c r="I14" s="143"/>
    </row>
    <row r="15" spans="1:9" x14ac:dyDescent="0.2">
      <c r="A15" s="78"/>
      <c r="B15"/>
      <c r="C15"/>
      <c r="D15" s="89"/>
      <c r="E15" s="89"/>
      <c r="F15"/>
      <c r="G15"/>
      <c r="H15"/>
      <c r="I15" s="143"/>
    </row>
    <row r="16" spans="1:9" x14ac:dyDescent="0.2">
      <c r="A16" s="78"/>
      <c r="B16"/>
      <c r="C16"/>
      <c r="D16" s="89"/>
      <c r="E16" s="89"/>
      <c r="F16"/>
      <c r="G16"/>
      <c r="H16"/>
      <c r="I16" s="143"/>
    </row>
    <row r="17" spans="1:9" x14ac:dyDescent="0.2">
      <c r="A17" s="78"/>
      <c r="B17"/>
      <c r="C17"/>
      <c r="D17" s="89"/>
      <c r="E17" s="89"/>
      <c r="F17"/>
      <c r="G17"/>
      <c r="H17"/>
      <c r="I17" s="143"/>
    </row>
    <row r="18" spans="1:9" x14ac:dyDescent="0.2">
      <c r="A18" s="78"/>
      <c r="B18"/>
      <c r="C18"/>
      <c r="D18" s="89"/>
      <c r="E18" s="89"/>
      <c r="F18"/>
      <c r="G18"/>
      <c r="H18"/>
      <c r="I18" s="143"/>
    </row>
    <row r="19" spans="1:9" x14ac:dyDescent="0.2">
      <c r="A19" s="78"/>
      <c r="B19"/>
      <c r="C19"/>
      <c r="D19" s="89"/>
      <c r="E19" s="89"/>
      <c r="F19"/>
      <c r="G19"/>
      <c r="H19"/>
      <c r="I19" s="143"/>
    </row>
    <row r="20" spans="1:9" x14ac:dyDescent="0.2">
      <c r="A20" s="78"/>
      <c r="B20"/>
      <c r="C20"/>
      <c r="D20" s="89"/>
      <c r="E20" s="89"/>
      <c r="F20"/>
      <c r="G20"/>
      <c r="H20"/>
      <c r="I20" s="143"/>
    </row>
    <row r="21" spans="1:9" x14ac:dyDescent="0.2">
      <c r="A21" s="78"/>
      <c r="C21"/>
      <c r="D21" s="89"/>
      <c r="E21" s="89"/>
      <c r="F21"/>
      <c r="G21"/>
      <c r="H21"/>
      <c r="I21" s="143"/>
    </row>
    <row r="22" spans="1:9" x14ac:dyDescent="0.2">
      <c r="A22" s="78"/>
      <c r="C22"/>
      <c r="D22" s="89"/>
      <c r="E22" s="89"/>
      <c r="F22"/>
      <c r="G22"/>
      <c r="H22"/>
      <c r="I22" s="143"/>
    </row>
    <row r="23" spans="1:9" x14ac:dyDescent="0.2">
      <c r="A23" s="78"/>
      <c r="B23"/>
      <c r="C23"/>
      <c r="D23" s="89"/>
      <c r="E23" s="89"/>
      <c r="F23"/>
      <c r="G23"/>
      <c r="H23"/>
      <c r="I23" s="143"/>
    </row>
    <row r="24" spans="1:9" x14ac:dyDescent="0.2">
      <c r="A24" s="78"/>
      <c r="B24"/>
      <c r="C24"/>
      <c r="D24" s="89"/>
      <c r="E24" s="89"/>
      <c r="F24"/>
      <c r="G24"/>
      <c r="H24"/>
      <c r="I24" s="143"/>
    </row>
    <row r="25" spans="1:9" x14ac:dyDescent="0.2">
      <c r="A25" s="78"/>
      <c r="D25" s="89"/>
      <c r="E25" s="89"/>
      <c r="H25"/>
      <c r="I25" s="143"/>
    </row>
    <row r="26" spans="1:9" x14ac:dyDescent="0.2">
      <c r="A26" s="78"/>
      <c r="B26"/>
      <c r="D26" s="89"/>
      <c r="E26" s="89"/>
      <c r="F26"/>
      <c r="H26"/>
      <c r="I26" s="143"/>
    </row>
    <row r="27" spans="1:9" x14ac:dyDescent="0.2">
      <c r="A27" s="78"/>
      <c r="D27" s="89"/>
      <c r="E27" s="89"/>
      <c r="H27"/>
      <c r="I27" s="143"/>
    </row>
    <row r="28" spans="1:9" x14ac:dyDescent="0.2">
      <c r="A28" s="78"/>
      <c r="D28" s="89"/>
      <c r="E28" s="89"/>
      <c r="H28"/>
      <c r="I28" s="143"/>
    </row>
    <row r="29" spans="1:9" x14ac:dyDescent="0.2">
      <c r="A29" s="78"/>
      <c r="C29"/>
      <c r="D29" s="89"/>
      <c r="E29" s="89"/>
      <c r="F29"/>
      <c r="G29"/>
      <c r="H29"/>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cwgPTOJ/AQz31J/Tg8gVwQQ05P1EllHY9wOl0UJme4ROq0fbi4lwmDv+EqOLWsxKGoRB6Qzn6wJpSQExppb3/w==" saltValue="d8NQF1CJNX3/1BgXo9rOC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Zm+OgZXydoWL+5GJNiWr9odlTafLWBVhe9VCLMLmx5Pfyw+S3NQQ1tWQqUouOVAVQztMrraVkzYZd2XHncUODw==" saltValue="c2jmfNPKprhAjpPsRXrHy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5" t="s">
        <v>940</v>
      </c>
      <c r="J1" s="496"/>
      <c r="L1" s="36"/>
      <c r="M1" s="461" t="s">
        <v>935</v>
      </c>
      <c r="N1" s="462" t="s">
        <v>15</v>
      </c>
      <c r="O1" s="462" t="s">
        <v>939</v>
      </c>
      <c r="P1" s="462" t="s">
        <v>929</v>
      </c>
      <c r="Q1" s="462" t="s">
        <v>14</v>
      </c>
    </row>
    <row r="2" spans="1:17" ht="13.5" thickTop="1" x14ac:dyDescent="0.2">
      <c r="I2" s="472" t="s">
        <v>936</v>
      </c>
      <c r="J2" s="473">
        <f>COUNTIF(Survey[TestPoint],"&lt;=5")-1</f>
        <v>-1</v>
      </c>
      <c r="L2" s="484" t="s">
        <v>1</v>
      </c>
      <c r="M2" s="468" t="e">
        <f>_xlfn.XLOOKUP(P2,Survey[CorrectedTemp],Survey[TestPoint])</f>
        <v>#N/A</v>
      </c>
      <c r="N2" s="463">
        <f>P2-NominalTemp</f>
        <v>0</v>
      </c>
      <c r="O2" s="464" t="s">
        <v>272</v>
      </c>
      <c r="P2" s="463">
        <f>MAX(Survey[CorrectedTemp])</f>
        <v>0</v>
      </c>
      <c r="Q2" s="465" t="e">
        <f>_xlfn.XLOOKUP(P2,Survey[CorrectedTemp],Survey[Time])</f>
        <v>#N/A</v>
      </c>
    </row>
    <row r="3" spans="1:17" x14ac:dyDescent="0.2">
      <c r="I3" s="478" t="s">
        <v>944</v>
      </c>
      <c r="J3" s="479" t="e">
        <f>_xlfn.T.INV.2T(1-0.9545, DoF)</f>
        <v>#NUM!</v>
      </c>
      <c r="L3" s="484" t="s">
        <v>2</v>
      </c>
      <c r="M3" s="469" t="e">
        <f>_xlfn.XLOOKUP(P3,Survey[CorrectedTemp],Survey[TestPoint])</f>
        <v>#N/A</v>
      </c>
      <c r="N3" s="466">
        <f>P3-NominalTemp</f>
        <v>0</v>
      </c>
      <c r="O3" s="455" t="s">
        <v>273</v>
      </c>
      <c r="P3" s="466">
        <f>MIN(Survey[CorrectedTemp])</f>
        <v>0</v>
      </c>
      <c r="Q3" s="467" t="e">
        <f>_xlfn.XLOOKUP(P3,Survey[CorrectedTemp],Survey[Time])</f>
        <v>#N/A</v>
      </c>
    </row>
    <row r="4" spans="1:17" x14ac:dyDescent="0.2">
      <c r="I4" s="474" t="s">
        <v>948</v>
      </c>
      <c r="J4" s="475" cm="1">
        <f t="array" ref="J4">SUM(_xlfn._xlws.FILTER(Survey[Deviations],Survey[TestPoint]&lt;=5)^2)/DoF</f>
        <v>0</v>
      </c>
      <c r="L4" s="497"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8" t="s">
        <v>949</v>
      </c>
      <c r="J5" s="480" cm="1">
        <f t="array" ref="J5">VLOOKUP(NominalTemp,_xlfn._xlws.FILTER(MUG[],MUG[Meas Units]="°F"),8,TRUE)</f>
        <v>0.66776102980616914</v>
      </c>
      <c r="L5" s="497"/>
      <c r="M5" s="143">
        <v>2</v>
      </c>
      <c r="O5" t="str" cm="1">
        <f t="array" ref="O5">IF(
  Main!O6 = "",
  "",
  IF(
    COUNTIF(Survey[TestPoint], Alerts[[#This Row],[TestPoint]]) = 0,
    "DROPPED",
    IF(
      OR(
        _xlfn._xlws.FILTER(
          Survey[OutOfTolerance],
          Survey[TestPoint] = Alerts[[#This Row],[TestPoint]]
        )
      ),
      "Out of Tol",
      ""
    )
  )
)</f>
        <v/>
      </c>
    </row>
    <row r="6" spans="1:17" x14ac:dyDescent="0.2">
      <c r="I6" s="474" t="s">
        <v>947</v>
      </c>
      <c r="J6" s="475">
        <f>SQRT(Base₂^2+sp²)</f>
        <v>0.66776102980616914</v>
      </c>
      <c r="L6" s="497"/>
      <c r="M6" s="143">
        <v>3</v>
      </c>
      <c r="O6" t="str" cm="1">
        <f t="array" ref="O6">IF(
  Main!O7 = "",
  "",
  IF(
    COUNTIF(Survey[TestPoint], Alerts[[#This Row],[TestPoint]]) = 0,
    "DROPPED",
    IF(
      OR(
        _xlfn._xlws.FILTER(
          Survey[OutOfTolerance],
          Survey[TestPoint] = Alerts[[#This Row],[TestPoint]]
        )
      ),
      "Out of Tol",
      ""
    )
  )
)</f>
        <v/>
      </c>
    </row>
    <row r="7" spans="1:17" x14ac:dyDescent="0.2">
      <c r="I7" s="478" t="s">
        <v>937</v>
      </c>
      <c r="J7" s="481" t="e">
        <f>J6*k</f>
        <v>#NUM!</v>
      </c>
      <c r="L7" s="497"/>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6" t="s">
        <v>938</v>
      </c>
      <c r="J8" s="477">
        <f>VLOOKUP(NominalTemp,CMCs[],3,TRUE)</f>
        <v>1.6</v>
      </c>
      <c r="L8" s="497"/>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2" t="s">
        <v>945</v>
      </c>
      <c r="J9" s="483" t="e">
        <f>MAX(J7,J8)</f>
        <v>#NUM!</v>
      </c>
      <c r="L9" s="497"/>
      <c r="M9" s="143">
        <v>6</v>
      </c>
      <c r="O9" t="str" cm="1">
        <f t="array" ref="O9">IF(
  Main!O10 = "",
  "",
  IF(
    COUNTIF(Survey[TestPoint], Alerts[[#This Row],[TestPoint]]) = 0,
    "DROPPED",
    IF(
      OR(
        _xlfn._xlws.FILTER(
          Survey[OutOfTolerance],
          Survey[TestPoint] = Alerts[[#This Row],[TestPoint]]
        )
      ),
      "Out of Tol",
      ""
    )
  )
)</f>
        <v/>
      </c>
    </row>
    <row r="10" spans="1:17" x14ac:dyDescent="0.2">
      <c r="L10" s="497"/>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7"/>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9" t="s">
        <v>888</v>
      </c>
    </row>
    <row r="2" spans="1:3" x14ac:dyDescent="0.2">
      <c r="A2" s="39"/>
      <c r="B2" s="39"/>
    </row>
    <row r="3" spans="1:3" x14ac:dyDescent="0.2">
      <c r="A3" s="39" t="s">
        <v>577</v>
      </c>
      <c r="B3" s="39" t="s">
        <v>578</v>
      </c>
      <c r="C3" s="39" t="s">
        <v>889</v>
      </c>
    </row>
    <row r="4" spans="1:3" x14ac:dyDescent="0.2">
      <c r="A4" s="418">
        <v>-100</v>
      </c>
      <c r="B4" s="418">
        <v>392</v>
      </c>
      <c r="C4" s="417">
        <v>1.6</v>
      </c>
    </row>
    <row r="5" spans="1:3" x14ac:dyDescent="0.2">
      <c r="A5" s="418">
        <v>392</v>
      </c>
      <c r="B5" s="418">
        <v>752</v>
      </c>
      <c r="C5" s="417">
        <v>4</v>
      </c>
    </row>
    <row r="6" spans="1:3" x14ac:dyDescent="0.2">
      <c r="A6" s="418">
        <v>752</v>
      </c>
      <c r="B6" s="418">
        <v>1200</v>
      </c>
      <c r="C6" s="417">
        <v>3</v>
      </c>
    </row>
    <row r="7" spans="1:3" x14ac:dyDescent="0.2">
      <c r="A7" s="418">
        <v>1200</v>
      </c>
      <c r="B7" s="418">
        <v>2000</v>
      </c>
      <c r="C7" s="417">
        <v>4.0999999999999996</v>
      </c>
    </row>
    <row r="8" spans="1:3" x14ac:dyDescent="0.2">
      <c r="A8" s="418">
        <v>1800</v>
      </c>
      <c r="B8" s="418">
        <v>2200</v>
      </c>
      <c r="C8" s="417">
        <v>4.0999999999999996</v>
      </c>
    </row>
  </sheetData>
  <sheetProtection algorithmName="SHA-512" hashValue="AKUmCjiWUE4q5JybPD0Ea/H+/O4AE+eR3U4x+poROVnvIZdOFfy6XsK8xk96+wBlStXUi/a769ef0xAgCFjy0g==" saltValue="MtZlGKCPgxCi9OwW/T4w2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8"/>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3" customWidth="1"/>
    <col min="21" max="21" width="15.85546875" style="323" customWidth="1"/>
    <col min="22" max="22" width="13.5703125" style="323" customWidth="1"/>
    <col min="23" max="23" width="11.140625" style="323" customWidth="1"/>
    <col min="24" max="16384" width="9.140625" style="323"/>
  </cols>
  <sheetData>
    <row r="1" spans="1:26" ht="23.25" x14ac:dyDescent="0.35">
      <c r="A1" s="340" t="s">
        <v>950</v>
      </c>
      <c r="B1" s="341"/>
      <c r="C1" s="517" t="s">
        <v>50</v>
      </c>
      <c r="D1" s="518"/>
      <c r="E1" s="518"/>
      <c r="F1" s="518"/>
      <c r="G1" s="144" t="e" cm="1">
        <f t="array" ref="G1">GetFormattedWorkItemNumber(K14, D24)</f>
        <v>#VALUE!</v>
      </c>
      <c r="H1" s="144"/>
      <c r="I1" s="145"/>
      <c r="J1" s="323"/>
      <c r="K1" s="323"/>
      <c r="L1" s="323"/>
      <c r="M1" s="323"/>
      <c r="N1" s="323"/>
      <c r="O1" s="323"/>
      <c r="P1" s="323"/>
      <c r="Q1" s="323"/>
      <c r="R1" s="323"/>
      <c r="S1" s="323"/>
    </row>
    <row r="2" spans="1:26" ht="12.75" customHeight="1" x14ac:dyDescent="0.2">
      <c r="A2" s="342"/>
      <c r="B2" s="343"/>
      <c r="C2" s="323"/>
      <c r="D2" s="323"/>
      <c r="E2" s="344"/>
      <c r="F2" s="344"/>
      <c r="G2" s="343"/>
      <c r="H2" s="323"/>
      <c r="I2" s="323"/>
      <c r="J2" s="323"/>
      <c r="K2" s="323"/>
      <c r="L2" s="324"/>
      <c r="M2" s="324"/>
      <c r="N2" s="324"/>
      <c r="O2" s="324"/>
      <c r="P2" s="324"/>
      <c r="Q2" s="324"/>
      <c r="R2" s="324"/>
      <c r="S2" s="324"/>
      <c r="T2" s="324"/>
      <c r="U2" s="324"/>
      <c r="V2" s="324"/>
    </row>
    <row r="3" spans="1:26" x14ac:dyDescent="0.2">
      <c r="A3" s="342"/>
      <c r="B3" s="147"/>
      <c r="C3" s="148" t="s">
        <v>72</v>
      </c>
      <c r="D3" s="297"/>
      <c r="E3" s="323"/>
      <c r="F3" s="323"/>
      <c r="G3" s="323"/>
      <c r="H3" s="323"/>
      <c r="I3" s="323"/>
      <c r="J3" s="519" t="s">
        <v>102</v>
      </c>
      <c r="K3" s="520"/>
      <c r="L3" s="521"/>
      <c r="M3" s="323"/>
      <c r="N3" s="536" t="s">
        <v>91</v>
      </c>
      <c r="O3" s="536"/>
      <c r="P3" s="536"/>
      <c r="Q3" s="536"/>
      <c r="R3" s="536"/>
      <c r="S3" s="536"/>
      <c r="T3" s="324"/>
      <c r="U3" s="324"/>
      <c r="V3" s="324"/>
      <c r="W3" s="325"/>
      <c r="X3" s="325"/>
      <c r="Y3" s="325"/>
      <c r="Z3" s="325"/>
    </row>
    <row r="4" spans="1:26" x14ac:dyDescent="0.2">
      <c r="A4" s="342"/>
      <c r="B4" s="147"/>
      <c r="C4" s="148" t="s">
        <v>232</v>
      </c>
      <c r="D4" s="302" t="str">
        <f>IF(Condition="","",Condition)</f>
        <v/>
      </c>
      <c r="E4" s="323"/>
      <c r="F4" s="323"/>
      <c r="G4" s="323"/>
      <c r="H4" s="323"/>
      <c r="I4" s="323"/>
      <c r="J4" s="524" t="s">
        <v>1</v>
      </c>
      <c r="K4" s="525"/>
      <c r="L4" s="149">
        <f>IFERROR(Survey!N2,0)</f>
        <v>0</v>
      </c>
      <c r="M4" s="323"/>
      <c r="N4" s="150" t="s">
        <v>90</v>
      </c>
      <c r="O4" s="151" t="s">
        <v>89</v>
      </c>
      <c r="P4" s="522" t="s">
        <v>100</v>
      </c>
      <c r="Q4" s="523"/>
      <c r="R4" s="150" t="s">
        <v>137</v>
      </c>
      <c r="S4" s="150" t="s">
        <v>141</v>
      </c>
      <c r="T4" s="324"/>
      <c r="U4" s="326"/>
      <c r="V4" s="326"/>
      <c r="W4" s="326"/>
      <c r="X4" s="326"/>
      <c r="Y4" s="326"/>
      <c r="Z4" s="326"/>
    </row>
    <row r="5" spans="1:26" x14ac:dyDescent="0.2">
      <c r="A5" s="342"/>
      <c r="B5" s="147"/>
      <c r="C5" s="148" t="s">
        <v>41</v>
      </c>
      <c r="D5" s="540" t="e">
        <f>companyName</f>
        <v>#N/A</v>
      </c>
      <c r="E5" s="541"/>
      <c r="F5" s="541"/>
      <c r="G5" s="541"/>
      <c r="H5" s="542"/>
      <c r="I5" s="303"/>
      <c r="J5" s="524" t="s">
        <v>2</v>
      </c>
      <c r="K5" s="525"/>
      <c r="L5" s="149">
        <f>IFERROR(Survey!N3,0)</f>
        <v>0</v>
      </c>
      <c r="M5" s="323"/>
      <c r="N5" s="470">
        <v>1</v>
      </c>
      <c r="O5" s="152"/>
      <c r="P5" s="498" t="str">
        <f>VLOOKUP(N5,Alerts[],3,FALSE)</f>
        <v/>
      </c>
      <c r="Q5" s="499"/>
      <c r="R5" s="471" t="str" cm="1">
        <f t="array" ref="R5">IFZERO(VLOOKUP(N5,Alerts[],4,FALSE),"")</f>
        <v/>
      </c>
      <c r="S5" s="153" t="str" cm="1">
        <f t="array" ref="S5">IFZERO(VLOOKUP(N5,Alerts[],5,FALSE),"")</f>
        <v/>
      </c>
      <c r="T5" s="324"/>
      <c r="U5" s="326"/>
      <c r="V5" s="326"/>
      <c r="W5" s="326"/>
      <c r="X5" s="326" t="str">
        <f>IF(O5,1,"")</f>
        <v/>
      </c>
      <c r="Y5" s="326"/>
      <c r="Z5" s="326"/>
    </row>
    <row r="6" spans="1:26" x14ac:dyDescent="0.2">
      <c r="A6" s="342"/>
      <c r="B6" s="147"/>
      <c r="C6" s="148" t="s">
        <v>40</v>
      </c>
      <c r="D6" s="537" t="e">
        <f>VLOOKUP("assetName",WorkItemDetails[],2,FALSE)</f>
        <v>#N/A</v>
      </c>
      <c r="E6" s="538"/>
      <c r="F6" s="538"/>
      <c r="G6" s="538"/>
      <c r="H6" s="539"/>
      <c r="I6" s="294"/>
      <c r="J6" s="524" t="s">
        <v>101</v>
      </c>
      <c r="K6" s="525"/>
      <c r="L6" s="149">
        <f>L4-L5</f>
        <v>0</v>
      </c>
      <c r="M6" s="323"/>
      <c r="N6" s="470">
        <v>2</v>
      </c>
      <c r="O6" s="152"/>
      <c r="P6" s="498" t="str">
        <f>VLOOKUP(N6,Alerts[],3,FALSE)</f>
        <v/>
      </c>
      <c r="Q6" s="499"/>
      <c r="R6" s="471" t="str" cm="1">
        <f t="array" ref="R6">IFZERO(VLOOKUP(N6,Alerts[],4,FALSE),"")</f>
        <v/>
      </c>
      <c r="S6" s="153" t="str" cm="1">
        <f t="array" ref="S6">IFZERO(VLOOKUP(N6,Alerts[],5,FALSE),"")</f>
        <v/>
      </c>
      <c r="T6" s="324"/>
      <c r="U6" s="326"/>
      <c r="V6" s="326"/>
      <c r="W6" s="326"/>
      <c r="X6" s="326" t="str">
        <f t="shared" ref="X6:X44" si="0">IF(O6,1,"")</f>
        <v/>
      </c>
      <c r="Y6" s="326"/>
      <c r="Z6" s="326"/>
    </row>
    <row r="7" spans="1:26" x14ac:dyDescent="0.2">
      <c r="A7" s="342"/>
      <c r="B7" s="154"/>
      <c r="C7" s="155" t="s">
        <v>27</v>
      </c>
      <c r="D7" s="421" t="str" cm="1">
        <f t="array" ref="D7">Employee[Name]</f>
        <v>Jeff Hall</v>
      </c>
      <c r="E7" s="323"/>
      <c r="F7" s="323"/>
      <c r="G7" s="323"/>
      <c r="H7" s="323"/>
      <c r="I7" s="323"/>
      <c r="J7" s="345"/>
      <c r="K7" s="345"/>
      <c r="L7" s="345"/>
      <c r="M7" s="323"/>
      <c r="N7" s="470">
        <v>3</v>
      </c>
      <c r="O7" s="152"/>
      <c r="P7" s="498" t="str">
        <f>VLOOKUP(N7,Alerts[],3,FALSE)</f>
        <v/>
      </c>
      <c r="Q7" s="499"/>
      <c r="R7" s="471" t="str" cm="1">
        <f t="array" ref="R7">IFZERO(VLOOKUP(N7,Alerts[],4,FALSE),"")</f>
        <v/>
      </c>
      <c r="S7" s="153" t="str" cm="1">
        <f t="array" ref="S7">IFZERO(VLOOKUP(N7,Alerts[],5,FALSE),"")</f>
        <v/>
      </c>
      <c r="T7" s="324"/>
      <c r="U7" s="326"/>
      <c r="V7" s="326"/>
      <c r="W7" s="326"/>
      <c r="X7" s="326" t="str">
        <f t="shared" si="0"/>
        <v/>
      </c>
      <c r="Y7" s="326"/>
      <c r="Z7" s="326"/>
    </row>
    <row r="8" spans="1:26" x14ac:dyDescent="0.2">
      <c r="A8" s="342"/>
      <c r="B8" s="338"/>
      <c r="C8" s="346"/>
      <c r="D8" s="347"/>
      <c r="E8" s="323"/>
      <c r="F8" s="348" t="str">
        <f>IF(N49="","CHECK TUNING CONSTANTS","")</f>
        <v>CHECK TUNING CONSTANTS</v>
      </c>
      <c r="G8" s="323"/>
      <c r="H8" s="323"/>
      <c r="I8" s="323"/>
      <c r="J8" s="323"/>
      <c r="K8" s="323"/>
      <c r="L8" s="323"/>
      <c r="M8" s="323"/>
      <c r="N8" s="470">
        <v>4</v>
      </c>
      <c r="O8" s="152"/>
      <c r="P8" s="498" t="str">
        <f>VLOOKUP(N8,Alerts[],3,FALSE)</f>
        <v/>
      </c>
      <c r="Q8" s="499"/>
      <c r="R8" s="471" t="str" cm="1">
        <f t="array" ref="R8">IFZERO(VLOOKUP(N8,Alerts[],4,FALSE),"")</f>
        <v/>
      </c>
      <c r="S8" s="153" t="str" cm="1">
        <f t="array" ref="S8">IFZERO(VLOOKUP(N8,Alerts[],5,FALSE),"")</f>
        <v/>
      </c>
      <c r="T8" s="324"/>
      <c r="U8" s="326"/>
      <c r="V8" s="326"/>
      <c r="W8" s="326"/>
      <c r="X8" s="326" t="str">
        <f t="shared" si="0"/>
        <v/>
      </c>
      <c r="Y8" s="326"/>
      <c r="Z8" s="326"/>
    </row>
    <row r="9" spans="1:26" ht="12.75" customHeight="1" x14ac:dyDescent="0.2">
      <c r="A9" s="342"/>
      <c r="B9" s="147"/>
      <c r="C9" s="156" t="s">
        <v>66</v>
      </c>
      <c r="D9" s="299"/>
      <c r="E9" s="303" t="str" cm="1">
        <f t="array" ref="E9">IFERROR(
  _xlfn.XLOOKUP(
    Main!$D$9,
    _xlfn._xlws.FILTER(AssetPool[asset_tag], AssetPool[root_category_name]="DAQ Modules"),
    _xlfn._xlws.FILTER(AssetPool[asset_id], AssetPool[root_category_name]="DAQ Modules")
  ),
  ""
)</f>
        <v/>
      </c>
      <c r="F9" s="323"/>
      <c r="G9" s="323"/>
      <c r="H9" s="323"/>
      <c r="I9" s="323"/>
      <c r="J9" s="323"/>
      <c r="K9" s="323"/>
      <c r="L9" s="323"/>
      <c r="M9" s="323"/>
      <c r="N9" s="470">
        <v>5</v>
      </c>
      <c r="O9" s="152"/>
      <c r="P9" s="498" t="str">
        <f>VLOOKUP(N9,Alerts[],3,FALSE)</f>
        <v/>
      </c>
      <c r="Q9" s="499"/>
      <c r="R9" s="471" t="str" cm="1">
        <f t="array" ref="R9">IFZERO(VLOOKUP(N9,Alerts[],4,FALSE),"")</f>
        <v/>
      </c>
      <c r="S9" s="153" t="str" cm="1">
        <f t="array" ref="S9">IFZERO(VLOOKUP(N9,Alerts[],5,FALSE),"")</f>
        <v/>
      </c>
      <c r="T9" s="324"/>
      <c r="U9" s="326"/>
      <c r="V9" s="326"/>
      <c r="W9" s="326"/>
      <c r="X9" s="326" t="str">
        <f t="shared" si="0"/>
        <v/>
      </c>
      <c r="Y9" s="326"/>
      <c r="Z9" s="326"/>
    </row>
    <row r="10" spans="1:26" x14ac:dyDescent="0.2">
      <c r="A10" s="342"/>
      <c r="B10" s="338"/>
      <c r="C10" s="339"/>
      <c r="D10" s="323"/>
      <c r="E10" s="323"/>
      <c r="F10" s="323"/>
      <c r="G10" s="324" t="str">
        <f>IFERROR(IF(OR(Survey[OutOfTolerance]),"!!!!! OVEN IS OOT !!!!!",""),"")</f>
        <v/>
      </c>
      <c r="H10" s="323"/>
      <c r="I10" s="323"/>
      <c r="J10" s="323"/>
      <c r="K10" s="323"/>
      <c r="L10" s="323"/>
      <c r="M10" s="323"/>
      <c r="N10" s="470">
        <v>6</v>
      </c>
      <c r="O10" s="152"/>
      <c r="P10" s="498" t="str">
        <f>VLOOKUP(N10,Alerts[],3,FALSE)</f>
        <v/>
      </c>
      <c r="Q10" s="499"/>
      <c r="R10" s="471" t="str" cm="1">
        <f t="array" ref="R10">IFZERO(VLOOKUP(N10,Alerts[],4,FALSE),"")</f>
        <v/>
      </c>
      <c r="S10" s="153" t="str" cm="1">
        <f t="array" ref="S10">IFZERO(VLOOKUP(N10,Alerts[],5,FALSE),"")</f>
        <v/>
      </c>
      <c r="T10" s="324"/>
      <c r="U10" s="326"/>
      <c r="V10" s="326"/>
      <c r="W10" s="326"/>
      <c r="X10" s="326" t="str">
        <f t="shared" si="0"/>
        <v/>
      </c>
      <c r="Y10" s="326"/>
      <c r="Z10" s="326"/>
    </row>
    <row r="11" spans="1:26" x14ac:dyDescent="0.2">
      <c r="A11" s="342"/>
      <c r="B11" s="147"/>
      <c r="C11" s="156" t="s">
        <v>53</v>
      </c>
      <c r="D11" s="296" t="e">
        <f>VLOOKUP("serial_number",DaqbookServiceRecord[], 2, FALSE)</f>
        <v>#N/A</v>
      </c>
      <c r="E11" s="323"/>
      <c r="F11" s="323"/>
      <c r="G11" s="324" t="str">
        <f>IF(OR(ISBLANK(D3),ISBLANK(D13)),"",IF(D13&lt;D3,"!!!!! DAQBOOK IS OUT OF CERTIFICATION !!!!!",""))</f>
        <v/>
      </c>
      <c r="H11" s="323"/>
      <c r="I11" s="323"/>
      <c r="J11" s="323"/>
      <c r="K11" s="323"/>
      <c r="L11" s="323"/>
      <c r="M11" s="323"/>
      <c r="N11" s="470">
        <v>7</v>
      </c>
      <c r="O11" s="152"/>
      <c r="P11" s="498" t="str">
        <f>VLOOKUP(N11,Alerts[],3,FALSE)</f>
        <v/>
      </c>
      <c r="Q11" s="499"/>
      <c r="R11" s="471" t="str" cm="1">
        <f t="array" ref="R11">IFZERO(VLOOKUP(N11,Alerts[],4,FALSE),"")</f>
        <v/>
      </c>
      <c r="S11" s="153" t="str" cm="1">
        <f t="array" ref="S11">IFZERO(VLOOKUP(N11,Alerts[],5,FALSE),"")</f>
        <v/>
      </c>
      <c r="T11" s="324"/>
      <c r="U11" s="326"/>
      <c r="V11" s="326"/>
      <c r="W11" s="326"/>
      <c r="X11" s="326" t="str">
        <f t="shared" si="0"/>
        <v/>
      </c>
      <c r="Y11" s="326"/>
      <c r="Z11" s="326"/>
    </row>
    <row r="12" spans="1:26" x14ac:dyDescent="0.2">
      <c r="A12" s="342"/>
      <c r="B12" s="147"/>
      <c r="C12" s="156" t="s">
        <v>87</v>
      </c>
      <c r="D12" s="295" t="e">
        <f>VLOOKUP("service_date",DaqbookServiceRecord[], 2, FALSE)</f>
        <v>#N/A</v>
      </c>
      <c r="E12" s="323"/>
      <c r="F12" s="323"/>
      <c r="G12" s="324" t="str">
        <f>IF(IF(COUNTIFS(DataForChannels1to14[],"&gt;"&amp;B2,DataForChannels1to14[],"&lt;"&amp;(B2+200))&gt;0,1,0)=1,"!!!!! OVEN OVERSHOT IN POINTS 1-14 !!!!!","")</f>
        <v/>
      </c>
      <c r="H12" s="323"/>
      <c r="I12" s="323"/>
      <c r="J12" s="345"/>
      <c r="K12" s="327"/>
      <c r="L12" s="345"/>
      <c r="M12" s="327"/>
      <c r="N12" s="470">
        <v>8</v>
      </c>
      <c r="O12" s="152"/>
      <c r="P12" s="498" t="str">
        <f>VLOOKUP(N12,Alerts[],3,FALSE)</f>
        <v/>
      </c>
      <c r="Q12" s="499"/>
      <c r="R12" s="471" t="str" cm="1">
        <f t="array" ref="R12">IFZERO(VLOOKUP(N12,Alerts[],4,FALSE),"")</f>
        <v/>
      </c>
      <c r="S12" s="153" t="str" cm="1">
        <f t="array" ref="S12">IFZERO(VLOOKUP(N12,Alerts[],5,FALSE),"")</f>
        <v/>
      </c>
      <c r="T12" s="324"/>
      <c r="U12" s="326"/>
      <c r="V12" s="326"/>
      <c r="W12" s="326"/>
      <c r="X12" s="326" t="str">
        <f t="shared" si="0"/>
        <v/>
      </c>
      <c r="Y12" s="326"/>
      <c r="Z12" s="326"/>
    </row>
    <row r="13" spans="1:26" x14ac:dyDescent="0.2">
      <c r="A13" s="342"/>
      <c r="B13" s="157"/>
      <c r="C13" s="158" t="s">
        <v>86</v>
      </c>
      <c r="D13" s="295" t="e">
        <f>VLOOKUP("next_service_date",DaqbookServiceRecord[], 2, FALSE)</f>
        <v>#N/A</v>
      </c>
      <c r="E13" s="323"/>
      <c r="F13" s="349"/>
      <c r="G13" s="339" t="str">
        <f>IF(IF(COUNTIFS(DataForChannels15to28[],"&gt;"&amp;B2,DataForChannels15to28[],"&lt;"&amp;(B2+200))&gt;0,1,0)=1,"!!!!! OVEN OVERSHOT IN POINTS 15-28 !!!!!","")</f>
        <v/>
      </c>
      <c r="H13" s="323"/>
      <c r="I13" s="323"/>
      <c r="J13" s="255" t="s">
        <v>327</v>
      </c>
      <c r="K13" s="534" t="str">
        <f>IFERROR(VLOOKUP("PoNumber",WorkItemDetails[],2,FALSE),"")</f>
        <v/>
      </c>
      <c r="L13" s="535"/>
      <c r="M13" s="323"/>
      <c r="N13" s="470">
        <v>9</v>
      </c>
      <c r="O13" s="152"/>
      <c r="P13" s="498" t="str">
        <f>VLOOKUP(N13,Alerts[],3,FALSE)</f>
        <v/>
      </c>
      <c r="Q13" s="499"/>
      <c r="R13" s="471" t="str" cm="1">
        <f t="array" ref="R13">IFZERO(VLOOKUP(N13,Alerts[],4,FALSE),"")</f>
        <v/>
      </c>
      <c r="S13" s="153" t="str" cm="1">
        <f t="array" ref="S13">IFZERO(VLOOKUP(N13,Alerts[],5,FALSE),"")</f>
        <v/>
      </c>
      <c r="T13" s="324"/>
      <c r="U13" s="326"/>
      <c r="V13" s="326"/>
      <c r="W13" s="326"/>
      <c r="X13" s="326" t="str">
        <f t="shared" si="0"/>
        <v/>
      </c>
      <c r="Y13" s="326"/>
      <c r="Z13" s="326"/>
    </row>
    <row r="14" spans="1:26" x14ac:dyDescent="0.2">
      <c r="A14" s="342"/>
      <c r="B14" s="147"/>
      <c r="C14" s="156" t="s">
        <v>88</v>
      </c>
      <c r="D14" s="296" t="e">
        <f>VLOOKUP("certificate_number",DaqbookServiceRecord[], 2, FALSE)</f>
        <v>#N/A</v>
      </c>
      <c r="E14" s="323"/>
      <c r="F14" s="323"/>
      <c r="G14" s="324" t="str">
        <f>IF(IF(COUNTIFS(DataForChannels29to40[],"&gt;"&amp;B2,DataForChannels29to40[],"&lt;"&amp;(B2+200))&gt;0,1,0)=1,"!!!!! OVEN OVERSHOT IN POINTS 29-40 !!!!!","")</f>
        <v/>
      </c>
      <c r="H14" s="323"/>
      <c r="I14" s="323"/>
      <c r="J14" s="159" t="s">
        <v>136</v>
      </c>
      <c r="K14" s="543"/>
      <c r="L14" s="544"/>
      <c r="M14" s="323"/>
      <c r="N14" s="470">
        <v>10</v>
      </c>
      <c r="O14" s="152"/>
      <c r="P14" s="498" t="str">
        <f>VLOOKUP(N14,Alerts[],3,FALSE)</f>
        <v/>
      </c>
      <c r="Q14" s="499"/>
      <c r="R14" s="471" t="str" cm="1">
        <f t="array" ref="R14">IFZERO(VLOOKUP(N14,Alerts[],4,FALSE),"")</f>
        <v/>
      </c>
      <c r="S14" s="153" t="str" cm="1">
        <f t="array" ref="S14">IFZERO(VLOOKUP(N14,Alerts[],5,FALSE),"")</f>
        <v/>
      </c>
      <c r="T14" s="324"/>
      <c r="U14" s="326"/>
      <c r="V14" s="326"/>
      <c r="W14" s="326"/>
      <c r="X14" s="326" t="str">
        <f t="shared" si="0"/>
        <v/>
      </c>
      <c r="Y14" s="326"/>
      <c r="Z14" s="326"/>
    </row>
    <row r="15" spans="1:26" x14ac:dyDescent="0.2">
      <c r="A15" s="342"/>
      <c r="B15" s="200"/>
      <c r="C15" s="198" t="s">
        <v>65</v>
      </c>
      <c r="D15" s="316"/>
      <c r="E15" s="323"/>
      <c r="F15" s="323"/>
      <c r="G15" s="323"/>
      <c r="H15" s="487" t="b">
        <v>1</v>
      </c>
      <c r="I15" s="323"/>
      <c r="J15" s="160" t="s">
        <v>131</v>
      </c>
      <c r="K15" s="528"/>
      <c r="L15" s="529"/>
      <c r="M15" s="323"/>
      <c r="N15" s="470">
        <v>11</v>
      </c>
      <c r="O15" s="152"/>
      <c r="P15" s="498" t="str">
        <f>VLOOKUP(N15,Alerts[],3,FALSE)</f>
        <v/>
      </c>
      <c r="Q15" s="499"/>
      <c r="R15" s="471" t="str" cm="1">
        <f t="array" ref="R15">IFZERO(VLOOKUP(N15,Alerts[],4,FALSE),"")</f>
        <v/>
      </c>
      <c r="S15" s="153" t="str" cm="1">
        <f t="array" ref="S15">IFZERO(VLOOKUP(N15,Alerts[],5,FALSE),"")</f>
        <v/>
      </c>
      <c r="T15" s="324"/>
      <c r="U15" s="326"/>
      <c r="V15" s="326"/>
      <c r="W15" s="326"/>
      <c r="X15" s="326" t="str">
        <f t="shared" si="0"/>
        <v/>
      </c>
      <c r="Y15" s="326"/>
      <c r="Z15" s="326"/>
    </row>
    <row r="16" spans="1:26" x14ac:dyDescent="0.2">
      <c r="A16" s="342"/>
      <c r="B16" s="161"/>
      <c r="C16" s="199" t="s">
        <v>266</v>
      </c>
      <c r="D16" s="316"/>
      <c r="E16" s="323"/>
      <c r="F16" s="159" t="s">
        <v>77</v>
      </c>
      <c r="G16" s="449" t="s">
        <v>271</v>
      </c>
      <c r="H16" s="450"/>
      <c r="I16" s="323"/>
      <c r="J16" s="548" t="s">
        <v>165</v>
      </c>
      <c r="K16" s="549"/>
      <c r="L16" s="301"/>
      <c r="M16" s="323"/>
      <c r="N16" s="470">
        <v>12</v>
      </c>
      <c r="O16" s="152"/>
      <c r="P16" s="498" t="str">
        <f>VLOOKUP(N16,Alerts[],3,FALSE)</f>
        <v/>
      </c>
      <c r="Q16" s="499"/>
      <c r="R16" s="471" t="str" cm="1">
        <f t="array" ref="R16">IFZERO(VLOOKUP(N16,Alerts[],4,FALSE),"")</f>
        <v/>
      </c>
      <c r="S16" s="153" t="str" cm="1">
        <f t="array" ref="S16">IFZERO(VLOOKUP(N16,Alerts[],5,FALSE),"")</f>
        <v/>
      </c>
      <c r="T16" s="324"/>
      <c r="U16" s="326"/>
      <c r="V16" s="326"/>
      <c r="W16" s="326"/>
      <c r="X16" s="326" t="str">
        <f t="shared" si="0"/>
        <v/>
      </c>
      <c r="Y16" s="326"/>
      <c r="Z16" s="326"/>
    </row>
    <row r="17" spans="1:26" x14ac:dyDescent="0.2">
      <c r="A17" s="342"/>
      <c r="B17" s="147"/>
      <c r="C17" s="148" t="s">
        <v>64</v>
      </c>
      <c r="D17" s="317"/>
      <c r="E17" s="323"/>
      <c r="F17" s="160" t="s">
        <v>96</v>
      </c>
      <c r="G17" s="422" t="str">
        <f>IF(ISBLANK(Load),"",Load)</f>
        <v/>
      </c>
      <c r="H17" s="323"/>
      <c r="I17" s="324"/>
      <c r="J17" s="548" t="s">
        <v>166</v>
      </c>
      <c r="K17" s="549"/>
      <c r="L17" s="163" t="str">
        <f>IF(K15="SIM Load Hot",TEXT(D26,"hh:mm"),"")</f>
        <v/>
      </c>
      <c r="M17" s="323"/>
      <c r="N17" s="470">
        <v>13</v>
      </c>
      <c r="O17" s="152"/>
      <c r="P17" s="498" t="str">
        <f>VLOOKUP(N17,Alerts[],3,FALSE)</f>
        <v/>
      </c>
      <c r="Q17" s="499"/>
      <c r="R17" s="471" t="str" cm="1">
        <f t="array" ref="R17">IFZERO(VLOOKUP(N17,Alerts[],4,FALSE),"")</f>
        <v/>
      </c>
      <c r="S17" s="153" t="str" cm="1">
        <f t="array" ref="S17">IFZERO(VLOOKUP(N17,Alerts[],5,FALSE),"")</f>
        <v/>
      </c>
      <c r="T17" s="324"/>
      <c r="U17" s="326"/>
      <c r="V17" s="326"/>
      <c r="W17" s="326"/>
      <c r="X17" s="326" t="str">
        <f t="shared" si="0"/>
        <v/>
      </c>
      <c r="Y17" s="326"/>
      <c r="Z17" s="326"/>
    </row>
    <row r="18" spans="1:26" x14ac:dyDescent="0.2">
      <c r="A18" s="342"/>
      <c r="B18" s="157"/>
      <c r="C18" s="164" t="s">
        <v>67</v>
      </c>
      <c r="D18" s="299"/>
      <c r="E18" s="323"/>
      <c r="F18" s="165" t="s">
        <v>78</v>
      </c>
      <c r="G18" s="500" t="s">
        <v>19</v>
      </c>
      <c r="H18" s="501"/>
      <c r="I18" s="324"/>
      <c r="J18" s="350"/>
      <c r="K18" s="323"/>
      <c r="L18" s="324"/>
      <c r="M18" s="323"/>
      <c r="N18" s="470">
        <v>14</v>
      </c>
      <c r="O18" s="152"/>
      <c r="P18" s="498" t="str">
        <f>VLOOKUP(N18,Alerts[],3,FALSE)</f>
        <v/>
      </c>
      <c r="Q18" s="499"/>
      <c r="R18" s="471" t="str" cm="1">
        <f t="array" ref="R18">IFZERO(VLOOKUP(N18,Alerts[],4,FALSE),"")</f>
        <v/>
      </c>
      <c r="S18" s="153" t="str" cm="1">
        <f t="array" ref="S18">IFZERO(VLOOKUP(N18,Alerts[],5,FALSE),"")</f>
        <v/>
      </c>
      <c r="T18" s="324"/>
      <c r="U18" s="326"/>
      <c r="V18" s="326"/>
      <c r="W18" s="326"/>
      <c r="X18" s="326" t="str">
        <f t="shared" si="0"/>
        <v/>
      </c>
      <c r="Y18" s="326"/>
      <c r="Z18" s="326"/>
    </row>
    <row r="19" spans="1:26" x14ac:dyDescent="0.2">
      <c r="A19" s="342"/>
      <c r="B19" s="147"/>
      <c r="C19" s="148" t="s">
        <v>10</v>
      </c>
      <c r="D19" s="315">
        <f>Header_Info!$BF$2</f>
        <v>0</v>
      </c>
      <c r="E19" s="323"/>
      <c r="F19" s="160" t="s">
        <v>79</v>
      </c>
      <c r="G19" s="526" t="str">
        <f>IF(K15="Salt",0, IF(OR(K15="Hot",K15="SIM Load Hot"),IF(OR(D26="",D28=""),"N/A",IF(ISBLANK(D26),"N/A",D28-D26)),"N/A"))</f>
        <v>N/A</v>
      </c>
      <c r="H19" s="527"/>
      <c r="I19" s="351" t="str">
        <f>IF(G19="N/A","N/A",IF(G19=0,"&lt;2",ROUND(IF(LEN(G19)&gt;3,G19*1440,RIGHT(TEXT(G19,"hh:mm"),2)),0))&amp;" MINUTES")</f>
        <v>N/A</v>
      </c>
      <c r="J19" s="350"/>
      <c r="K19" s="323"/>
      <c r="L19" s="324"/>
      <c r="M19" s="323"/>
      <c r="N19" s="470">
        <v>15</v>
      </c>
      <c r="O19" s="152"/>
      <c r="P19" s="498" t="str">
        <f>VLOOKUP(N19,Alerts[],3,FALSE)</f>
        <v/>
      </c>
      <c r="Q19" s="499"/>
      <c r="R19" s="471" t="str" cm="1">
        <f t="array" ref="R19">IFZERO(VLOOKUP(N19,Alerts[],4,FALSE),"")</f>
        <v/>
      </c>
      <c r="S19" s="153" t="str" cm="1">
        <f t="array" ref="S19">IFZERO(VLOOKUP(N19,Alerts[],5,FALSE),"")</f>
        <v/>
      </c>
      <c r="T19" s="324"/>
      <c r="U19" s="326"/>
      <c r="V19" s="326"/>
      <c r="W19" s="326"/>
      <c r="X19" s="326" t="str">
        <f t="shared" si="0"/>
        <v/>
      </c>
      <c r="Y19" s="326"/>
      <c r="Z19" s="326"/>
    </row>
    <row r="20" spans="1:26" ht="13.7" customHeight="1" x14ac:dyDescent="0.2">
      <c r="B20" s="530" t="str">
        <f>IF(E20=TRUE,"SAT Tolerance (per AMS2750):","SAT Tolerance (per BAC5621):")</f>
        <v>SAT Tolerance (per BAC5621):</v>
      </c>
      <c r="C20" s="531"/>
      <c r="D20" s="420" t="e">
        <f>G94</f>
        <v>#N/A</v>
      </c>
      <c r="E20" s="485" t="b">
        <v>0</v>
      </c>
      <c r="F20" s="323"/>
      <c r="G20" s="323"/>
      <c r="H20" s="323"/>
      <c r="I20" s="324"/>
      <c r="J20" s="323"/>
      <c r="K20" s="323"/>
      <c r="L20" s="324"/>
      <c r="M20" s="323"/>
      <c r="N20" s="470">
        <v>16</v>
      </c>
      <c r="O20" s="152"/>
      <c r="P20" s="498" t="str">
        <f>VLOOKUP(N20,Alerts[],3,FALSE)</f>
        <v/>
      </c>
      <c r="Q20" s="499"/>
      <c r="R20" s="471" t="str" cm="1">
        <f t="array" ref="R20">IFZERO(VLOOKUP(N20,Alerts[],4,FALSE),"")</f>
        <v/>
      </c>
      <c r="S20" s="153" t="str" cm="1">
        <f t="array" ref="S20">IFZERO(VLOOKUP(N20,Alerts[],5,FALSE),"")</f>
        <v/>
      </c>
      <c r="T20" s="324"/>
      <c r="U20" s="326"/>
      <c r="V20" s="326"/>
      <c r="W20" s="326"/>
      <c r="X20" s="326" t="str">
        <f t="shared" si="0"/>
        <v/>
      </c>
      <c r="Y20" s="326"/>
      <c r="Z20" s="326"/>
    </row>
    <row r="21" spans="1:26" x14ac:dyDescent="0.2">
      <c r="A21" s="342"/>
      <c r="B21" s="338"/>
      <c r="C21" s="352"/>
      <c r="D21" s="347"/>
      <c r="E21" s="323"/>
      <c r="F21" s="323"/>
      <c r="G21" s="323"/>
      <c r="H21" s="323"/>
      <c r="I21" s="324"/>
      <c r="J21" s="323"/>
      <c r="K21" s="323"/>
      <c r="L21" s="324"/>
      <c r="M21" s="323"/>
      <c r="N21" s="470">
        <v>17</v>
      </c>
      <c r="O21" s="152"/>
      <c r="P21" s="498" t="str">
        <f>VLOOKUP(N21,Alerts[],3,FALSE)</f>
        <v/>
      </c>
      <c r="Q21" s="499"/>
      <c r="R21" s="471" t="str" cm="1">
        <f t="array" ref="R21">IFZERO(VLOOKUP(N21,Alerts[],4,FALSE),"")</f>
        <v/>
      </c>
      <c r="S21" s="153" t="str" cm="1">
        <f t="array" ref="S21">IFZERO(VLOOKUP(N21,Alerts[],5,FALSE),"")</f>
        <v/>
      </c>
      <c r="T21" s="324"/>
      <c r="U21" s="326"/>
      <c r="V21" s="326"/>
      <c r="W21" s="326"/>
      <c r="X21" s="326" t="str">
        <f t="shared" si="0"/>
        <v/>
      </c>
      <c r="Y21" s="326"/>
      <c r="Z21" s="326"/>
    </row>
    <row r="22" spans="1:26" x14ac:dyDescent="0.2">
      <c r="A22" s="342"/>
      <c r="B22" s="161"/>
      <c r="C22" s="162" t="s">
        <v>42</v>
      </c>
      <c r="D22" s="298"/>
      <c r="E22" s="323"/>
      <c r="F22" s="353"/>
      <c r="G22" s="323"/>
      <c r="H22" s="323"/>
      <c r="I22" s="324"/>
      <c r="J22" s="323"/>
      <c r="K22" s="323"/>
      <c r="L22" s="324"/>
      <c r="M22" s="323"/>
      <c r="N22" s="470">
        <v>18</v>
      </c>
      <c r="O22" s="152"/>
      <c r="P22" s="498" t="str">
        <f>VLOOKUP(N22,Alerts[],3,FALSE)</f>
        <v/>
      </c>
      <c r="Q22" s="499"/>
      <c r="R22" s="471" t="str" cm="1">
        <f t="array" ref="R22">IFZERO(VLOOKUP(N22,Alerts[],4,FALSE),"")</f>
        <v/>
      </c>
      <c r="S22" s="153" t="str" cm="1">
        <f t="array" ref="S22">IFZERO(VLOOKUP(N22,Alerts[],5,FALSE),"")</f>
        <v/>
      </c>
      <c r="T22" s="324"/>
      <c r="U22" s="326"/>
      <c r="V22" s="326"/>
      <c r="W22" s="326"/>
      <c r="X22" s="326" t="str">
        <f t="shared" si="0"/>
        <v/>
      </c>
      <c r="Y22" s="326"/>
      <c r="Z22" s="326"/>
    </row>
    <row r="23" spans="1:26" x14ac:dyDescent="0.2">
      <c r="A23" s="342"/>
      <c r="B23" s="147"/>
      <c r="C23" s="452" t="s">
        <v>942</v>
      </c>
      <c r="D23" s="299"/>
      <c r="E23" s="323"/>
      <c r="F23" s="166" t="s">
        <v>97</v>
      </c>
      <c r="G23" s="556" t="s">
        <v>380</v>
      </c>
      <c r="H23" s="557"/>
      <c r="I23" s="557"/>
      <c r="J23" s="557"/>
      <c r="K23" s="558"/>
      <c r="L23" s="324"/>
      <c r="M23" s="323"/>
      <c r="N23" s="470">
        <v>19</v>
      </c>
      <c r="O23" s="152"/>
      <c r="P23" s="498" t="str">
        <f>VLOOKUP(N23,Alerts[],3,FALSE)</f>
        <v/>
      </c>
      <c r="Q23" s="499"/>
      <c r="R23" s="471" t="str" cm="1">
        <f t="array" ref="R23">IFZERO(VLOOKUP(N23,Alerts[],4,FALSE),"")</f>
        <v/>
      </c>
      <c r="S23" s="153" t="str" cm="1">
        <f t="array" ref="S23">IFZERO(VLOOKUP(N23,Alerts[],5,FALSE),"")</f>
        <v/>
      </c>
      <c r="T23" s="324"/>
      <c r="U23" s="326"/>
      <c r="V23" s="326"/>
      <c r="W23" s="326"/>
      <c r="X23" s="326" t="str">
        <f t="shared" si="0"/>
        <v/>
      </c>
      <c r="Y23" s="326">
        <v>10</v>
      </c>
      <c r="Z23" s="326" t="s">
        <v>375</v>
      </c>
    </row>
    <row r="24" spans="1:26" x14ac:dyDescent="0.2">
      <c r="A24" s="342"/>
      <c r="B24" s="532" t="s">
        <v>564</v>
      </c>
      <c r="C24" s="533"/>
      <c r="D24" s="299">
        <v>1</v>
      </c>
      <c r="E24" s="323"/>
      <c r="F24" s="166" t="s">
        <v>98</v>
      </c>
      <c r="G24" s="559"/>
      <c r="H24" s="560"/>
      <c r="I24" s="560"/>
      <c r="J24" s="560"/>
      <c r="K24" s="561"/>
      <c r="L24" s="324"/>
      <c r="M24" s="323"/>
      <c r="N24" s="470">
        <v>20</v>
      </c>
      <c r="O24" s="152"/>
      <c r="P24" s="498" t="str">
        <f>VLOOKUP(N24,Alerts[],3,FALSE)</f>
        <v/>
      </c>
      <c r="Q24" s="499"/>
      <c r="R24" s="471" t="str" cm="1">
        <f t="array" ref="R24">IFZERO(VLOOKUP(N24,Alerts[],4,FALSE),"")</f>
        <v/>
      </c>
      <c r="S24" s="153" t="str" cm="1">
        <f t="array" ref="S24">IFZERO(VLOOKUP(N24,Alerts[],5,FALSE),"")</f>
        <v/>
      </c>
      <c r="T24" s="324"/>
      <c r="U24" s="486" t="b">
        <v>0</v>
      </c>
      <c r="V24" s="326"/>
      <c r="W24" s="326"/>
      <c r="X24" s="326" t="str">
        <f t="shared" si="0"/>
        <v/>
      </c>
      <c r="Y24" s="326">
        <v>11</v>
      </c>
      <c r="Z24" s="326" t="s">
        <v>376</v>
      </c>
    </row>
    <row r="25" spans="1:26" x14ac:dyDescent="0.2">
      <c r="A25" s="342"/>
      <c r="B25" s="338"/>
      <c r="C25" s="339"/>
      <c r="D25" s="347"/>
      <c r="E25" s="323"/>
      <c r="F25" s="166" t="s">
        <v>99</v>
      </c>
      <c r="G25" s="559"/>
      <c r="H25" s="560"/>
      <c r="I25" s="560"/>
      <c r="J25" s="560"/>
      <c r="K25" s="561"/>
      <c r="L25" s="324"/>
      <c r="M25" s="323"/>
      <c r="N25" s="470">
        <v>21</v>
      </c>
      <c r="O25" s="152"/>
      <c r="P25" s="498" t="str">
        <f>VLOOKUP(N25,Alerts[],3,FALSE)</f>
        <v/>
      </c>
      <c r="Q25" s="499"/>
      <c r="R25" s="471" t="str" cm="1">
        <f t="array" ref="R25">IFZERO(VLOOKUP(N25,Alerts[],4,FALSE),"")</f>
        <v/>
      </c>
      <c r="S25" s="153" t="str" cm="1">
        <f t="array" ref="S25">IFZERO(VLOOKUP(N25,Alerts[],5,FALSE),"")</f>
        <v/>
      </c>
      <c r="T25" s="324"/>
      <c r="U25" s="326"/>
      <c r="V25" s="326"/>
      <c r="W25" s="326"/>
      <c r="X25" s="326" t="str">
        <f t="shared" si="0"/>
        <v/>
      </c>
      <c r="Y25" s="326">
        <v>12</v>
      </c>
      <c r="Z25" s="326" t="s">
        <v>377</v>
      </c>
    </row>
    <row r="26" spans="1:26" x14ac:dyDescent="0.2">
      <c r="A26" s="342"/>
      <c r="B26" s="161"/>
      <c r="C26" s="162" t="s">
        <v>60</v>
      </c>
      <c r="D26" s="310"/>
      <c r="E26" s="325" t="str">
        <f>TEXT(D26,"hh:mm")</f>
        <v>00:00</v>
      </c>
      <c r="F26" s="324"/>
      <c r="G26" s="324"/>
      <c r="H26" s="324"/>
      <c r="I26" s="324"/>
      <c r="J26" s="324"/>
      <c r="K26" s="324"/>
      <c r="L26" s="324"/>
      <c r="M26" s="323"/>
      <c r="N26" s="470">
        <v>22</v>
      </c>
      <c r="O26" s="152"/>
      <c r="P26" s="498" t="str">
        <f>VLOOKUP(N26,Alerts[],3,FALSE)</f>
        <v/>
      </c>
      <c r="Q26" s="499"/>
      <c r="R26" s="471" t="str" cm="1">
        <f t="array" ref="R26">IFZERO(VLOOKUP(N26,Alerts[],4,FALSE),"")</f>
        <v/>
      </c>
      <c r="S26" s="153" t="str" cm="1">
        <f t="array" ref="S26">IFZERO(VLOOKUP(N26,Alerts[],5,FALSE),"")</f>
        <v/>
      </c>
      <c r="T26" s="324"/>
      <c r="U26" s="326"/>
      <c r="V26" s="326"/>
      <c r="W26" s="326"/>
      <c r="X26" s="326" t="str">
        <f t="shared" si="0"/>
        <v/>
      </c>
      <c r="Y26" s="326">
        <v>13</v>
      </c>
      <c r="Z26" s="326" t="s">
        <v>378</v>
      </c>
    </row>
    <row r="27" spans="1:26" x14ac:dyDescent="0.2">
      <c r="A27" s="342"/>
      <c r="B27" s="167">
        <v>10</v>
      </c>
      <c r="C27" s="148" t="s">
        <v>61</v>
      </c>
      <c r="D27" s="310"/>
      <c r="E27" s="325"/>
      <c r="F27" s="255" t="s">
        <v>274</v>
      </c>
      <c r="G27" s="254" t="str">
        <f>G28</f>
        <v/>
      </c>
      <c r="H27" s="554" t="str">
        <f>IF(ISBLANK(D6),"",IF(CheckRec="x","CHECK INSTRUMENT CAL DATES!!!!             CHECK INSTRUMENT CAL DATES!!!!",""))</f>
        <v/>
      </c>
      <c r="I27" s="555"/>
      <c r="J27" s="555"/>
      <c r="K27" s="555"/>
      <c r="L27" s="324"/>
      <c r="M27" s="323"/>
      <c r="N27" s="470">
        <v>23</v>
      </c>
      <c r="O27" s="152"/>
      <c r="P27" s="498" t="str">
        <f>VLOOKUP(N27,Alerts[],3,FALSE)</f>
        <v/>
      </c>
      <c r="Q27" s="499"/>
      <c r="R27" s="471" t="str" cm="1">
        <f t="array" ref="R27">IFZERO(VLOOKUP(N27,Alerts[],4,FALSE),"")</f>
        <v/>
      </c>
      <c r="S27" s="153" t="str" cm="1">
        <f t="array" ref="S27">IFZERO(VLOOKUP(N27,Alerts[],5,FALSE),"")</f>
        <v/>
      </c>
      <c r="T27" s="324"/>
      <c r="U27" s="326"/>
      <c r="V27" s="326"/>
      <c r="W27" s="326"/>
      <c r="X27" s="326" t="str">
        <f t="shared" si="0"/>
        <v/>
      </c>
      <c r="Y27" s="326">
        <v>14</v>
      </c>
      <c r="Z27" s="326" t="s">
        <v>379</v>
      </c>
    </row>
    <row r="28" spans="1:26" x14ac:dyDescent="0.2">
      <c r="A28" s="342"/>
      <c r="B28" s="168">
        <v>30</v>
      </c>
      <c r="C28" s="164" t="s">
        <v>62</v>
      </c>
      <c r="D28" s="310"/>
      <c r="E28" s="325"/>
      <c r="F28" s="255" t="s">
        <v>275</v>
      </c>
      <c r="G28" s="254" t="str">
        <f>IF(CheckRec="y","Cal by Customer",IF(D$3,D$3,""))</f>
        <v/>
      </c>
      <c r="H28" s="554"/>
      <c r="I28" s="555"/>
      <c r="J28" s="555"/>
      <c r="K28" s="555"/>
      <c r="L28" s="324"/>
      <c r="M28" s="323"/>
      <c r="N28" s="470">
        <v>24</v>
      </c>
      <c r="O28" s="152"/>
      <c r="P28" s="498" t="str">
        <f>VLOOKUP(N28,Alerts[],3,FALSE)</f>
        <v/>
      </c>
      <c r="Q28" s="499"/>
      <c r="R28" s="471" t="str" cm="1">
        <f t="array" ref="R28">IFZERO(VLOOKUP(N28,Alerts[],4,FALSE),"")</f>
        <v/>
      </c>
      <c r="S28" s="153" t="str" cm="1">
        <f t="array" ref="S28">IFZERO(VLOOKUP(N28,Alerts[],5,FALSE),"")</f>
        <v/>
      </c>
      <c r="T28" s="324"/>
      <c r="U28" s="326"/>
      <c r="V28" s="326"/>
      <c r="W28" s="326"/>
      <c r="X28" s="326" t="str">
        <f t="shared" si="0"/>
        <v/>
      </c>
      <c r="Y28" s="326"/>
      <c r="Z28" s="326"/>
    </row>
    <row r="29" spans="1:26" x14ac:dyDescent="0.2">
      <c r="A29" s="342"/>
      <c r="B29" s="167">
        <v>40</v>
      </c>
      <c r="C29" s="148" t="s">
        <v>73</v>
      </c>
      <c r="D29" s="169" t="str">
        <f>(IF(OR(D27="",D28=""),"",IF(ISBLANK(D27),"",D28-D27)))</f>
        <v/>
      </c>
      <c r="E29" s="354" t="str">
        <f>IFERROR(IF(D29=0,"&lt;2",ROUND(IF(LEN(D29)&gt;3,D29*1440,TEXT(D29,"hh:mm")),0)) &amp;" MINUTES","")</f>
        <v/>
      </c>
      <c r="F29" s="327" t="s">
        <v>276</v>
      </c>
      <c r="G29" s="324"/>
      <c r="H29" s="324"/>
      <c r="I29" s="324"/>
      <c r="J29" s="324"/>
      <c r="K29" s="324"/>
      <c r="L29" s="324"/>
      <c r="M29" s="323"/>
      <c r="N29" s="470">
        <v>25</v>
      </c>
      <c r="O29" s="152"/>
      <c r="P29" s="498" t="str">
        <f>VLOOKUP(N29,Alerts[],3,FALSE)</f>
        <v/>
      </c>
      <c r="Q29" s="499"/>
      <c r="R29" s="471" t="str" cm="1">
        <f t="array" ref="R29">IFZERO(VLOOKUP(N29,Alerts[],4,FALSE),"")</f>
        <v/>
      </c>
      <c r="S29" s="153" t="str" cm="1">
        <f t="array" ref="S29">IFZERO(VLOOKUP(N29,Alerts[],5,FALSE),"")</f>
        <v/>
      </c>
      <c r="T29" s="324"/>
      <c r="U29" s="326"/>
      <c r="V29" s="326"/>
      <c r="W29" s="326"/>
      <c r="X29" s="326" t="str">
        <f t="shared" si="0"/>
        <v/>
      </c>
      <c r="Y29" s="326">
        <v>10</v>
      </c>
      <c r="Z29" s="326" t="s">
        <v>381</v>
      </c>
    </row>
    <row r="30" spans="1:26" x14ac:dyDescent="0.2">
      <c r="A30" s="342"/>
      <c r="B30" s="262">
        <v>45</v>
      </c>
      <c r="C30" s="164" t="s">
        <v>63</v>
      </c>
      <c r="D30" s="416"/>
      <c r="E30" s="355" t="str">
        <f>IF(ISBLANK(D30), "", TEXT(D30, "H:mm"))</f>
        <v/>
      </c>
      <c r="F30" s="323"/>
      <c r="G30" s="326">
        <f>IF(D29="",0,D29)</f>
        <v>0</v>
      </c>
      <c r="H30" s="356">
        <f>D28-D26</f>
        <v>0</v>
      </c>
      <c r="I30" s="324"/>
      <c r="J30" s="324"/>
      <c r="K30" s="324"/>
      <c r="L30" s="357"/>
      <c r="M30" s="323"/>
      <c r="N30" s="470">
        <v>26</v>
      </c>
      <c r="O30" s="152"/>
      <c r="P30" s="498" t="str">
        <f>VLOOKUP(N30,Alerts[],3,FALSE)</f>
        <v/>
      </c>
      <c r="Q30" s="499"/>
      <c r="R30" s="471" t="str" cm="1">
        <f t="array" ref="R30">IFZERO(VLOOKUP(N30,Alerts[],4,FALSE),"")</f>
        <v/>
      </c>
      <c r="S30" s="153" t="str" cm="1">
        <f t="array" ref="S30">IFZERO(VLOOKUP(N30,Alerts[],5,FALSE),"")</f>
        <v/>
      </c>
      <c r="T30" s="324"/>
      <c r="U30" s="486" t="b">
        <v>0</v>
      </c>
      <c r="V30" s="326"/>
      <c r="W30" s="326"/>
      <c r="X30" s="326" t="str">
        <f t="shared" si="0"/>
        <v/>
      </c>
      <c r="Y30" s="326">
        <v>11</v>
      </c>
      <c r="Z30" s="326" t="s">
        <v>382</v>
      </c>
    </row>
    <row r="31" spans="1:26" x14ac:dyDescent="0.2">
      <c r="A31" s="342"/>
      <c r="B31" s="147"/>
      <c r="C31" s="148" t="s">
        <v>52</v>
      </c>
      <c r="D31" s="292">
        <f>D30+TIME(0,D32,0)</f>
        <v>0</v>
      </c>
      <c r="E31" s="323"/>
      <c r="F31" s="358" t="str">
        <f>IF(AND(LagLimit&gt;0,G30&gt;LagLimit),"LAG TIME TOO HIGH!!!","")</f>
        <v/>
      </c>
      <c r="G31" s="324"/>
      <c r="H31" s="359" t="str">
        <f>IF(AND(RecoveryLimit&gt;0,H30&gt;RecoveryLimit),"RECOVERY TIME TOO HIGH!!!!","")</f>
        <v/>
      </c>
      <c r="I31" s="324"/>
      <c r="J31" s="324"/>
      <c r="K31" s="324"/>
      <c r="L31" s="360"/>
      <c r="M31" s="360"/>
      <c r="N31" s="470">
        <v>27</v>
      </c>
      <c r="O31" s="152"/>
      <c r="P31" s="498" t="str">
        <f>VLOOKUP(N31,Alerts[],3,FALSE)</f>
        <v/>
      </c>
      <c r="Q31" s="499"/>
      <c r="R31" s="471" t="str" cm="1">
        <f t="array" ref="R31">IFZERO(VLOOKUP(N31,Alerts[],4,FALSE),"")</f>
        <v/>
      </c>
      <c r="S31" s="153" t="str" cm="1">
        <f t="array" ref="S31">IFZERO(VLOOKUP(N31,Alerts[],5,FALSE),"")</f>
        <v/>
      </c>
      <c r="T31" s="324"/>
      <c r="U31" s="326"/>
      <c r="V31" s="326"/>
      <c r="W31" s="326"/>
      <c r="X31" s="326" t="str">
        <f t="shared" si="0"/>
        <v/>
      </c>
      <c r="Y31" s="326">
        <v>12</v>
      </c>
      <c r="Z31" s="326" t="s">
        <v>383</v>
      </c>
    </row>
    <row r="32" spans="1:26" x14ac:dyDescent="0.2">
      <c r="A32" s="352"/>
      <c r="B32" s="170"/>
      <c r="C32" s="171" t="s">
        <v>81</v>
      </c>
      <c r="D32" s="300"/>
      <c r="E32" s="323"/>
      <c r="F32" s="324" t="str">
        <f>IF(COUNTIF(Comparison_Report!R1:R8, 1) &gt; 0, "CHECK COMPARISON REPORT!!!", "")</f>
        <v/>
      </c>
      <c r="G32" s="324"/>
      <c r="H32" s="324"/>
      <c r="I32" s="324"/>
      <c r="J32" s="324"/>
      <c r="K32" s="324"/>
      <c r="L32" s="324"/>
      <c r="M32" s="323"/>
      <c r="N32" s="470">
        <v>28</v>
      </c>
      <c r="O32" s="152"/>
      <c r="P32" s="498" t="str">
        <f>VLOOKUP(N32,Alerts[],3,FALSE)</f>
        <v/>
      </c>
      <c r="Q32" s="499"/>
      <c r="R32" s="471" t="str" cm="1">
        <f t="array" ref="R32">IFZERO(VLOOKUP(N32,Alerts[],4,FALSE),"")</f>
        <v/>
      </c>
      <c r="S32" s="153" t="str" cm="1">
        <f t="array" ref="S32">IFZERO(VLOOKUP(N32,Alerts[],5,FALSE),"")</f>
        <v/>
      </c>
      <c r="T32" s="324"/>
      <c r="U32" s="326"/>
      <c r="V32" s="326"/>
      <c r="W32" s="326"/>
      <c r="X32" s="326" t="str">
        <f t="shared" si="0"/>
        <v/>
      </c>
      <c r="Y32" s="326"/>
      <c r="Z32" s="326"/>
    </row>
    <row r="33" spans="1:26" x14ac:dyDescent="0.2">
      <c r="A33" s="342"/>
      <c r="B33" s="338"/>
      <c r="C33" s="361"/>
      <c r="M33" s="323"/>
      <c r="N33" s="470">
        <v>29</v>
      </c>
      <c r="O33" s="152"/>
      <c r="P33" s="498" t="str">
        <f>VLOOKUP(N33,Alerts[],3,FALSE)</f>
        <v/>
      </c>
      <c r="Q33" s="499"/>
      <c r="R33" s="471" t="str" cm="1">
        <f t="array" ref="R33">IFZERO(VLOOKUP(N33,Alerts[],4,FALSE),"")</f>
        <v/>
      </c>
      <c r="S33" s="153" t="str" cm="1">
        <f t="array" ref="S33">IFZERO(VLOOKUP(N33,Alerts[],5,FALSE),"")</f>
        <v/>
      </c>
      <c r="T33" s="324"/>
      <c r="U33" s="326"/>
      <c r="V33" s="326"/>
      <c r="W33" s="326"/>
      <c r="X33" s="326" t="str">
        <f t="shared" si="0"/>
        <v/>
      </c>
      <c r="Y33" s="326"/>
      <c r="Z33" s="326"/>
    </row>
    <row r="34" spans="1:26" ht="12.75" customHeight="1" x14ac:dyDescent="0.2">
      <c r="A34" s="342"/>
      <c r="B34" s="519" t="s">
        <v>49</v>
      </c>
      <c r="C34" s="520"/>
      <c r="D34" s="520"/>
      <c r="E34" s="520"/>
      <c r="F34" s="520"/>
      <c r="G34" s="520"/>
      <c r="H34" s="520"/>
      <c r="I34" s="520"/>
      <c r="J34" s="520"/>
      <c r="K34" s="520"/>
      <c r="L34" s="521"/>
      <c r="M34" s="323"/>
      <c r="N34" s="470">
        <v>30</v>
      </c>
      <c r="O34" s="152"/>
      <c r="P34" s="498" t="str">
        <f>VLOOKUP(N34,Alerts[],3,FALSE)</f>
        <v/>
      </c>
      <c r="Q34" s="499"/>
      <c r="R34" s="471" t="str" cm="1">
        <f t="array" ref="R34">IFZERO(VLOOKUP(N34,Alerts[],4,FALSE),"")</f>
        <v/>
      </c>
      <c r="S34" s="153" t="str" cm="1">
        <f t="array" ref="S34">IFZERO(VLOOKUP(N34,Alerts[],5,FALSE),"")</f>
        <v/>
      </c>
      <c r="T34" s="325"/>
      <c r="U34" s="326"/>
      <c r="V34" s="326"/>
      <c r="W34" s="326"/>
      <c r="X34" s="326" t="str">
        <f t="shared" si="0"/>
        <v/>
      </c>
      <c r="Y34" s="326"/>
      <c r="Z34" s="326"/>
    </row>
    <row r="35" spans="1:26" ht="12.75" customHeight="1" thickBot="1" x14ac:dyDescent="0.25">
      <c r="A35" s="342"/>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3"/>
      <c r="N35" s="470">
        <v>31</v>
      </c>
      <c r="O35" s="152"/>
      <c r="P35" s="498" t="str">
        <f>VLOOKUP(N35,Alerts[],3,FALSE)</f>
        <v/>
      </c>
      <c r="Q35" s="499"/>
      <c r="R35" s="471" t="str" cm="1">
        <f t="array" ref="R35">IFZERO(VLOOKUP(N35,Alerts[],4,FALSE),"")</f>
        <v/>
      </c>
      <c r="S35" s="153" t="str" cm="1">
        <f t="array" ref="S35">IFZERO(VLOOKUP(N35,Alerts[],5,FALSE),"")</f>
        <v/>
      </c>
      <c r="T35" s="325"/>
      <c r="U35" s="326"/>
      <c r="V35" s="326"/>
      <c r="W35" s="326"/>
      <c r="X35" s="326" t="str">
        <f t="shared" si="0"/>
        <v/>
      </c>
      <c r="Y35" s="326"/>
      <c r="Z35" s="326"/>
    </row>
    <row r="36" spans="1:26" ht="13.5" thickBot="1" x14ac:dyDescent="0.25">
      <c r="A36" s="176" t="s">
        <v>952</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3"/>
      <c r="N36" s="470">
        <v>32</v>
      </c>
      <c r="O36" s="152"/>
      <c r="P36" s="498" t="str">
        <f>VLOOKUP(N36,Alerts[],3,FALSE)</f>
        <v/>
      </c>
      <c r="Q36" s="499"/>
      <c r="R36" s="471" t="str" cm="1">
        <f t="array" ref="R36">IFZERO(VLOOKUP(N36,Alerts[],4,FALSE),"")</f>
        <v/>
      </c>
      <c r="S36" s="153" t="str" cm="1">
        <f t="array" ref="S36">IFZERO(VLOOKUP(N36,Alerts[],5,FALSE),"")</f>
        <v/>
      </c>
      <c r="T36" s="325"/>
      <c r="U36" s="326"/>
      <c r="V36" s="326"/>
      <c r="W36" s="326"/>
      <c r="X36" s="326" t="str">
        <f t="shared" si="0"/>
        <v/>
      </c>
      <c r="Y36" s="326"/>
      <c r="Z36" s="326"/>
    </row>
    <row r="37" spans="1:26" x14ac:dyDescent="0.2">
      <c r="A37" s="205">
        <v>0</v>
      </c>
      <c r="B37" s="205"/>
      <c r="C37" s="196"/>
      <c r="D37" s="206"/>
      <c r="E37" s="206"/>
      <c r="F37" s="206"/>
      <c r="G37" s="206"/>
      <c r="H37" s="206"/>
      <c r="I37" s="179"/>
      <c r="J37" s="179"/>
      <c r="K37" s="179"/>
      <c r="L37" s="179"/>
      <c r="M37" s="323"/>
      <c r="N37" s="470">
        <v>33</v>
      </c>
      <c r="O37" s="152"/>
      <c r="P37" s="498" t="str">
        <f>VLOOKUP(N37,Alerts[],3,FALSE)</f>
        <v/>
      </c>
      <c r="Q37" s="499"/>
      <c r="R37" s="471" t="str" cm="1">
        <f t="array" ref="R37">IFZERO(VLOOKUP(N37,Alerts[],4,FALSE),"")</f>
        <v/>
      </c>
      <c r="S37" s="153" t="str" cm="1">
        <f t="array" ref="S37">IFZERO(VLOOKUP(N37,Alerts[],5,FALSE),"")</f>
        <v/>
      </c>
      <c r="T37" s="325"/>
      <c r="U37" s="326"/>
      <c r="V37" s="326"/>
      <c r="W37" s="326"/>
      <c r="X37" s="326" t="str">
        <f t="shared" si="0"/>
        <v/>
      </c>
      <c r="Y37" s="326"/>
      <c r="Z37" s="326"/>
    </row>
    <row r="38" spans="1:26" x14ac:dyDescent="0.2">
      <c r="A38" s="205" t="str">
        <f t="shared" ref="A38:A44" si="1">IF(B38,1,"")</f>
        <v/>
      </c>
      <c r="B38" s="207"/>
      <c r="C38" s="197"/>
      <c r="D38" s="206"/>
      <c r="E38" s="206"/>
      <c r="F38" s="206"/>
      <c r="G38" s="206"/>
      <c r="H38" s="206"/>
      <c r="I38" s="179"/>
      <c r="J38" s="179"/>
      <c r="K38" s="179"/>
      <c r="L38" s="179"/>
      <c r="M38" s="323"/>
      <c r="N38" s="470">
        <v>34</v>
      </c>
      <c r="O38" s="152"/>
      <c r="P38" s="498" t="str">
        <f>VLOOKUP(N38,Alerts[],3,FALSE)</f>
        <v/>
      </c>
      <c r="Q38" s="499"/>
      <c r="R38" s="471" t="str" cm="1">
        <f t="array" ref="R38">IFZERO(VLOOKUP(N38,Alerts[],4,FALSE),"")</f>
        <v/>
      </c>
      <c r="S38" s="153" t="str" cm="1">
        <f t="array" ref="S38">IFZERO(VLOOKUP(N38,Alerts[],5,FALSE),"")</f>
        <v/>
      </c>
      <c r="T38" s="325"/>
      <c r="U38" s="326"/>
      <c r="V38" s="326"/>
      <c r="W38" s="326"/>
      <c r="X38" s="326" t="str">
        <f t="shared" si="0"/>
        <v/>
      </c>
      <c r="Y38" s="326"/>
      <c r="Z38" s="326"/>
    </row>
    <row r="39" spans="1:26" x14ac:dyDescent="0.2">
      <c r="A39" s="205" t="str">
        <f t="shared" si="1"/>
        <v/>
      </c>
      <c r="B39" s="207"/>
      <c r="C39" s="197"/>
      <c r="D39" s="206"/>
      <c r="E39" s="206"/>
      <c r="F39" s="206"/>
      <c r="G39" s="206"/>
      <c r="H39" s="179"/>
      <c r="I39" s="179"/>
      <c r="J39" s="179"/>
      <c r="K39" s="179"/>
      <c r="L39" s="179"/>
      <c r="M39" s="323"/>
      <c r="N39" s="470">
        <v>35</v>
      </c>
      <c r="O39" s="152"/>
      <c r="P39" s="498" t="str">
        <f>VLOOKUP(N39,Alerts[],3,FALSE)</f>
        <v/>
      </c>
      <c r="Q39" s="499"/>
      <c r="R39" s="471" t="str" cm="1">
        <f t="array" ref="R39">IFZERO(VLOOKUP(N39,Alerts[],4,FALSE),"")</f>
        <v/>
      </c>
      <c r="S39" s="153" t="str" cm="1">
        <f t="array" ref="S39">IFZERO(VLOOKUP(N39,Alerts[],5,FALSE),"")</f>
        <v/>
      </c>
      <c r="T39" s="325"/>
      <c r="U39" s="326"/>
      <c r="V39" s="326"/>
      <c r="W39" s="326"/>
      <c r="X39" s="326" t="str">
        <f t="shared" si="0"/>
        <v/>
      </c>
      <c r="Y39" s="326"/>
      <c r="Z39" s="326"/>
    </row>
    <row r="40" spans="1:26" x14ac:dyDescent="0.2">
      <c r="A40" s="205" t="str">
        <f t="shared" si="1"/>
        <v/>
      </c>
      <c r="B40" s="207"/>
      <c r="C40" s="197"/>
      <c r="D40" s="206"/>
      <c r="E40" s="206"/>
      <c r="F40" s="206"/>
      <c r="G40" s="206"/>
      <c r="H40" s="179"/>
      <c r="I40" s="179"/>
      <c r="J40" s="179"/>
      <c r="K40" s="179"/>
      <c r="L40" s="179"/>
      <c r="M40" s="323"/>
      <c r="N40" s="470">
        <v>36</v>
      </c>
      <c r="O40" s="152"/>
      <c r="P40" s="498" t="str">
        <f>VLOOKUP(N40,Alerts[],3,FALSE)</f>
        <v/>
      </c>
      <c r="Q40" s="499"/>
      <c r="R40" s="471" t="str" cm="1">
        <f t="array" ref="R40">IFZERO(VLOOKUP(N40,Alerts[],4,FALSE),"")</f>
        <v/>
      </c>
      <c r="S40" s="153" t="str" cm="1">
        <f t="array" ref="S40">IFZERO(VLOOKUP(N40,Alerts[],5,FALSE),"")</f>
        <v/>
      </c>
      <c r="T40" s="325"/>
      <c r="U40" s="326"/>
      <c r="V40" s="326"/>
      <c r="W40" s="326"/>
      <c r="X40" s="326" t="str">
        <f t="shared" si="0"/>
        <v/>
      </c>
      <c r="Y40" s="326"/>
      <c r="Z40" s="326"/>
    </row>
    <row r="41" spans="1:26" x14ac:dyDescent="0.2">
      <c r="A41" s="205" t="str">
        <f t="shared" si="1"/>
        <v/>
      </c>
      <c r="B41" s="180"/>
      <c r="C41" s="181"/>
      <c r="D41" s="182"/>
      <c r="E41" s="182"/>
      <c r="F41" s="182"/>
      <c r="G41" s="182"/>
      <c r="H41" s="182"/>
      <c r="I41" s="182"/>
      <c r="J41" s="182"/>
      <c r="K41" s="182"/>
      <c r="L41" s="182"/>
      <c r="M41" s="323"/>
      <c r="N41" s="470">
        <v>37</v>
      </c>
      <c r="O41" s="152"/>
      <c r="P41" s="498" t="str">
        <f>VLOOKUP(N41,Alerts[],3,FALSE)</f>
        <v/>
      </c>
      <c r="Q41" s="499"/>
      <c r="R41" s="471" t="str" cm="1">
        <f t="array" ref="R41">IFZERO(VLOOKUP(N41,Alerts[],4,FALSE),"")</f>
        <v/>
      </c>
      <c r="S41" s="153" t="str" cm="1">
        <f t="array" ref="S41">IFZERO(VLOOKUP(N41,Alerts[],5,FALSE),"")</f>
        <v/>
      </c>
      <c r="T41" s="325"/>
      <c r="U41" s="326"/>
      <c r="V41" s="326"/>
      <c r="W41" s="326"/>
      <c r="X41" s="326" t="str">
        <f t="shared" si="0"/>
        <v/>
      </c>
      <c r="Y41" s="326"/>
      <c r="Z41" s="326"/>
    </row>
    <row r="42" spans="1:26" x14ac:dyDescent="0.2">
      <c r="A42" s="205" t="str">
        <f t="shared" si="1"/>
        <v/>
      </c>
      <c r="B42" s="180"/>
      <c r="C42" s="181"/>
      <c r="D42" s="182"/>
      <c r="E42" s="182"/>
      <c r="F42" s="182"/>
      <c r="G42" s="182"/>
      <c r="H42" s="182"/>
      <c r="I42" s="182"/>
      <c r="J42" s="182"/>
      <c r="K42" s="182"/>
      <c r="L42" s="182"/>
      <c r="M42" s="323"/>
      <c r="N42" s="470">
        <v>38</v>
      </c>
      <c r="O42" s="152"/>
      <c r="P42" s="498" t="str">
        <f>VLOOKUP(N42,Alerts[],3,FALSE)</f>
        <v/>
      </c>
      <c r="Q42" s="499"/>
      <c r="R42" s="471" t="str" cm="1">
        <f t="array" ref="R42">IFZERO(VLOOKUP(N42,Alerts[],4,FALSE),"")</f>
        <v/>
      </c>
      <c r="S42" s="153" t="str" cm="1">
        <f t="array" ref="S42">IFZERO(VLOOKUP(N42,Alerts[],5,FALSE),"")</f>
        <v/>
      </c>
      <c r="T42" s="325"/>
      <c r="U42" s="326"/>
      <c r="V42" s="326"/>
      <c r="W42" s="326"/>
      <c r="X42" s="326" t="str">
        <f t="shared" si="0"/>
        <v/>
      </c>
      <c r="Y42" s="326"/>
      <c r="Z42" s="326"/>
    </row>
    <row r="43" spans="1:26" x14ac:dyDescent="0.2">
      <c r="A43" s="205" t="str">
        <f t="shared" si="1"/>
        <v/>
      </c>
      <c r="B43" s="180"/>
      <c r="C43" s="181"/>
      <c r="D43" s="182"/>
      <c r="E43" s="182"/>
      <c r="F43" s="182"/>
      <c r="G43" s="182"/>
      <c r="H43" s="182"/>
      <c r="I43" s="182"/>
      <c r="J43" s="182"/>
      <c r="K43" s="182"/>
      <c r="L43" s="182"/>
      <c r="M43" s="323"/>
      <c r="N43" s="470">
        <v>39</v>
      </c>
      <c r="O43" s="152"/>
      <c r="P43" s="498" t="str">
        <f>VLOOKUP(N43,Alerts[],3,FALSE)</f>
        <v/>
      </c>
      <c r="Q43" s="499"/>
      <c r="R43" s="471" t="str" cm="1">
        <f t="array" ref="R43">IFZERO(VLOOKUP(N43,Alerts[],4,FALSE),"")</f>
        <v/>
      </c>
      <c r="S43" s="153" t="str" cm="1">
        <f t="array" ref="S43">IFZERO(VLOOKUP(N43,Alerts[],5,FALSE),"")</f>
        <v/>
      </c>
      <c r="T43" s="325"/>
      <c r="U43" s="326"/>
      <c r="V43" s="326"/>
      <c r="W43" s="326"/>
      <c r="X43" s="326" t="str">
        <f t="shared" si="0"/>
        <v/>
      </c>
      <c r="Y43" s="326"/>
      <c r="Z43" s="326"/>
    </row>
    <row r="44" spans="1:26" x14ac:dyDescent="0.2">
      <c r="A44" s="205" t="str">
        <f t="shared" si="1"/>
        <v/>
      </c>
      <c r="B44" s="180"/>
      <c r="C44" s="181"/>
      <c r="D44" s="182"/>
      <c r="E44" s="182"/>
      <c r="F44" s="182"/>
      <c r="G44" s="182"/>
      <c r="H44" s="182"/>
      <c r="I44" s="182"/>
      <c r="J44" s="182"/>
      <c r="K44" s="182"/>
      <c r="L44" s="182"/>
      <c r="M44" s="323"/>
      <c r="N44" s="470">
        <v>40</v>
      </c>
      <c r="O44" s="152"/>
      <c r="P44" s="498" t="str">
        <f>VLOOKUP(N44,Alerts[],3,FALSE)</f>
        <v/>
      </c>
      <c r="Q44" s="499"/>
      <c r="R44" s="471" t="str" cm="1">
        <f t="array" ref="R44">IFZERO(VLOOKUP(N44,Alerts[],4,FALSE),"")</f>
        <v/>
      </c>
      <c r="S44" s="153" t="str" cm="1">
        <f t="array" ref="S44">IFZERO(VLOOKUP(N44,Alerts[],5,FALSE),"")</f>
        <v/>
      </c>
      <c r="T44" s="325"/>
      <c r="U44" s="326"/>
      <c r="V44" s="326"/>
      <c r="W44" s="326"/>
      <c r="X44" s="326" t="str">
        <f t="shared" si="0"/>
        <v/>
      </c>
      <c r="Y44" s="326"/>
      <c r="Z44" s="326"/>
    </row>
    <row r="45" spans="1:26" x14ac:dyDescent="0.2">
      <c r="A45" s="342"/>
      <c r="B45" s="363"/>
      <c r="C45" s="364"/>
      <c r="D45" s="323"/>
      <c r="E45" s="323"/>
      <c r="F45" s="323"/>
      <c r="G45" s="323"/>
      <c r="H45" s="323"/>
      <c r="I45" s="323"/>
      <c r="J45" s="323"/>
      <c r="K45" s="365"/>
      <c r="L45" s="323"/>
      <c r="M45" s="323"/>
      <c r="N45" s="325"/>
      <c r="O45" s="325"/>
      <c r="P45" s="325"/>
      <c r="Q45" s="325"/>
      <c r="R45" s="325"/>
      <c r="S45" s="325"/>
      <c r="T45" s="325"/>
      <c r="U45" s="326"/>
      <c r="V45" s="326"/>
      <c r="W45" s="326"/>
      <c r="X45" s="326" t="str">
        <f>IF(O45,1,"")</f>
        <v/>
      </c>
      <c r="Y45" s="326"/>
      <c r="Z45" s="326"/>
    </row>
    <row r="46" spans="1:26" x14ac:dyDescent="0.2">
      <c r="A46" s="346"/>
      <c r="B46" s="366"/>
      <c r="C46" s="367"/>
      <c r="D46" s="545" t="s">
        <v>33</v>
      </c>
      <c r="E46" s="546"/>
      <c r="F46" s="546"/>
      <c r="G46" s="546"/>
      <c r="H46" s="546"/>
      <c r="I46" s="547"/>
      <c r="J46" s="368"/>
      <c r="K46" s="368"/>
      <c r="L46" s="368"/>
      <c r="M46" s="562" t="s">
        <v>332</v>
      </c>
      <c r="N46" s="563"/>
      <c r="O46" s="564"/>
      <c r="P46" s="565"/>
      <c r="Q46" s="327"/>
      <c r="R46" s="327"/>
      <c r="S46" s="327"/>
      <c r="T46" s="327"/>
      <c r="U46" s="327"/>
    </row>
    <row r="47" spans="1:26" x14ac:dyDescent="0.2">
      <c r="A47" s="346"/>
      <c r="B47" s="366"/>
      <c r="C47" s="437"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8"/>
      <c r="K47" s="368"/>
      <c r="L47" s="323"/>
      <c r="M47" s="255" t="s">
        <v>333</v>
      </c>
      <c r="N47" s="321" t="s">
        <v>334</v>
      </c>
      <c r="O47" s="369"/>
      <c r="P47" s="552" t="s">
        <v>335</v>
      </c>
      <c r="Q47" s="552"/>
      <c r="R47" s="440" t="s">
        <v>336</v>
      </c>
      <c r="S47" s="327"/>
      <c r="T47" s="327"/>
      <c r="U47" s="327"/>
    </row>
    <row r="48" spans="1:26" x14ac:dyDescent="0.2">
      <c r="A48" s="342"/>
      <c r="B48" s="366"/>
      <c r="C48" s="438" t="s">
        <v>34</v>
      </c>
      <c r="D48" s="307"/>
      <c r="E48" s="307"/>
      <c r="F48" s="307"/>
      <c r="G48" s="307"/>
      <c r="H48" s="307"/>
      <c r="I48" s="307"/>
      <c r="J48" s="368"/>
      <c r="K48" s="368"/>
      <c r="L48" s="368"/>
      <c r="M48" s="553" t="s">
        <v>337</v>
      </c>
      <c r="N48" s="553"/>
      <c r="O48" s="370"/>
      <c r="P48" s="511" t="s">
        <v>392</v>
      </c>
      <c r="Q48" s="512"/>
      <c r="R48" s="513"/>
      <c r="S48" s="371"/>
      <c r="T48" s="328"/>
      <c r="U48" s="511" t="s">
        <v>395</v>
      </c>
      <c r="V48" s="512"/>
      <c r="W48" s="513"/>
    </row>
    <row r="49" spans="1:24" x14ac:dyDescent="0.2">
      <c r="A49" s="342"/>
      <c r="B49" s="372"/>
      <c r="C49" s="437"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8"/>
      <c r="K49" s="368" t="s">
        <v>886</v>
      </c>
      <c r="L49" s="368"/>
      <c r="M49" s="255" t="s">
        <v>338</v>
      </c>
      <c r="N49" s="320" t="str">
        <f>IF(PB="","",PB)</f>
        <v/>
      </c>
      <c r="O49" s="337"/>
      <c r="P49" s="514" t="s">
        <v>397</v>
      </c>
      <c r="Q49" s="515"/>
      <c r="R49" s="516"/>
      <c r="S49" s="441"/>
      <c r="T49" s="329"/>
      <c r="U49" s="514" t="s">
        <v>396</v>
      </c>
      <c r="V49" s="515"/>
      <c r="W49" s="516"/>
      <c r="X49" s="309"/>
    </row>
    <row r="50" spans="1:24" x14ac:dyDescent="0.2">
      <c r="A50" s="342"/>
      <c r="B50" s="373"/>
      <c r="C50" s="437"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8"/>
      <c r="K50" s="368"/>
      <c r="L50" s="368"/>
      <c r="M50" s="255" t="s">
        <v>339</v>
      </c>
      <c r="N50" s="320" t="str">
        <f>IF(Integral="","",Integral)</f>
        <v/>
      </c>
      <c r="O50" s="337"/>
      <c r="P50" s="502" t="s">
        <v>340</v>
      </c>
      <c r="Q50" s="503"/>
      <c r="R50" s="504"/>
      <c r="S50" s="374"/>
      <c r="T50" s="330"/>
      <c r="U50" s="502" t="s">
        <v>340</v>
      </c>
      <c r="V50" s="503"/>
      <c r="W50" s="504"/>
      <c r="X50" s="327"/>
    </row>
    <row r="51" spans="1:24" x14ac:dyDescent="0.2">
      <c r="A51" s="342"/>
      <c r="B51" s="375"/>
      <c r="C51" s="437" t="s">
        <v>57</v>
      </c>
      <c r="D51" s="307"/>
      <c r="E51" s="307"/>
      <c r="F51" s="307"/>
      <c r="G51" s="307"/>
      <c r="H51" s="307"/>
      <c r="I51" s="307"/>
      <c r="J51" s="368"/>
      <c r="K51" s="376"/>
      <c r="L51" s="368"/>
      <c r="M51" s="424" t="s">
        <v>341</v>
      </c>
      <c r="N51" s="320" t="str">
        <f>IF(Derivative="","",Derivative)</f>
        <v/>
      </c>
      <c r="O51" s="323"/>
      <c r="P51" s="514" t="s">
        <v>393</v>
      </c>
      <c r="Q51" s="515"/>
      <c r="R51" s="516"/>
      <c r="S51" s="441"/>
      <c r="T51" s="331"/>
      <c r="U51" s="514" t="s">
        <v>398</v>
      </c>
      <c r="V51" s="515"/>
      <c r="W51" s="516"/>
      <c r="X51" s="309"/>
    </row>
    <row r="52" spans="1:24" x14ac:dyDescent="0.2">
      <c r="A52" s="342"/>
      <c r="B52" s="366"/>
      <c r="C52" s="437" t="s">
        <v>347</v>
      </c>
      <c r="D52" s="307"/>
      <c r="E52" s="307"/>
      <c r="F52" s="307"/>
      <c r="G52" s="307"/>
      <c r="H52" s="307"/>
      <c r="I52" s="307"/>
      <c r="J52" s="368"/>
      <c r="K52" s="376"/>
      <c r="L52" s="368"/>
      <c r="M52" s="424" t="s">
        <v>342</v>
      </c>
      <c r="N52" s="320" t="str">
        <f>IF(Other1="","",Other1)</f>
        <v/>
      </c>
      <c r="O52" s="337"/>
      <c r="P52" s="502" t="s">
        <v>340</v>
      </c>
      <c r="Q52" s="503"/>
      <c r="R52" s="504"/>
      <c r="S52" s="374"/>
      <c r="T52" s="332"/>
      <c r="U52" s="502" t="s">
        <v>340</v>
      </c>
      <c r="V52" s="503"/>
      <c r="W52" s="504"/>
      <c r="X52" s="327"/>
    </row>
    <row r="53" spans="1:24" ht="12.75" customHeight="1" x14ac:dyDescent="0.2">
      <c r="A53" s="342"/>
      <c r="B53" s="366"/>
      <c r="C53" s="437" t="s">
        <v>58</v>
      </c>
      <c r="D53" s="314"/>
      <c r="E53" s="314"/>
      <c r="F53" s="314"/>
      <c r="G53" s="314"/>
      <c r="H53" s="314"/>
      <c r="I53" s="314"/>
      <c r="J53" s="368"/>
      <c r="K53" s="377"/>
      <c r="L53" s="377"/>
      <c r="M53" s="425" t="s">
        <v>342</v>
      </c>
      <c r="N53" s="320" t="str">
        <f>IF(Other2="","",Other2)</f>
        <v/>
      </c>
      <c r="O53" s="337"/>
      <c r="P53" s="505" t="s">
        <v>394</v>
      </c>
      <c r="Q53" s="506"/>
      <c r="R53" s="507"/>
      <c r="S53" s="442"/>
      <c r="T53" s="333"/>
      <c r="U53" s="505" t="s">
        <v>399</v>
      </c>
      <c r="V53" s="506"/>
      <c r="W53" s="507"/>
      <c r="X53" s="423"/>
    </row>
    <row r="54" spans="1:24" x14ac:dyDescent="0.2">
      <c r="A54" s="342"/>
      <c r="B54" s="366"/>
      <c r="C54" s="439"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8"/>
      <c r="K54" s="426"/>
      <c r="L54" s="427"/>
      <c r="M54" s="428" t="s">
        <v>369</v>
      </c>
      <c r="N54" s="319">
        <v>0</v>
      </c>
      <c r="O54" s="325"/>
      <c r="P54" s="508"/>
      <c r="Q54" s="509"/>
      <c r="R54" s="510"/>
      <c r="S54" s="379"/>
      <c r="T54" s="334"/>
      <c r="U54" s="508"/>
      <c r="V54" s="509"/>
      <c r="W54" s="510"/>
    </row>
    <row r="55" spans="1:24" x14ac:dyDescent="0.2">
      <c r="A55" s="342"/>
      <c r="B55" s="366"/>
      <c r="C55" s="439"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80"/>
      <c r="K55" s="429"/>
      <c r="L55" s="430"/>
      <c r="M55" s="431" t="s">
        <v>370</v>
      </c>
      <c r="N55" s="319">
        <v>0</v>
      </c>
      <c r="O55" s="325"/>
      <c r="P55" s="258" t="s">
        <v>343</v>
      </c>
      <c r="Q55" s="258" t="s">
        <v>14</v>
      </c>
      <c r="R55" s="266" t="s">
        <v>344</v>
      </c>
      <c r="S55" s="381"/>
      <c r="T55" s="335"/>
      <c r="U55" s="322" t="s">
        <v>345</v>
      </c>
      <c r="V55" s="258" t="s">
        <v>14</v>
      </c>
      <c r="W55" s="258" t="s">
        <v>346</v>
      </c>
    </row>
    <row r="56" spans="1:24" x14ac:dyDescent="0.2">
      <c r="A56" s="342"/>
      <c r="B56" s="382"/>
      <c r="C56" s="439" t="s">
        <v>153</v>
      </c>
      <c r="D56" s="307"/>
      <c r="E56" s="307"/>
      <c r="F56" s="307"/>
      <c r="G56" s="307"/>
      <c r="H56" s="307"/>
      <c r="I56" s="307"/>
      <c r="J56" s="383"/>
      <c r="K56" s="432"/>
      <c r="L56" s="433"/>
      <c r="M56" s="431" t="s">
        <v>371</v>
      </c>
      <c r="N56" s="319">
        <v>0</v>
      </c>
      <c r="O56" s="325"/>
      <c r="P56" s="443"/>
      <c r="Q56" s="444"/>
      <c r="R56" s="445"/>
      <c r="S56" s="384"/>
      <c r="T56" s="336"/>
      <c r="U56" s="446"/>
      <c r="V56" s="444"/>
      <c r="W56" s="443"/>
    </row>
    <row r="57" spans="1:24" x14ac:dyDescent="0.2">
      <c r="A57" s="342"/>
      <c r="B57" s="363"/>
      <c r="C57" s="255" t="s">
        <v>348</v>
      </c>
      <c r="D57" s="309"/>
      <c r="E57" s="309"/>
      <c r="F57" s="309"/>
      <c r="G57" s="309"/>
      <c r="H57" s="309"/>
      <c r="I57" s="309"/>
      <c r="J57" s="323"/>
      <c r="K57" s="434"/>
      <c r="L57" s="435"/>
      <c r="M57" s="436" t="s">
        <v>372</v>
      </c>
      <c r="N57" s="319">
        <v>0</v>
      </c>
      <c r="O57" s="325"/>
      <c r="P57" s="323"/>
      <c r="Q57" s="323"/>
      <c r="R57" s="323"/>
      <c r="S57" s="323"/>
    </row>
    <row r="58" spans="1:24" x14ac:dyDescent="0.2">
      <c r="A58" s="342"/>
      <c r="B58" s="363"/>
      <c r="C58" s="545" t="s">
        <v>158</v>
      </c>
      <c r="D58" s="546"/>
      <c r="E58" s="546"/>
      <c r="F58" s="546"/>
      <c r="G58" s="546"/>
      <c r="H58" s="546"/>
      <c r="I58" s="546"/>
      <c r="J58" s="546"/>
      <c r="K58" s="550"/>
      <c r="L58" s="551"/>
      <c r="M58" s="327"/>
      <c r="N58" s="327"/>
      <c r="O58" s="327"/>
      <c r="P58" s="327"/>
      <c r="Q58" s="327"/>
      <c r="R58" s="327"/>
      <c r="S58" s="327"/>
      <c r="T58" s="327"/>
      <c r="U58" s="327"/>
    </row>
    <row r="59" spans="1:24" x14ac:dyDescent="0.2">
      <c r="A59" s="342"/>
      <c r="B59" s="363"/>
      <c r="C59" s="545" t="s">
        <v>163</v>
      </c>
      <c r="D59" s="546"/>
      <c r="E59" s="546"/>
      <c r="F59" s="546"/>
      <c r="G59" s="546"/>
      <c r="H59" s="546"/>
      <c r="I59" s="546"/>
      <c r="J59" s="546"/>
      <c r="K59" s="546"/>
      <c r="L59" s="547"/>
      <c r="M59" s="327"/>
      <c r="N59" s="337" t="str">
        <f>"DOORS OPENED FOR " &amp;L16&amp; " SECONDS TO SIMULATE LOAD ENTRY AT " &amp;L17&amp; "."</f>
        <v>DOORS OPENED FOR  SECONDS TO SIMULATE LOAD ENTRY AT .</v>
      </c>
      <c r="O59" s="337"/>
      <c r="P59" s="337"/>
      <c r="Q59" s="337"/>
      <c r="R59" s="337"/>
      <c r="S59" s="337"/>
      <c r="T59" s="337"/>
      <c r="U59" s="337"/>
      <c r="V59" s="337"/>
    </row>
    <row r="60" spans="1:24" x14ac:dyDescent="0.2">
      <c r="A60" s="385"/>
      <c r="B60" s="372"/>
      <c r="C60" s="183"/>
      <c r="D60" s="184" t="s">
        <v>161</v>
      </c>
      <c r="E60" s="318"/>
      <c r="F60" s="185" t="s">
        <v>159</v>
      </c>
      <c r="G60" s="186"/>
      <c r="H60" s="186"/>
      <c r="I60" s="186"/>
      <c r="J60" s="187"/>
      <c r="K60" s="318"/>
      <c r="L60" s="188" t="s">
        <v>160</v>
      </c>
      <c r="M60" s="368"/>
      <c r="N60" s="386" t="str">
        <f>"AFTER TUS, HIGH LIMIT SET AT " &amp;E60&amp; "°F AND OVEN SETPOINT RAISED UNTIL HIGH LIMIT SYSTEM ACTIVATED AT " &amp;K60&amp; "°F."</f>
        <v>AFTER TUS, HIGH LIMIT SET AT °F AND OVEN SETPOINT RAISED UNTIL HIGH LIMIT SYSTEM ACTIVATED AT °F.</v>
      </c>
      <c r="O60" s="386"/>
      <c r="P60" s="337"/>
      <c r="Q60" s="337"/>
      <c r="R60" s="337"/>
      <c r="S60" s="337"/>
      <c r="T60" s="337"/>
      <c r="U60" s="337"/>
      <c r="V60" s="337"/>
    </row>
    <row r="61" spans="1:24" x14ac:dyDescent="0.2">
      <c r="A61" s="346"/>
      <c r="B61" s="338"/>
      <c r="C61" s="184"/>
      <c r="D61" s="184" t="s">
        <v>162</v>
      </c>
      <c r="E61" s="318"/>
      <c r="F61" s="190" t="s">
        <v>164</v>
      </c>
      <c r="G61" s="191"/>
      <c r="H61" s="191"/>
      <c r="I61" s="192"/>
      <c r="J61" s="318"/>
      <c r="K61" s="193" t="s">
        <v>160</v>
      </c>
      <c r="L61" s="323"/>
      <c r="M61" s="327"/>
      <c r="N61" s="386" t="str">
        <f>"AFTER TUS, HIGH LIMIT READING " &amp;E61&amp; "°F AND HIGH LIMIT SETPOINT LOWERED UNTIL ACTIVATION AT " &amp;J61&amp; "°F."</f>
        <v>AFTER TUS, HIGH LIMIT READING °F AND HIGH LIMIT SETPOINT LOWERED UNTIL ACTIVATION AT °F.</v>
      </c>
      <c r="O61" s="387"/>
      <c r="P61" s="337"/>
      <c r="Q61" s="337"/>
      <c r="R61" s="337"/>
      <c r="S61" s="337"/>
      <c r="T61" s="337"/>
      <c r="U61" s="337"/>
      <c r="V61" s="337"/>
    </row>
    <row r="62" spans="1:24" x14ac:dyDescent="0.2">
      <c r="A62" s="346"/>
      <c r="B62" s="338"/>
      <c r="C62" s="339"/>
      <c r="D62" s="323"/>
      <c r="E62" s="323"/>
      <c r="F62" s="327" t="s">
        <v>367</v>
      </c>
      <c r="G62" s="362"/>
      <c r="H62" s="362"/>
      <c r="I62" s="362"/>
      <c r="J62" s="323"/>
      <c r="K62" s="323"/>
      <c r="L62" s="323"/>
      <c r="M62" s="388"/>
      <c r="N62" s="387"/>
      <c r="O62" s="387"/>
      <c r="P62" s="337"/>
      <c r="Q62" s="337"/>
      <c r="R62" s="337"/>
      <c r="S62" s="337"/>
      <c r="T62" s="337"/>
      <c r="U62" s="337"/>
      <c r="V62" s="337"/>
    </row>
    <row r="63" spans="1:24" x14ac:dyDescent="0.2">
      <c r="A63" s="346"/>
      <c r="B63" s="338"/>
      <c r="C63" s="361"/>
      <c r="D63" s="362"/>
      <c r="E63" s="362"/>
      <c r="F63" s="362"/>
      <c r="G63" s="362"/>
      <c r="H63" s="362"/>
      <c r="I63" s="362"/>
      <c r="J63" s="323"/>
      <c r="K63" s="323"/>
      <c r="L63" s="323"/>
      <c r="M63" s="327"/>
      <c r="N63" s="368"/>
      <c r="O63" s="368"/>
      <c r="P63" s="327"/>
      <c r="Q63" s="327"/>
      <c r="R63" s="327"/>
      <c r="S63" s="327"/>
      <c r="T63" s="327"/>
      <c r="U63" s="327"/>
    </row>
    <row r="64" spans="1:24" x14ac:dyDescent="0.2">
      <c r="A64" s="389"/>
      <c r="B64" s="338"/>
      <c r="C64" s="361"/>
      <c r="D64" s="362"/>
      <c r="E64" s="362"/>
      <c r="F64" s="362"/>
      <c r="G64" s="362"/>
      <c r="H64" s="362"/>
      <c r="I64" s="362"/>
      <c r="J64" s="323"/>
      <c r="K64" s="323"/>
      <c r="L64" s="323"/>
      <c r="M64" s="327"/>
      <c r="N64" s="368"/>
      <c r="O64" s="368"/>
      <c r="P64" s="327"/>
      <c r="Q64" s="327"/>
      <c r="R64" s="327"/>
      <c r="S64" s="327"/>
      <c r="T64" s="327"/>
      <c r="U64" s="327"/>
    </row>
    <row r="65" spans="1:19" x14ac:dyDescent="0.2">
      <c r="A65" s="390"/>
      <c r="B65" s="338"/>
      <c r="C65" s="361"/>
      <c r="D65" s="362"/>
      <c r="E65" s="362"/>
      <c r="F65" s="362"/>
      <c r="G65" s="362"/>
      <c r="H65" s="362"/>
      <c r="I65" s="362"/>
      <c r="J65" s="323"/>
      <c r="K65" s="323"/>
      <c r="L65" s="323"/>
      <c r="M65" s="323"/>
      <c r="N65" s="391"/>
      <c r="O65" s="391"/>
      <c r="P65" s="323"/>
      <c r="Q65" s="323"/>
      <c r="R65" s="323"/>
      <c r="S65" s="323"/>
    </row>
    <row r="66" spans="1:19" x14ac:dyDescent="0.2">
      <c r="A66" s="392"/>
      <c r="B66" s="338"/>
      <c r="C66" s="361"/>
      <c r="D66" s="362"/>
      <c r="E66" s="362"/>
      <c r="F66" s="362"/>
      <c r="G66" s="362"/>
      <c r="H66" s="362"/>
      <c r="I66" s="362"/>
      <c r="J66" s="323"/>
      <c r="K66" s="323"/>
      <c r="L66" s="323"/>
      <c r="M66" s="323"/>
      <c r="N66" s="393"/>
      <c r="O66" s="393"/>
      <c r="P66" s="323"/>
      <c r="Q66" s="323"/>
      <c r="R66" s="323"/>
      <c r="S66" s="323"/>
    </row>
    <row r="67" spans="1:19" x14ac:dyDescent="0.2">
      <c r="A67" s="346"/>
      <c r="B67" s="338"/>
      <c r="C67" s="361"/>
      <c r="D67" s="362"/>
      <c r="E67" s="362"/>
      <c r="F67" s="362"/>
      <c r="G67" s="362"/>
      <c r="H67" s="362"/>
      <c r="I67" s="362"/>
      <c r="J67" s="323"/>
      <c r="K67" s="323"/>
      <c r="L67" s="323"/>
      <c r="M67" s="323"/>
      <c r="N67" s="393"/>
      <c r="O67" s="393"/>
      <c r="P67" s="323"/>
      <c r="Q67" s="323"/>
      <c r="R67" s="323"/>
      <c r="S67" s="323"/>
    </row>
    <row r="68" spans="1:19" x14ac:dyDescent="0.2">
      <c r="A68" s="346"/>
      <c r="B68" s="338"/>
      <c r="C68" s="361"/>
      <c r="D68" s="362"/>
      <c r="E68" s="362"/>
      <c r="F68" s="362"/>
      <c r="G68" s="362"/>
      <c r="H68" s="362"/>
      <c r="I68" s="362"/>
      <c r="J68" s="323"/>
      <c r="K68" s="323"/>
      <c r="L68" s="323"/>
      <c r="M68" s="323"/>
      <c r="N68" s="393"/>
      <c r="O68" s="393"/>
      <c r="P68" s="323"/>
      <c r="Q68" s="323"/>
      <c r="R68" s="323"/>
      <c r="S68" s="323"/>
    </row>
    <row r="69" spans="1:19" ht="24.75" customHeight="1" x14ac:dyDescent="0.2">
      <c r="A69" s="346"/>
      <c r="B69" s="338"/>
      <c r="C69" s="361"/>
      <c r="D69" s="362"/>
      <c r="E69" s="362"/>
      <c r="F69" s="362"/>
      <c r="G69" s="362"/>
      <c r="H69" s="362"/>
      <c r="I69" s="362"/>
      <c r="J69" s="323"/>
      <c r="K69" s="323"/>
      <c r="L69" s="323"/>
      <c r="M69" s="323"/>
      <c r="N69" s="393"/>
      <c r="O69" s="393"/>
      <c r="P69" s="323"/>
      <c r="Q69" s="323"/>
      <c r="R69" s="323"/>
      <c r="S69" s="323"/>
    </row>
    <row r="70" spans="1:19" x14ac:dyDescent="0.2">
      <c r="A70" s="346"/>
      <c r="B70" s="338"/>
      <c r="C70" s="339"/>
      <c r="D70" s="323"/>
      <c r="E70" s="323"/>
      <c r="F70" s="323"/>
      <c r="G70" s="323"/>
      <c r="H70" s="323"/>
      <c r="I70" s="323"/>
      <c r="J70" s="323"/>
      <c r="K70" s="323"/>
      <c r="L70" s="323"/>
      <c r="M70" s="323"/>
      <c r="N70" s="367"/>
      <c r="O70" s="367"/>
      <c r="P70" s="323"/>
      <c r="Q70" s="323"/>
      <c r="R70" s="323"/>
      <c r="S70" s="323"/>
    </row>
    <row r="71" spans="1:19" x14ac:dyDescent="0.2">
      <c r="A71" s="394"/>
      <c r="B71" s="338"/>
      <c r="C71" s="339"/>
      <c r="D71" s="323"/>
      <c r="E71" s="323"/>
      <c r="F71" s="323"/>
      <c r="G71" s="323"/>
      <c r="H71" s="323"/>
      <c r="I71" s="323"/>
      <c r="J71" s="323"/>
      <c r="K71" s="323"/>
      <c r="L71" s="323"/>
      <c r="M71" s="323"/>
      <c r="N71" s="323"/>
      <c r="O71" s="367"/>
      <c r="P71" s="323"/>
      <c r="Q71" s="323"/>
      <c r="R71" s="323"/>
      <c r="S71" s="323"/>
    </row>
    <row r="72" spans="1:19" x14ac:dyDescent="0.2">
      <c r="A72" s="395"/>
      <c r="B72" s="396"/>
      <c r="C72" s="397"/>
      <c r="D72" s="398"/>
      <c r="E72" s="398"/>
      <c r="F72" s="398"/>
      <c r="G72" s="398"/>
      <c r="H72" s="398"/>
      <c r="I72" s="398"/>
      <c r="J72" s="398"/>
      <c r="K72" s="398"/>
      <c r="L72" s="398"/>
      <c r="M72" s="398"/>
      <c r="N72" s="399"/>
      <c r="O72" s="399"/>
      <c r="P72" s="399"/>
      <c r="Q72" s="398"/>
      <c r="R72" s="323"/>
      <c r="S72" s="323"/>
    </row>
    <row r="73" spans="1:19" x14ac:dyDescent="0.2">
      <c r="A73" s="395"/>
      <c r="B73" s="396"/>
      <c r="C73" s="397"/>
      <c r="D73" s="398"/>
      <c r="E73" s="398"/>
      <c r="F73" s="398"/>
      <c r="G73" s="398"/>
      <c r="H73" s="398"/>
      <c r="I73" s="398"/>
      <c r="J73" s="398"/>
      <c r="K73" s="398"/>
      <c r="L73" s="398"/>
      <c r="M73" s="398"/>
      <c r="N73" s="399"/>
      <c r="O73" s="399"/>
      <c r="P73" s="399"/>
      <c r="Q73" s="398"/>
      <c r="R73" s="323"/>
      <c r="S73" s="323"/>
    </row>
    <row r="74" spans="1:19" x14ac:dyDescent="0.2">
      <c r="A74" s="395"/>
      <c r="B74" s="396"/>
      <c r="C74" s="397"/>
      <c r="D74" s="398"/>
      <c r="E74" s="398"/>
      <c r="F74" s="398"/>
      <c r="G74" s="398"/>
      <c r="H74" s="398"/>
      <c r="I74" s="398"/>
      <c r="J74" s="398"/>
      <c r="K74" s="398"/>
      <c r="L74" s="398"/>
      <c r="M74" s="398"/>
      <c r="N74" s="399"/>
      <c r="O74" s="399"/>
      <c r="P74" s="399"/>
      <c r="Q74" s="398"/>
      <c r="R74" s="323"/>
      <c r="S74" s="323"/>
    </row>
    <row r="75" spans="1:19" x14ac:dyDescent="0.2">
      <c r="A75" s="395"/>
      <c r="B75" s="396"/>
      <c r="C75" s="397"/>
      <c r="D75" s="398"/>
      <c r="E75" s="398"/>
      <c r="F75" s="398"/>
      <c r="G75" s="398"/>
      <c r="H75" s="398"/>
      <c r="I75" s="398"/>
      <c r="J75" s="398"/>
      <c r="K75" s="398"/>
      <c r="L75" s="398"/>
      <c r="M75" s="398"/>
      <c r="N75" s="399"/>
      <c r="O75" s="399"/>
      <c r="P75" s="399"/>
      <c r="Q75" s="398"/>
      <c r="R75" s="323"/>
      <c r="S75" s="323"/>
    </row>
    <row r="76" spans="1:19" x14ac:dyDescent="0.2">
      <c r="A76" s="395"/>
      <c r="B76" s="396"/>
      <c r="C76" s="397"/>
      <c r="D76" s="398"/>
      <c r="E76" s="398"/>
      <c r="F76" s="398"/>
      <c r="G76" s="398"/>
      <c r="H76" s="398"/>
      <c r="I76" s="398"/>
      <c r="J76" s="398"/>
      <c r="K76" s="398"/>
      <c r="L76" s="398"/>
      <c r="M76" s="398"/>
      <c r="N76" s="399"/>
      <c r="O76" s="399"/>
      <c r="P76" s="399"/>
      <c r="Q76" s="398"/>
      <c r="R76" s="323"/>
      <c r="S76" s="323"/>
    </row>
    <row r="77" spans="1:19" x14ac:dyDescent="0.2">
      <c r="A77" s="395"/>
      <c r="B77" s="396"/>
      <c r="C77" s="397"/>
      <c r="D77" s="398"/>
      <c r="E77" s="398"/>
      <c r="F77" s="398"/>
      <c r="G77" s="398"/>
      <c r="H77" s="398"/>
      <c r="I77" s="398"/>
      <c r="J77" s="398"/>
      <c r="K77" s="398"/>
      <c r="L77" s="398"/>
      <c r="M77" s="398"/>
      <c r="N77" s="399"/>
      <c r="O77" s="399"/>
      <c r="P77" s="399"/>
      <c r="Q77" s="398"/>
      <c r="R77" s="323"/>
      <c r="S77" s="323"/>
    </row>
    <row r="78" spans="1:19" x14ac:dyDescent="0.2">
      <c r="A78" s="395"/>
      <c r="B78" s="396"/>
      <c r="C78" s="397"/>
      <c r="D78" s="398"/>
      <c r="E78" s="398"/>
      <c r="F78" s="398"/>
      <c r="G78" s="398"/>
      <c r="H78" s="398"/>
      <c r="I78" s="398"/>
      <c r="J78" s="398"/>
      <c r="K78" s="398"/>
      <c r="L78" s="398"/>
      <c r="M78" s="398"/>
      <c r="N78" s="399"/>
      <c r="O78" s="399"/>
      <c r="P78" s="399"/>
      <c r="Q78" s="398"/>
      <c r="R78" s="323"/>
      <c r="S78" s="323"/>
    </row>
    <row r="79" spans="1:19" x14ac:dyDescent="0.2">
      <c r="A79" s="395"/>
      <c r="B79" s="396"/>
      <c r="C79" s="397"/>
      <c r="D79" s="398"/>
      <c r="E79" s="398"/>
      <c r="F79" s="398"/>
      <c r="G79" s="398"/>
      <c r="H79" s="398"/>
      <c r="I79" s="398"/>
      <c r="J79" s="398"/>
      <c r="K79" s="398"/>
      <c r="L79" s="398"/>
      <c r="M79" s="398"/>
      <c r="N79" s="399"/>
      <c r="O79" s="399"/>
      <c r="P79" s="399"/>
      <c r="Q79" s="398"/>
      <c r="R79" s="323"/>
      <c r="S79" s="323"/>
    </row>
    <row r="80" spans="1:19" x14ac:dyDescent="0.2">
      <c r="A80" s="395"/>
      <c r="B80" s="396"/>
      <c r="C80" s="397"/>
      <c r="D80" s="398"/>
      <c r="E80" s="398"/>
      <c r="F80" s="398"/>
      <c r="G80" s="398"/>
      <c r="H80" s="398"/>
      <c r="I80" s="398"/>
      <c r="J80" s="398"/>
      <c r="K80" s="398"/>
      <c r="L80" s="398"/>
      <c r="M80" s="398"/>
      <c r="N80" s="399"/>
      <c r="O80" s="399"/>
      <c r="P80" s="399"/>
      <c r="Q80" s="398"/>
      <c r="R80" s="323"/>
      <c r="S80" s="323"/>
    </row>
    <row r="81" spans="1:19" x14ac:dyDescent="0.2">
      <c r="A81" s="395"/>
      <c r="B81" s="396"/>
      <c r="C81" s="397"/>
      <c r="D81" s="398"/>
      <c r="E81" s="398"/>
      <c r="F81" s="398"/>
      <c r="G81" s="398"/>
      <c r="H81" s="398"/>
      <c r="I81" s="398"/>
      <c r="J81" s="398"/>
      <c r="K81" s="398"/>
      <c r="L81" s="398"/>
      <c r="M81" s="398"/>
      <c r="N81" s="399"/>
      <c r="O81" s="399"/>
      <c r="P81" s="399"/>
      <c r="Q81" s="398"/>
      <c r="R81" s="323"/>
      <c r="S81" s="323"/>
    </row>
    <row r="82" spans="1:19" x14ac:dyDescent="0.2">
      <c r="A82" s="395"/>
      <c r="B82" s="396"/>
      <c r="C82" s="397"/>
      <c r="D82" s="398"/>
      <c r="E82" s="398"/>
      <c r="F82" s="398"/>
      <c r="G82" s="398"/>
      <c r="I82" s="398"/>
      <c r="J82" s="398"/>
      <c r="K82" s="398"/>
      <c r="L82" s="398"/>
      <c r="M82" s="398"/>
      <c r="N82" s="399"/>
      <c r="O82" s="399"/>
      <c r="P82" s="399"/>
      <c r="Q82" s="398"/>
      <c r="R82" s="323"/>
      <c r="S82" s="323"/>
    </row>
    <row r="83" spans="1:19" x14ac:dyDescent="0.2">
      <c r="A83" s="395"/>
      <c r="B83" s="396"/>
      <c r="C83" s="397"/>
      <c r="D83" s="398"/>
      <c r="E83" s="400"/>
      <c r="F83" s="401"/>
      <c r="G83" s="327" t="s">
        <v>934</v>
      </c>
      <c r="H83" s="456">
        <f>MAX(NominalTemp/1000,1)</f>
        <v>1</v>
      </c>
      <c r="I83" s="400"/>
      <c r="J83" s="401"/>
      <c r="K83" s="402"/>
      <c r="L83" s="403"/>
      <c r="M83" s="398"/>
      <c r="N83" s="399"/>
      <c r="O83" s="399"/>
      <c r="P83" s="399"/>
      <c r="Q83" s="398"/>
      <c r="R83" s="323"/>
      <c r="S83" s="323"/>
    </row>
    <row r="84" spans="1:19" x14ac:dyDescent="0.2">
      <c r="A84" s="395"/>
      <c r="B84" s="396"/>
      <c r="C84" s="397"/>
      <c r="D84" s="398"/>
      <c r="E84" s="404"/>
      <c r="F84" s="405"/>
      <c r="G84" s="406"/>
      <c r="H84" s="407"/>
      <c r="I84" s="408"/>
      <c r="J84" s="401"/>
      <c r="K84" s="402"/>
      <c r="L84" s="403"/>
      <c r="M84" s="398"/>
      <c r="N84" s="399"/>
      <c r="O84" s="399"/>
      <c r="P84" s="399"/>
      <c r="Q84" s="398"/>
      <c r="R84" s="323"/>
      <c r="S84" s="323"/>
    </row>
    <row r="85" spans="1:19" x14ac:dyDescent="0.2">
      <c r="A85" s="395"/>
      <c r="B85" s="396"/>
      <c r="C85" s="397"/>
      <c r="D85" s="398"/>
      <c r="E85" s="404"/>
      <c r="F85" t="s">
        <v>932</v>
      </c>
      <c r="G85" t="s">
        <v>151</v>
      </c>
      <c r="H85" t="s">
        <v>150</v>
      </c>
      <c r="I85" s="39" t="s">
        <v>933</v>
      </c>
      <c r="J85" s="402"/>
      <c r="K85" s="403"/>
      <c r="L85" s="398"/>
      <c r="M85" s="399"/>
      <c r="N85" s="399"/>
      <c r="O85" s="399"/>
      <c r="P85" s="398"/>
      <c r="Q85" s="323"/>
      <c r="R85" s="323"/>
      <c r="S85" s="323"/>
    </row>
    <row r="86" spans="1:19" x14ac:dyDescent="0.2">
      <c r="A86" s="395"/>
      <c r="B86" s="396"/>
      <c r="C86" s="397"/>
      <c r="D86" s="398"/>
      <c r="E86" s="404"/>
      <c r="F86">
        <v>1</v>
      </c>
      <c r="G86" s="418">
        <v>5</v>
      </c>
      <c r="H86" s="418">
        <f>$H$83*Table18[[#This Row],[SAT Multiplier]]</f>
        <v>2</v>
      </c>
      <c r="I86">
        <v>2</v>
      </c>
      <c r="J86" s="402"/>
      <c r="K86" s="403"/>
      <c r="L86" s="398"/>
      <c r="M86" s="399"/>
      <c r="N86" s="399"/>
      <c r="O86" s="399"/>
      <c r="P86" s="398"/>
      <c r="Q86" s="323"/>
      <c r="R86" s="323"/>
      <c r="S86" s="323"/>
    </row>
    <row r="87" spans="1:19" x14ac:dyDescent="0.2">
      <c r="A87" s="395"/>
      <c r="B87" s="396"/>
      <c r="C87" s="397"/>
      <c r="D87" s="398"/>
      <c r="E87" s="404"/>
      <c r="F87">
        <v>2</v>
      </c>
      <c r="G87" s="418">
        <v>10</v>
      </c>
      <c r="H87" s="418">
        <f>$H$83*Table18[[#This Row],[SAT Multiplier]]</f>
        <v>3</v>
      </c>
      <c r="I87">
        <v>3</v>
      </c>
      <c r="J87" s="402"/>
      <c r="K87" s="403"/>
      <c r="L87" s="398"/>
      <c r="M87" s="399"/>
      <c r="N87" s="399"/>
      <c r="O87" s="399"/>
      <c r="P87" s="398"/>
      <c r="Q87" s="323"/>
      <c r="R87" s="323"/>
      <c r="S87" s="323"/>
    </row>
    <row r="88" spans="1:19" x14ac:dyDescent="0.2">
      <c r="A88" s="395"/>
      <c r="B88" s="396"/>
      <c r="C88" s="397"/>
      <c r="D88" s="398"/>
      <c r="E88" s="404"/>
      <c r="F88">
        <v>3</v>
      </c>
      <c r="G88" s="418">
        <v>15</v>
      </c>
      <c r="H88" s="418">
        <f>$H$83*Table18[[#This Row],[SAT Multiplier]]</f>
        <v>4</v>
      </c>
      <c r="I88">
        <v>4</v>
      </c>
      <c r="J88" s="402"/>
      <c r="K88" s="403"/>
      <c r="L88" s="398"/>
      <c r="M88" s="399"/>
      <c r="N88" s="399"/>
      <c r="O88" s="399"/>
      <c r="P88" s="398"/>
      <c r="Q88" s="323"/>
      <c r="R88" s="323"/>
      <c r="S88" s="323"/>
    </row>
    <row r="89" spans="1:19" x14ac:dyDescent="0.2">
      <c r="A89" s="395"/>
      <c r="B89" s="396"/>
      <c r="C89" s="397"/>
      <c r="D89" s="398"/>
      <c r="E89" s="404"/>
      <c r="F89">
        <v>4</v>
      </c>
      <c r="G89" s="418">
        <v>20</v>
      </c>
      <c r="H89" s="418">
        <f>$H$83*Table18[[#This Row],[SAT Multiplier]]</f>
        <v>4</v>
      </c>
      <c r="I89">
        <v>4</v>
      </c>
      <c r="J89" s="402"/>
      <c r="K89" s="403"/>
      <c r="L89" s="398"/>
      <c r="M89" s="399"/>
      <c r="N89" s="399"/>
      <c r="O89" s="399"/>
      <c r="P89" s="398"/>
      <c r="Q89" s="323"/>
      <c r="R89" s="323"/>
      <c r="S89" s="323"/>
    </row>
    <row r="90" spans="1:19" x14ac:dyDescent="0.2">
      <c r="A90" s="395"/>
      <c r="B90" s="396"/>
      <c r="C90" s="397"/>
      <c r="D90" s="398"/>
      <c r="E90" s="404"/>
      <c r="F90">
        <v>5</v>
      </c>
      <c r="G90" s="418">
        <v>25</v>
      </c>
      <c r="H90" s="418">
        <f>$H$83*Table18[[#This Row],[SAT Multiplier]]</f>
        <v>5</v>
      </c>
      <c r="I90">
        <v>5</v>
      </c>
      <c r="J90" s="402"/>
      <c r="K90" s="403"/>
      <c r="L90" s="398"/>
      <c r="M90" s="399"/>
      <c r="N90" s="399"/>
      <c r="O90" s="399"/>
      <c r="P90" s="398"/>
      <c r="Q90" s="323"/>
      <c r="R90" s="323"/>
      <c r="S90" s="323"/>
    </row>
    <row r="91" spans="1:19" x14ac:dyDescent="0.2">
      <c r="A91" s="395"/>
      <c r="B91" s="396"/>
      <c r="C91" s="397"/>
      <c r="D91" s="398"/>
      <c r="E91" s="404"/>
      <c r="F91">
        <v>6</v>
      </c>
      <c r="G91" s="418">
        <v>50</v>
      </c>
      <c r="H91" s="418">
        <f>$H$83*Table18[[#This Row],[SAT Multiplier]]</f>
        <v>10</v>
      </c>
      <c r="I91">
        <v>10</v>
      </c>
      <c r="J91" s="402"/>
      <c r="K91" s="403"/>
      <c r="L91" s="398"/>
      <c r="M91" s="399"/>
      <c r="N91" s="399"/>
      <c r="O91" s="399"/>
      <c r="P91" s="398"/>
      <c r="Q91" s="323"/>
      <c r="R91" s="323"/>
      <c r="S91" s="323"/>
    </row>
    <row r="92" spans="1:19" x14ac:dyDescent="0.2">
      <c r="A92" s="395"/>
      <c r="B92" s="396"/>
      <c r="C92" s="397"/>
      <c r="D92" s="398"/>
      <c r="E92" s="404"/>
      <c r="F92" s="405"/>
      <c r="G92" s="406"/>
      <c r="H92" s="407"/>
      <c r="I92" s="408"/>
      <c r="J92" s="401"/>
      <c r="K92" s="402"/>
      <c r="L92" s="403"/>
      <c r="M92" s="398"/>
      <c r="N92" s="399"/>
      <c r="O92" s="399"/>
      <c r="P92" s="399"/>
      <c r="Q92" s="398"/>
      <c r="R92" s="323"/>
      <c r="S92" s="323"/>
    </row>
    <row r="93" spans="1:19" x14ac:dyDescent="0.2">
      <c r="A93" s="395"/>
      <c r="B93" s="396"/>
      <c r="C93" s="397"/>
      <c r="D93" s="398"/>
      <c r="E93" s="404"/>
      <c r="F93" s="405" t="s">
        <v>267</v>
      </c>
      <c r="G93" s="406" t="e">
        <f>VLOOKUP(G97,G86:H91,2,FALSE)</f>
        <v>#N/A</v>
      </c>
      <c r="H93" s="407" t="s">
        <v>268</v>
      </c>
      <c r="I93" s="408"/>
      <c r="J93" s="401"/>
      <c r="K93" s="402"/>
      <c r="L93" s="403"/>
      <c r="M93" s="398"/>
      <c r="N93" s="399"/>
      <c r="O93" s="399"/>
      <c r="P93" s="399"/>
      <c r="Q93" s="398"/>
      <c r="R93" s="323"/>
      <c r="S93" s="323"/>
    </row>
    <row r="94" spans="1:19" x14ac:dyDescent="0.2">
      <c r="A94" s="395"/>
      <c r="B94" s="396"/>
      <c r="C94" s="397"/>
      <c r="D94" s="398"/>
      <c r="E94" s="404"/>
      <c r="F94" s="409"/>
      <c r="G94" s="410" t="e">
        <f>F93&amp;G93&amp;H93</f>
        <v>#N/A</v>
      </c>
      <c r="H94" s="411"/>
      <c r="J94" s="401"/>
      <c r="K94" s="402"/>
      <c r="L94" s="403"/>
      <c r="M94" s="398"/>
      <c r="N94" s="399"/>
      <c r="O94" s="399"/>
      <c r="P94" s="399"/>
      <c r="Q94" s="398"/>
      <c r="R94" s="323"/>
      <c r="S94" s="323"/>
    </row>
    <row r="95" spans="1:19" x14ac:dyDescent="0.2">
      <c r="A95" s="395"/>
      <c r="B95" s="396"/>
      <c r="C95" s="397"/>
      <c r="D95" s="398"/>
      <c r="E95" s="400"/>
      <c r="F95" s="401"/>
      <c r="G95" s="402" t="e">
        <f>ROUNDDOWN(G93,2-(1+INT(LOG10(ABS(G93)))))</f>
        <v>#N/A</v>
      </c>
      <c r="H95" s="403"/>
      <c r="I95" s="400"/>
      <c r="J95" s="401"/>
      <c r="K95" s="402"/>
      <c r="L95" s="403"/>
      <c r="M95" s="398"/>
      <c r="N95" s="399"/>
      <c r="O95" s="399"/>
      <c r="P95" s="399"/>
      <c r="Q95" s="398"/>
      <c r="R95" s="323"/>
      <c r="S95" s="323"/>
    </row>
    <row r="96" spans="1:19" x14ac:dyDescent="0.2">
      <c r="A96" s="395"/>
      <c r="B96" s="396"/>
      <c r="C96" s="397"/>
      <c r="D96" s="398"/>
      <c r="E96" s="395"/>
      <c r="F96" s="396"/>
      <c r="G96" s="397"/>
      <c r="H96" s="398"/>
      <c r="I96" s="395"/>
      <c r="J96" s="396"/>
      <c r="K96" s="397"/>
      <c r="L96" s="398"/>
      <c r="M96" s="398"/>
      <c r="N96" s="399"/>
      <c r="O96" s="399"/>
      <c r="P96" s="399"/>
      <c r="Q96" s="398"/>
      <c r="R96" s="323"/>
      <c r="S96" s="323"/>
    </row>
    <row r="97" spans="1:26" x14ac:dyDescent="0.2">
      <c r="A97" s="395"/>
      <c r="B97" s="396"/>
      <c r="C97" s="397"/>
      <c r="D97" s="398"/>
      <c r="E97" s="395"/>
      <c r="F97" s="396" t="s">
        <v>951</v>
      </c>
      <c r="G97" s="397"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8"/>
      <c r="I97" s="395"/>
      <c r="J97" s="396"/>
      <c r="K97" s="397"/>
      <c r="L97" s="398"/>
      <c r="M97" s="398"/>
      <c r="N97" s="399"/>
      <c r="O97" s="399"/>
      <c r="P97" s="399"/>
      <c r="Q97" s="398"/>
      <c r="R97" s="323"/>
      <c r="S97" s="323"/>
    </row>
    <row r="98" spans="1:26" x14ac:dyDescent="0.2">
      <c r="A98" s="395"/>
      <c r="B98" s="396"/>
      <c r="C98" s="397"/>
      <c r="D98" s="398"/>
      <c r="E98" s="398"/>
      <c r="F98" s="398"/>
      <c r="G98" s="398"/>
      <c r="H98" s="398"/>
      <c r="I98" s="398"/>
      <c r="J98" s="398"/>
      <c r="K98" s="398"/>
      <c r="L98" s="398"/>
      <c r="M98" s="398"/>
      <c r="N98" s="399"/>
      <c r="O98" s="399"/>
      <c r="P98" s="399"/>
      <c r="Q98" s="398"/>
      <c r="R98" s="323"/>
      <c r="S98" s="323"/>
    </row>
    <row r="99" spans="1:26" x14ac:dyDescent="0.2">
      <c r="A99" s="395"/>
      <c r="B99" s="396"/>
      <c r="C99" s="397"/>
      <c r="D99" s="398"/>
      <c r="E99" s="398"/>
      <c r="F99" s="398"/>
      <c r="G99" s="398"/>
      <c r="H99" s="398"/>
      <c r="I99" s="398"/>
      <c r="J99" s="398"/>
      <c r="K99" s="398"/>
      <c r="L99" s="398"/>
      <c r="M99" s="398"/>
      <c r="N99" s="399"/>
      <c r="O99" s="399"/>
      <c r="P99" s="399"/>
      <c r="Q99" s="398"/>
      <c r="R99" s="323"/>
      <c r="S99" s="323"/>
    </row>
    <row r="100" spans="1:26" x14ac:dyDescent="0.2">
      <c r="A100" s="395"/>
      <c r="B100" s="396"/>
      <c r="C100" s="397"/>
      <c r="D100" s="398"/>
      <c r="E100" s="398"/>
      <c r="F100" s="398"/>
      <c r="G100" s="398"/>
      <c r="H100" s="398"/>
      <c r="I100" s="398"/>
      <c r="J100" s="398"/>
      <c r="K100" s="398"/>
      <c r="L100" s="398"/>
      <c r="M100" s="398"/>
      <c r="N100" s="399"/>
      <c r="O100" s="399"/>
      <c r="P100" s="399"/>
      <c r="Q100" s="398"/>
      <c r="R100" s="323"/>
      <c r="S100" s="323"/>
      <c r="Z100" s="492"/>
    </row>
    <row r="101" spans="1:26" x14ac:dyDescent="0.2">
      <c r="A101" s="395"/>
      <c r="B101" s="396"/>
      <c r="C101" s="397"/>
      <c r="D101" s="398"/>
      <c r="E101" s="398"/>
      <c r="F101" s="398"/>
      <c r="G101" s="398"/>
      <c r="H101" s="398"/>
      <c r="I101" s="398"/>
      <c r="J101" s="398"/>
      <c r="K101" s="398"/>
      <c r="L101" s="398"/>
      <c r="M101" s="398"/>
      <c r="N101" s="399"/>
      <c r="O101" s="399"/>
      <c r="P101" s="399"/>
      <c r="Q101" s="398"/>
      <c r="R101" s="323"/>
      <c r="S101" s="323"/>
    </row>
    <row r="102" spans="1:26" x14ac:dyDescent="0.2">
      <c r="A102" s="395"/>
      <c r="B102" s="396"/>
      <c r="C102" s="397"/>
      <c r="D102" s="398"/>
      <c r="E102" s="398"/>
      <c r="F102" s="398"/>
      <c r="G102" s="398"/>
      <c r="H102" s="398"/>
      <c r="I102" s="398"/>
      <c r="J102" s="398"/>
      <c r="K102" s="398"/>
      <c r="L102" s="398"/>
      <c r="M102" s="398"/>
      <c r="N102" s="399"/>
      <c r="O102" s="399"/>
      <c r="P102" s="399"/>
      <c r="Q102" s="398"/>
      <c r="R102" s="323"/>
      <c r="S102" s="323"/>
    </row>
    <row r="103" spans="1:26" x14ac:dyDescent="0.2">
      <c r="A103" s="395"/>
      <c r="B103" s="396"/>
      <c r="C103" s="397"/>
      <c r="D103" s="398"/>
      <c r="E103" s="398"/>
      <c r="F103" s="398"/>
      <c r="G103" s="398"/>
      <c r="H103" s="398"/>
      <c r="I103" s="398"/>
      <c r="J103" s="398"/>
      <c r="K103" s="398"/>
      <c r="L103" s="398"/>
      <c r="M103" s="398"/>
      <c r="N103" s="399"/>
      <c r="O103" s="399"/>
      <c r="P103" s="399"/>
      <c r="Q103" s="398"/>
      <c r="R103" s="323"/>
      <c r="S103" s="323"/>
    </row>
    <row r="104" spans="1:26" x14ac:dyDescent="0.2">
      <c r="A104" s="395"/>
      <c r="B104" s="396"/>
      <c r="C104" s="397"/>
      <c r="D104" s="398"/>
      <c r="E104" s="398"/>
      <c r="F104" s="398"/>
      <c r="G104" s="398"/>
      <c r="H104" s="398"/>
      <c r="I104" s="398"/>
      <c r="J104" s="398"/>
      <c r="K104" s="398"/>
      <c r="L104" s="398"/>
      <c r="M104" s="398"/>
      <c r="N104" s="399"/>
      <c r="O104" s="399"/>
      <c r="P104" s="399"/>
      <c r="Q104" s="398"/>
      <c r="R104" s="323"/>
      <c r="S104" s="323"/>
    </row>
    <row r="105" spans="1:26" x14ac:dyDescent="0.2">
      <c r="A105" s="395"/>
      <c r="B105" s="396"/>
      <c r="C105" s="397"/>
      <c r="D105" s="398"/>
      <c r="E105" s="398"/>
      <c r="F105" s="398"/>
      <c r="G105" s="398"/>
      <c r="H105" s="398"/>
      <c r="I105" s="398"/>
      <c r="J105" s="398"/>
      <c r="K105" s="398"/>
      <c r="L105" s="398"/>
      <c r="M105" s="398"/>
      <c r="N105" s="399"/>
      <c r="O105" s="399"/>
      <c r="P105" s="399"/>
      <c r="Q105" s="398"/>
      <c r="R105" s="323"/>
      <c r="S105" s="323"/>
    </row>
    <row r="106" spans="1:26" x14ac:dyDescent="0.2">
      <c r="A106" s="395"/>
      <c r="B106" s="396"/>
      <c r="C106" s="397"/>
      <c r="D106" s="398"/>
      <c r="E106" s="398"/>
      <c r="F106" s="398"/>
      <c r="G106" s="491"/>
      <c r="H106" s="398"/>
      <c r="I106" s="398"/>
      <c r="J106" s="398"/>
      <c r="K106" s="398"/>
      <c r="L106" s="398"/>
      <c r="M106" s="398"/>
      <c r="N106" s="399"/>
      <c r="O106" s="399"/>
      <c r="P106" s="399"/>
      <c r="Q106" s="398"/>
      <c r="R106" s="323"/>
      <c r="S106" s="323"/>
    </row>
    <row r="107" spans="1:26" x14ac:dyDescent="0.2">
      <c r="A107" s="395"/>
      <c r="B107" s="396"/>
      <c r="C107" s="397"/>
      <c r="D107" s="398"/>
      <c r="E107" s="398"/>
      <c r="F107" s="398"/>
      <c r="G107" s="398"/>
      <c r="H107" s="398"/>
      <c r="I107" s="398"/>
      <c r="J107" s="398"/>
      <c r="K107" s="398"/>
      <c r="L107" s="398"/>
      <c r="M107" s="398"/>
      <c r="N107" s="399"/>
      <c r="O107" s="399"/>
      <c r="P107" s="399"/>
      <c r="Q107" s="398"/>
      <c r="R107" s="323"/>
      <c r="S107" s="323"/>
    </row>
    <row r="108" spans="1:26" x14ac:dyDescent="0.2">
      <c r="A108" s="395"/>
      <c r="B108" s="396"/>
      <c r="C108" s="397"/>
      <c r="D108" s="398"/>
      <c r="E108" s="398"/>
      <c r="F108" s="398"/>
      <c r="G108" s="398"/>
      <c r="H108" s="398"/>
      <c r="I108" s="398"/>
      <c r="J108" s="398"/>
      <c r="K108" s="398"/>
      <c r="L108" s="398"/>
      <c r="M108" s="398"/>
      <c r="N108" s="399"/>
      <c r="O108" s="399"/>
      <c r="P108" s="399"/>
      <c r="Q108" s="398"/>
      <c r="R108" s="323"/>
      <c r="S108" s="323"/>
    </row>
    <row r="109" spans="1:26" x14ac:dyDescent="0.2">
      <c r="A109" s="395"/>
      <c r="B109" s="396"/>
      <c r="C109" s="397"/>
      <c r="D109" s="398"/>
      <c r="E109" s="398"/>
      <c r="F109" s="398"/>
      <c r="G109" s="398"/>
      <c r="H109" s="398"/>
      <c r="I109" s="398"/>
      <c r="J109" s="398"/>
      <c r="K109" s="398"/>
      <c r="L109" s="398"/>
      <c r="M109" s="398"/>
      <c r="N109" s="399"/>
      <c r="O109" s="399"/>
      <c r="P109" s="399"/>
      <c r="Q109" s="398"/>
      <c r="R109" s="323"/>
      <c r="S109" s="323"/>
    </row>
    <row r="110" spans="1:26" x14ac:dyDescent="0.2">
      <c r="A110" s="395"/>
      <c r="B110" s="396"/>
      <c r="C110" s="397"/>
      <c r="D110" s="398"/>
      <c r="E110" s="398"/>
      <c r="F110" s="398"/>
      <c r="G110" s="398"/>
      <c r="H110" s="398"/>
      <c r="I110" s="398"/>
      <c r="J110" s="398"/>
      <c r="K110" s="398"/>
      <c r="L110" s="398"/>
      <c r="M110" s="398"/>
      <c r="N110" s="399"/>
      <c r="O110" s="399"/>
      <c r="P110" s="399"/>
      <c r="Q110" s="398"/>
      <c r="R110" s="323"/>
      <c r="S110" s="323"/>
    </row>
    <row r="111" spans="1:26" x14ac:dyDescent="0.2">
      <c r="A111" s="395"/>
      <c r="B111" s="396"/>
      <c r="C111" s="397"/>
      <c r="D111" s="398"/>
      <c r="E111" s="398"/>
      <c r="F111" s="398"/>
      <c r="G111" s="398"/>
      <c r="H111" s="398"/>
      <c r="I111" s="398"/>
      <c r="J111" s="398"/>
      <c r="K111" s="398"/>
      <c r="L111" s="398"/>
      <c r="M111" s="398"/>
      <c r="N111" s="399"/>
      <c r="O111" s="399"/>
      <c r="P111" s="399"/>
      <c r="Q111" s="398"/>
      <c r="R111" s="323"/>
      <c r="S111" s="323"/>
    </row>
    <row r="112" spans="1:26" x14ac:dyDescent="0.2">
      <c r="A112" s="395"/>
      <c r="B112" s="396"/>
      <c r="C112" s="397"/>
      <c r="D112" s="398"/>
      <c r="E112" s="398"/>
      <c r="F112" s="398"/>
      <c r="G112" s="398"/>
      <c r="H112" s="398"/>
      <c r="I112" s="398"/>
      <c r="J112" s="398"/>
      <c r="K112" s="398"/>
      <c r="L112" s="398"/>
      <c r="M112" s="398"/>
      <c r="N112" s="412"/>
      <c r="O112" s="412"/>
      <c r="P112" s="412"/>
      <c r="Q112" s="398"/>
      <c r="R112" s="323"/>
      <c r="S112" s="323"/>
    </row>
    <row r="113" spans="1:19" x14ac:dyDescent="0.2">
      <c r="A113" s="395"/>
      <c r="B113" s="396"/>
      <c r="C113" s="397"/>
      <c r="D113" s="398"/>
      <c r="E113" s="398"/>
      <c r="F113" s="398"/>
      <c r="G113" s="398"/>
      <c r="H113" s="398"/>
      <c r="I113" s="398"/>
      <c r="J113" s="398"/>
      <c r="K113" s="398"/>
      <c r="L113" s="398"/>
      <c r="M113" s="398"/>
      <c r="N113" s="412"/>
      <c r="O113" s="412"/>
      <c r="P113" s="412"/>
      <c r="Q113" s="398"/>
      <c r="R113" s="323"/>
      <c r="S113" s="323"/>
    </row>
    <row r="114" spans="1:19" x14ac:dyDescent="0.2">
      <c r="A114" s="395"/>
      <c r="B114" s="396"/>
      <c r="C114" s="397"/>
      <c r="D114" s="398"/>
      <c r="E114" s="398"/>
      <c r="F114" s="398"/>
      <c r="G114" s="398"/>
      <c r="H114" s="398"/>
      <c r="I114" s="398"/>
      <c r="J114" s="398"/>
      <c r="K114" s="398"/>
      <c r="L114" s="398"/>
      <c r="M114" s="398"/>
      <c r="N114" s="412"/>
      <c r="O114" s="412"/>
      <c r="P114" s="412"/>
      <c r="Q114" s="398"/>
      <c r="R114" s="323"/>
      <c r="S114" s="323"/>
    </row>
    <row r="115" spans="1:19" x14ac:dyDescent="0.2">
      <c r="A115" s="395"/>
      <c r="B115" s="396"/>
      <c r="C115" s="397"/>
      <c r="D115" s="398"/>
      <c r="E115" s="398"/>
      <c r="F115" s="398"/>
      <c r="G115" s="398"/>
      <c r="H115" s="398"/>
      <c r="I115" s="398"/>
      <c r="J115" s="398"/>
      <c r="K115" s="398"/>
      <c r="L115" s="398"/>
      <c r="M115" s="398"/>
      <c r="N115" s="412"/>
      <c r="O115" s="412"/>
      <c r="P115" s="412"/>
      <c r="Q115" s="398"/>
      <c r="R115" s="323"/>
      <c r="S115" s="323"/>
    </row>
    <row r="116" spans="1:19" x14ac:dyDescent="0.2">
      <c r="A116" s="395"/>
      <c r="B116" s="396"/>
      <c r="C116" s="397"/>
      <c r="D116" s="398"/>
      <c r="E116" s="398"/>
      <c r="F116" s="398"/>
      <c r="G116" s="398"/>
      <c r="H116" s="398"/>
      <c r="I116" s="398"/>
      <c r="J116" s="398"/>
      <c r="K116" s="398"/>
      <c r="L116" s="398"/>
      <c r="M116" s="398"/>
      <c r="N116" s="398"/>
      <c r="O116" s="398"/>
      <c r="P116" s="398"/>
      <c r="Q116" s="398"/>
      <c r="R116" s="323"/>
      <c r="S116" s="323"/>
    </row>
    <row r="117" spans="1:19" x14ac:dyDescent="0.2">
      <c r="A117" s="413"/>
      <c r="B117" s="414"/>
      <c r="C117" s="415"/>
      <c r="D117" s="325"/>
      <c r="E117" s="325"/>
      <c r="F117" s="325"/>
      <c r="G117" s="325"/>
      <c r="H117" s="325"/>
      <c r="I117" s="325"/>
      <c r="J117" s="323"/>
      <c r="K117" s="323"/>
      <c r="L117" s="323"/>
      <c r="M117" s="323"/>
      <c r="N117" s="323"/>
      <c r="O117" s="323"/>
      <c r="P117" s="323"/>
      <c r="Q117" s="323"/>
      <c r="R117" s="323"/>
      <c r="S117" s="323"/>
    </row>
    <row r="118" spans="1:19" x14ac:dyDescent="0.2">
      <c r="A118" s="413"/>
      <c r="B118" s="414"/>
      <c r="C118" s="415"/>
      <c r="D118" s="325"/>
      <c r="E118" s="325"/>
      <c r="F118" s="325"/>
      <c r="G118" s="325"/>
      <c r="H118" s="325"/>
      <c r="I118" s="325"/>
      <c r="J118" s="323"/>
      <c r="K118" s="323"/>
      <c r="L118" s="323"/>
      <c r="M118" s="323"/>
      <c r="N118" s="323"/>
      <c r="O118" s="323"/>
      <c r="P118" s="323"/>
      <c r="Q118" s="323"/>
      <c r="R118" s="323"/>
      <c r="S118" s="323"/>
    </row>
    <row r="119" spans="1:19" x14ac:dyDescent="0.2">
      <c r="A119" s="413"/>
      <c r="B119" s="414"/>
      <c r="C119" s="415"/>
      <c r="D119" s="325"/>
      <c r="E119" s="325"/>
      <c r="F119" s="325"/>
      <c r="G119" s="325"/>
      <c r="H119" s="325"/>
      <c r="I119" s="325"/>
      <c r="J119" s="323"/>
      <c r="K119" s="323"/>
      <c r="L119" s="323"/>
      <c r="M119" s="323"/>
      <c r="N119" s="323"/>
      <c r="O119" s="323"/>
      <c r="P119" s="323"/>
      <c r="Q119" s="323"/>
      <c r="R119" s="323"/>
      <c r="S119" s="323"/>
    </row>
  </sheetData>
  <sheetProtection algorithmName="SHA-512" hashValue="NG9Z/YQpX517gT/DhtDceOORNuL0pJQ2flGmy7hqY8IgXVQlH3E8pxhNt5BBZ7/W7ehyZ79eWFMR8VfFRkIdIg==" saltValue="d8sNpVftte8Dtln+PdojCg=="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A38: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1" bestFit="1" customWidth="1"/>
    <col min="2" max="13" width="6" style="55" customWidth="1"/>
    <col min="14" max="14" width="6" style="54" customWidth="1"/>
    <col min="15" max="15" width="6" style="55" customWidth="1"/>
    <col min="16" max="16" width="2.140625" style="55" customWidth="1"/>
    <col min="17" max="17" width="7.85546875" style="451" bestFit="1" customWidth="1"/>
    <col min="18" max="31" width="6" style="55" customWidth="1"/>
    <col min="32" max="32" width="2.140625" style="55" customWidth="1"/>
    <col min="33" max="33" width="7.85546875" style="451" bestFit="1" customWidth="1"/>
    <col min="34" max="45" width="6" style="55" customWidth="1"/>
    <col min="46" max="16384" width="9.140625" style="55"/>
  </cols>
  <sheetData>
    <row r="1" spans="1:45" s="453" customFormat="1" ht="24.75" customHeight="1" x14ac:dyDescent="0.25"/>
    <row r="2" spans="1:45" s="454" customFormat="1" x14ac:dyDescent="0.2">
      <c r="A2" s="451"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1"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1"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3"/>
      <c r="C3" s="493"/>
      <c r="D3" s="493"/>
      <c r="E3" s="493"/>
      <c r="F3" s="493"/>
      <c r="G3" s="493"/>
      <c r="H3" s="493"/>
      <c r="I3" s="493"/>
      <c r="J3" s="493"/>
      <c r="K3" s="493"/>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XxzlTQlE3Jr7W2K2dghUenN2DnJYs5p/4qT04/M+7lYuEw0DbEq7KuumDW9MRjFGf2ejXEudJVSNod2HmG/sJw==" saltValue="uUVp9WLohuqkjukCFSa2B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8">
        <f>Main!D3</f>
        <v>0</v>
      </c>
      <c r="E10" s="568"/>
      <c r="F10" s="568"/>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7" t="s">
        <v>385</v>
      </c>
      <c r="F15" s="567"/>
      <c r="G15" s="567"/>
      <c r="H15" s="567"/>
    </row>
    <row r="16" spans="3:8" ht="15" x14ac:dyDescent="0.2">
      <c r="C16" s="136"/>
      <c r="D16" s="78"/>
      <c r="E16" s="304" t="s">
        <v>124</v>
      </c>
      <c r="F16" s="304"/>
      <c r="G16" s="304"/>
      <c r="H16" s="304"/>
    </row>
    <row r="17" spans="3:8" ht="15" x14ac:dyDescent="0.2">
      <c r="C17" s="136"/>
      <c r="D17" s="78"/>
      <c r="E17" s="566" t="s">
        <v>125</v>
      </c>
      <c r="F17" s="566"/>
      <c r="G17" s="566"/>
      <c r="H17" s="566"/>
    </row>
    <row r="18" spans="3:8" ht="15" x14ac:dyDescent="0.2">
      <c r="C18" s="136"/>
      <c r="D18" s="78"/>
      <c r="E18" s="566" t="s">
        <v>6</v>
      </c>
      <c r="F18" s="566"/>
      <c r="G18" s="566"/>
      <c r="H18" s="566"/>
    </row>
    <row r="19" spans="3:8" ht="15" x14ac:dyDescent="0.2">
      <c r="C19" s="136"/>
      <c r="D19" s="78"/>
      <c r="E19" s="566" t="s">
        <v>130</v>
      </c>
      <c r="F19" s="566"/>
      <c r="G19" s="566"/>
      <c r="H19" s="566"/>
    </row>
    <row r="20" spans="3:8" ht="15" x14ac:dyDescent="0.2">
      <c r="C20" s="136"/>
      <c r="D20" s="78"/>
      <c r="E20" s="566" t="s">
        <v>127</v>
      </c>
      <c r="F20" s="566"/>
      <c r="G20" s="566"/>
      <c r="H20" s="566"/>
    </row>
    <row r="21" spans="3:8" ht="15" x14ac:dyDescent="0.2">
      <c r="C21" s="136"/>
      <c r="D21" s="78"/>
      <c r="E21" s="566" t="s">
        <v>128</v>
      </c>
      <c r="F21" s="566"/>
      <c r="G21" s="566"/>
      <c r="H21" s="566"/>
    </row>
    <row r="22" spans="3:8" ht="15" x14ac:dyDescent="0.2">
      <c r="C22" s="136"/>
      <c r="D22" s="78"/>
      <c r="E22" s="566" t="s">
        <v>106</v>
      </c>
      <c r="F22" s="566"/>
      <c r="G22" s="566"/>
      <c r="H22" s="566"/>
    </row>
    <row r="23" spans="3:8" ht="15" x14ac:dyDescent="0.2">
      <c r="C23" s="136"/>
      <c r="D23" s="78"/>
      <c r="E23" s="566" t="s">
        <v>129</v>
      </c>
      <c r="F23" s="566"/>
      <c r="G23" s="566"/>
      <c r="H23" s="566"/>
    </row>
    <row r="24" spans="3:8" ht="15" x14ac:dyDescent="0.2">
      <c r="C24" s="87"/>
      <c r="D24" s="78"/>
      <c r="E24" s="566" t="s">
        <v>149</v>
      </c>
      <c r="F24" s="566"/>
      <c r="G24" s="566"/>
      <c r="H24" s="566"/>
    </row>
    <row r="25" spans="3:8" ht="15" x14ac:dyDescent="0.2">
      <c r="C25" s="87"/>
      <c r="D25" s="78"/>
      <c r="E25" s="566"/>
      <c r="F25" s="566"/>
      <c r="G25" s="566"/>
      <c r="H25" s="566"/>
    </row>
    <row r="26" spans="3:8" ht="15" x14ac:dyDescent="0.2">
      <c r="C26" s="87"/>
      <c r="D26" s="78"/>
      <c r="E26" s="566"/>
      <c r="F26" s="566"/>
      <c r="G26" s="566"/>
      <c r="H26" s="566"/>
    </row>
    <row r="27" spans="3:8" ht="15" x14ac:dyDescent="0.2">
      <c r="C27" s="87"/>
      <c r="D27" s="78"/>
      <c r="E27" s="566"/>
      <c r="F27" s="566"/>
      <c r="G27" s="566"/>
      <c r="H27" s="566"/>
    </row>
    <row r="28" spans="3:8" ht="15" x14ac:dyDescent="0.2">
      <c r="C28" s="87"/>
      <c r="D28" s="78"/>
      <c r="E28" s="566"/>
      <c r="F28" s="566"/>
      <c r="G28" s="566"/>
      <c r="H28" s="566"/>
    </row>
    <row r="29" spans="3:8" ht="15" x14ac:dyDescent="0.2">
      <c r="C29" s="87"/>
      <c r="D29" s="78"/>
      <c r="E29" s="566"/>
      <c r="F29" s="566"/>
      <c r="G29" s="566"/>
      <c r="H29" s="566"/>
    </row>
    <row r="30" spans="3:8" ht="15" x14ac:dyDescent="0.2">
      <c r="C30" s="87"/>
      <c r="D30" s="78"/>
      <c r="E30" s="566"/>
      <c r="F30" s="566"/>
      <c r="G30" s="566"/>
      <c r="H30" s="566"/>
    </row>
    <row r="31" spans="3:8" ht="15" x14ac:dyDescent="0.2">
      <c r="C31" s="263" t="s">
        <v>386</v>
      </c>
      <c r="E31" s="566"/>
      <c r="F31" s="566"/>
      <c r="G31" s="566"/>
      <c r="H31" s="566"/>
    </row>
    <row r="32" spans="3:8" ht="15" x14ac:dyDescent="0.2">
      <c r="C32" s="87"/>
      <c r="D32" s="78"/>
      <c r="E32" s="566"/>
      <c r="F32" s="566"/>
      <c r="G32" s="566"/>
      <c r="H32" s="566"/>
    </row>
    <row r="33" spans="3:8" ht="15" x14ac:dyDescent="0.2">
      <c r="C33" s="87"/>
      <c r="D33" s="78"/>
      <c r="E33" s="566"/>
      <c r="F33" s="566"/>
      <c r="G33" s="566"/>
      <c r="H33" s="566"/>
    </row>
    <row r="34" spans="3:8" ht="15" x14ac:dyDescent="0.2">
      <c r="C34" s="87"/>
      <c r="D34" s="78"/>
      <c r="E34" s="566"/>
      <c r="F34" s="566"/>
      <c r="G34" s="566"/>
      <c r="H34" s="566"/>
    </row>
    <row r="35" spans="3:8" ht="15" x14ac:dyDescent="0.2">
      <c r="C35" s="87"/>
      <c r="D35" s="78"/>
      <c r="E35" s="566"/>
      <c r="F35" s="566"/>
      <c r="G35" s="566"/>
      <c r="H35" s="566"/>
    </row>
    <row r="36" spans="3:8" ht="15" x14ac:dyDescent="0.2">
      <c r="C36" s="78"/>
      <c r="D36" s="78"/>
      <c r="E36" s="566"/>
      <c r="F36" s="566"/>
      <c r="G36" s="566"/>
      <c r="H36" s="566"/>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qGrB6AhmDwffAuFgO4yLtk59Z0qPebVYvscPWjFNUJPo+02UzWwgswlo0cZ9+Tlc7uUjWgPD7J2qeEPummwRCg==" saltValue="dqQrLOw7WhpSg1+sFOGsN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D33" sqref="D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85" t="s">
        <v>116</v>
      </c>
      <c r="E1" s="585"/>
      <c r="F1" s="585"/>
      <c r="G1" s="585"/>
      <c r="H1" s="585"/>
      <c r="I1" s="585"/>
      <c r="J1" s="585"/>
      <c r="K1" s="585"/>
      <c r="L1" s="585"/>
      <c r="M1" s="585"/>
    </row>
    <row r="2" spans="1:18" ht="23.25" customHeight="1" x14ac:dyDescent="0.3">
      <c r="C2" s="245"/>
      <c r="D2" s="245" t="s">
        <v>325</v>
      </c>
      <c r="E2" s="245"/>
      <c r="F2" s="245"/>
      <c r="G2" s="245"/>
      <c r="H2" s="245"/>
      <c r="I2" s="245"/>
      <c r="J2" s="245"/>
      <c r="K2" s="245"/>
      <c r="L2" s="245"/>
      <c r="M2" s="245"/>
    </row>
    <row r="3" spans="1:18" ht="23.25" x14ac:dyDescent="0.35">
      <c r="C3" s="586"/>
      <c r="D3" s="586"/>
      <c r="E3" s="586"/>
      <c r="F3" s="586"/>
      <c r="G3" s="586"/>
      <c r="H3" s="586"/>
      <c r="I3" s="586"/>
      <c r="J3" s="586"/>
      <c r="K3" s="586"/>
      <c r="L3" s="586"/>
      <c r="M3" s="586"/>
    </row>
    <row r="4" spans="1:18" ht="23.25" x14ac:dyDescent="0.35">
      <c r="C4" s="229"/>
      <c r="D4" s="229"/>
      <c r="E4" s="229"/>
      <c r="F4" s="229"/>
      <c r="G4" s="229"/>
      <c r="H4" s="229"/>
      <c r="I4" s="229"/>
      <c r="J4" s="229"/>
      <c r="K4" s="229"/>
      <c r="L4" s="229"/>
      <c r="M4" s="229"/>
    </row>
    <row r="5" spans="1:18" ht="23.25" x14ac:dyDescent="0.35">
      <c r="C5" s="603" t="s">
        <v>6</v>
      </c>
      <c r="D5" s="603"/>
      <c r="E5" s="603"/>
      <c r="F5" s="603"/>
      <c r="G5" s="603"/>
      <c r="H5" s="603"/>
      <c r="I5" s="603"/>
      <c r="J5" s="603"/>
      <c r="K5" s="603"/>
      <c r="L5" s="603"/>
      <c r="M5" s="603"/>
    </row>
    <row r="6" spans="1:18" ht="23.25" x14ac:dyDescent="0.35">
      <c r="C6" s="230"/>
      <c r="D6" s="230"/>
      <c r="E6" s="569" t="str">
        <f>IFERROR(CONCATENATE("Report Number: ", WorkItemNumber),"")</f>
        <v/>
      </c>
      <c r="F6" s="569"/>
      <c r="G6" s="569"/>
      <c r="H6" s="569"/>
      <c r="I6" s="569"/>
      <c r="J6" s="569"/>
      <c r="K6" s="569"/>
      <c r="L6" s="230"/>
      <c r="M6" s="230"/>
    </row>
    <row r="7" spans="1:18" ht="18.75" customHeight="1" x14ac:dyDescent="0.3">
      <c r="G7" s="581"/>
      <c r="H7" s="581"/>
      <c r="I7" s="204"/>
      <c r="R7" t="str">
        <f>CONCATENATE("Page ",Main!L9," of ",Main!L10)</f>
        <v xml:space="preserve">Page  of </v>
      </c>
    </row>
    <row r="8" spans="1:18" ht="18" customHeight="1" x14ac:dyDescent="0.25">
      <c r="G8" s="598"/>
      <c r="H8" s="598"/>
      <c r="J8" s="84"/>
      <c r="K8" s="231" t="s">
        <v>322</v>
      </c>
      <c r="L8" s="582">
        <f>FormNumber</f>
        <v>0</v>
      </c>
      <c r="M8" s="582"/>
      <c r="N8" s="582"/>
      <c r="O8" s="582"/>
    </row>
    <row r="9" spans="1:18" ht="18" customHeight="1" x14ac:dyDescent="0.25">
      <c r="A9" s="231" t="s">
        <v>279</v>
      </c>
      <c r="B9" s="34" t="e">
        <f>Main!D5</f>
        <v>#N/A</v>
      </c>
      <c r="J9" s="84"/>
      <c r="K9" s="231" t="s">
        <v>323</v>
      </c>
      <c r="L9" s="583">
        <f>CalMethod</f>
        <v>0</v>
      </c>
      <c r="M9" s="583"/>
      <c r="N9" s="583"/>
      <c r="O9" s="583"/>
    </row>
    <row r="10" spans="1:18" ht="18" customHeight="1" x14ac:dyDescent="0.25">
      <c r="A10" s="93"/>
      <c r="B10" s="226" t="str" cm="1">
        <f t="array" ref="B10">IFERROR(_xlfn.XLOOKUP(clientCompanyId,customers_table[company_id],customers_table[Address1]),"")</f>
        <v/>
      </c>
      <c r="J10" s="84"/>
      <c r="K10" s="231"/>
      <c r="L10" s="583"/>
      <c r="M10" s="583"/>
      <c r="N10" s="583"/>
      <c r="O10" s="583"/>
    </row>
    <row r="11" spans="1:18" ht="18" customHeight="1" x14ac:dyDescent="0.25">
      <c r="A11" s="93"/>
      <c r="B11" s="226" t="str" cm="1">
        <f t="array" ref="B11">IFERROR(_xlfn.XLOOKUP(clientCompanyId,customers_table[company_id],customers_table[Merged]),"")</f>
        <v/>
      </c>
      <c r="J11" s="84"/>
      <c r="K11" s="231" t="s">
        <v>324</v>
      </c>
      <c r="L11" s="582">
        <f>TolSource</f>
        <v>0</v>
      </c>
      <c r="M11" s="582"/>
      <c r="N11" s="582"/>
      <c r="O11" s="582"/>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0">
        <f>SerialNumber</f>
        <v>0</v>
      </c>
      <c r="C16" s="600"/>
      <c r="D16" s="600"/>
      <c r="E16" s="600"/>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89">
        <f>Class</f>
        <v>0</v>
      </c>
      <c r="C18" s="589"/>
      <c r="D18" s="589"/>
      <c r="E18" s="589"/>
      <c r="G18" s="231" t="s">
        <v>289</v>
      </c>
      <c r="H18" s="235">
        <f>CubicFeet</f>
        <v>0</v>
      </c>
      <c r="M18" s="231" t="s">
        <v>293</v>
      </c>
      <c r="N18" s="235" t="str">
        <f>Main!G18</f>
        <v>ACCEPTED</v>
      </c>
      <c r="O18" s="210"/>
    </row>
    <row r="19" spans="1:19" ht="18" customHeight="1" x14ac:dyDescent="0.25">
      <c r="A19" s="221"/>
      <c r="B19" s="590"/>
      <c r="C19" s="590"/>
      <c r="D19" s="590"/>
      <c r="E19" s="590"/>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1">
        <f>Controller</f>
        <v>0</v>
      </c>
      <c r="C21" s="601"/>
      <c r="D21" s="601"/>
      <c r="E21" s="601"/>
      <c r="F21" s="222" t="s">
        <v>296</v>
      </c>
      <c r="G21" s="601">
        <f>ContSN</f>
        <v>0</v>
      </c>
      <c r="H21" s="601"/>
      <c r="I21" s="601"/>
      <c r="J21" s="222" t="s">
        <v>297</v>
      </c>
      <c r="K21" s="234">
        <f>ContTol</f>
        <v>0</v>
      </c>
      <c r="L21" s="208"/>
      <c r="M21" s="222" t="s">
        <v>298</v>
      </c>
      <c r="N21" s="247" t="str">
        <f>Main!G27</f>
        <v/>
      </c>
      <c r="O21" s="209"/>
    </row>
    <row r="22" spans="1:19" ht="18" customHeight="1" x14ac:dyDescent="0.25">
      <c r="A22" s="240" t="s">
        <v>295</v>
      </c>
      <c r="B22" s="602">
        <f>_xlnm.Recorder</f>
        <v>0</v>
      </c>
      <c r="C22" s="602"/>
      <c r="D22" s="602"/>
      <c r="E22" s="602"/>
      <c r="F22" s="223" t="s">
        <v>296</v>
      </c>
      <c r="G22" s="602">
        <f>RecSN</f>
        <v>0</v>
      </c>
      <c r="H22" s="602"/>
      <c r="I22" s="602"/>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599" t="s">
        <v>307</v>
      </c>
      <c r="D27" s="599"/>
      <c r="E27" s="599"/>
      <c r="F27" s="599"/>
      <c r="G27" s="599"/>
      <c r="H27" s="599"/>
      <c r="I27" s="599"/>
      <c r="J27" s="599"/>
      <c r="K27" s="599"/>
      <c r="L27" s="599"/>
      <c r="M27" s="599"/>
      <c r="N27" s="211"/>
      <c r="O27" s="212"/>
    </row>
    <row r="28" spans="1:19" ht="8.1" customHeight="1" x14ac:dyDescent="0.2"/>
    <row r="29" spans="1:19" ht="18" customHeight="1" x14ac:dyDescent="0.2">
      <c r="A29" s="595" t="s">
        <v>277</v>
      </c>
      <c r="B29" s="596"/>
      <c r="C29" s="597"/>
      <c r="D29" s="595" t="s">
        <v>308</v>
      </c>
      <c r="E29" s="596"/>
      <c r="F29" s="596"/>
      <c r="G29" s="597"/>
      <c r="H29" s="595" t="s">
        <v>278</v>
      </c>
      <c r="I29" s="596"/>
      <c r="J29" s="596"/>
      <c r="K29" s="597"/>
      <c r="L29" s="595" t="s">
        <v>259</v>
      </c>
      <c r="M29" s="596"/>
      <c r="N29" s="596"/>
      <c r="O29" s="597"/>
    </row>
    <row r="30" spans="1:19" ht="18" customHeight="1" x14ac:dyDescent="0.2">
      <c r="A30" s="227"/>
      <c r="B30" s="217">
        <f>TestLocation</f>
        <v>0</v>
      </c>
      <c r="C30" s="228"/>
      <c r="D30" s="592" t="str">
        <f>CONCATENATE(Main!D22,"°F"," / ",Main!D23,"% RH")</f>
        <v>°F / % RH</v>
      </c>
      <c r="E30" s="593"/>
      <c r="F30" s="593"/>
      <c r="G30" s="594"/>
      <c r="H30" s="592">
        <f>OvenLocation</f>
        <v>0</v>
      </c>
      <c r="I30" s="593"/>
      <c r="J30" s="593"/>
      <c r="K30" s="594"/>
      <c r="L30" s="592">
        <f>Condition</f>
        <v>0</v>
      </c>
      <c r="M30" s="593"/>
      <c r="N30" s="593"/>
      <c r="O30" s="594"/>
    </row>
    <row r="31" spans="1:19" ht="18" customHeight="1" x14ac:dyDescent="0.2"/>
    <row r="32" spans="1:19" ht="18" customHeight="1" x14ac:dyDescent="0.25">
      <c r="A32" s="250" t="s">
        <v>309</v>
      </c>
      <c r="B32" s="584" t="s">
        <v>310</v>
      </c>
      <c r="C32" s="584"/>
      <c r="D32" s="250" t="s">
        <v>273</v>
      </c>
      <c r="E32" s="250" t="s">
        <v>272</v>
      </c>
      <c r="F32" s="250" t="s">
        <v>311</v>
      </c>
      <c r="G32" s="84"/>
      <c r="H32" s="84"/>
      <c r="I32" s="250" t="s">
        <v>309</v>
      </c>
      <c r="J32" s="584" t="s">
        <v>310</v>
      </c>
      <c r="K32" s="584"/>
      <c r="L32" s="250" t="s">
        <v>273</v>
      </c>
      <c r="M32" s="250" t="s">
        <v>272</v>
      </c>
      <c r="N32" s="250" t="s">
        <v>311</v>
      </c>
    </row>
    <row r="33" spans="1:14" ht="18" customHeight="1" x14ac:dyDescent="0.2">
      <c r="A33" s="251" t="str">
        <f>IF(B33="","",1)</f>
        <v/>
      </c>
      <c r="B33" s="581" t="str">
        <f>IF(Main!O5="","",Main!O5)</f>
        <v/>
      </c>
      <c r="C33" s="581"/>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81" t="str">
        <f>IF(Main!O25="","",Main!O25)</f>
        <v/>
      </c>
      <c r="K33" s="581"/>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81" t="str">
        <f>IF(Main!O6="","",Main!O6)</f>
        <v/>
      </c>
      <c r="C34" s="581"/>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81" t="str">
        <f>IF(Main!O26="","",Main!O26)</f>
        <v/>
      </c>
      <c r="K34" s="581"/>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81" t="str">
        <f>IF(Main!O7="","",Main!O7)</f>
        <v/>
      </c>
      <c r="C35" s="581"/>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81" t="str">
        <f>IF(Main!O27="","",Main!O27)</f>
        <v/>
      </c>
      <c r="K35" s="581"/>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81" t="str">
        <f>IF(Main!O8="","",Main!O8)</f>
        <v/>
      </c>
      <c r="C36" s="581"/>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81" t="str">
        <f>IF(Main!O28="","",Main!O28)</f>
        <v/>
      </c>
      <c r="K36" s="581"/>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81" t="str">
        <f>IF(Main!O9="","",Main!O9)</f>
        <v/>
      </c>
      <c r="C37" s="581"/>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81" t="str">
        <f>IF(Main!O29="","",Main!O29)</f>
        <v/>
      </c>
      <c r="K37" s="581"/>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81" t="str">
        <f>IF(Main!O10="","",Main!O10)</f>
        <v/>
      </c>
      <c r="C38" s="581"/>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81" t="str">
        <f>IF(Main!O30="","",Main!O30)</f>
        <v/>
      </c>
      <c r="K38" s="581"/>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81" t="str">
        <f>IF(Main!O11="","",Main!O11)</f>
        <v/>
      </c>
      <c r="C39" s="581"/>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81" t="str">
        <f>IF(Main!O31="","",Main!O31)</f>
        <v/>
      </c>
      <c r="K39" s="581"/>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81" t="str">
        <f>IF(Main!O12="","",Main!O12)</f>
        <v/>
      </c>
      <c r="C40" s="581"/>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81" t="str">
        <f>IF(Main!O32="","",Main!O32)</f>
        <v/>
      </c>
      <c r="K40" s="581"/>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81" t="str">
        <f>IF(Main!O13="","",Main!O13)</f>
        <v/>
      </c>
      <c r="C41" s="581"/>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81" t="str">
        <f>IF(Main!O33="","",Main!O33)</f>
        <v/>
      </c>
      <c r="K41" s="581"/>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81" t="str">
        <f>IF(Main!O14="","",Main!O14)</f>
        <v/>
      </c>
      <c r="C42" s="581"/>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81" t="str">
        <f>IF(Main!O34="","",Main!O34)</f>
        <v/>
      </c>
      <c r="K42" s="581"/>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81" t="str">
        <f>IF(Main!O15="","",Main!O15)</f>
        <v/>
      </c>
      <c r="C43" s="581"/>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81" t="str">
        <f>IF(Main!O35="","",Main!O35)</f>
        <v/>
      </c>
      <c r="K43" s="581"/>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81" t="str">
        <f>IF(Main!O16="","",Main!O16)</f>
        <v/>
      </c>
      <c r="C44" s="581"/>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81" t="str">
        <f>IF(Main!O36="","",Main!O36)</f>
        <v/>
      </c>
      <c r="K44" s="581"/>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81" t="str">
        <f>IF(Main!O17="","",Main!O17)</f>
        <v/>
      </c>
      <c r="C45" s="581"/>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81" t="str">
        <f>IF(Main!O37="","",Main!O37)</f>
        <v/>
      </c>
      <c r="K45" s="581"/>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81" t="str">
        <f>IF(Main!O18="","",Main!O18)</f>
        <v/>
      </c>
      <c r="C46" s="581"/>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81" t="str">
        <f>IF(Main!O38="","",Main!O38)</f>
        <v/>
      </c>
      <c r="K46" s="581"/>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81" t="str">
        <f>IF(Main!O19="","",Main!O19)</f>
        <v/>
      </c>
      <c r="C47" s="581"/>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81" t="str">
        <f>IF(Main!O39="","",Main!O39)</f>
        <v/>
      </c>
      <c r="K47" s="581"/>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81" t="str">
        <f>IF(Main!O20="","",Main!O20)</f>
        <v/>
      </c>
      <c r="C48" s="581"/>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81" t="str">
        <f>IF(Main!O40="","",Main!O40)</f>
        <v/>
      </c>
      <c r="K48" s="581"/>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81" t="str">
        <f>IF(Main!O21="","",Main!O21)</f>
        <v/>
      </c>
      <c r="C49" s="581"/>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81" t="str">
        <f>IF(Main!O41="","",Main!O41)</f>
        <v/>
      </c>
      <c r="K49" s="581"/>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81" t="str">
        <f>IF(Main!O22="","",Main!O22)</f>
        <v/>
      </c>
      <c r="C50" s="581"/>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81" t="str">
        <f>IF(Main!O42="","",Main!O42)</f>
        <v/>
      </c>
      <c r="K50" s="581"/>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81" t="str">
        <f>IF(Main!O23="","",Main!O23)</f>
        <v/>
      </c>
      <c r="C51" s="581"/>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81" t="str">
        <f>IF(Main!O43="","",Main!O43)</f>
        <v/>
      </c>
      <c r="K51" s="581"/>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81" t="str">
        <f>IF(Main!O24="","",Main!O24)</f>
        <v/>
      </c>
      <c r="C52" s="581"/>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81" t="str">
        <f>IF(Main!O44="","",Main!O44)</f>
        <v/>
      </c>
      <c r="K52" s="581"/>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88" t="s">
        <v>312</v>
      </c>
      <c r="C53" s="588"/>
      <c r="D53" s="588"/>
      <c r="E53" s="588"/>
      <c r="F53" s="588"/>
      <c r="G53" s="588"/>
      <c r="H53" s="588"/>
      <c r="I53" s="588"/>
      <c r="J53" s="588"/>
      <c r="K53" s="588"/>
      <c r="L53" s="588"/>
      <c r="M53" s="588"/>
      <c r="N53" s="588"/>
    </row>
    <row r="54" spans="1:20" ht="18" customHeight="1" x14ac:dyDescent="0.25">
      <c r="A54" s="253" t="s">
        <v>313</v>
      </c>
      <c r="B54" s="583" t="str">
        <f>CONCATENATE(Main!G23,"  ",FurnaceSpecificComments)</f>
        <v xml:space="preserve">Found in tolerance.  No adjustment required.  </v>
      </c>
      <c r="C54" s="583"/>
      <c r="D54" s="583"/>
      <c r="E54" s="583"/>
      <c r="F54" s="583"/>
      <c r="G54" s="583"/>
      <c r="H54" s="583"/>
      <c r="I54" s="583"/>
      <c r="J54" s="583"/>
      <c r="K54" s="583"/>
      <c r="L54" s="583"/>
      <c r="M54" s="583"/>
      <c r="N54" s="583"/>
      <c r="O54" s="583"/>
    </row>
    <row r="55" spans="1:20" ht="18" customHeight="1" x14ac:dyDescent="0.25">
      <c r="A55" s="81"/>
      <c r="B55" s="583"/>
      <c r="C55" s="583"/>
      <c r="D55" s="583"/>
      <c r="E55" s="583"/>
      <c r="F55" s="583"/>
      <c r="G55" s="583"/>
      <c r="H55" s="583"/>
      <c r="I55" s="583"/>
      <c r="J55" s="583"/>
      <c r="K55" s="583"/>
      <c r="L55" s="583"/>
      <c r="M55" s="583"/>
      <c r="N55" s="583"/>
      <c r="O55" s="583"/>
    </row>
    <row r="56" spans="1:20" ht="18" customHeight="1" x14ac:dyDescent="0.25">
      <c r="A56" s="81"/>
      <c r="B56" s="583"/>
      <c r="C56" s="583"/>
      <c r="D56" s="583"/>
      <c r="E56" s="583"/>
      <c r="F56" s="583"/>
      <c r="G56" s="583"/>
      <c r="H56" s="583"/>
      <c r="I56" s="583"/>
      <c r="J56" s="583"/>
      <c r="K56" s="583"/>
      <c r="L56" s="583"/>
      <c r="M56" s="583"/>
      <c r="N56" s="583"/>
      <c r="O56" s="583"/>
    </row>
    <row r="57" spans="1:20" ht="18" customHeight="1" x14ac:dyDescent="0.25">
      <c r="A57" s="81"/>
      <c r="B57" s="583"/>
      <c r="C57" s="583"/>
      <c r="D57" s="583"/>
      <c r="E57" s="583"/>
      <c r="F57" s="583"/>
      <c r="G57" s="583"/>
      <c r="H57" s="583"/>
      <c r="I57" s="583"/>
      <c r="J57" s="583"/>
      <c r="K57" s="583"/>
      <c r="L57" s="583"/>
      <c r="M57" s="583"/>
      <c r="N57" s="583"/>
      <c r="O57" s="583"/>
    </row>
    <row r="58" spans="1:20" ht="18" customHeight="1" x14ac:dyDescent="0.25">
      <c r="A58" s="81"/>
      <c r="B58" s="583"/>
      <c r="C58" s="583"/>
      <c r="D58" s="583"/>
      <c r="E58" s="583"/>
      <c r="F58" s="583"/>
      <c r="G58" s="583"/>
      <c r="H58" s="583"/>
      <c r="I58" s="583"/>
      <c r="J58" s="583"/>
      <c r="K58" s="583"/>
      <c r="L58" s="583"/>
      <c r="M58" s="583"/>
      <c r="N58" s="583"/>
      <c r="O58" s="583"/>
    </row>
    <row r="59" spans="1:20" ht="18" customHeight="1" x14ac:dyDescent="0.25">
      <c r="A59" s="81"/>
      <c r="B59" s="583"/>
      <c r="C59" s="583"/>
      <c r="D59" s="583"/>
      <c r="E59" s="583"/>
      <c r="F59" s="583"/>
      <c r="G59" s="583"/>
      <c r="H59" s="583"/>
      <c r="I59" s="583"/>
      <c r="J59" s="583"/>
      <c r="K59" s="583"/>
      <c r="L59" s="583"/>
      <c r="M59" s="583"/>
      <c r="N59" s="583"/>
      <c r="O59" s="583"/>
    </row>
    <row r="60" spans="1:20" ht="18" customHeight="1" x14ac:dyDescent="0.2">
      <c r="A60" s="587" t="s">
        <v>321</v>
      </c>
      <c r="B60" s="587"/>
      <c r="C60" s="587"/>
      <c r="D60" s="587"/>
      <c r="E60" s="587"/>
      <c r="F60" s="587"/>
      <c r="G60" s="587"/>
      <c r="H60" s="587"/>
      <c r="I60" s="587"/>
      <c r="J60" s="587"/>
      <c r="K60" s="587"/>
      <c r="L60" s="587"/>
      <c r="M60" s="587"/>
      <c r="N60" s="587"/>
      <c r="O60" s="587"/>
    </row>
    <row r="61" spans="1:20" ht="18" customHeight="1" x14ac:dyDescent="0.2">
      <c r="A61" s="591" t="s">
        <v>314</v>
      </c>
      <c r="B61" s="591"/>
      <c r="C61" s="591"/>
      <c r="D61" s="591"/>
      <c r="E61" s="591"/>
      <c r="F61" s="580" t="s">
        <v>315</v>
      </c>
      <c r="G61" s="580"/>
      <c r="H61" s="580"/>
      <c r="I61" s="580" t="s">
        <v>316</v>
      </c>
      <c r="J61" s="580"/>
      <c r="K61" s="580" t="s">
        <v>317</v>
      </c>
      <c r="L61" s="580"/>
      <c r="M61" s="580" t="s">
        <v>318</v>
      </c>
      <c r="N61" s="580"/>
      <c r="O61" s="580"/>
      <c r="R61" s="39" t="s">
        <v>884</v>
      </c>
      <c r="T61" s="39" t="s">
        <v>885</v>
      </c>
    </row>
    <row r="62" spans="1:20" ht="18" customHeight="1" x14ac:dyDescent="0.2">
      <c r="A62" s="570" t="str">
        <f>IF(F62="","",CONCATENATE(T62," - ",R62))</f>
        <v/>
      </c>
      <c r="B62" s="571"/>
      <c r="C62" s="571"/>
      <c r="D62" s="571"/>
      <c r="E62" s="572"/>
      <c r="F62" s="570" t="str" cm="1">
        <f t="array" ref="F62">IFERROR(
  _xlfn.XLOOKUP(
    Main!D9,
    _xlfn._xlws.FILTER(AssetPool[asset_tag], AssetPool[root_category_name]="DAQ Modules"),
    _xlfn._xlws.FILTER(AssetPool[serial_number], AssetPool[root_category_name]="DAQ Modules")
  ),
  ""
)</f>
        <v/>
      </c>
      <c r="G62" s="571"/>
      <c r="H62" s="572"/>
      <c r="I62" s="576" t="str">
        <f>IF(F62="","",Main!D12)</f>
        <v/>
      </c>
      <c r="J62" s="577"/>
      <c r="K62" s="576" t="str">
        <f>IF(F62="","",Main!D13)</f>
        <v/>
      </c>
      <c r="L62" s="577"/>
      <c r="M62" s="605" t="str">
        <f>IF(F62="","",REPLACE(Main!D14,3,1,""))</f>
        <v/>
      </c>
      <c r="N62" s="606"/>
      <c r="O62" s="607"/>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73" t="str">
        <f t="shared" ref="A63:A68" si="0">IF(Q63="","",CONCATENATE(T63," - ",R63))</f>
        <v/>
      </c>
      <c r="B63" s="574"/>
      <c r="C63" s="574"/>
      <c r="D63" s="574"/>
      <c r="E63" s="575"/>
      <c r="F63" s="573" t="str">
        <f>IF(Main!D48,Main!D48,"")</f>
        <v/>
      </c>
      <c r="G63" s="574"/>
      <c r="H63" s="575"/>
      <c r="I63" s="578" t="str">
        <f>IF(Q63="","",Main!D49)</f>
        <v/>
      </c>
      <c r="J63" s="579"/>
      <c r="K63" s="578" t="str">
        <f>IF(Q63="","",Main!D50)</f>
        <v/>
      </c>
      <c r="L63" s="579"/>
      <c r="M63" s="573" t="str">
        <f>IF(Q63="","",Main!D54)</f>
        <v/>
      </c>
      <c r="N63" s="574"/>
      <c r="O63" s="575"/>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73" t="str">
        <f t="shared" si="0"/>
        <v/>
      </c>
      <c r="B64" s="574"/>
      <c r="C64" s="574"/>
      <c r="D64" s="574"/>
      <c r="E64" s="575"/>
      <c r="F64" s="573" t="str">
        <f>IF(Main!E48,Main!E48,"")</f>
        <v/>
      </c>
      <c r="G64" s="574"/>
      <c r="H64" s="575"/>
      <c r="I64" s="578" t="str">
        <f>IF(Q64="","",Main!E49)</f>
        <v/>
      </c>
      <c r="J64" s="579"/>
      <c r="K64" s="578" t="str">
        <f>IF(Q64="","",Main!E50)</f>
        <v/>
      </c>
      <c r="L64" s="579"/>
      <c r="M64" s="573" t="str">
        <f>IF(Q64="","",Main!E54)</f>
        <v/>
      </c>
      <c r="N64" s="574"/>
      <c r="O64" s="575"/>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73" t="str">
        <f t="shared" si="0"/>
        <v/>
      </c>
      <c r="B65" s="574"/>
      <c r="C65" s="574"/>
      <c r="D65" s="574"/>
      <c r="E65" s="575"/>
      <c r="F65" s="573" t="str">
        <f>IF(Main!F48,Main!F48,"")</f>
        <v/>
      </c>
      <c r="G65" s="574"/>
      <c r="H65" s="575"/>
      <c r="I65" s="578" t="str">
        <f>IF(Q65="","",Main!F49)</f>
        <v/>
      </c>
      <c r="J65" s="579"/>
      <c r="K65" s="578" t="str">
        <f>IF(Q65="","",Main!F50)</f>
        <v/>
      </c>
      <c r="L65" s="579"/>
      <c r="M65" s="573" t="str">
        <f>IF(Q65="","",Main!F54)</f>
        <v/>
      </c>
      <c r="N65" s="574"/>
      <c r="O65" s="575"/>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73" t="str">
        <f t="shared" si="0"/>
        <v/>
      </c>
      <c r="B66" s="574"/>
      <c r="C66" s="574"/>
      <c r="D66" s="574"/>
      <c r="E66" s="575"/>
      <c r="F66" s="573" t="str">
        <f>IF(Main!G48,Main!G48,"")</f>
        <v/>
      </c>
      <c r="G66" s="574"/>
      <c r="H66" s="575"/>
      <c r="I66" s="578" t="str">
        <f>IF(Q66="","",Main!G49)</f>
        <v/>
      </c>
      <c r="J66" s="579"/>
      <c r="K66" s="578" t="str">
        <f>IF(Q66="","",Main!G50)</f>
        <v/>
      </c>
      <c r="L66" s="579"/>
      <c r="M66" s="573" t="str">
        <f>IF(Q66="","",Main!G54)</f>
        <v/>
      </c>
      <c r="N66" s="574"/>
      <c r="O66" s="575"/>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73" t="str">
        <f t="shared" si="0"/>
        <v/>
      </c>
      <c r="B67" s="574"/>
      <c r="C67" s="574"/>
      <c r="D67" s="574"/>
      <c r="E67" s="575"/>
      <c r="F67" s="573" t="str">
        <f>IF(Main!H48,Main!H48,"")</f>
        <v/>
      </c>
      <c r="G67" s="574"/>
      <c r="H67" s="575"/>
      <c r="I67" s="578" t="str">
        <f>IF(Q67="","",Main!H49)</f>
        <v/>
      </c>
      <c r="J67" s="579"/>
      <c r="K67" s="578" t="str">
        <f>IF(Q67="","",Main!H50)</f>
        <v/>
      </c>
      <c r="L67" s="579"/>
      <c r="M67" s="573" t="str">
        <f>IF(Q67="","",Main!H54)</f>
        <v/>
      </c>
      <c r="N67" s="574"/>
      <c r="O67" s="575"/>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73" t="str">
        <f t="shared" si="0"/>
        <v/>
      </c>
      <c r="B68" s="574"/>
      <c r="C68" s="574"/>
      <c r="D68" s="574"/>
      <c r="E68" s="575"/>
      <c r="F68" s="573" t="str">
        <f>IF(Main!I48,Main!I48,"")</f>
        <v/>
      </c>
      <c r="G68" s="574"/>
      <c r="H68" s="575"/>
      <c r="I68" s="578" t="str">
        <f>IF(Q68="","",Main!I49)</f>
        <v/>
      </c>
      <c r="J68" s="579"/>
      <c r="K68" s="578" t="str">
        <f>IF(Q68="","",Main!I50)</f>
        <v/>
      </c>
      <c r="L68" s="579"/>
      <c r="M68" s="573" t="str">
        <f>IF(Q68="","",Main!I54)</f>
        <v/>
      </c>
      <c r="N68" s="574"/>
      <c r="O68" s="575"/>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92" t="str">
        <f>IF(T69="","",CONCATENATE(T69," - ",R69))</f>
        <v/>
      </c>
      <c r="B69" s="593"/>
      <c r="C69" s="593"/>
      <c r="D69" s="593"/>
      <c r="E69" s="594"/>
      <c r="F69" s="608" t="str">
        <f>IF(W69,W69,"")</f>
        <v/>
      </c>
      <c r="G69" s="609"/>
      <c r="H69" s="610"/>
      <c r="I69" s="611"/>
      <c r="J69" s="612"/>
      <c r="K69" s="611"/>
      <c r="L69" s="612"/>
      <c r="M69" s="592"/>
      <c r="N69" s="593"/>
      <c r="O69" s="594"/>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604" t="s">
        <v>373</v>
      </c>
      <c r="B71" s="604"/>
      <c r="C71" s="604"/>
      <c r="D71" s="604"/>
      <c r="E71" s="604"/>
      <c r="F71" s="604"/>
      <c r="G71" s="604"/>
      <c r="H71" s="604"/>
      <c r="I71" s="604"/>
      <c r="J71" s="604"/>
      <c r="K71" s="604"/>
      <c r="L71" s="604"/>
      <c r="M71" s="604"/>
      <c r="N71" s="604"/>
      <c r="O71" s="604"/>
    </row>
    <row r="72" spans="1:20" ht="18" customHeight="1" x14ac:dyDescent="0.2">
      <c r="A72" s="604"/>
      <c r="B72" s="604"/>
      <c r="C72" s="604"/>
      <c r="D72" s="604"/>
      <c r="E72" s="604"/>
      <c r="F72" s="604"/>
      <c r="G72" s="604"/>
      <c r="H72" s="604"/>
      <c r="I72" s="604"/>
      <c r="J72" s="604"/>
      <c r="K72" s="604"/>
      <c r="L72" s="604"/>
      <c r="M72" s="604"/>
      <c r="N72" s="604"/>
      <c r="O72" s="604"/>
    </row>
    <row r="73" spans="1:20" ht="18" customHeight="1" x14ac:dyDescent="0.2">
      <c r="A73" s="604"/>
      <c r="B73" s="604"/>
      <c r="C73" s="604"/>
      <c r="D73" s="604"/>
      <c r="E73" s="604"/>
      <c r="F73" s="604"/>
      <c r="G73" s="604"/>
      <c r="H73" s="604"/>
      <c r="I73" s="604"/>
      <c r="J73" s="604"/>
      <c r="K73" s="604"/>
      <c r="L73" s="604"/>
      <c r="M73" s="604"/>
      <c r="N73" s="604"/>
      <c r="O73" s="604"/>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sFWJrMvJZBZTCFpYFl8KZuleAfU0kZXIwDXM3gV8IScNFoX+zQpXGy2o1txDmDNjs13XsIrOO9qSJHd2C47aNA==" saltValue="nO6FXsz46aM6L0hiHogxt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6" t="s">
        <v>103</v>
      </c>
      <c r="N2" s="616"/>
      <c r="O2" s="616"/>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7" t="s">
        <v>104</v>
      </c>
      <c r="N3" s="618"/>
      <c r="O3" s="619"/>
      <c r="P3" s="109"/>
      <c r="Q3" s="109"/>
    </row>
    <row r="4" spans="1:18" ht="15" x14ac:dyDescent="0.25">
      <c r="B4" s="119" t="s">
        <v>25</v>
      </c>
      <c r="C4" s="65"/>
      <c r="D4" s="39"/>
      <c r="E4" s="39"/>
      <c r="F4" s="39"/>
      <c r="G4" s="39"/>
      <c r="H4" s="39"/>
      <c r="I4" s="39"/>
      <c r="J4" s="39"/>
      <c r="K4" s="39"/>
      <c r="L4" s="39"/>
      <c r="M4" s="620" t="s">
        <v>145</v>
      </c>
      <c r="N4" s="621"/>
      <c r="O4" s="622"/>
      <c r="P4" s="91"/>
    </row>
    <row r="5" spans="1:18" x14ac:dyDescent="0.2">
      <c r="B5" s="120" t="s">
        <v>26</v>
      </c>
      <c r="C5" s="59">
        <f>Main!D3</f>
        <v>0</v>
      </c>
      <c r="D5" s="39"/>
      <c r="E5" s="39"/>
      <c r="F5" s="39"/>
      <c r="G5" s="39"/>
      <c r="H5" s="39"/>
      <c r="I5" s="57" t="s">
        <v>4</v>
      </c>
      <c r="J5" s="39" t="e">
        <f>Main!D5</f>
        <v>#N/A</v>
      </c>
      <c r="L5" s="39"/>
      <c r="M5" s="623" t="s">
        <v>144</v>
      </c>
      <c r="N5" s="624"/>
      <c r="O5" s="625"/>
      <c r="P5" s="135"/>
    </row>
    <row r="6" spans="1:18" ht="13.5" thickBot="1" x14ac:dyDescent="0.25">
      <c r="B6" s="120" t="s">
        <v>3</v>
      </c>
      <c r="C6" s="60" t="e">
        <f>Main!D6</f>
        <v>#N/A</v>
      </c>
      <c r="D6" s="39"/>
      <c r="E6" s="39"/>
      <c r="F6" s="39"/>
      <c r="G6" s="39"/>
      <c r="H6" s="39"/>
      <c r="I6" s="57" t="s">
        <v>5</v>
      </c>
      <c r="J6" s="56">
        <f>Main!D16</f>
        <v>0</v>
      </c>
      <c r="L6" s="39"/>
      <c r="M6" s="626" t="s">
        <v>143</v>
      </c>
      <c r="N6" s="627"/>
      <c r="O6" s="628"/>
      <c r="P6" s="92"/>
    </row>
    <row r="7" spans="1:18" ht="13.5" thickBot="1" x14ac:dyDescent="0.25">
      <c r="B7" s="120" t="s">
        <v>27</v>
      </c>
      <c r="C7" s="60" t="str">
        <f>Main!D7</f>
        <v>Jeff Hall</v>
      </c>
      <c r="D7" s="39"/>
      <c r="E7" s="39"/>
      <c r="F7" s="39"/>
      <c r="G7" s="39"/>
      <c r="H7" s="39"/>
      <c r="I7" s="62" t="s">
        <v>169</v>
      </c>
      <c r="J7" s="614">
        <f>Main!$D$30</f>
        <v>0</v>
      </c>
      <c r="K7" s="615"/>
      <c r="L7" s="106"/>
      <c r="M7" s="613" t="s">
        <v>142</v>
      </c>
      <c r="N7" s="613"/>
      <c r="O7" s="613"/>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8" customFormat="1" x14ac:dyDescent="0.2">
      <c r="A12" s="457"/>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M+8QcoXrVYt98GpGJXmm/Bpfi9cZ0A1nQPDIIswV7ePVYGsWbxGuUerUbEQhQJqOk7uJjsb7SjRFplVDN5AMcg==" saltValue="KIPLyU3/b3UQHehCiFvbn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9" priority="1">
      <formula>AND(ROW() &gt;= $Q$1, ROW() &lt;= $Q$2)</formula>
    </cfRule>
    <cfRule type="cellIs" dxfId="78" priority="2" stopIfTrue="1" operator="between">
      <formula>$E$1</formula>
      <formula>$E$2</formula>
    </cfRule>
    <cfRule type="cellIs" dxfId="77" priority="3" stopIfTrue="1" operator="greaterThan">
      <formula>$C$2</formula>
    </cfRule>
    <cfRule type="cellIs" dxfId="76" priority="4" stopIfTrue="1" operator="lessThan">
      <formula>$C$1</formula>
    </cfRule>
    <cfRule type="cellIs" dxfId="75"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t="e">
        <f>Main!D5</f>
        <v>#N/A</v>
      </c>
      <c r="M5" s="630" t="s">
        <v>144</v>
      </c>
      <c r="N5" s="631"/>
      <c r="O5" s="632"/>
    </row>
    <row r="6" spans="1:17" ht="13.5" thickBot="1" x14ac:dyDescent="0.25">
      <c r="B6" s="120" t="s">
        <v>3</v>
      </c>
      <c r="C6" s="60" t="e">
        <f>Main!D6</f>
        <v>#N/A</v>
      </c>
      <c r="D6" s="39"/>
      <c r="E6" s="39"/>
      <c r="F6" s="39"/>
      <c r="G6" s="39"/>
      <c r="H6" s="39"/>
      <c r="I6" s="57" t="s">
        <v>5</v>
      </c>
      <c r="J6" s="41">
        <f>Main!D16</f>
        <v>0</v>
      </c>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60" customFormat="1" x14ac:dyDescent="0.2">
      <c r="A12" s="459"/>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l7txrDjnrgOMwHvECteJuWSCI07KjnLSV/ggY3fYZgCs3jb0ihVj+IvOaP4BZRixjKpcXpBzY/OFkOeMg/ulmA==" saltValue="+OxhDVtgk71uk6xyWolc3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4" priority="2" stopIfTrue="1" operator="between">
      <formula>$E$1</formula>
      <formula>$E$2</formula>
    </cfRule>
    <cfRule type="cellIs" dxfId="73" priority="3" stopIfTrue="1" operator="greaterThan">
      <formula>$C$2</formula>
    </cfRule>
    <cfRule type="cellIs" dxfId="72" priority="4" stopIfTrue="1" operator="lessThan">
      <formula>$C$1</formula>
    </cfRule>
    <cfRule type="cellIs" dxfId="71" priority="5" stopIfTrue="1" operator="greaterThanOrEqual">
      <formula>$C$1</formula>
    </cfRule>
  </conditionalFormatting>
  <conditionalFormatting sqref="B14:P903">
    <cfRule type="expression" dxfId="7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s="39" t="e">
        <f>Main!D5</f>
        <v>#N/A</v>
      </c>
      <c r="L5" s="39"/>
      <c r="M5" s="623" t="s">
        <v>144</v>
      </c>
      <c r="N5" s="624"/>
      <c r="O5" s="625"/>
    </row>
    <row r="6" spans="1:17" ht="13.5" thickBot="1" x14ac:dyDescent="0.25">
      <c r="B6" s="120" t="s">
        <v>3</v>
      </c>
      <c r="C6" s="60" t="e">
        <f>Main!D6</f>
        <v>#N/A</v>
      </c>
      <c r="D6" s="39"/>
      <c r="E6" s="39"/>
      <c r="F6" s="39"/>
      <c r="G6" s="39"/>
      <c r="H6" s="39"/>
      <c r="I6" s="57" t="s">
        <v>5</v>
      </c>
      <c r="J6" s="56">
        <f>Main!D16</f>
        <v>0</v>
      </c>
      <c r="L6" s="39"/>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60" customFormat="1" x14ac:dyDescent="0.2">
      <c r="A12" s="459"/>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88Iy1ZpLv1UsiBOrr7VVjhbTJYOgULCrJvTyv/YSwrDlObH5JiJxEWrSddsz8kTnbfP0brMSMmxX2Q09kszEcQ==" saltValue="QJY6+kuDfjMQMEln0cRRp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9" priority="2" stopIfTrue="1" operator="between">
      <formula>$E$1</formula>
      <formula>$E$2</formula>
    </cfRule>
    <cfRule type="cellIs" dxfId="68" priority="3" stopIfTrue="1" operator="greaterThan">
      <formula>$C$2</formula>
    </cfRule>
    <cfRule type="cellIs" dxfId="67" priority="4" stopIfTrue="1" operator="lessThan">
      <formula>$C$1</formula>
    </cfRule>
    <cfRule type="cellIs" dxfId="66" priority="6" stopIfTrue="1" operator="greaterThanOrEqual">
      <formula>$C$1</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94"/>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94"/>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94"/>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94"/>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94"/>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94"/>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94"/>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94"/>
      <c r="E17" s="28"/>
      <c r="F17" s="20"/>
      <c r="G17" s="40"/>
      <c r="H17" s="28"/>
      <c r="I17" s="20"/>
      <c r="J17" s="40"/>
      <c r="K17" s="28"/>
      <c r="L17" s="20"/>
      <c r="M17" s="40"/>
      <c r="N17" s="28"/>
      <c r="O17" s="27"/>
      <c r="U17" s="293">
        <v>12</v>
      </c>
      <c r="V17" s="293" t="s">
        <v>22</v>
      </c>
    </row>
    <row r="18" spans="1:22" x14ac:dyDescent="0.25">
      <c r="A18" s="46" t="str">
        <v/>
      </c>
      <c r="B18" s="19"/>
      <c r="C18" s="20"/>
      <c r="D18" s="494"/>
      <c r="E18" s="28"/>
      <c r="F18" s="20"/>
      <c r="G18" s="40"/>
      <c r="H18" s="28"/>
      <c r="I18" s="20"/>
      <c r="J18" s="40"/>
      <c r="K18" s="28"/>
      <c r="L18" s="20"/>
      <c r="M18" s="40"/>
      <c r="N18" s="28"/>
      <c r="O18" s="27"/>
      <c r="U18" s="293">
        <v>14</v>
      </c>
      <c r="V18" s="293" t="s">
        <v>22</v>
      </c>
    </row>
    <row r="19" spans="1:22" x14ac:dyDescent="0.25">
      <c r="A19" s="15"/>
      <c r="B19" s="15"/>
      <c r="C19" s="15"/>
      <c r="D19" s="488">
        <f>Main!A37</f>
        <v>0</v>
      </c>
      <c r="E19" s="15" t="str">
        <f>IF(ISNUMBER(SEARCH(".",E10)),".","")</f>
        <v/>
      </c>
      <c r="F19" s="15"/>
      <c r="G19" s="489" t="str">
        <f>Main!A38</f>
        <v/>
      </c>
      <c r="H19" s="13" t="str" cm="1">
        <f t="array" ref="H19">IF(OR(S16:S23=1),"CHECK READINGS!!!","")</f>
        <v/>
      </c>
      <c r="I19" s="15"/>
      <c r="J19" s="489" t="str">
        <f>Main!A39</f>
        <v/>
      </c>
      <c r="K19" s="15" t="str">
        <f>IF(ISNUMBER(SEARCH(".",K10)),".","")</f>
        <v/>
      </c>
      <c r="L19" s="15"/>
      <c r="M19" s="489"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90" t="str">
        <f>Main!A41</f>
        <v/>
      </c>
      <c r="E31" s="22"/>
      <c r="F31" s="21"/>
      <c r="G31" s="490" t="str">
        <f>Main!A42</f>
        <v/>
      </c>
      <c r="H31" s="22"/>
      <c r="I31" s="21"/>
      <c r="J31" s="490" t="str">
        <f>Main!A43</f>
        <v/>
      </c>
      <c r="K31" s="22"/>
      <c r="L31" s="21"/>
      <c r="M31" s="490"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0bGyKUvrTMR3v5wEvEs2oguzBbEkZoHd0iKC2au/DhLsvdsMTA/RauypLC8T72KM8r4mERTLnvuNDd2OYyEpg==" saltValue="HInJph1JUko8Wui7Eb40WQ==" spinCount="100000" sheet="1" objects="1" scenarios="1" selectLockedCells="1" autoFilter="0"/>
  <mergeCells count="2">
    <mergeCell ref="D32:M34"/>
    <mergeCell ref="C37:M40"/>
  </mergeCells>
  <phoneticPr fontId="20" type="noConversion"/>
  <conditionalFormatting sqref="C45">
    <cfRule type="expression" dxfId="64" priority="65">
      <formula>ISNUMBER(SEARCH(".",C45))</formula>
    </cfRule>
    <cfRule type="expression" dxfId="63" priority="66">
      <formula>ISERROR(SEARCH(".",C45))</formula>
    </cfRule>
  </conditionalFormatting>
  <conditionalFormatting sqref="D14:D18">
    <cfRule type="expression" dxfId="62" priority="63">
      <formula>ISERROR(SEARCH(1,$D$19))</formula>
    </cfRule>
    <cfRule type="expression" dxfId="61" priority="64">
      <formula>ISNUMBER(SEARCH(1,$D$19))</formula>
    </cfRule>
  </conditionalFormatting>
  <conditionalFormatting sqref="G14:G18">
    <cfRule type="expression" dxfId="60" priority="61">
      <formula>ISERROR(SEARCH(1,$G$19))</formula>
    </cfRule>
    <cfRule type="expression" dxfId="59" priority="62">
      <formula>ISNUMBER(SEARCH(1,$G$19))</formula>
    </cfRule>
  </conditionalFormatting>
  <conditionalFormatting sqref="J14:J18">
    <cfRule type="expression" dxfId="58" priority="57">
      <formula>ISERROR(SEARCH(1,$J$19))</formula>
    </cfRule>
    <cfRule type="expression" dxfId="57" priority="58">
      <formula>ISNUMBER(SEARCH(1,$J$19))</formula>
    </cfRule>
  </conditionalFormatting>
  <conditionalFormatting sqref="M14:M18">
    <cfRule type="expression" dxfId="56" priority="53">
      <formula>ISERROR(SEARCH(1,$M$19))</formula>
    </cfRule>
    <cfRule type="expression" dxfId="55" priority="54">
      <formula>ISNUMBER(SEARCH(1,$M$19))</formula>
    </cfRule>
  </conditionalFormatting>
  <conditionalFormatting sqref="G26:G30">
    <cfRule type="expression" dxfId="54" priority="45">
      <formula>ISERROR(SEARCH(1,$G$31))</formula>
    </cfRule>
    <cfRule type="expression" dxfId="53" priority="46">
      <formula>ISNUMBER(SEARCH(1,$G$31))</formula>
    </cfRule>
  </conditionalFormatting>
  <conditionalFormatting sqref="J26:J30">
    <cfRule type="expression" dxfId="52" priority="41">
      <formula>ISERROR(SEARCH(1,$J$31))</formula>
    </cfRule>
    <cfRule type="expression" dxfId="51" priority="42">
      <formula>ISNUMBER(SEARCH(1,$J$31))</formula>
    </cfRule>
  </conditionalFormatting>
  <conditionalFormatting sqref="M26:M30">
    <cfRule type="expression" dxfId="50" priority="37">
      <formula>ISERROR(SEARCH(1,$M$31))</formula>
    </cfRule>
    <cfRule type="expression" dxfId="49" priority="38">
      <formula>ISNUMBER(SEARCH(1,$M$31))</formula>
    </cfRule>
  </conditionalFormatting>
  <conditionalFormatting sqref="D26:D30">
    <cfRule type="expression" dxfId="48" priority="33">
      <formula>ISERROR(SEARCH(1,$D$19))</formula>
    </cfRule>
    <cfRule type="expression" dxfId="47" priority="34">
      <formula>ISNUMBER(SEARCH(1,$D$19))</formula>
    </cfRule>
  </conditionalFormatting>
  <conditionalFormatting sqref="D11:D13">
    <cfRule type="expression" dxfId="46" priority="31">
      <formula>ISERROR(SEARCH(1,$G$19))</formula>
    </cfRule>
    <cfRule type="expression" dxfId="45" priority="32">
      <formula>ISNUMBER(SEARCH(1,$G$19))</formula>
    </cfRule>
  </conditionalFormatting>
  <conditionalFormatting sqref="D10">
    <cfRule type="expression" dxfId="44" priority="29">
      <formula>ISERROR(SEARCH(1,$G$19))</formula>
    </cfRule>
    <cfRule type="expression" dxfId="43" priority="30">
      <formula>ISNUMBER(SEARCH(1,$G$19))</formula>
    </cfRule>
  </conditionalFormatting>
  <conditionalFormatting sqref="G11:G13">
    <cfRule type="expression" dxfId="42" priority="27">
      <formula>ISERROR(SEARCH(1,$G$19))</formula>
    </cfRule>
    <cfRule type="expression" dxfId="41" priority="28">
      <formula>ISNUMBER(SEARCH(1,$G$19))</formula>
    </cfRule>
  </conditionalFormatting>
  <conditionalFormatting sqref="G10">
    <cfRule type="expression" dxfId="40" priority="25">
      <formula>ISERROR(SEARCH(1,$G$19))</formula>
    </cfRule>
    <cfRule type="expression" dxfId="39" priority="26">
      <formula>ISNUMBER(SEARCH(1,$G$19))</formula>
    </cfRule>
  </conditionalFormatting>
  <conditionalFormatting sqref="J11:J13">
    <cfRule type="expression" dxfId="38" priority="23">
      <formula>ISERROR(SEARCH(1,$G$19))</formula>
    </cfRule>
    <cfRule type="expression" dxfId="37" priority="24">
      <formula>ISNUMBER(SEARCH(1,$G$19))</formula>
    </cfRule>
  </conditionalFormatting>
  <conditionalFormatting sqref="J10">
    <cfRule type="expression" dxfId="36" priority="21">
      <formula>ISERROR(SEARCH(1,$G$19))</formula>
    </cfRule>
    <cfRule type="expression" dxfId="35" priority="22">
      <formula>ISNUMBER(SEARCH(1,$G$19))</formula>
    </cfRule>
  </conditionalFormatting>
  <conditionalFormatting sqref="M11:M13">
    <cfRule type="expression" dxfId="34" priority="19">
      <formula>ISERROR(SEARCH(1,$G$19))</formula>
    </cfRule>
    <cfRule type="expression" dxfId="33" priority="20">
      <formula>ISNUMBER(SEARCH(1,$G$19))</formula>
    </cfRule>
  </conditionalFormatting>
  <conditionalFormatting sqref="M10">
    <cfRule type="expression" dxfId="32" priority="17">
      <formula>ISERROR(SEARCH(1,$G$19))</formula>
    </cfRule>
    <cfRule type="expression" dxfId="31" priority="18">
      <formula>ISNUMBER(SEARCH(1,$G$19))</formula>
    </cfRule>
  </conditionalFormatting>
  <conditionalFormatting sqref="D23:D25">
    <cfRule type="expression" dxfId="30" priority="15">
      <formula>ISERROR(SEARCH(1,$G$19))</formula>
    </cfRule>
    <cfRule type="expression" dxfId="29" priority="16">
      <formula>ISNUMBER(SEARCH(1,$G$19))</formula>
    </cfRule>
  </conditionalFormatting>
  <conditionalFormatting sqref="D22">
    <cfRule type="expression" dxfId="28" priority="13">
      <formula>ISERROR(SEARCH(1,$G$19))</formula>
    </cfRule>
    <cfRule type="expression" dxfId="27" priority="14">
      <formula>ISNUMBER(SEARCH(1,$G$19))</formula>
    </cfRule>
  </conditionalFormatting>
  <conditionalFormatting sqref="G23:G25">
    <cfRule type="expression" dxfId="26" priority="11">
      <formula>ISERROR(SEARCH(1,$G$19))</formula>
    </cfRule>
    <cfRule type="expression" dxfId="25" priority="12">
      <formula>ISNUMBER(SEARCH(1,$G$19))</formula>
    </cfRule>
  </conditionalFormatting>
  <conditionalFormatting sqref="G22">
    <cfRule type="expression" dxfId="24" priority="9">
      <formula>ISERROR(SEARCH(1,$G$19))</formula>
    </cfRule>
    <cfRule type="expression" dxfId="23" priority="10">
      <formula>ISNUMBER(SEARCH(1,$G$19))</formula>
    </cfRule>
  </conditionalFormatting>
  <conditionalFormatting sqref="J23:J25">
    <cfRule type="expression" dxfId="22" priority="7">
      <formula>ISERROR(SEARCH(1,$G$19))</formula>
    </cfRule>
    <cfRule type="expression" dxfId="21" priority="8">
      <formula>ISNUMBER(SEARCH(1,$G$19))</formula>
    </cfRule>
  </conditionalFormatting>
  <conditionalFormatting sqref="J22">
    <cfRule type="expression" dxfId="20" priority="5">
      <formula>ISERROR(SEARCH(1,$G$19))</formula>
    </cfRule>
    <cfRule type="expression" dxfId="19" priority="6">
      <formula>ISNUMBER(SEARCH(1,$G$19))</formula>
    </cfRule>
  </conditionalFormatting>
  <conditionalFormatting sqref="M23:M25">
    <cfRule type="expression" dxfId="18" priority="3">
      <formula>ISERROR(SEARCH(1,$G$19))</formula>
    </cfRule>
    <cfRule type="expression" dxfId="17" priority="4">
      <formula>ISNUMBER(SEARCH(1,$G$19))</formula>
    </cfRule>
  </conditionalFormatting>
  <conditionalFormatting sqref="M22">
    <cfRule type="expression" dxfId="16" priority="1">
      <formula>ISERROR(SEARCH(1,$G$19))</formula>
    </cfRule>
    <cfRule type="expression" dxfId="15"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3" t="s">
        <v>349</v>
      </c>
      <c r="I28" s="653"/>
      <c r="J28" s="653"/>
      <c r="K28" s="653"/>
      <c r="L28" s="653"/>
      <c r="M28" s="653"/>
      <c r="N28" s="653"/>
      <c r="O28" s="653"/>
      <c r="P28" s="653"/>
      <c r="Q28" s="653"/>
      <c r="R28" s="653"/>
    </row>
    <row r="29" spans="1:20" x14ac:dyDescent="0.2">
      <c r="A29" s="642" t="s">
        <v>34</v>
      </c>
      <c r="B29" s="643"/>
      <c r="C29" s="50" t="str">
        <f>IF(Main!D48="","",Main!D48)</f>
        <v/>
      </c>
      <c r="D29" s="50" t="str">
        <f>IF(Main!E48="","",Main!E48)</f>
        <v/>
      </c>
      <c r="E29" s="50" t="str">
        <f>IF(Main!F48="","",Main!F48)</f>
        <v/>
      </c>
      <c r="F29" s="50" t="str">
        <f>IF(Main!G48="","",Main!G48)</f>
        <v/>
      </c>
      <c r="G29" s="275"/>
      <c r="H29" s="272" t="s">
        <v>350</v>
      </c>
      <c r="I29" s="118" t="str">
        <f>IF(Main!N47="","",Main!N47)</f>
        <v>Periodic</v>
      </c>
      <c r="J29" s="659" t="s">
        <v>351</v>
      </c>
      <c r="K29" s="660"/>
      <c r="L29" s="118" t="str">
        <f>IF(Main!R47="","",Main!R47)</f>
        <v>Air</v>
      </c>
    </row>
    <row r="30" spans="1:20" x14ac:dyDescent="0.2">
      <c r="A30" s="642" t="s">
        <v>35</v>
      </c>
      <c r="B30" s="643"/>
      <c r="C30" s="51" t="str">
        <f>IF(Main!D49="","",Main!D49)</f>
        <v/>
      </c>
      <c r="D30" s="51" t="str">
        <f>IF(Main!E49="","",Main!E49)</f>
        <v/>
      </c>
      <c r="E30" s="51" t="str">
        <f>IF(Main!F49="","",Main!F49)</f>
        <v/>
      </c>
      <c r="F30" s="51" t="str">
        <f>IF(Main!G49="","",Main!G49)</f>
        <v/>
      </c>
      <c r="G30" s="277"/>
      <c r="H30" s="654" t="s">
        <v>337</v>
      </c>
      <c r="I30" s="654"/>
      <c r="J30" s="661" t="s">
        <v>392</v>
      </c>
      <c r="K30" s="662"/>
      <c r="L30" s="663"/>
      <c r="M30" s="269"/>
      <c r="O30" s="655" t="s">
        <v>395</v>
      </c>
      <c r="P30" s="656"/>
      <c r="Q30" s="657"/>
      <c r="T30" s="39"/>
    </row>
    <row r="31" spans="1:20" x14ac:dyDescent="0.2">
      <c r="A31" s="642" t="s">
        <v>36</v>
      </c>
      <c r="B31" s="643"/>
      <c r="C31" s="51" t="str">
        <f>IF(Main!D50="","",Main!D50)</f>
        <v/>
      </c>
      <c r="D31" s="51" t="str">
        <f>IF(Main!E50="","",Main!E50)</f>
        <v/>
      </c>
      <c r="E31" s="51" t="str">
        <f>IF(Main!F50="","",Main!F50)</f>
        <v/>
      </c>
      <c r="F31" s="51" t="str">
        <f>IF(Main!G50="","",Main!G50)</f>
        <v/>
      </c>
      <c r="G31" s="277"/>
      <c r="H31" s="257" t="s">
        <v>352</v>
      </c>
      <c r="I31" s="259" t="str">
        <f>IF(Main!N49="","",Main!N49)</f>
        <v/>
      </c>
      <c r="J31" s="644" t="s">
        <v>400</v>
      </c>
      <c r="K31" s="645"/>
      <c r="L31" s="646"/>
      <c r="M31" s="270" t="str">
        <f>IF(Main!S49="","",Main!S49)</f>
        <v/>
      </c>
      <c r="O31" s="562" t="s">
        <v>402</v>
      </c>
      <c r="P31" s="563"/>
      <c r="Q31" s="658"/>
      <c r="R31" s="61" t="str">
        <f>IF(Main!X49="","",Main!X49)</f>
        <v/>
      </c>
      <c r="T31" s="39"/>
    </row>
    <row r="32" spans="1:20" ht="12.75" customHeight="1" x14ac:dyDescent="0.2">
      <c r="A32" s="642" t="s">
        <v>37</v>
      </c>
      <c r="B32" s="643"/>
      <c r="C32" s="50" t="str">
        <f>IF(Main!D51="","",Main!D51)</f>
        <v/>
      </c>
      <c r="D32" s="50" t="str">
        <f>IF(Main!E51="","",Main!E51)</f>
        <v/>
      </c>
      <c r="E32" s="50" t="str">
        <f>IF(Main!F51="","",Main!F51)</f>
        <v/>
      </c>
      <c r="F32" s="50" t="str">
        <f>IF(Main!G51="","",Main!G51)</f>
        <v/>
      </c>
      <c r="G32" s="275"/>
      <c r="H32" s="257" t="s">
        <v>368</v>
      </c>
      <c r="I32" s="259" t="str">
        <f>IF(Main!N50="","",Main!N50)</f>
        <v/>
      </c>
      <c r="J32" s="647" t="s">
        <v>340</v>
      </c>
      <c r="K32" s="648"/>
      <c r="L32" s="649"/>
      <c r="M32" s="265"/>
      <c r="O32" s="647" t="s">
        <v>340</v>
      </c>
      <c r="P32" s="648"/>
      <c r="Q32" s="649"/>
      <c r="T32" s="39"/>
    </row>
    <row r="33" spans="1:20" ht="12.75" customHeight="1" x14ac:dyDescent="0.2">
      <c r="A33" s="642" t="s">
        <v>353</v>
      </c>
      <c r="B33" s="643"/>
      <c r="C33" s="50" t="str">
        <f>IF(Main!D52="","",Main!D52)</f>
        <v/>
      </c>
      <c r="D33" s="50" t="str">
        <f>IF(Main!E52="","",Main!E52)</f>
        <v/>
      </c>
      <c r="E33" s="50" t="str">
        <f>IF(Main!F52="","",Main!F52)</f>
        <v/>
      </c>
      <c r="F33" s="50" t="str">
        <f>IF(Main!G52="","",Main!G52)</f>
        <v/>
      </c>
      <c r="G33" s="275"/>
      <c r="H33" s="257" t="s">
        <v>354</v>
      </c>
      <c r="I33" s="259" t="str">
        <f>IF(Main!N51="","",Main!N51)</f>
        <v/>
      </c>
      <c r="J33" s="650" t="s">
        <v>401</v>
      </c>
      <c r="K33" s="651"/>
      <c r="L33" s="652"/>
      <c r="M33" s="264" t="str">
        <f>IF(Main!S51="","",Main!S51)</f>
        <v/>
      </c>
      <c r="O33" s="650" t="s">
        <v>403</v>
      </c>
      <c r="P33" s="651"/>
      <c r="Q33" s="652"/>
      <c r="R33" s="61" t="str">
        <f>IF(Main!X51="","",Main!X51)</f>
        <v/>
      </c>
      <c r="T33" s="39"/>
    </row>
    <row r="34" spans="1:20" ht="12.75" customHeight="1" x14ac:dyDescent="0.2">
      <c r="A34" s="642" t="s">
        <v>38</v>
      </c>
      <c r="B34" s="643"/>
      <c r="C34" s="52" t="str">
        <f>IF(Main!D53="","",Main!D53)</f>
        <v/>
      </c>
      <c r="D34" s="52" t="str">
        <f>IF(Main!E53="","",Main!E53)</f>
        <v/>
      </c>
      <c r="E34" s="52" t="str">
        <f>IF(Main!F53="","",Main!F53)</f>
        <v/>
      </c>
      <c r="F34" s="52" t="str">
        <f>IF(Main!G53="","",Main!G53)</f>
        <v/>
      </c>
      <c r="G34" s="278"/>
      <c r="H34" s="257" t="s">
        <v>355</v>
      </c>
      <c r="I34" s="256" t="str">
        <f>IF(Main!N52="","",Main!N52)</f>
        <v/>
      </c>
      <c r="J34" s="647" t="s">
        <v>340</v>
      </c>
      <c r="K34" s="648"/>
      <c r="L34" s="649"/>
      <c r="O34" s="647" t="s">
        <v>340</v>
      </c>
      <c r="P34" s="648"/>
      <c r="Q34" s="649"/>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36" t="s">
        <v>404</v>
      </c>
      <c r="K35" s="637"/>
      <c r="L35" s="638"/>
      <c r="M35" s="273" t="str">
        <f>IF(Main!S53="","",Main!S53)</f>
        <v/>
      </c>
      <c r="O35" s="636" t="s">
        <v>405</v>
      </c>
      <c r="P35" s="637"/>
      <c r="Q35" s="638"/>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39"/>
      <c r="K36" s="640"/>
      <c r="L36" s="641"/>
      <c r="M36" s="268"/>
      <c r="O36" s="639"/>
      <c r="P36" s="640"/>
      <c r="Q36" s="641"/>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rltWJS002JrpoCVtuZMWGAHg8v724/n1Yk5tcVlS5fA9C2vGyMAcbBbrIVidXl2p4//RyY8DVA8ZDLJYtqSqOA==" saltValue="/axSodrDpROYriygP1biO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78YH0xQVlk29Qpo9FKvIKfh/39dqsDC2g2lxfLm9N3uAcdAJR2d4zAqoOd21ob9fIroLW7QaPII0Jpw+JIYTWg==" saltValue="5syjGnbJ5LimLecCQiktL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598"/>
      <c r="C1" s="598"/>
      <c r="D1" s="598"/>
      <c r="E1" s="35" t="s">
        <v>156</v>
      </c>
      <c r="G1" s="598" t="s">
        <v>68</v>
      </c>
      <c r="H1" s="598"/>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dTObvZX4NZ7AHZYojhKPcmRRi3zsi2aS5BlYRtdFtOGTx0b5OHNQH8Hpxito3gJT3ZunTxRLKuur3PsA1T7cAw==" saltValue="5pMf8i/0p9PwbMq4M3CKm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2025-07-05T04:38:37Z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