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CF0D1C9-2E47-4C21-A1FC-60696156F170}"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7" i="8" l="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K255" i="95" s="1"/>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K7" i="95" s="1"/>
  <c r="J8" i="95"/>
  <c r="J9" i="95"/>
  <c r="J10" i="95"/>
  <c r="J11" i="95"/>
  <c r="J12" i="95"/>
  <c r="K12" i="95" s="1"/>
  <c r="J13" i="95"/>
  <c r="K13" i="95" s="1"/>
  <c r="J14" i="95"/>
  <c r="K14" i="95" s="1"/>
  <c r="J15" i="95"/>
  <c r="K15" i="95" s="1"/>
  <c r="J16" i="95"/>
  <c r="J17" i="95"/>
  <c r="J18" i="95"/>
  <c r="K18" i="95" s="1"/>
  <c r="J19" i="95"/>
  <c r="J20" i="95"/>
  <c r="J21" i="95"/>
  <c r="K21" i="95" s="1"/>
  <c r="J22" i="95"/>
  <c r="K22" i="95" s="1"/>
  <c r="J23" i="95"/>
  <c r="J24" i="95"/>
  <c r="J25" i="95"/>
  <c r="K25" i="95" s="1"/>
  <c r="J26" i="95"/>
  <c r="K26" i="95" s="1"/>
  <c r="J27" i="95"/>
  <c r="K27" i="95" s="1"/>
  <c r="J28" i="95"/>
  <c r="K28" i="95" s="1"/>
  <c r="J29" i="95"/>
  <c r="K29" i="95" s="1"/>
  <c r="J30" i="95"/>
  <c r="K30" i="95" s="1"/>
  <c r="J31" i="95"/>
  <c r="J32" i="95"/>
  <c r="K32" i="95" s="1"/>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K49" i="95" s="1"/>
  <c r="J50" i="95"/>
  <c r="K50" i="95" s="1"/>
  <c r="J51" i="95"/>
  <c r="J52" i="95"/>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J70" i="95"/>
  <c r="J71" i="95"/>
  <c r="K71" i="95" s="1"/>
  <c r="J72" i="95"/>
  <c r="J73" i="95"/>
  <c r="J74" i="95"/>
  <c r="J75" i="95"/>
  <c r="K75" i="95" s="1"/>
  <c r="J76" i="95"/>
  <c r="K76" i="95" s="1"/>
  <c r="J77" i="95"/>
  <c r="K77" i="95" s="1"/>
  <c r="J78" i="95"/>
  <c r="K78" i="95" s="1"/>
  <c r="J79" i="95"/>
  <c r="K79" i="95" s="1"/>
  <c r="J80" i="95"/>
  <c r="J81" i="95"/>
  <c r="K81" i="95" s="1"/>
  <c r="J82" i="95"/>
  <c r="K82" i="95" s="1"/>
  <c r="J83" i="95"/>
  <c r="J84" i="95"/>
  <c r="K84" i="95" s="1"/>
  <c r="J85" i="95"/>
  <c r="K85" i="95" s="1"/>
  <c r="J86" i="95"/>
  <c r="K86" i="95" s="1"/>
  <c r="J87" i="95"/>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J103" i="95"/>
  <c r="K103" i="95" s="1"/>
  <c r="J104" i="95"/>
  <c r="J105" i="95"/>
  <c r="J106" i="95"/>
  <c r="J107" i="95"/>
  <c r="J108" i="95"/>
  <c r="K108" i="95" s="1"/>
  <c r="J109" i="95"/>
  <c r="J110" i="95"/>
  <c r="J111" i="95"/>
  <c r="K111" i="95" s="1"/>
  <c r="J112" i="95"/>
  <c r="J113" i="95"/>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J134" i="95"/>
  <c r="J135" i="95"/>
  <c r="K135" i="95" s="1"/>
  <c r="J136" i="95"/>
  <c r="J137" i="95"/>
  <c r="J138" i="95"/>
  <c r="J139" i="95"/>
  <c r="K139" i="95" s="1"/>
  <c r="J140" i="95"/>
  <c r="K140" i="95" s="1"/>
  <c r="J141" i="95"/>
  <c r="J142" i="95"/>
  <c r="J143" i="95"/>
  <c r="K143" i="95" s="1"/>
  <c r="J144" i="95"/>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K167" i="95" s="1"/>
  <c r="J168" i="95"/>
  <c r="J169" i="95"/>
  <c r="K169" i="95" s="1"/>
  <c r="J170" i="95"/>
  <c r="J171" i="95"/>
  <c r="J172" i="95"/>
  <c r="K172" i="95" s="1"/>
  <c r="J173" i="95"/>
  <c r="K173" i="95" s="1"/>
  <c r="J174" i="95"/>
  <c r="K174" i="95" s="1"/>
  <c r="J175" i="95"/>
  <c r="K175" i="95" s="1"/>
  <c r="J176" i="95"/>
  <c r="J177" i="95"/>
  <c r="J178" i="95"/>
  <c r="K178" i="95" s="1"/>
  <c r="J179" i="95"/>
  <c r="J180" i="95"/>
  <c r="J181" i="95"/>
  <c r="J182" i="95"/>
  <c r="J183" i="95"/>
  <c r="J184" i="95"/>
  <c r="J185" i="95"/>
  <c r="J186" i="95"/>
  <c r="K186" i="95" s="1"/>
  <c r="J187" i="95"/>
  <c r="K187" i="95" s="1"/>
  <c r="J188" i="95"/>
  <c r="K188" i="95" s="1"/>
  <c r="J189" i="95"/>
  <c r="K189" i="95" s="1"/>
  <c r="J190" i="95"/>
  <c r="K190" i="95" s="1"/>
  <c r="J191" i="95"/>
  <c r="K191" i="95" s="1"/>
  <c r="J192" i="95"/>
  <c r="K192" i="95" s="1"/>
  <c r="J193" i="95"/>
  <c r="J194" i="95"/>
  <c r="J195" i="95"/>
  <c r="J196" i="95"/>
  <c r="J197" i="95"/>
  <c r="J198" i="95"/>
  <c r="J199" i="95"/>
  <c r="K199" i="95" s="1"/>
  <c r="J200" i="95"/>
  <c r="J201" i="95"/>
  <c r="J202" i="95"/>
  <c r="J203" i="95"/>
  <c r="J204" i="95"/>
  <c r="K204" i="95" s="1"/>
  <c r="J205" i="95"/>
  <c r="J206" i="95"/>
  <c r="J207" i="95"/>
  <c r="K207" i="95" s="1"/>
  <c r="J208" i="95"/>
  <c r="J209" i="95"/>
  <c r="K209" i="95" s="1"/>
  <c r="J210" i="95"/>
  <c r="K210" i="95" s="1"/>
  <c r="J211" i="95"/>
  <c r="J212" i="95"/>
  <c r="K212" i="95" s="1"/>
  <c r="J213" i="95"/>
  <c r="K213" i="95" s="1"/>
  <c r="J214" i="95"/>
  <c r="K214" i="95" s="1"/>
  <c r="J215" i="95"/>
  <c r="J216" i="95"/>
  <c r="K216" i="95" s="1"/>
  <c r="J217" i="95"/>
  <c r="K217" i="95" s="1"/>
  <c r="J218" i="95"/>
  <c r="K218" i="95" s="1"/>
  <c r="J219" i="95"/>
  <c r="K219" i="95" s="1"/>
  <c r="J220" i="95"/>
  <c r="K220" i="95" s="1"/>
  <c r="J221" i="95"/>
  <c r="K221" i="95" s="1"/>
  <c r="J222" i="95"/>
  <c r="K222" i="95" s="1"/>
  <c r="J223" i="95"/>
  <c r="J224" i="95"/>
  <c r="K224" i="95" s="1"/>
  <c r="J225" i="95"/>
  <c r="J226" i="95"/>
  <c r="J227" i="95"/>
  <c r="J228" i="95"/>
  <c r="J229" i="95"/>
  <c r="J230" i="95"/>
  <c r="K230" i="95" s="1"/>
  <c r="J231" i="95"/>
  <c r="K231" i="95" s="1"/>
  <c r="J232" i="95"/>
  <c r="K232" i="95" s="1"/>
  <c r="J233" i="95"/>
  <c r="K233" i="95" s="1"/>
  <c r="J234" i="95"/>
  <c r="J235" i="95"/>
  <c r="K235" i="95" s="1"/>
  <c r="J236" i="95"/>
  <c r="K236" i="95" s="1"/>
  <c r="J237" i="95"/>
  <c r="K237" i="95" s="1"/>
  <c r="J238" i="95"/>
  <c r="K238" i="95" s="1"/>
  <c r="J239" i="95"/>
  <c r="K239" i="95" s="1"/>
  <c r="J240" i="95"/>
  <c r="J241" i="95"/>
  <c r="J242" i="95"/>
  <c r="K242" i="95" s="1"/>
  <c r="J243" i="95"/>
  <c r="J244" i="95"/>
  <c r="J245" i="95"/>
  <c r="K245" i="95" s="1"/>
  <c r="J246" i="95"/>
  <c r="K246" i="95" s="1"/>
  <c r="J247" i="95"/>
  <c r="J248" i="95"/>
  <c r="K248" i="95" s="1"/>
  <c r="J249" i="95"/>
  <c r="K249" i="95" s="1"/>
  <c r="J250" i="95"/>
  <c r="K250" i="95" s="1"/>
  <c r="J251" i="95"/>
  <c r="K251" i="95" s="1"/>
  <c r="J252" i="95"/>
  <c r="K252" i="95" s="1"/>
  <c r="J253" i="95"/>
  <c r="K253" i="95" s="1"/>
  <c r="J254" i="95"/>
  <c r="K254" i="95" s="1"/>
  <c r="J255" i="95"/>
  <c r="J256" i="95"/>
  <c r="K256" i="95" s="1"/>
  <c r="J257" i="95"/>
  <c r="J258" i="95"/>
  <c r="J259" i="95"/>
  <c r="J260" i="95"/>
  <c r="J261" i="95"/>
  <c r="J262" i="95"/>
  <c r="J263" i="95"/>
  <c r="K263" i="95" s="1"/>
  <c r="J264" i="95"/>
  <c r="J265" i="95"/>
  <c r="J266" i="95"/>
  <c r="K266" i="95" s="1"/>
  <c r="J267" i="95"/>
  <c r="K267" i="95" s="1"/>
  <c r="J268" i="95"/>
  <c r="K268" i="95" s="1"/>
  <c r="J269" i="95"/>
  <c r="K269" i="95" s="1"/>
  <c r="J270" i="95"/>
  <c r="K270" i="95" s="1"/>
  <c r="J271" i="95"/>
  <c r="K271" i="95" s="1"/>
  <c r="J272" i="95"/>
  <c r="K272" i="95" s="1"/>
  <c r="J273" i="95"/>
  <c r="K273" i="95" s="1"/>
  <c r="J274" i="95"/>
  <c r="K274" i="95" s="1"/>
  <c r="J275" i="95"/>
  <c r="J276" i="95"/>
  <c r="K276" i="95" s="1"/>
  <c r="J277" i="95"/>
  <c r="K277" i="95" s="1"/>
  <c r="J278" i="95"/>
  <c r="K278" i="95" s="1"/>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K295" i="95" s="1"/>
  <c r="J296" i="95"/>
  <c r="J297" i="95"/>
  <c r="J298" i="95"/>
  <c r="J299" i="95"/>
  <c r="J300" i="95"/>
  <c r="K300" i="95" s="1"/>
  <c r="J301" i="95"/>
  <c r="J302" i="95"/>
  <c r="J303" i="95"/>
  <c r="K303" i="95" s="1"/>
  <c r="J304" i="95"/>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J325" i="95"/>
  <c r="J326" i="95"/>
  <c r="J327" i="95"/>
  <c r="K327" i="95" s="1"/>
  <c r="J328" i="95"/>
  <c r="J329" i="95"/>
  <c r="J330" i="95"/>
  <c r="J331" i="95"/>
  <c r="J332" i="95"/>
  <c r="J333" i="95"/>
  <c r="K333" i="95" s="1"/>
  <c r="J334" i="95"/>
  <c r="J335" i="95"/>
  <c r="K335" i="95" s="1"/>
  <c r="J336" i="95"/>
  <c r="J337" i="95"/>
  <c r="J338" i="95"/>
  <c r="J339" i="95"/>
  <c r="J340" i="95"/>
  <c r="J341" i="95"/>
  <c r="K341" i="95" s="1"/>
  <c r="J342" i="95"/>
  <c r="J343" i="95"/>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K359" i="95" s="1"/>
  <c r="J360" i="95"/>
  <c r="J361" i="95"/>
  <c r="J362" i="95"/>
  <c r="J363" i="95"/>
  <c r="K363" i="95" s="1"/>
  <c r="J364" i="95"/>
  <c r="K364" i="95" s="1"/>
  <c r="J365" i="95"/>
  <c r="K365" i="95" s="1"/>
  <c r="J366" i="95"/>
  <c r="K366" i="95" s="1"/>
  <c r="J367" i="95"/>
  <c r="K367" i="95" s="1"/>
  <c r="J368" i="95"/>
  <c r="J369" i="95"/>
  <c r="J370" i="95"/>
  <c r="J371" i="95"/>
  <c r="J372" i="95"/>
  <c r="K372" i="95" s="1"/>
  <c r="J373" i="95"/>
  <c r="K373" i="95" s="1"/>
  <c r="J374" i="95"/>
  <c r="J375" i="95"/>
  <c r="J376" i="95"/>
  <c r="J377" i="95"/>
  <c r="J378" i="95"/>
  <c r="J379" i="95"/>
  <c r="J380" i="95"/>
  <c r="K380" i="95" s="1"/>
  <c r="J381" i="95"/>
  <c r="J382" i="95"/>
  <c r="K382" i="95" s="1"/>
  <c r="J383" i="95"/>
  <c r="K383" i="95" s="1"/>
  <c r="J384" i="95"/>
  <c r="K384" i="95" s="1"/>
  <c r="J385" i="95"/>
  <c r="J386" i="95"/>
  <c r="J387" i="95"/>
  <c r="J388" i="95"/>
  <c r="J389" i="95"/>
  <c r="J390" i="95"/>
  <c r="J391" i="95"/>
  <c r="K391" i="95" s="1"/>
  <c r="J392" i="95"/>
  <c r="J393" i="95"/>
  <c r="K393" i="95" s="1"/>
  <c r="J394" i="95"/>
  <c r="J395" i="95"/>
  <c r="K395" i="95" s="1"/>
  <c r="J396" i="95"/>
  <c r="K396" i="95" s="1"/>
  <c r="J397" i="95"/>
  <c r="K397" i="95" s="1"/>
  <c r="J398" i="95"/>
  <c r="K398" i="95" s="1"/>
  <c r="J399" i="95"/>
  <c r="K399" i="95" s="1"/>
  <c r="J400" i="95"/>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J418" i="95"/>
  <c r="K2" i="95"/>
  <c r="K3" i="95"/>
  <c r="K4" i="95"/>
  <c r="K5" i="95"/>
  <c r="K6" i="95"/>
  <c r="K8" i="95"/>
  <c r="K9" i="95"/>
  <c r="K10" i="95"/>
  <c r="K11" i="95"/>
  <c r="K16" i="95"/>
  <c r="K17" i="95"/>
  <c r="K19" i="95"/>
  <c r="K20" i="95"/>
  <c r="K23" i="95"/>
  <c r="K24" i="95"/>
  <c r="K31" i="95"/>
  <c r="K33" i="95"/>
  <c r="K34" i="95"/>
  <c r="K35" i="95"/>
  <c r="K36" i="95"/>
  <c r="K37" i="95"/>
  <c r="K38" i="95"/>
  <c r="K48" i="95"/>
  <c r="K51" i="95"/>
  <c r="K52" i="95"/>
  <c r="K65" i="95"/>
  <c r="K66" i="95"/>
  <c r="K67" i="95"/>
  <c r="K68" i="95"/>
  <c r="K69" i="95"/>
  <c r="K70" i="95"/>
  <c r="K72" i="95"/>
  <c r="K73" i="95"/>
  <c r="K74" i="95"/>
  <c r="K80" i="95"/>
  <c r="K83" i="95"/>
  <c r="K87" i="95"/>
  <c r="K97" i="95"/>
  <c r="K98" i="95"/>
  <c r="K99" i="95"/>
  <c r="K100" i="95"/>
  <c r="K101" i="95"/>
  <c r="K102" i="95"/>
  <c r="K104" i="95"/>
  <c r="K105" i="95"/>
  <c r="K106" i="95"/>
  <c r="K107" i="95"/>
  <c r="K109" i="95"/>
  <c r="K110" i="95"/>
  <c r="K112" i="95"/>
  <c r="K113" i="95"/>
  <c r="K129" i="95"/>
  <c r="K130" i="95"/>
  <c r="K131" i="95"/>
  <c r="K132" i="95"/>
  <c r="K133" i="95"/>
  <c r="K134" i="95"/>
  <c r="K136" i="95"/>
  <c r="K137" i="95"/>
  <c r="K138" i="95"/>
  <c r="K141" i="95"/>
  <c r="K142" i="95"/>
  <c r="K144" i="95"/>
  <c r="K145" i="95"/>
  <c r="K146" i="95"/>
  <c r="K147" i="95"/>
  <c r="K148" i="95"/>
  <c r="K149" i="95"/>
  <c r="K161" i="95"/>
  <c r="K162" i="95"/>
  <c r="K163" i="95"/>
  <c r="K164" i="95"/>
  <c r="K165" i="95"/>
  <c r="K166" i="95"/>
  <c r="K168" i="95"/>
  <c r="K170" i="95"/>
  <c r="K171" i="95"/>
  <c r="K176" i="95"/>
  <c r="K177" i="95"/>
  <c r="K179" i="95"/>
  <c r="K180" i="95"/>
  <c r="K181" i="95"/>
  <c r="K182" i="95"/>
  <c r="K183" i="95"/>
  <c r="K184" i="95"/>
  <c r="K185" i="95"/>
  <c r="K193" i="95"/>
  <c r="K194" i="95"/>
  <c r="K195" i="95"/>
  <c r="K196" i="95"/>
  <c r="K197" i="95"/>
  <c r="K198" i="95"/>
  <c r="K200" i="95"/>
  <c r="K201" i="95"/>
  <c r="K202" i="95"/>
  <c r="K203" i="95"/>
  <c r="K205" i="95"/>
  <c r="K206" i="95"/>
  <c r="K211" i="95"/>
  <c r="K215" i="95"/>
  <c r="K223" i="95"/>
  <c r="K225" i="95"/>
  <c r="K226" i="95"/>
  <c r="K227" i="95"/>
  <c r="K228" i="95"/>
  <c r="K229" i="95"/>
  <c r="K234" i="95"/>
  <c r="K240" i="95"/>
  <c r="K241" i="95"/>
  <c r="K243" i="95"/>
  <c r="K244" i="95"/>
  <c r="K247" i="95"/>
  <c r="K257" i="95"/>
  <c r="K258" i="95"/>
  <c r="K259" i="95"/>
  <c r="K260" i="95"/>
  <c r="K261" i="95"/>
  <c r="K262" i="95"/>
  <c r="K264" i="95"/>
  <c r="K265" i="95"/>
  <c r="K275" i="95"/>
  <c r="K279" i="95"/>
  <c r="K289" i="95"/>
  <c r="K290" i="95"/>
  <c r="K291" i="95"/>
  <c r="K292" i="95"/>
  <c r="K293" i="95"/>
  <c r="K294" i="95"/>
  <c r="K296" i="95"/>
  <c r="K297" i="95"/>
  <c r="K298" i="95"/>
  <c r="K299" i="95"/>
  <c r="K301" i="95"/>
  <c r="K302" i="95"/>
  <c r="K304" i="95"/>
  <c r="K322" i="95"/>
  <c r="K323" i="95"/>
  <c r="K324" i="95"/>
  <c r="K325" i="95"/>
  <c r="K326" i="95"/>
  <c r="K328" i="95"/>
  <c r="K329" i="95"/>
  <c r="K330" i="95"/>
  <c r="K331" i="95"/>
  <c r="K334" i="95"/>
  <c r="K336" i="95"/>
  <c r="K337" i="95"/>
  <c r="K338" i="95"/>
  <c r="K339" i="95"/>
  <c r="K340" i="95"/>
  <c r="K342" i="95"/>
  <c r="K343" i="95"/>
  <c r="K353" i="95"/>
  <c r="K354" i="95"/>
  <c r="K355" i="95"/>
  <c r="K356" i="95"/>
  <c r="K357" i="95"/>
  <c r="K358" i="95"/>
  <c r="K360" i="95"/>
  <c r="K361" i="95"/>
  <c r="K362" i="95"/>
  <c r="K368" i="95"/>
  <c r="K369" i="95"/>
  <c r="K370" i="95"/>
  <c r="K371" i="95"/>
  <c r="K374" i="95"/>
  <c r="K375" i="95"/>
  <c r="K376" i="95"/>
  <c r="K377" i="95"/>
  <c r="K378" i="95"/>
  <c r="K379" i="95"/>
  <c r="K381" i="95"/>
  <c r="K385" i="95"/>
  <c r="K386" i="95"/>
  <c r="K387" i="95"/>
  <c r="K388" i="95"/>
  <c r="K389" i="95"/>
  <c r="K390" i="95"/>
  <c r="K392" i="95"/>
  <c r="K394" i="95"/>
  <c r="K400" i="95"/>
  <c r="K401" i="95"/>
  <c r="K402" i="95"/>
  <c r="K415" i="95"/>
  <c r="K417" i="95"/>
  <c r="K418" i="95"/>
  <c r="L2" i="95"/>
  <c r="L3" i="95"/>
  <c r="M3" i="95" s="1"/>
  <c r="L4" i="95"/>
  <c r="M4" i="95" s="1"/>
  <c r="L5" i="95"/>
  <c r="M5" i="95" s="1"/>
  <c r="L6" i="95"/>
  <c r="L7" i="95"/>
  <c r="L8" i="95"/>
  <c r="L9" i="95"/>
  <c r="L10" i="95"/>
  <c r="M10" i="95" s="1"/>
  <c r="L11" i="95"/>
  <c r="M11" i="95" s="1"/>
  <c r="L12" i="95"/>
  <c r="M12" i="95" s="1"/>
  <c r="L13" i="95"/>
  <c r="M13" i="95" s="1"/>
  <c r="L14" i="95"/>
  <c r="M14" i="95" s="1"/>
  <c r="L15" i="95"/>
  <c r="M15" i="95" s="1"/>
  <c r="L16" i="95"/>
  <c r="M16" i="95" s="1"/>
  <c r="L17" i="95"/>
  <c r="M17" i="95" s="1"/>
  <c r="L18" i="95"/>
  <c r="M18" i="95" s="1"/>
  <c r="L19" i="95"/>
  <c r="M19" i="95" s="1"/>
  <c r="L20" i="95"/>
  <c r="M20" i="95" s="1"/>
  <c r="L21" i="95"/>
  <c r="L22" i="95"/>
  <c r="L23" i="95"/>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L37" i="95"/>
  <c r="M37" i="95" s="1"/>
  <c r="L38" i="95"/>
  <c r="L39" i="95"/>
  <c r="L40" i="95"/>
  <c r="L41" i="95"/>
  <c r="L42" i="95"/>
  <c r="M42" i="95" s="1"/>
  <c r="L43" i="95"/>
  <c r="L44" i="95"/>
  <c r="L45" i="95"/>
  <c r="M45" i="95" s="1"/>
  <c r="L46" i="95"/>
  <c r="M46" i="95" s="1"/>
  <c r="L47" i="95"/>
  <c r="M47" i="95" s="1"/>
  <c r="L48" i="95"/>
  <c r="M48" i="95" s="1"/>
  <c r="L49" i="95"/>
  <c r="M49" i="95" s="1"/>
  <c r="L50" i="95"/>
  <c r="M50" i="95" s="1"/>
  <c r="L51" i="95"/>
  <c r="M51" i="95" s="1"/>
  <c r="L52" i="95"/>
  <c r="M52" i="95" s="1"/>
  <c r="L53" i="95"/>
  <c r="L54" i="95"/>
  <c r="M54" i="95" s="1"/>
  <c r="L55" i="95"/>
  <c r="M55" i="95" s="1"/>
  <c r="L56" i="95"/>
  <c r="L57" i="95"/>
  <c r="M57" i="95" s="1"/>
  <c r="L58" i="95"/>
  <c r="M58" i="95" s="1"/>
  <c r="L59" i="95"/>
  <c r="M59" i="95" s="1"/>
  <c r="L60" i="95"/>
  <c r="L61" i="95"/>
  <c r="M61" i="95" s="1"/>
  <c r="L62" i="95"/>
  <c r="M62" i="95" s="1"/>
  <c r="L63" i="95"/>
  <c r="M63" i="95" s="1"/>
  <c r="L64" i="95"/>
  <c r="M64" i="95" s="1"/>
  <c r="L65" i="95"/>
  <c r="M65" i="95" s="1"/>
  <c r="L66" i="95"/>
  <c r="M66" i="95" s="1"/>
  <c r="L67" i="95"/>
  <c r="M67" i="95" s="1"/>
  <c r="L68" i="95"/>
  <c r="M68" i="95" s="1"/>
  <c r="L69" i="95"/>
  <c r="M69" i="95" s="1"/>
  <c r="L70" i="95"/>
  <c r="L71" i="95"/>
  <c r="L72" i="95"/>
  <c r="L73" i="95"/>
  <c r="L74" i="95"/>
  <c r="M74" i="95" s="1"/>
  <c r="L75" i="95"/>
  <c r="L76" i="95"/>
  <c r="L77" i="95"/>
  <c r="M77" i="95" s="1"/>
  <c r="L78" i="95"/>
  <c r="L79" i="95"/>
  <c r="L80" i="95"/>
  <c r="L81" i="95"/>
  <c r="L82" i="95"/>
  <c r="L83" i="95"/>
  <c r="M83" i="95" s="1"/>
  <c r="L84" i="95"/>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L103" i="95"/>
  <c r="L104" i="95"/>
  <c r="L105" i="95"/>
  <c r="L106" i="95"/>
  <c r="M106" i="95" s="1"/>
  <c r="L107" i="95"/>
  <c r="L108" i="95"/>
  <c r="L109" i="95"/>
  <c r="M109" i="95" s="1"/>
  <c r="L110" i="95"/>
  <c r="L111" i="95"/>
  <c r="L112" i="95"/>
  <c r="L113" i="95"/>
  <c r="L114" i="95"/>
  <c r="L115" i="95"/>
  <c r="M115" i="95" s="1"/>
  <c r="L116" i="95"/>
  <c r="L117" i="95"/>
  <c r="L118" i="95"/>
  <c r="L119" i="95"/>
  <c r="L120" i="95"/>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L135" i="95"/>
  <c r="L136" i="95"/>
  <c r="L137" i="95"/>
  <c r="L138" i="95"/>
  <c r="M138" i="95" s="1"/>
  <c r="L139" i="95"/>
  <c r="L140" i="95"/>
  <c r="L141" i="95"/>
  <c r="M141" i="95" s="1"/>
  <c r="L142" i="95"/>
  <c r="L143" i="95"/>
  <c r="M143" i="95" s="1"/>
  <c r="L144" i="95"/>
  <c r="M144" i="95" s="1"/>
  <c r="L145" i="95"/>
  <c r="L146" i="95"/>
  <c r="M146" i="95" s="1"/>
  <c r="L147" i="95"/>
  <c r="M147" i="95" s="1"/>
  <c r="L148" i="95"/>
  <c r="M148" i="95" s="1"/>
  <c r="L149" i="95"/>
  <c r="L150" i="95"/>
  <c r="L151" i="95"/>
  <c r="M151" i="95" s="1"/>
  <c r="L152" i="95"/>
  <c r="L153" i="95"/>
  <c r="L154" i="95"/>
  <c r="M154" i="95" s="1"/>
  <c r="L155" i="95"/>
  <c r="L156" i="95"/>
  <c r="L157" i="95"/>
  <c r="L158" i="95"/>
  <c r="M158" i="95" s="1"/>
  <c r="L159" i="95"/>
  <c r="L160" i="95"/>
  <c r="L161" i="95"/>
  <c r="M161" i="95" s="1"/>
  <c r="L162" i="95"/>
  <c r="M162" i="95" s="1"/>
  <c r="L163" i="95"/>
  <c r="M163" i="95" s="1"/>
  <c r="L164" i="95"/>
  <c r="M164" i="95" s="1"/>
  <c r="L165" i="95"/>
  <c r="M165" i="95" s="1"/>
  <c r="L166" i="95"/>
  <c r="L167" i="95"/>
  <c r="L168" i="95"/>
  <c r="L169" i="95"/>
  <c r="L170" i="95"/>
  <c r="M170" i="95" s="1"/>
  <c r="L171" i="95"/>
  <c r="L172" i="95"/>
  <c r="L173" i="95"/>
  <c r="M173" i="95" s="1"/>
  <c r="L174" i="95"/>
  <c r="L175" i="95"/>
  <c r="L176" i="95"/>
  <c r="L177" i="95"/>
  <c r="L178" i="95"/>
  <c r="L179" i="95"/>
  <c r="M179" i="95" s="1"/>
  <c r="L180" i="95"/>
  <c r="M180" i="95" s="1"/>
  <c r="L181" i="95"/>
  <c r="L182" i="95"/>
  <c r="M182" i="95" s="1"/>
  <c r="L183" i="95"/>
  <c r="M183" i="95" s="1"/>
  <c r="L184" i="95"/>
  <c r="L185" i="95"/>
  <c r="M185" i="95" s="1"/>
  <c r="L186" i="95"/>
  <c r="M186" i="95" s="1"/>
  <c r="L187" i="95"/>
  <c r="M187" i="95" s="1"/>
  <c r="L188" i="95"/>
  <c r="L189" i="95"/>
  <c r="M189" i="95" s="1"/>
  <c r="L190" i="95"/>
  <c r="M190" i="95" s="1"/>
  <c r="L191" i="95"/>
  <c r="M191" i="95" s="1"/>
  <c r="L192" i="95"/>
  <c r="M192" i="95" s="1"/>
  <c r="L193" i="95"/>
  <c r="M193" i="95" s="1"/>
  <c r="L194" i="95"/>
  <c r="M194" i="95" s="1"/>
  <c r="L195" i="95"/>
  <c r="M195" i="95" s="1"/>
  <c r="L196" i="95"/>
  <c r="L197" i="95"/>
  <c r="M197" i="95" s="1"/>
  <c r="L198" i="95"/>
  <c r="L199" i="95"/>
  <c r="L200" i="95"/>
  <c r="L201" i="95"/>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L214" i="95"/>
  <c r="M214" i="95" s="1"/>
  <c r="L215" i="95"/>
  <c r="M215" i="95" s="1"/>
  <c r="L216" i="95"/>
  <c r="L217" i="95"/>
  <c r="M217" i="95" s="1"/>
  <c r="L218" i="95"/>
  <c r="M218" i="95" s="1"/>
  <c r="L219" i="95"/>
  <c r="M219" i="95" s="1"/>
  <c r="L220" i="95"/>
  <c r="L221" i="95"/>
  <c r="M221" i="95" s="1"/>
  <c r="L222" i="95"/>
  <c r="M222" i="95" s="1"/>
  <c r="L223" i="95"/>
  <c r="M223" i="95" s="1"/>
  <c r="L224" i="95"/>
  <c r="M224" i="95" s="1"/>
  <c r="L225" i="95"/>
  <c r="M225" i="95" s="1"/>
  <c r="L226" i="95"/>
  <c r="M226" i="95" s="1"/>
  <c r="L227" i="95"/>
  <c r="M227" i="95" s="1"/>
  <c r="L228" i="95"/>
  <c r="M228" i="95" s="1"/>
  <c r="L229" i="95"/>
  <c r="M229" i="95" s="1"/>
  <c r="L230" i="95"/>
  <c r="L231" i="95"/>
  <c r="L232" i="95"/>
  <c r="L233" i="95"/>
  <c r="L234" i="95"/>
  <c r="M234" i="95" s="1"/>
  <c r="L235" i="95"/>
  <c r="L236" i="95"/>
  <c r="L237" i="95"/>
  <c r="M237" i="95" s="1"/>
  <c r="L238" i="95"/>
  <c r="L239" i="95"/>
  <c r="L240" i="95"/>
  <c r="L241" i="95"/>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L263" i="95"/>
  <c r="L264" i="95"/>
  <c r="L265" i="95"/>
  <c r="L266" i="95"/>
  <c r="M266" i="95" s="1"/>
  <c r="L267" i="95"/>
  <c r="L268" i="95"/>
  <c r="L269" i="95"/>
  <c r="M269" i="95" s="1"/>
  <c r="L270" i="95"/>
  <c r="L271" i="95"/>
  <c r="L272" i="95"/>
  <c r="L273" i="95"/>
  <c r="L274" i="95"/>
  <c r="L275" i="95"/>
  <c r="M275" i="95" s="1"/>
  <c r="L276" i="95"/>
  <c r="L277" i="95"/>
  <c r="L278" i="95"/>
  <c r="L279" i="95"/>
  <c r="L280" i="95"/>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L295" i="95"/>
  <c r="L296" i="95"/>
  <c r="L297" i="95"/>
  <c r="L298" i="95"/>
  <c r="M298" i="95" s="1"/>
  <c r="L299" i="95"/>
  <c r="L300" i="95"/>
  <c r="M300" i="95" s="1"/>
  <c r="L301" i="95"/>
  <c r="M301" i="95" s="1"/>
  <c r="L302" i="95"/>
  <c r="L303" i="95"/>
  <c r="L304" i="95"/>
  <c r="M304" i="95" s="1"/>
  <c r="L305" i="95"/>
  <c r="L306" i="95"/>
  <c r="L307" i="95"/>
  <c r="M307" i="95" s="1"/>
  <c r="L308" i="95"/>
  <c r="L309" i="95"/>
  <c r="L310" i="95"/>
  <c r="L311" i="95"/>
  <c r="L312" i="95"/>
  <c r="L313" i="95"/>
  <c r="L314" i="95"/>
  <c r="M314" i="95" s="1"/>
  <c r="L315" i="95"/>
  <c r="L316" i="95"/>
  <c r="L317" i="95"/>
  <c r="L318" i="95"/>
  <c r="M318" i="95" s="1"/>
  <c r="L319" i="95"/>
  <c r="L320" i="95"/>
  <c r="M320" i="95" s="1"/>
  <c r="L321" i="95"/>
  <c r="M321" i="95" s="1"/>
  <c r="L322" i="95"/>
  <c r="M322" i="95" s="1"/>
  <c r="L323" i="95"/>
  <c r="M323" i="95" s="1"/>
  <c r="L324" i="95"/>
  <c r="M324" i="95" s="1"/>
  <c r="L325" i="95"/>
  <c r="M325" i="95" s="1"/>
  <c r="L326" i="95"/>
  <c r="L327" i="95"/>
  <c r="L328" i="95"/>
  <c r="L329" i="95"/>
  <c r="L330" i="95"/>
  <c r="M330" i="95" s="1"/>
  <c r="L331" i="95"/>
  <c r="L332" i="95"/>
  <c r="L333" i="95"/>
  <c r="M333" i="95" s="1"/>
  <c r="L334" i="95"/>
  <c r="L335" i="95"/>
  <c r="L336" i="95"/>
  <c r="L337" i="95"/>
  <c r="L338" i="95"/>
  <c r="L339" i="95"/>
  <c r="M339" i="95" s="1"/>
  <c r="L340" i="95"/>
  <c r="M340" i="95" s="1"/>
  <c r="L341" i="95"/>
  <c r="L342" i="95"/>
  <c r="L343" i="95"/>
  <c r="M343" i="95" s="1"/>
  <c r="L344" i="95"/>
  <c r="L345" i="95"/>
  <c r="L346" i="95"/>
  <c r="M346" i="95" s="1"/>
  <c r="L347" i="95"/>
  <c r="M347" i="95" s="1"/>
  <c r="L348" i="95"/>
  <c r="L349" i="95"/>
  <c r="L350" i="95"/>
  <c r="M350" i="95" s="1"/>
  <c r="L351" i="95"/>
  <c r="M351" i="95" s="1"/>
  <c r="L352" i="95"/>
  <c r="M352" i="95" s="1"/>
  <c r="L353" i="95"/>
  <c r="M353" i="95" s="1"/>
  <c r="L354" i="95"/>
  <c r="M354" i="95" s="1"/>
  <c r="L355" i="95"/>
  <c r="M355" i="95" s="1"/>
  <c r="L356" i="95"/>
  <c r="L357" i="95"/>
  <c r="M357" i="95" s="1"/>
  <c r="L358" i="95"/>
  <c r="L359" i="95"/>
  <c r="L360" i="95"/>
  <c r="L361" i="95"/>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L374" i="95"/>
  <c r="L375" i="95"/>
  <c r="M375" i="95" s="1"/>
  <c r="L376" i="95"/>
  <c r="L377" i="95"/>
  <c r="L378" i="95"/>
  <c r="M378" i="95" s="1"/>
  <c r="L379" i="95"/>
  <c r="M379" i="95" s="1"/>
  <c r="L380" i="95"/>
  <c r="L381" i="95"/>
  <c r="M381" i="95" s="1"/>
  <c r="L382" i="95"/>
  <c r="M382" i="95" s="1"/>
  <c r="L383" i="95"/>
  <c r="M383" i="95" s="1"/>
  <c r="L384" i="95"/>
  <c r="M384" i="95" s="1"/>
  <c r="L385" i="95"/>
  <c r="M385" i="95" s="1"/>
  <c r="L386" i="95"/>
  <c r="M386" i="95" s="1"/>
  <c r="L387" i="95"/>
  <c r="M387" i="95" s="1"/>
  <c r="L388" i="95"/>
  <c r="M388" i="95" s="1"/>
  <c r="L389" i="95"/>
  <c r="M389" i="95" s="1"/>
  <c r="L390" i="95"/>
  <c r="L391" i="95"/>
  <c r="L392" i="95"/>
  <c r="L393" i="95"/>
  <c r="L394" i="95"/>
  <c r="M394" i="95" s="1"/>
  <c r="L395" i="95"/>
  <c r="L396" i="95"/>
  <c r="L397" i="95"/>
  <c r="M397" i="95" s="1"/>
  <c r="L398" i="95"/>
  <c r="L399" i="95"/>
  <c r="L400" i="95"/>
  <c r="M400" i="95" s="1"/>
  <c r="L401" i="95"/>
  <c r="M401" i="95" s="1"/>
  <c r="L402" i="95"/>
  <c r="M402" i="95" s="1"/>
  <c r="L403" i="95"/>
  <c r="M403" i="95" s="1"/>
  <c r="L404" i="95"/>
  <c r="M404" i="95" s="1"/>
  <c r="L405" i="95"/>
  <c r="L406" i="95"/>
  <c r="M406" i="95" s="1"/>
  <c r="L407" i="95"/>
  <c r="M407" i="95" s="1"/>
  <c r="L408" i="95"/>
  <c r="M408" i="95" s="1"/>
  <c r="L409" i="95"/>
  <c r="M409" i="95" s="1"/>
  <c r="L410" i="95"/>
  <c r="M410" i="95" s="1"/>
  <c r="L411" i="95"/>
  <c r="M411" i="95" s="1"/>
  <c r="L412" i="95"/>
  <c r="L413" i="95"/>
  <c r="M413" i="95" s="1"/>
  <c r="L414" i="95"/>
  <c r="M414" i="95" s="1"/>
  <c r="L415" i="95"/>
  <c r="M415" i="95" s="1"/>
  <c r="L416" i="95"/>
  <c r="M416" i="95" s="1"/>
  <c r="L417" i="95"/>
  <c r="M417" i="95" s="1"/>
  <c r="L418" i="95"/>
  <c r="M418" i="95" s="1"/>
  <c r="M2" i="95"/>
  <c r="M6" i="95"/>
  <c r="M7" i="95"/>
  <c r="M8" i="95"/>
  <c r="M9" i="95"/>
  <c r="M21" i="95"/>
  <c r="M22" i="95"/>
  <c r="M23" i="95"/>
  <c r="M36" i="95"/>
  <c r="M38" i="95"/>
  <c r="M39" i="95"/>
  <c r="M40" i="95"/>
  <c r="M41" i="95"/>
  <c r="M43" i="95"/>
  <c r="M44" i="95"/>
  <c r="M53" i="95"/>
  <c r="M56" i="95"/>
  <c r="M60" i="95"/>
  <c r="M70" i="95"/>
  <c r="M71" i="95"/>
  <c r="M72" i="95"/>
  <c r="M73" i="95"/>
  <c r="M75" i="95"/>
  <c r="M76" i="95"/>
  <c r="M78" i="95"/>
  <c r="M79" i="95"/>
  <c r="M80" i="95"/>
  <c r="M81" i="95"/>
  <c r="M82" i="95"/>
  <c r="M84" i="95"/>
  <c r="M102" i="95"/>
  <c r="M103" i="95"/>
  <c r="M104" i="95"/>
  <c r="M105" i="95"/>
  <c r="M107" i="95"/>
  <c r="M108" i="95"/>
  <c r="M110" i="95"/>
  <c r="M111" i="95"/>
  <c r="M112" i="95"/>
  <c r="M113" i="95"/>
  <c r="M114" i="95"/>
  <c r="M116" i="95"/>
  <c r="M117" i="95"/>
  <c r="M118" i="95"/>
  <c r="M119" i="95"/>
  <c r="M120" i="95"/>
  <c r="M121" i="95"/>
  <c r="M134" i="95"/>
  <c r="M135" i="95"/>
  <c r="M136" i="95"/>
  <c r="M137" i="95"/>
  <c r="M139" i="95"/>
  <c r="M140" i="95"/>
  <c r="M142" i="95"/>
  <c r="M145" i="95"/>
  <c r="M149" i="95"/>
  <c r="M150" i="95"/>
  <c r="M152" i="95"/>
  <c r="M153" i="95"/>
  <c r="M155" i="95"/>
  <c r="M156" i="95"/>
  <c r="M157" i="95"/>
  <c r="M159" i="95"/>
  <c r="M160" i="95"/>
  <c r="M166" i="95"/>
  <c r="M167" i="95"/>
  <c r="M168" i="95"/>
  <c r="M169" i="95"/>
  <c r="M171" i="95"/>
  <c r="M172" i="95"/>
  <c r="M174" i="95"/>
  <c r="M175" i="95"/>
  <c r="M176" i="95"/>
  <c r="M177" i="95"/>
  <c r="M178" i="95"/>
  <c r="M181" i="95"/>
  <c r="M184" i="95"/>
  <c r="M188" i="95"/>
  <c r="M196" i="95"/>
  <c r="M198" i="95"/>
  <c r="M199" i="95"/>
  <c r="M200" i="95"/>
  <c r="M201" i="95"/>
  <c r="M213" i="95"/>
  <c r="M216" i="95"/>
  <c r="M220" i="95"/>
  <c r="M230" i="95"/>
  <c r="M231" i="95"/>
  <c r="M232" i="95"/>
  <c r="M233" i="95"/>
  <c r="M235" i="95"/>
  <c r="M236" i="95"/>
  <c r="M238" i="95"/>
  <c r="M239" i="95"/>
  <c r="M240" i="95"/>
  <c r="M241" i="95"/>
  <c r="M262" i="95"/>
  <c r="M263" i="95"/>
  <c r="M264" i="95"/>
  <c r="M265" i="95"/>
  <c r="M267" i="95"/>
  <c r="M268" i="95"/>
  <c r="M270" i="95"/>
  <c r="M271" i="95"/>
  <c r="M272" i="95"/>
  <c r="M273" i="95"/>
  <c r="M274" i="95"/>
  <c r="M276" i="95"/>
  <c r="M277" i="95"/>
  <c r="M278" i="95"/>
  <c r="M279" i="95"/>
  <c r="M280" i="95"/>
  <c r="M294" i="95"/>
  <c r="M295" i="95"/>
  <c r="M296" i="95"/>
  <c r="M297" i="95"/>
  <c r="M299" i="95"/>
  <c r="M302" i="95"/>
  <c r="M303" i="95"/>
  <c r="M305" i="95"/>
  <c r="M306" i="95"/>
  <c r="M308" i="95"/>
  <c r="M309" i="95"/>
  <c r="M310" i="95"/>
  <c r="M311" i="95"/>
  <c r="M312" i="95"/>
  <c r="M313" i="95"/>
  <c r="M315" i="95"/>
  <c r="M316" i="95"/>
  <c r="M317" i="95"/>
  <c r="M319" i="95"/>
  <c r="M326" i="95"/>
  <c r="M327" i="95"/>
  <c r="M328" i="95"/>
  <c r="M329" i="95"/>
  <c r="M331" i="95"/>
  <c r="M332" i="95"/>
  <c r="M334" i="95"/>
  <c r="M335" i="95"/>
  <c r="M336" i="95"/>
  <c r="M337" i="95"/>
  <c r="M338" i="95"/>
  <c r="M341" i="95"/>
  <c r="M342" i="95"/>
  <c r="M344" i="95"/>
  <c r="M345" i="95"/>
  <c r="M348" i="95"/>
  <c r="M349" i="95"/>
  <c r="M356" i="95"/>
  <c r="M358" i="95"/>
  <c r="M359" i="95"/>
  <c r="M360" i="95"/>
  <c r="M361" i="95"/>
  <c r="M373" i="95"/>
  <c r="M374" i="95"/>
  <c r="M376" i="95"/>
  <c r="M377" i="95"/>
  <c r="M380" i="95"/>
  <c r="M390" i="95"/>
  <c r="M391" i="95"/>
  <c r="M392" i="95"/>
  <c r="M393" i="95"/>
  <c r="M395" i="95"/>
  <c r="M396" i="95"/>
  <c r="M398" i="95"/>
  <c r="M399" i="95"/>
  <c r="M405" i="95"/>
  <c r="M412" i="95"/>
  <c r="X2" i="95"/>
  <c r="K61" i="8" s="1"/>
  <c r="L60" i="8"/>
  <c r="F60" i="8"/>
  <c r="L9" i="26"/>
  <c r="D30" i="26"/>
  <c r="A37" i="8"/>
  <c r="AL1" i="77" a="1"/>
  <c r="AL1" i="77" s="1"/>
  <c r="K320" i="95" l="1"/>
  <c r="K332"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O2" i="95"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AL2" i="77" l="1" a="1"/>
  <c r="AL2" i="77" s="1"/>
  <c r="E2" i="96" a="1"/>
  <c r="B10" i="26"/>
  <c r="B11" i="26"/>
  <c r="Q2" i="29"/>
  <c r="D5" i="8" s="1"/>
  <c r="E19" i="4"/>
  <c r="K19" i="4"/>
  <c r="N19" i="4"/>
  <c r="B54" i="26" l="1"/>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S36" i="8" a="1"/>
  <c r="R8" i="8" a="1"/>
  <c r="S42" i="8" a="1"/>
  <c r="R42" i="8" a="1"/>
  <c r="S24" i="8" a="1"/>
  <c r="R38" i="8" a="1"/>
  <c r="S43" i="8" a="1"/>
  <c r="S20" i="8" a="1"/>
  <c r="R6" i="8" a="1"/>
  <c r="R24" i="8" a="1"/>
  <c r="R22" i="8" a="1"/>
  <c r="R26" i="8" a="1"/>
  <c r="S31" i="8" a="1"/>
  <c r="S5" i="8" a="1"/>
  <c r="R17" i="8" a="1"/>
  <c r="R31" i="8" a="1"/>
  <c r="R18" i="8" a="1"/>
  <c r="S15" i="8" a="1"/>
  <c r="S21" i="8" a="1"/>
  <c r="R44" i="8" a="1"/>
  <c r="S13" i="8" a="1"/>
  <c r="R28" i="8" a="1"/>
  <c r="S34" i="8" a="1"/>
  <c r="R37" i="8" a="1"/>
  <c r="R27" i="8" a="1"/>
  <c r="S18" i="8" a="1"/>
  <c r="S35" i="8" a="1"/>
  <c r="R19" i="8" a="1"/>
  <c r="S22" i="8" a="1"/>
  <c r="S37" i="8" a="1"/>
  <c r="R16" i="8" a="1"/>
  <c r="S33" i="8" a="1"/>
  <c r="R5" i="8" a="1"/>
  <c r="S8" i="8" a="1"/>
  <c r="R40" i="8" a="1"/>
  <c r="S19" i="8" a="1"/>
  <c r="R13" i="8" a="1"/>
  <c r="R30" i="8" a="1"/>
  <c r="R34" i="8" a="1"/>
  <c r="R9" i="8" a="1"/>
  <c r="S11" i="8" a="1"/>
  <c r="S38" i="8" a="1"/>
  <c r="R35" i="8" a="1"/>
  <c r="R21" i="8" a="1"/>
  <c r="S12" i="8" a="1"/>
  <c r="S44" i="8" a="1"/>
  <c r="S23" i="8" a="1"/>
  <c r="S9" i="8" a="1"/>
  <c r="R36" i="8" a="1"/>
  <c r="R39" i="8" a="1"/>
  <c r="R32" i="8" a="1"/>
  <c r="R43" i="8" a="1"/>
  <c r="R11" i="8" a="1"/>
  <c r="S41" i="8" a="1"/>
  <c r="S27" i="8" a="1"/>
  <c r="S17" i="8" a="1"/>
  <c r="R12" i="8" a="1"/>
  <c r="R20" i="8" a="1"/>
  <c r="S14" i="8" a="1"/>
  <c r="S28" i="8" a="1"/>
  <c r="R10" i="8" a="1"/>
  <c r="S10" i="8" a="1"/>
  <c r="R15" i="8" a="1"/>
  <c r="R7" i="8" a="1"/>
  <c r="R29" i="8" a="1"/>
  <c r="R23" i="8" a="1"/>
  <c r="R14" i="8" a="1"/>
  <c r="S6" i="8" a="1"/>
  <c r="S25" i="8" a="1"/>
  <c r="S26" i="8" a="1"/>
  <c r="S7" i="8" a="1"/>
  <c r="R25" i="8" a="1"/>
  <c r="R41" i="8" a="1"/>
  <c r="S40" i="8" a="1"/>
  <c r="S32" i="8" a="1"/>
  <c r="S39" i="8" a="1"/>
  <c r="S30" i="8" a="1"/>
  <c r="R33" i="8" a="1"/>
  <c r="S1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<sst xmlns="http://schemas.openxmlformats.org/spreadsheetml/2006/main" count="1935" uniqueCount="970">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</sst>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2"/>
    <tableColumn id="8" xr3:uid="{7C740CB9-37DA-435E-A87E-AF050E31623C}" uniqueName="8" name="wire_roll_cert_number" queryTableFieldId="8" dataDxfId="183"/>
    <tableColumn id="7" xr3:uid="{297A4F29-F6E9-4BD3-A7A2-5F1039480BAE}" uniqueName="7" name="certificate_number" queryTableFieldId="7" dataDxfId="182"/>
    <tableColumn id="6" xr3:uid="{B359FFDA-2633-4F67-9E7E-BA0BB88ADA64}" uniqueName="6" name="next_service_date" queryTableFieldId="6" dataDxfId="71"/>
    <tableColumn id="5" xr3:uid="{412A70E1-7452-417E-A3A9-BD3499EBD33C}" uniqueName="5" name="service_date" queryTableFieldId="5" dataDxfId="70"/>
    <tableColumn id="4" xr3:uid="{44F03B5B-6C09-4D5C-B2E2-D809B4EDF2B0}" uniqueName="4" name="custom_order_number" queryTableFieldId="4" dataDxfId="181"/>
    <tableColumn id="3" xr3:uid="{D963BD5C-EE98-4CDD-ABAE-5315BBDA1135}" uniqueName="3" name="asset_tag" queryTableFieldId="3" dataDxfId="180"/>
    <tableColumn id="2" xr3:uid="{D07D770F-21F7-425E-8CCA-AA85FFD513A3}" uniqueName="2" name="serial_number" queryTableFieldId="2" dataDxfId="179"/>
    <tableColumn id="1" xr3:uid="{4CB1C976-73DA-4579-B7F8-9D891581EA5A}" uniqueName="1" name="asset_id" queryTableFieldId="1"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8"/>
    <tableColumn id="2" xr3:uid="{44100894-4C9D-4514-95AC-618BC19E5917}" uniqueName="2" name="Temp" queryTableFieldId="4" dataDxfId="177"/>
    <tableColumn id="3" xr3:uid="{ECB904AC-F679-49D7-806F-647089E4822A}" uniqueName="3" name="Offset" queryTableFieldId="5" dataDxfId="17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5"/>
    <tableColumn id="3" xr3:uid="{5A7694DA-28F6-45C3-AA3A-8F5C42BC36CB}" uniqueName="3" name="login_email" queryTableFieldId="12"/>
    <tableColumn id="4" xr3:uid="{E8A7333A-3221-4D58-96FF-11D069828831}" uniqueName="4" name="IsPyro" queryTableFieldId="13" dataDxfId="1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3">
  <autoFilter ref="A1:C9" xr:uid="{8AF992F3-27EF-4265-960D-70EC6F74FAFA}"/>
  <sortState xmlns:xlrd2="http://schemas.microsoft.com/office/spreadsheetml/2017/richdata2" ref="A2:C9">
    <sortCondition ref="B1:B9"/>
  </sortState>
  <tableColumns count="3">
    <tableColumn id="1" xr3:uid="{1F7D0D09-7152-4679-B25C-65CF0E0AB2D4}" name="Type" dataDxfId="17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9"/>
    <tableColumn id="3" xr3:uid="{2724CA85-C781-4E38-A0DA-097BFEEFE8B1}" uniqueName="3" name="Temp" queryTableFieldId="3" dataDxfId="168"/>
    <tableColumn id="6" xr3:uid="{12D5EB84-2052-49F7-A25B-127266D7FB89}" uniqueName="6" name="traceability_no" queryTableFieldId="6" dataDxfId="167"/>
    <tableColumn id="5" xr3:uid="{D8FBA668-C3CE-41DC-B112-B2663A4558F7}" uniqueName="5" name="Offset" queryTableFieldId="5" dataDxfId="1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tableColumn id="2" xr3:uid="{437C4123-EB61-4869-9470-5A1B394BA060}" uniqueName="2" name="Ranges" queryTableFieldId="2" dataDxfId="148"/>
    <tableColumn id="3" xr3:uid="{F2805B69-D38A-4282-80C7-76512A175951}" uniqueName="3" name="Tolerances" queryTableFieldId="3" dataDxfId="147"/>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9"/>
    <tableColumn id="3" xr3:uid="{E88E0260-3227-45C4-8780-42D2D8D460DF}" name="SAT TOL" dataDxfId="13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7" dataDxfId="136" tableBorderDxfId="135">
  <autoFilter ref="AG2:AS3" xr:uid="{B114758F-16E1-4C54-AA0B-E7F64DE85242}"/>
  <tableColumns count="13">
    <tableColumn id="1" xr3:uid="{0D0312AF-C987-4CC8-97F8-A45434AD138A}" name="Time" dataDxfId="134" dataCellStyle="Normal 3"/>
    <tableColumn id="2" xr3:uid="{E5CD88A1-1988-41C9-8D07-30908E60C0B6}" name="29" dataDxfId="133" dataCellStyle="Normal 3"/>
    <tableColumn id="3" xr3:uid="{52334E52-C590-4A01-82BC-CCC9DA2C2817}" name="30" dataDxfId="132" dataCellStyle="Normal 3"/>
    <tableColumn id="4" xr3:uid="{145DAD22-055B-47E2-958D-C0E0B68ECCC8}" name="31" dataDxfId="131" dataCellStyle="Normal 3"/>
    <tableColumn id="5" xr3:uid="{09C3BF4E-C2AE-4497-AAA2-CF5A8A70B030}" name="32" dataDxfId="130" dataCellStyle="Normal 3"/>
    <tableColumn id="6" xr3:uid="{E9F444F5-7F75-4B80-BC2D-E9E92BB7C32D}" name="33" dataDxfId="129" dataCellStyle="Normal 3"/>
    <tableColumn id="7" xr3:uid="{C42F56B6-C38E-41DC-811A-50AF69D04B80}" name="34" dataDxfId="128" dataCellStyle="Normal 3"/>
    <tableColumn id="8" xr3:uid="{1930235F-D2C0-482D-8CC0-6B3AC765E7EA}" name="35" dataDxfId="127" dataCellStyle="Normal 3"/>
    <tableColumn id="9" xr3:uid="{6FCF613B-A86F-4DC6-9CC5-0A1E44E3DFE0}" name="36" dataDxfId="126" dataCellStyle="Normal 3"/>
    <tableColumn id="10" xr3:uid="{19EA3429-FD7E-4BA0-96B7-70F520D9FE0F}" name="37" dataDxfId="125" dataCellStyle="Normal 3"/>
    <tableColumn id="11" xr3:uid="{A5D0DAE1-1017-4DE3-AEA6-1BAF97E0FBDC}" name="38" dataDxfId="124" dataCellStyle="Normal 3"/>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119" dataCellStyle="Normal 3"/>
    <tableColumn id="2" xr3:uid="{DB040280-BEC7-49AA-A925-A050027B33E3}" name="15" dataDxfId="118" dataCellStyle="Normal 3"/>
    <tableColumn id="3" xr3:uid="{5D74EEBF-1FB4-4DF9-8EDD-C656F929ADA2}" name="16" dataDxfId="117" dataCellStyle="Normal 3"/>
    <tableColumn id="4" xr3:uid="{B1176DF8-22B4-4741-A534-22D0C72EF1F0}" name="17" dataDxfId="116" dataCellStyle="Normal 3"/>
    <tableColumn id="5" xr3:uid="{1E29EA65-5182-4B3E-817F-0D30B2884EC7}" name="18" dataDxfId="115" dataCellStyle="Normal 3"/>
    <tableColumn id="6" xr3:uid="{AF53AEFB-F310-4F08-91BC-82FB0F484ECA}" name="19" dataDxfId="114" dataCellStyle="Normal 3"/>
    <tableColumn id="7" xr3:uid="{EE472F61-D1B5-43CF-A661-FA1D47001C17}" name="20" dataDxfId="113" dataCellStyle="Normal 3"/>
    <tableColumn id="8" xr3:uid="{841D54C1-AB74-4CB1-8C7F-C38D11EFAD3F}" name="21" dataDxfId="112" dataCellStyle="Normal 3"/>
    <tableColumn id="9" xr3:uid="{F1FB485B-DEAA-4958-8C40-80934EA1437F}" name="22" dataDxfId="111" dataCellStyle="Normal 3"/>
    <tableColumn id="10" xr3:uid="{5C552A76-BD54-46C5-93AD-8F25289FA051}" name="23" dataDxfId="110" dataCellStyle="Normal 3"/>
    <tableColumn id="11" xr3:uid="{B20FA5F1-0522-49D0-9B5A-34570A8AE6EA}" name="24" dataDxfId="109" dataCellStyle="Normal 3"/>
    <tableColumn id="12" xr3:uid="{0BC87A98-B9AC-4CD6-9F9B-D04190073E2A}" name="25" dataDxfId="108"/>
    <tableColumn id="13" xr3:uid="{D62EA80B-BBE3-4A29-89AB-EE04C6E03547}" name="26" dataDxfId="107"/>
    <tableColumn id="14" xr3:uid="{6D7DE537-763F-40F1-AC16-33F228CBC8D1}" name="27" dataDxfId="106"/>
    <tableColumn id="15" xr3:uid="{F8FA9620-DB21-4BAE-8D97-FF38B70679C9}" name="28" dataDxfId="10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4" dataDxfId="103" tableBorderDxfId="102">
  <autoFilter ref="A2:O3" xr:uid="{73A9D9BA-FF58-4A3F-98F7-9A835492E25D}"/>
  <tableColumns count="15">
    <tableColumn id="1" xr3:uid="{73B888B4-4146-4E26-9B39-0FC537A113C8}" name="Time" dataDxfId="101" dataCellStyle="Normal 3"/>
    <tableColumn id="2" xr3:uid="{6F1EF879-7C87-4A56-A394-30C6E5BDB32A}" name="1" dataDxfId="100" dataCellStyle="Normal 3"/>
    <tableColumn id="3" xr3:uid="{B2FA8A6A-D50A-41E8-942A-379C757B6A2B}" name="2" dataDxfId="99" dataCellStyle="Normal 3"/>
    <tableColumn id="4" xr3:uid="{F92FE975-D84B-4B73-B49D-3B746FAA3D21}" name="3" dataDxfId="98" dataCellStyle="Normal 3"/>
    <tableColumn id="5" xr3:uid="{7820E0E9-F621-4361-A572-234B3CB7F864}" name="4" dataDxfId="97" dataCellStyle="Normal 3"/>
    <tableColumn id="6" xr3:uid="{A46C0BCA-2139-4CD3-B02F-C4D3F8E65309}" name="5" dataDxfId="96" dataCellStyle="Normal 3"/>
    <tableColumn id="7" xr3:uid="{334BDF50-1D79-41BC-BA09-7B69018332AE}" name="6" dataDxfId="95" dataCellStyle="Normal 3"/>
    <tableColumn id="8" xr3:uid="{6C11BC6A-3E21-4CDE-9CD4-C8EBCF50B6DB}" name="7" dataDxfId="94" dataCellStyle="Normal 3"/>
    <tableColumn id="9" xr3:uid="{1EEEA607-5177-4C19-A1BC-B12D19FF055B}" name="8" dataDxfId="93" dataCellStyle="Normal 3"/>
    <tableColumn id="10" xr3:uid="{ACF909CE-C221-4157-9298-18F2C140C147}" name="9" dataDxfId="92" dataCellStyle="Normal 3"/>
    <tableColumn id="11" xr3:uid="{182688D3-AD0D-4518-A7FE-0C281ABCDF76}" name="10" dataDxfId="91" dataCellStyle="Normal 3"/>
    <tableColumn id="12" xr3:uid="{54AFFA30-00C2-440A-92A2-139F62F751BE}" name="11" dataDxfId="90"/>
    <tableColumn id="13" xr3:uid="{DCF0B43C-F320-4031-91C6-8514285AF6CA}" name="12" dataDxfId="89"/>
    <tableColumn id="14" xr3:uid="{53A56FC8-0536-4D94-A335-FFCBCBEAF45E}" name="13" dataDxfId="88"/>
    <tableColumn id="15" xr3:uid="{F49FEB6E-05C2-4E90-A6CE-A0C9C694642A}" name="14" dataDxfId="87"/>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6" dataDxfId="85">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4"/>
    <tableColumn id="3" xr3:uid="{5F5E8FED-27C7-498A-86F2-8DE1BF0A773A}" uniqueName="3" name="Address2" queryTableFieldId="82" dataDxfId="8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2"/>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1" dataDxfId="80">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9"/>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8"/>
    <tableColumn id="3" xr3:uid="{A4F2902A-51C9-47F2-ABB5-33476BF6B798}" uniqueName="3" name="login_email" queryTableFieldId="5"/>
    <tableColumn id="4" xr3:uid="{93F361AC-D356-4A7B-A6F2-34FB0F71E2F6}" uniqueName="4" name="IsPyro" queryTableFieldId="7" dataDxfId="7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903</v>
      </c>
      <c r="E1" s="36" t="s">
        <v>904</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401</v>
      </c>
      <c r="B1" t="s">
        <v>542</v>
      </c>
      <c r="C1" t="s">
        <v>543</v>
      </c>
      <c r="D1" t="s">
        <v>544</v>
      </c>
      <c r="E1" t="s">
        <v>545</v>
      </c>
      <c r="F1" t="s">
        <v>540</v>
      </c>
      <c r="G1" t="s">
        <v>530</v>
      </c>
      <c r="H1" t="s">
        <v>511</v>
      </c>
      <c r="I1" t="s">
        <v>531</v>
      </c>
      <c r="J1" t="s">
        <v>516</v>
      </c>
      <c r="K1" t="s">
        <v>517</v>
      </c>
      <c r="L1" t="s">
        <v>518</v>
      </c>
      <c r="M1" t="s">
        <v>532</v>
      </c>
      <c r="N1" t="s">
        <v>399</v>
      </c>
      <c r="O1" t="s">
        <v>400</v>
      </c>
      <c r="P1" t="s">
        <v>402</v>
      </c>
      <c r="Q1" t="s">
        <v>520</v>
      </c>
      <c r="R1" t="s">
        <v>521</v>
      </c>
      <c r="S1" t="s">
        <v>522</v>
      </c>
      <c r="T1" t="s">
        <v>519</v>
      </c>
      <c r="U1" t="s">
        <v>533</v>
      </c>
      <c r="V1" t="s">
        <v>534</v>
      </c>
      <c r="W1" t="s">
        <v>523</v>
      </c>
      <c r="X1" t="s">
        <v>524</v>
      </c>
      <c r="Y1" t="s">
        <v>525</v>
      </c>
      <c r="Z1" t="s">
        <v>512</v>
      </c>
      <c r="AA1" t="s">
        <v>513</v>
      </c>
      <c r="AB1" t="s">
        <v>514</v>
      </c>
      <c r="AC1" t="s">
        <v>515</v>
      </c>
      <c r="AD1" t="s">
        <v>403</v>
      </c>
      <c r="AE1" t="s">
        <v>404</v>
      </c>
      <c r="AF1" t="s">
        <v>528</v>
      </c>
      <c r="AG1" t="s">
        <v>529</v>
      </c>
      <c r="AH1" t="s">
        <v>526</v>
      </c>
      <c r="AI1" t="s">
        <v>527</v>
      </c>
      <c r="AJ1" t="s">
        <v>541</v>
      </c>
      <c r="AK1" t="s">
        <v>546</v>
      </c>
      <c r="AL1" t="s">
        <v>547</v>
      </c>
    </row>
    <row r="2" spans="1:38" x14ac:dyDescent="0.2">
      <c r="A2">
        <v>1235344</v>
      </c>
      <c r="B2">
        <v>6864835</v>
      </c>
      <c r="C2">
        <v>7653243</v>
      </c>
      <c r="E2" t="b">
        <v>0</v>
      </c>
      <c r="G2" t="s">
        <v>570</v>
      </c>
      <c r="I2" t="s">
        <v>571</v>
      </c>
      <c r="J2" t="s">
        <v>535</v>
      </c>
      <c r="K2" t="s">
        <v>535</v>
      </c>
      <c r="L2" t="s">
        <v>535</v>
      </c>
      <c r="M2" t="s">
        <v>572</v>
      </c>
      <c r="N2" t="s">
        <v>405</v>
      </c>
      <c r="O2" t="s">
        <v>327</v>
      </c>
      <c r="P2" t="s">
        <v>115</v>
      </c>
      <c r="V2" t="s">
        <v>573</v>
      </c>
      <c r="Y2" t="s">
        <v>574</v>
      </c>
      <c r="AD2" t="s">
        <v>326</v>
      </c>
      <c r="AE2" t="s">
        <v>406</v>
      </c>
      <c r="AJ2" t="s">
        <v>575</v>
      </c>
      <c r="AK2" t="s">
        <v>576</v>
      </c>
      <c r="AL2" t="s">
        <v>577</v>
      </c>
    </row>
    <row r="3" spans="1:38" x14ac:dyDescent="0.2">
      <c r="A3">
        <v>1235555</v>
      </c>
      <c r="B3">
        <v>8036587</v>
      </c>
      <c r="C3">
        <v>7589603</v>
      </c>
      <c r="E3" t="b">
        <v>0</v>
      </c>
      <c r="F3">
        <v>72040</v>
      </c>
      <c r="G3" t="s">
        <v>578</v>
      </c>
      <c r="H3">
        <v>1</v>
      </c>
      <c r="I3" t="s">
        <v>579</v>
      </c>
      <c r="J3" t="s">
        <v>536</v>
      </c>
      <c r="K3" t="s">
        <v>535</v>
      </c>
      <c r="L3" t="s">
        <v>537</v>
      </c>
      <c r="M3" t="s">
        <v>580</v>
      </c>
      <c r="N3" t="s">
        <v>449</v>
      </c>
      <c r="O3" t="s">
        <v>219</v>
      </c>
      <c r="P3" t="s">
        <v>427</v>
      </c>
      <c r="S3" t="s">
        <v>581</v>
      </c>
      <c r="U3" t="s">
        <v>582</v>
      </c>
      <c r="V3" t="s">
        <v>583</v>
      </c>
      <c r="W3" t="s">
        <v>444</v>
      </c>
      <c r="X3" t="s">
        <v>538</v>
      </c>
      <c r="Y3" t="s">
        <v>584</v>
      </c>
      <c r="Z3" t="s">
        <v>550</v>
      </c>
      <c r="AB3" t="s">
        <v>576</v>
      </c>
      <c r="AD3" t="s">
        <v>539</v>
      </c>
      <c r="AE3" t="s">
        <v>539</v>
      </c>
      <c r="AF3">
        <v>0</v>
      </c>
      <c r="AG3">
        <v>0</v>
      </c>
      <c r="AH3">
        <v>46</v>
      </c>
      <c r="AI3">
        <v>0</v>
      </c>
      <c r="AJ3" t="s">
        <v>552</v>
      </c>
      <c r="AK3" t="s">
        <v>576</v>
      </c>
      <c r="AL3" t="s">
        <v>585</v>
      </c>
    </row>
    <row r="4" spans="1:38" x14ac:dyDescent="0.2">
      <c r="A4">
        <v>1235388</v>
      </c>
      <c r="B4">
        <v>7537859</v>
      </c>
      <c r="C4">
        <v>187510</v>
      </c>
      <c r="E4" t="b">
        <v>0</v>
      </c>
      <c r="F4">
        <v>62285</v>
      </c>
      <c r="G4" t="s">
        <v>586</v>
      </c>
      <c r="H4">
        <v>1</v>
      </c>
      <c r="I4" t="s">
        <v>587</v>
      </c>
      <c r="J4" t="s">
        <v>536</v>
      </c>
      <c r="K4" t="s">
        <v>535</v>
      </c>
      <c r="L4" t="s">
        <v>537</v>
      </c>
      <c r="M4" t="s">
        <v>588</v>
      </c>
      <c r="N4" t="s">
        <v>409</v>
      </c>
      <c r="O4" t="s">
        <v>227</v>
      </c>
      <c r="P4" t="s">
        <v>410</v>
      </c>
      <c r="S4" t="s">
        <v>589</v>
      </c>
      <c r="U4" t="s">
        <v>590</v>
      </c>
      <c r="V4" t="s">
        <v>591</v>
      </c>
      <c r="W4" t="s">
        <v>592</v>
      </c>
      <c r="X4" t="s">
        <v>538</v>
      </c>
      <c r="Y4" t="s">
        <v>584</v>
      </c>
      <c r="Z4" t="s">
        <v>550</v>
      </c>
      <c r="AA4" t="s">
        <v>22</v>
      </c>
      <c r="AB4" t="s">
        <v>593</v>
      </c>
      <c r="AD4" t="s">
        <v>226</v>
      </c>
      <c r="AE4" t="s">
        <v>411</v>
      </c>
      <c r="AF4">
        <v>0</v>
      </c>
      <c r="AG4">
        <v>0</v>
      </c>
      <c r="AH4">
        <v>70</v>
      </c>
      <c r="AI4">
        <v>0</v>
      </c>
      <c r="AJ4" t="s">
        <v>552</v>
      </c>
      <c r="AK4" t="s">
        <v>593</v>
      </c>
      <c r="AL4" t="s">
        <v>553</v>
      </c>
    </row>
    <row r="5" spans="1:38" x14ac:dyDescent="0.2">
      <c r="A5">
        <v>1235682</v>
      </c>
      <c r="B5">
        <v>7943647</v>
      </c>
      <c r="C5">
        <v>187508</v>
      </c>
      <c r="E5" t="b">
        <v>0</v>
      </c>
      <c r="F5">
        <v>69999</v>
      </c>
      <c r="G5" t="s">
        <v>594</v>
      </c>
      <c r="H5">
        <v>1</v>
      </c>
      <c r="I5" t="s">
        <v>595</v>
      </c>
      <c r="J5" t="s">
        <v>536</v>
      </c>
      <c r="K5" t="s">
        <v>537</v>
      </c>
      <c r="L5" t="s">
        <v>537</v>
      </c>
      <c r="M5" t="s">
        <v>596</v>
      </c>
      <c r="N5" t="s">
        <v>478</v>
      </c>
      <c r="O5" t="s">
        <v>47</v>
      </c>
      <c r="S5" t="s">
        <v>548</v>
      </c>
      <c r="U5" t="s">
        <v>597</v>
      </c>
      <c r="V5" t="s">
        <v>598</v>
      </c>
      <c r="W5" t="s">
        <v>444</v>
      </c>
      <c r="X5" t="s">
        <v>538</v>
      </c>
      <c r="Y5" t="s">
        <v>549</v>
      </c>
      <c r="Z5" t="s">
        <v>550</v>
      </c>
      <c r="AA5" t="s">
        <v>22</v>
      </c>
      <c r="AB5" t="s">
        <v>551</v>
      </c>
      <c r="AD5" t="s">
        <v>479</v>
      </c>
      <c r="AE5" t="s">
        <v>424</v>
      </c>
      <c r="AF5">
        <v>0</v>
      </c>
      <c r="AG5">
        <v>0</v>
      </c>
      <c r="AH5">
        <v>392.75</v>
      </c>
      <c r="AI5">
        <v>0</v>
      </c>
      <c r="AJ5" t="s">
        <v>552</v>
      </c>
      <c r="AK5" t="s">
        <v>551</v>
      </c>
      <c r="AL5" t="s">
        <v>553</v>
      </c>
    </row>
    <row r="6" spans="1:38" x14ac:dyDescent="0.2">
      <c r="A6">
        <v>1235426</v>
      </c>
      <c r="B6">
        <v>8035840</v>
      </c>
      <c r="C6">
        <v>187508</v>
      </c>
      <c r="E6" t="b">
        <v>0</v>
      </c>
      <c r="F6">
        <v>72024</v>
      </c>
      <c r="G6" t="s">
        <v>557</v>
      </c>
      <c r="H6">
        <v>1</v>
      </c>
      <c r="I6" t="s">
        <v>558</v>
      </c>
      <c r="J6" t="s">
        <v>536</v>
      </c>
      <c r="K6" t="s">
        <v>537</v>
      </c>
      <c r="L6" t="s">
        <v>537</v>
      </c>
      <c r="M6" t="s">
        <v>599</v>
      </c>
      <c r="N6" t="s">
        <v>422</v>
      </c>
      <c r="O6" t="s">
        <v>54</v>
      </c>
      <c r="S6" t="s">
        <v>548</v>
      </c>
      <c r="U6" t="s">
        <v>600</v>
      </c>
      <c r="V6" t="s">
        <v>601</v>
      </c>
      <c r="W6" t="s">
        <v>444</v>
      </c>
      <c r="X6" t="s">
        <v>538</v>
      </c>
      <c r="Y6" t="s">
        <v>549</v>
      </c>
      <c r="Z6" t="s">
        <v>550</v>
      </c>
      <c r="AA6" t="s">
        <v>22</v>
      </c>
      <c r="AB6" t="s">
        <v>551</v>
      </c>
      <c r="AD6" t="s">
        <v>423</v>
      </c>
      <c r="AE6" t="s">
        <v>424</v>
      </c>
      <c r="AF6">
        <v>0</v>
      </c>
      <c r="AG6">
        <v>0</v>
      </c>
      <c r="AH6">
        <v>392.75</v>
      </c>
      <c r="AI6">
        <v>0</v>
      </c>
      <c r="AJ6" t="s">
        <v>552</v>
      </c>
      <c r="AK6" t="s">
        <v>551</v>
      </c>
      <c r="AL6" t="s">
        <v>553</v>
      </c>
    </row>
    <row r="7" spans="1:38" x14ac:dyDescent="0.2">
      <c r="A7">
        <v>1235686</v>
      </c>
      <c r="B7">
        <v>8143520</v>
      </c>
      <c r="C7">
        <v>187508</v>
      </c>
      <c r="E7" t="b">
        <v>0</v>
      </c>
      <c r="F7">
        <v>73531</v>
      </c>
      <c r="G7" t="s">
        <v>555</v>
      </c>
      <c r="H7">
        <v>1</v>
      </c>
      <c r="I7" t="s">
        <v>556</v>
      </c>
      <c r="J7" t="s">
        <v>536</v>
      </c>
      <c r="K7" t="s">
        <v>537</v>
      </c>
      <c r="L7" t="s">
        <v>537</v>
      </c>
      <c r="M7" t="s">
        <v>602</v>
      </c>
      <c r="N7" t="s">
        <v>480</v>
      </c>
      <c r="O7" t="s">
        <v>55</v>
      </c>
      <c r="S7" t="s">
        <v>548</v>
      </c>
      <c r="U7" t="s">
        <v>603</v>
      </c>
      <c r="V7" t="s">
        <v>604</v>
      </c>
      <c r="W7" t="s">
        <v>444</v>
      </c>
      <c r="X7" t="s">
        <v>538</v>
      </c>
      <c r="Y7" t="s">
        <v>549</v>
      </c>
      <c r="Z7" t="s">
        <v>550</v>
      </c>
      <c r="AA7" t="s">
        <v>22</v>
      </c>
      <c r="AB7" t="s">
        <v>551</v>
      </c>
      <c r="AD7" t="s">
        <v>481</v>
      </c>
      <c r="AE7" t="s">
        <v>482</v>
      </c>
      <c r="AF7">
        <v>0</v>
      </c>
      <c r="AG7">
        <v>0</v>
      </c>
      <c r="AH7">
        <v>392.75</v>
      </c>
      <c r="AI7">
        <v>0</v>
      </c>
      <c r="AJ7" t="s">
        <v>552</v>
      </c>
      <c r="AK7" t="s">
        <v>551</v>
      </c>
      <c r="AL7" t="s">
        <v>553</v>
      </c>
    </row>
    <row r="8" spans="1:38" x14ac:dyDescent="0.2">
      <c r="A8">
        <v>1235630</v>
      </c>
      <c r="B8">
        <v>7925909</v>
      </c>
      <c r="C8">
        <v>187508</v>
      </c>
      <c r="E8" t="b">
        <v>0</v>
      </c>
      <c r="F8">
        <v>69663</v>
      </c>
      <c r="G8" t="s">
        <v>605</v>
      </c>
      <c r="H8">
        <v>1</v>
      </c>
      <c r="I8" t="s">
        <v>606</v>
      </c>
      <c r="J8" t="s">
        <v>536</v>
      </c>
      <c r="K8" t="s">
        <v>537</v>
      </c>
      <c r="L8" t="s">
        <v>537</v>
      </c>
      <c r="M8" t="s">
        <v>607</v>
      </c>
      <c r="N8" t="s">
        <v>467</v>
      </c>
      <c r="O8" t="s">
        <v>109</v>
      </c>
      <c r="S8" t="s">
        <v>548</v>
      </c>
      <c r="U8" t="s">
        <v>608</v>
      </c>
      <c r="V8" t="s">
        <v>609</v>
      </c>
      <c r="W8" t="s">
        <v>444</v>
      </c>
      <c r="X8" t="s">
        <v>538</v>
      </c>
      <c r="Y8" t="s">
        <v>549</v>
      </c>
      <c r="Z8" t="s">
        <v>550</v>
      </c>
      <c r="AA8" t="s">
        <v>22</v>
      </c>
      <c r="AB8" t="s">
        <v>551</v>
      </c>
      <c r="AD8" t="s">
        <v>468</v>
      </c>
      <c r="AE8" t="s">
        <v>424</v>
      </c>
      <c r="AF8">
        <v>0</v>
      </c>
      <c r="AG8">
        <v>0</v>
      </c>
      <c r="AH8">
        <v>392.75</v>
      </c>
      <c r="AI8">
        <v>0</v>
      </c>
      <c r="AJ8" t="s">
        <v>552</v>
      </c>
      <c r="AK8" t="s">
        <v>551</v>
      </c>
      <c r="AL8" t="s">
        <v>553</v>
      </c>
    </row>
    <row r="9" spans="1:38" x14ac:dyDescent="0.2">
      <c r="A9">
        <v>1235561</v>
      </c>
      <c r="B9">
        <v>7925915</v>
      </c>
      <c r="C9">
        <v>187508</v>
      </c>
      <c r="E9" t="b">
        <v>0</v>
      </c>
      <c r="F9">
        <v>69665</v>
      </c>
      <c r="G9" t="s">
        <v>610</v>
      </c>
      <c r="H9">
        <v>1</v>
      </c>
      <c r="I9" t="s">
        <v>611</v>
      </c>
      <c r="J9" t="s">
        <v>536</v>
      </c>
      <c r="K9" t="s">
        <v>537</v>
      </c>
      <c r="L9" t="s">
        <v>537</v>
      </c>
      <c r="M9" t="s">
        <v>612</v>
      </c>
      <c r="N9" t="s">
        <v>450</v>
      </c>
      <c r="O9" t="s">
        <v>113</v>
      </c>
      <c r="S9" t="s">
        <v>548</v>
      </c>
      <c r="U9" t="s">
        <v>608</v>
      </c>
      <c r="V9" t="s">
        <v>613</v>
      </c>
      <c r="W9" t="s">
        <v>444</v>
      </c>
      <c r="X9" t="s">
        <v>538</v>
      </c>
      <c r="Y9" t="s">
        <v>549</v>
      </c>
      <c r="Z9" t="s">
        <v>550</v>
      </c>
      <c r="AA9" t="s">
        <v>22</v>
      </c>
      <c r="AB9" t="s">
        <v>551</v>
      </c>
      <c r="AD9" t="s">
        <v>451</v>
      </c>
      <c r="AE9" t="s">
        <v>452</v>
      </c>
      <c r="AF9">
        <v>0</v>
      </c>
      <c r="AG9">
        <v>0</v>
      </c>
      <c r="AH9">
        <v>392.75</v>
      </c>
      <c r="AI9">
        <v>0</v>
      </c>
      <c r="AJ9" t="s">
        <v>552</v>
      </c>
      <c r="AK9" t="s">
        <v>551</v>
      </c>
      <c r="AL9" t="s">
        <v>553</v>
      </c>
    </row>
    <row r="10" spans="1:38" x14ac:dyDescent="0.2">
      <c r="A10">
        <v>1235543</v>
      </c>
      <c r="B10">
        <v>8075187</v>
      </c>
      <c r="C10">
        <v>187508</v>
      </c>
      <c r="E10" t="b">
        <v>0</v>
      </c>
      <c r="F10">
        <v>72822</v>
      </c>
      <c r="G10" t="s">
        <v>614</v>
      </c>
      <c r="H10">
        <v>1</v>
      </c>
      <c r="I10" t="s">
        <v>615</v>
      </c>
      <c r="J10" t="s">
        <v>536</v>
      </c>
      <c r="K10" t="s">
        <v>537</v>
      </c>
      <c r="L10" t="s">
        <v>537</v>
      </c>
      <c r="M10" t="s">
        <v>616</v>
      </c>
      <c r="N10" t="s">
        <v>447</v>
      </c>
      <c r="O10" t="s">
        <v>112</v>
      </c>
      <c r="S10" t="s">
        <v>548</v>
      </c>
      <c r="U10" t="s">
        <v>617</v>
      </c>
      <c r="V10" t="s">
        <v>618</v>
      </c>
      <c r="W10" t="s">
        <v>444</v>
      </c>
      <c r="X10" t="s">
        <v>538</v>
      </c>
      <c r="Y10" t="s">
        <v>549</v>
      </c>
      <c r="Z10" t="s">
        <v>550</v>
      </c>
      <c r="AA10" t="s">
        <v>22</v>
      </c>
      <c r="AB10" t="s">
        <v>551</v>
      </c>
      <c r="AD10" t="s">
        <v>423</v>
      </c>
      <c r="AE10" t="s">
        <v>448</v>
      </c>
      <c r="AF10">
        <v>0</v>
      </c>
      <c r="AG10">
        <v>0</v>
      </c>
      <c r="AH10">
        <v>392.75</v>
      </c>
      <c r="AI10">
        <v>0</v>
      </c>
      <c r="AJ10" t="s">
        <v>552</v>
      </c>
      <c r="AK10" t="s">
        <v>551</v>
      </c>
      <c r="AL10" t="s">
        <v>553</v>
      </c>
    </row>
    <row r="11" spans="1:38" x14ac:dyDescent="0.2">
      <c r="A11">
        <v>1235622</v>
      </c>
      <c r="B11">
        <v>7925914</v>
      </c>
      <c r="C11">
        <v>187508</v>
      </c>
      <c r="E11" t="b">
        <v>0</v>
      </c>
      <c r="F11">
        <v>69664</v>
      </c>
      <c r="G11" t="s">
        <v>619</v>
      </c>
      <c r="H11">
        <v>1</v>
      </c>
      <c r="I11" t="s">
        <v>620</v>
      </c>
      <c r="J11" t="s">
        <v>536</v>
      </c>
      <c r="K11" t="s">
        <v>537</v>
      </c>
      <c r="L11" t="s">
        <v>537</v>
      </c>
      <c r="M11" t="s">
        <v>621</v>
      </c>
      <c r="N11" t="s">
        <v>462</v>
      </c>
      <c r="O11" t="s">
        <v>157</v>
      </c>
      <c r="S11" t="s">
        <v>548</v>
      </c>
      <c r="U11" t="s">
        <v>608</v>
      </c>
      <c r="V11" t="s">
        <v>622</v>
      </c>
      <c r="W11" t="s">
        <v>444</v>
      </c>
      <c r="X11" t="s">
        <v>538</v>
      </c>
      <c r="Y11" t="s">
        <v>549</v>
      </c>
      <c r="Z11" t="s">
        <v>550</v>
      </c>
      <c r="AA11" t="s">
        <v>22</v>
      </c>
      <c r="AB11" t="s">
        <v>551</v>
      </c>
      <c r="AD11" t="s">
        <v>463</v>
      </c>
      <c r="AE11" t="s">
        <v>464</v>
      </c>
      <c r="AF11">
        <v>0</v>
      </c>
      <c r="AG11">
        <v>0</v>
      </c>
      <c r="AH11">
        <v>392.75</v>
      </c>
      <c r="AI11">
        <v>0</v>
      </c>
      <c r="AJ11" t="s">
        <v>552</v>
      </c>
      <c r="AK11" t="s">
        <v>551</v>
      </c>
      <c r="AL11" t="s">
        <v>553</v>
      </c>
    </row>
    <row r="12" spans="1:38" x14ac:dyDescent="0.2">
      <c r="A12">
        <v>1235403</v>
      </c>
      <c r="B12">
        <v>7975239</v>
      </c>
      <c r="C12">
        <v>187508</v>
      </c>
      <c r="E12" t="b">
        <v>0</v>
      </c>
      <c r="F12">
        <v>70613</v>
      </c>
      <c r="G12" t="s">
        <v>623</v>
      </c>
      <c r="H12">
        <v>3</v>
      </c>
      <c r="I12" t="s">
        <v>624</v>
      </c>
      <c r="J12" t="s">
        <v>536</v>
      </c>
      <c r="K12" t="s">
        <v>537</v>
      </c>
      <c r="L12" t="s">
        <v>537</v>
      </c>
      <c r="M12" t="s">
        <v>625</v>
      </c>
      <c r="N12" t="s">
        <v>417</v>
      </c>
      <c r="O12" t="s">
        <v>176</v>
      </c>
      <c r="P12" t="s">
        <v>107</v>
      </c>
      <c r="S12" t="s">
        <v>626</v>
      </c>
      <c r="U12" t="s">
        <v>627</v>
      </c>
      <c r="V12" t="s">
        <v>628</v>
      </c>
      <c r="W12" t="s">
        <v>444</v>
      </c>
      <c r="X12" t="s">
        <v>538</v>
      </c>
      <c r="Y12" t="s">
        <v>549</v>
      </c>
      <c r="Z12" t="s">
        <v>550</v>
      </c>
      <c r="AA12" t="s">
        <v>22</v>
      </c>
      <c r="AB12" t="s">
        <v>551</v>
      </c>
      <c r="AD12" t="s">
        <v>175</v>
      </c>
      <c r="AE12" t="s">
        <v>418</v>
      </c>
      <c r="AF12">
        <v>0</v>
      </c>
      <c r="AG12">
        <v>0</v>
      </c>
      <c r="AH12">
        <v>418.5</v>
      </c>
      <c r="AI12">
        <v>0</v>
      </c>
      <c r="AJ12" t="s">
        <v>552</v>
      </c>
      <c r="AK12" t="s">
        <v>551</v>
      </c>
      <c r="AL12" t="s">
        <v>553</v>
      </c>
    </row>
    <row r="13" spans="1:38" x14ac:dyDescent="0.2">
      <c r="A13">
        <v>1235569</v>
      </c>
      <c r="B13">
        <v>7975237</v>
      </c>
      <c r="C13">
        <v>187508</v>
      </c>
      <c r="E13" t="b">
        <v>0</v>
      </c>
      <c r="F13">
        <v>70613</v>
      </c>
      <c r="G13" t="s">
        <v>623</v>
      </c>
      <c r="H13">
        <v>1</v>
      </c>
      <c r="I13" t="s">
        <v>629</v>
      </c>
      <c r="J13" t="s">
        <v>536</v>
      </c>
      <c r="K13" t="s">
        <v>537</v>
      </c>
      <c r="L13" t="s">
        <v>537</v>
      </c>
      <c r="M13" t="s">
        <v>630</v>
      </c>
      <c r="N13" t="s">
        <v>457</v>
      </c>
      <c r="O13" t="s">
        <v>178</v>
      </c>
      <c r="P13" t="s">
        <v>458</v>
      </c>
      <c r="S13" t="s">
        <v>626</v>
      </c>
      <c r="U13" t="s">
        <v>627</v>
      </c>
      <c r="V13" t="s">
        <v>631</v>
      </c>
      <c r="W13" t="s">
        <v>444</v>
      </c>
      <c r="X13" t="s">
        <v>538</v>
      </c>
      <c r="Y13" t="s">
        <v>549</v>
      </c>
      <c r="Z13" t="s">
        <v>550</v>
      </c>
      <c r="AA13" t="s">
        <v>22</v>
      </c>
      <c r="AB13" t="s">
        <v>551</v>
      </c>
      <c r="AD13" t="s">
        <v>177</v>
      </c>
      <c r="AE13" t="s">
        <v>418</v>
      </c>
      <c r="AF13">
        <v>0</v>
      </c>
      <c r="AG13">
        <v>0</v>
      </c>
      <c r="AH13">
        <v>418.5</v>
      </c>
      <c r="AI13">
        <v>0</v>
      </c>
      <c r="AJ13" t="s">
        <v>552</v>
      </c>
      <c r="AK13" t="s">
        <v>551</v>
      </c>
      <c r="AL13" t="s">
        <v>553</v>
      </c>
    </row>
    <row r="14" spans="1:38" x14ac:dyDescent="0.2">
      <c r="A14">
        <v>1235743</v>
      </c>
      <c r="B14">
        <v>7975241</v>
      </c>
      <c r="C14">
        <v>187508</v>
      </c>
      <c r="E14" t="b">
        <v>0</v>
      </c>
      <c r="F14">
        <v>70613</v>
      </c>
      <c r="G14" t="s">
        <v>623</v>
      </c>
      <c r="H14">
        <v>5</v>
      </c>
      <c r="I14" t="s">
        <v>632</v>
      </c>
      <c r="J14" t="s">
        <v>536</v>
      </c>
      <c r="K14" t="s">
        <v>537</v>
      </c>
      <c r="L14" t="s">
        <v>537</v>
      </c>
      <c r="M14" t="s">
        <v>633</v>
      </c>
      <c r="N14" t="s">
        <v>484</v>
      </c>
      <c r="O14" t="s">
        <v>486</v>
      </c>
      <c r="P14" t="s">
        <v>485</v>
      </c>
      <c r="S14" t="s">
        <v>626</v>
      </c>
      <c r="U14" t="s">
        <v>627</v>
      </c>
      <c r="V14" t="s">
        <v>634</v>
      </c>
      <c r="W14" t="s">
        <v>444</v>
      </c>
      <c r="X14" t="s">
        <v>538</v>
      </c>
      <c r="Y14" t="s">
        <v>549</v>
      </c>
      <c r="Z14" t="s">
        <v>550</v>
      </c>
      <c r="AA14" t="s">
        <v>22</v>
      </c>
      <c r="AB14" t="s">
        <v>551</v>
      </c>
      <c r="AD14" t="s">
        <v>487</v>
      </c>
      <c r="AE14" t="s">
        <v>418</v>
      </c>
      <c r="AF14">
        <v>0</v>
      </c>
      <c r="AG14">
        <v>0</v>
      </c>
      <c r="AH14">
        <v>418.5</v>
      </c>
      <c r="AI14">
        <v>0</v>
      </c>
      <c r="AJ14" t="s">
        <v>552</v>
      </c>
      <c r="AK14" t="s">
        <v>551</v>
      </c>
      <c r="AL14" t="s">
        <v>553</v>
      </c>
    </row>
    <row r="15" spans="1:38" x14ac:dyDescent="0.2">
      <c r="A15">
        <v>2550412</v>
      </c>
      <c r="B15">
        <v>7975245</v>
      </c>
      <c r="C15">
        <v>187508</v>
      </c>
      <c r="E15" t="b">
        <v>0</v>
      </c>
      <c r="F15">
        <v>70613</v>
      </c>
      <c r="G15" t="s">
        <v>623</v>
      </c>
      <c r="H15">
        <v>9</v>
      </c>
      <c r="I15" t="s">
        <v>635</v>
      </c>
      <c r="J15" t="s">
        <v>536</v>
      </c>
      <c r="K15" t="s">
        <v>537</v>
      </c>
      <c r="L15" t="s">
        <v>537</v>
      </c>
      <c r="M15" t="s">
        <v>636</v>
      </c>
      <c r="N15" t="s">
        <v>501</v>
      </c>
      <c r="O15" t="s">
        <v>502</v>
      </c>
      <c r="P15" t="s">
        <v>377</v>
      </c>
      <c r="S15" t="s">
        <v>626</v>
      </c>
      <c r="U15" t="s">
        <v>627</v>
      </c>
      <c r="V15" t="s">
        <v>637</v>
      </c>
      <c r="W15" t="s">
        <v>444</v>
      </c>
      <c r="X15" t="s">
        <v>538</v>
      </c>
      <c r="Y15" t="s">
        <v>549</v>
      </c>
      <c r="Z15" t="s">
        <v>550</v>
      </c>
      <c r="AA15" t="s">
        <v>22</v>
      </c>
      <c r="AB15" t="s">
        <v>551</v>
      </c>
      <c r="AD15" t="s">
        <v>503</v>
      </c>
      <c r="AE15" t="s">
        <v>504</v>
      </c>
      <c r="AF15">
        <v>0</v>
      </c>
      <c r="AG15">
        <v>0</v>
      </c>
      <c r="AH15">
        <v>418.5</v>
      </c>
      <c r="AI15">
        <v>0</v>
      </c>
      <c r="AJ15" t="s">
        <v>552</v>
      </c>
      <c r="AK15" t="s">
        <v>551</v>
      </c>
      <c r="AL15" t="s">
        <v>553</v>
      </c>
    </row>
    <row r="16" spans="1:38" x14ac:dyDescent="0.2">
      <c r="A16">
        <v>1446161</v>
      </c>
      <c r="B16">
        <v>7975243</v>
      </c>
      <c r="C16">
        <v>187508</v>
      </c>
      <c r="E16" t="b">
        <v>0</v>
      </c>
      <c r="F16">
        <v>70613</v>
      </c>
      <c r="G16" t="s">
        <v>623</v>
      </c>
      <c r="H16">
        <v>7</v>
      </c>
      <c r="I16" t="s">
        <v>638</v>
      </c>
      <c r="J16" t="s">
        <v>536</v>
      </c>
      <c r="K16" t="s">
        <v>537</v>
      </c>
      <c r="L16" t="s">
        <v>537</v>
      </c>
      <c r="M16" t="s">
        <v>639</v>
      </c>
      <c r="N16" t="s">
        <v>493</v>
      </c>
      <c r="O16" t="s">
        <v>495</v>
      </c>
      <c r="P16" t="s">
        <v>494</v>
      </c>
      <c r="S16" t="s">
        <v>626</v>
      </c>
      <c r="U16" t="s">
        <v>627</v>
      </c>
      <c r="V16" t="s">
        <v>640</v>
      </c>
      <c r="W16" t="s">
        <v>444</v>
      </c>
      <c r="X16" t="s">
        <v>538</v>
      </c>
      <c r="Y16" t="s">
        <v>549</v>
      </c>
      <c r="Z16" t="s">
        <v>550</v>
      </c>
      <c r="AA16" t="s">
        <v>22</v>
      </c>
      <c r="AB16" t="s">
        <v>551</v>
      </c>
      <c r="AD16" t="s">
        <v>496</v>
      </c>
      <c r="AE16" t="s">
        <v>418</v>
      </c>
      <c r="AF16">
        <v>0</v>
      </c>
      <c r="AG16">
        <v>0</v>
      </c>
      <c r="AH16">
        <v>418.5</v>
      </c>
      <c r="AI16">
        <v>0</v>
      </c>
      <c r="AJ16" t="s">
        <v>552</v>
      </c>
      <c r="AK16" t="s">
        <v>551</v>
      </c>
      <c r="AL16" t="s">
        <v>553</v>
      </c>
    </row>
    <row r="17" spans="1:38" x14ac:dyDescent="0.2">
      <c r="A17">
        <v>2701517</v>
      </c>
      <c r="B17">
        <v>7975246</v>
      </c>
      <c r="C17">
        <v>187508</v>
      </c>
      <c r="E17" t="b">
        <v>0</v>
      </c>
      <c r="F17">
        <v>70613</v>
      </c>
      <c r="G17" t="s">
        <v>623</v>
      </c>
      <c r="H17">
        <v>10</v>
      </c>
      <c r="I17" t="s">
        <v>641</v>
      </c>
      <c r="J17" t="s">
        <v>536</v>
      </c>
      <c r="K17" t="s">
        <v>537</v>
      </c>
      <c r="L17" t="s">
        <v>537</v>
      </c>
      <c r="M17" t="s">
        <v>642</v>
      </c>
      <c r="N17" t="s">
        <v>506</v>
      </c>
      <c r="O17" t="s">
        <v>508</v>
      </c>
      <c r="P17" t="s">
        <v>507</v>
      </c>
      <c r="S17" t="s">
        <v>626</v>
      </c>
      <c r="U17" t="s">
        <v>627</v>
      </c>
      <c r="V17" t="s">
        <v>643</v>
      </c>
      <c r="W17" t="s">
        <v>444</v>
      </c>
      <c r="X17" t="s">
        <v>538</v>
      </c>
      <c r="Y17" t="s">
        <v>549</v>
      </c>
      <c r="Z17" t="s">
        <v>550</v>
      </c>
      <c r="AA17" t="s">
        <v>22</v>
      </c>
      <c r="AB17" t="s">
        <v>551</v>
      </c>
      <c r="AD17" t="s">
        <v>179</v>
      </c>
      <c r="AE17" t="s">
        <v>418</v>
      </c>
      <c r="AF17">
        <v>0</v>
      </c>
      <c r="AG17">
        <v>0</v>
      </c>
      <c r="AH17">
        <v>418.5</v>
      </c>
      <c r="AI17">
        <v>0</v>
      </c>
      <c r="AJ17" t="s">
        <v>552</v>
      </c>
      <c r="AK17" t="s">
        <v>551</v>
      </c>
      <c r="AL17" t="s">
        <v>553</v>
      </c>
    </row>
    <row r="18" spans="1:38" x14ac:dyDescent="0.2">
      <c r="A18">
        <v>2336905</v>
      </c>
      <c r="B18">
        <v>7975244</v>
      </c>
      <c r="C18">
        <v>187508</v>
      </c>
      <c r="E18" t="b">
        <v>0</v>
      </c>
      <c r="F18">
        <v>70613</v>
      </c>
      <c r="G18" t="s">
        <v>623</v>
      </c>
      <c r="H18">
        <v>8</v>
      </c>
      <c r="I18" t="s">
        <v>644</v>
      </c>
      <c r="J18" t="s">
        <v>536</v>
      </c>
      <c r="K18" t="s">
        <v>537</v>
      </c>
      <c r="L18" t="s">
        <v>537</v>
      </c>
      <c r="M18" t="s">
        <v>645</v>
      </c>
      <c r="N18" t="s">
        <v>497</v>
      </c>
      <c r="O18" t="s">
        <v>499</v>
      </c>
      <c r="P18" t="s">
        <v>498</v>
      </c>
      <c r="S18" t="s">
        <v>626</v>
      </c>
      <c r="U18" t="s">
        <v>627</v>
      </c>
      <c r="V18" t="s">
        <v>646</v>
      </c>
      <c r="W18" t="s">
        <v>444</v>
      </c>
      <c r="X18" t="s">
        <v>538</v>
      </c>
      <c r="Y18" t="s">
        <v>549</v>
      </c>
      <c r="Z18" t="s">
        <v>550</v>
      </c>
      <c r="AA18" t="s">
        <v>22</v>
      </c>
      <c r="AB18" t="s">
        <v>551</v>
      </c>
      <c r="AD18" t="s">
        <v>500</v>
      </c>
      <c r="AE18" t="s">
        <v>418</v>
      </c>
      <c r="AF18">
        <v>0</v>
      </c>
      <c r="AG18">
        <v>0</v>
      </c>
      <c r="AH18">
        <v>418.5</v>
      </c>
      <c r="AI18">
        <v>0</v>
      </c>
      <c r="AJ18" t="s">
        <v>552</v>
      </c>
      <c r="AK18" t="s">
        <v>551</v>
      </c>
      <c r="AL18" t="s">
        <v>553</v>
      </c>
    </row>
    <row r="19" spans="1:38" x14ac:dyDescent="0.2">
      <c r="A19">
        <v>1235639</v>
      </c>
      <c r="B19">
        <v>7975242</v>
      </c>
      <c r="C19">
        <v>187508</v>
      </c>
      <c r="E19" t="b">
        <v>0</v>
      </c>
      <c r="F19">
        <v>70613</v>
      </c>
      <c r="G19" t="s">
        <v>623</v>
      </c>
      <c r="H19">
        <v>6</v>
      </c>
      <c r="I19" t="s">
        <v>647</v>
      </c>
      <c r="J19" t="s">
        <v>536</v>
      </c>
      <c r="K19" t="s">
        <v>537</v>
      </c>
      <c r="L19" t="s">
        <v>537</v>
      </c>
      <c r="M19" t="s">
        <v>648</v>
      </c>
      <c r="N19" t="s">
        <v>469</v>
      </c>
      <c r="O19" t="s">
        <v>174</v>
      </c>
      <c r="P19" t="s">
        <v>470</v>
      </c>
      <c r="S19" t="s">
        <v>626</v>
      </c>
      <c r="U19" t="s">
        <v>627</v>
      </c>
      <c r="V19" t="s">
        <v>649</v>
      </c>
      <c r="W19" t="s">
        <v>444</v>
      </c>
      <c r="X19" t="s">
        <v>538</v>
      </c>
      <c r="Y19" t="s">
        <v>549</v>
      </c>
      <c r="Z19" t="s">
        <v>550</v>
      </c>
      <c r="AA19" t="s">
        <v>22</v>
      </c>
      <c r="AB19" t="s">
        <v>551</v>
      </c>
      <c r="AD19" t="s">
        <v>173</v>
      </c>
      <c r="AE19" t="s">
        <v>418</v>
      </c>
      <c r="AF19">
        <v>0</v>
      </c>
      <c r="AG19">
        <v>0</v>
      </c>
      <c r="AH19">
        <v>418.5</v>
      </c>
      <c r="AI19">
        <v>0</v>
      </c>
      <c r="AJ19" t="s">
        <v>552</v>
      </c>
      <c r="AK19" t="s">
        <v>551</v>
      </c>
      <c r="AL19" t="s">
        <v>553</v>
      </c>
    </row>
    <row r="20" spans="1:38" x14ac:dyDescent="0.2">
      <c r="A20">
        <v>1235626</v>
      </c>
      <c r="B20">
        <v>7975238</v>
      </c>
      <c r="C20">
        <v>187508</v>
      </c>
      <c r="E20" t="b">
        <v>0</v>
      </c>
      <c r="F20">
        <v>70613</v>
      </c>
      <c r="G20" t="s">
        <v>623</v>
      </c>
      <c r="H20">
        <v>2</v>
      </c>
      <c r="I20" t="s">
        <v>650</v>
      </c>
      <c r="J20" t="s">
        <v>536</v>
      </c>
      <c r="K20" t="s">
        <v>537</v>
      </c>
      <c r="L20" t="s">
        <v>537</v>
      </c>
      <c r="M20" t="s">
        <v>651</v>
      </c>
      <c r="N20" t="s">
        <v>465</v>
      </c>
      <c r="O20" t="s">
        <v>182</v>
      </c>
      <c r="P20" t="s">
        <v>466</v>
      </c>
      <c r="S20" t="s">
        <v>626</v>
      </c>
      <c r="U20" t="s">
        <v>627</v>
      </c>
      <c r="V20" t="s">
        <v>652</v>
      </c>
      <c r="W20" t="s">
        <v>444</v>
      </c>
      <c r="X20" t="s">
        <v>538</v>
      </c>
      <c r="Y20" t="s">
        <v>549</v>
      </c>
      <c r="Z20" t="s">
        <v>550</v>
      </c>
      <c r="AA20" t="s">
        <v>22</v>
      </c>
      <c r="AB20" t="s">
        <v>551</v>
      </c>
      <c r="AD20" t="s">
        <v>181</v>
      </c>
      <c r="AE20" t="s">
        <v>418</v>
      </c>
      <c r="AF20">
        <v>0</v>
      </c>
      <c r="AG20">
        <v>0</v>
      </c>
      <c r="AH20">
        <v>418.5</v>
      </c>
      <c r="AI20">
        <v>0</v>
      </c>
      <c r="AJ20" t="s">
        <v>552</v>
      </c>
      <c r="AK20" t="s">
        <v>551</v>
      </c>
      <c r="AL20" t="s">
        <v>553</v>
      </c>
    </row>
    <row r="21" spans="1:38" x14ac:dyDescent="0.2">
      <c r="A21">
        <v>1235522</v>
      </c>
      <c r="B21">
        <v>7975240</v>
      </c>
      <c r="C21">
        <v>187508</v>
      </c>
      <c r="E21" t="b">
        <v>0</v>
      </c>
      <c r="F21">
        <v>70613</v>
      </c>
      <c r="G21" t="s">
        <v>623</v>
      </c>
      <c r="H21">
        <v>4</v>
      </c>
      <c r="I21" t="s">
        <v>653</v>
      </c>
      <c r="J21" t="s">
        <v>536</v>
      </c>
      <c r="K21" t="s">
        <v>537</v>
      </c>
      <c r="L21" t="s">
        <v>537</v>
      </c>
      <c r="M21" t="s">
        <v>654</v>
      </c>
      <c r="N21" t="s">
        <v>443</v>
      </c>
      <c r="O21" t="s">
        <v>180</v>
      </c>
      <c r="P21" t="s">
        <v>444</v>
      </c>
      <c r="S21" t="s">
        <v>626</v>
      </c>
      <c r="U21" t="s">
        <v>627</v>
      </c>
      <c r="V21" t="s">
        <v>655</v>
      </c>
      <c r="W21" t="s">
        <v>444</v>
      </c>
      <c r="X21" t="s">
        <v>538</v>
      </c>
      <c r="Y21" t="s">
        <v>549</v>
      </c>
      <c r="Z21" t="s">
        <v>550</v>
      </c>
      <c r="AA21" t="s">
        <v>22</v>
      </c>
      <c r="AB21" t="s">
        <v>551</v>
      </c>
      <c r="AD21" t="s">
        <v>179</v>
      </c>
      <c r="AE21" t="s">
        <v>418</v>
      </c>
      <c r="AF21">
        <v>0</v>
      </c>
      <c r="AG21">
        <v>0</v>
      </c>
      <c r="AH21">
        <v>418.5</v>
      </c>
      <c r="AI21">
        <v>0</v>
      </c>
      <c r="AJ21" t="s">
        <v>552</v>
      </c>
      <c r="AK21" t="s">
        <v>551</v>
      </c>
      <c r="AL21" t="s">
        <v>553</v>
      </c>
    </row>
    <row r="23" spans="1:38" x14ac:dyDescent="0.2">
      <c r="A23">
        <v>1235770</v>
      </c>
      <c r="B23">
        <v>8030104</v>
      </c>
      <c r="C23">
        <v>187514</v>
      </c>
      <c r="E23" t="b">
        <v>0</v>
      </c>
      <c r="F23">
        <v>71864</v>
      </c>
      <c r="G23" t="s">
        <v>656</v>
      </c>
      <c r="H23">
        <v>1</v>
      </c>
      <c r="I23" t="s">
        <v>657</v>
      </c>
      <c r="J23" t="s">
        <v>536</v>
      </c>
      <c r="K23" t="s">
        <v>537</v>
      </c>
      <c r="L23" t="s">
        <v>537</v>
      </c>
      <c r="M23" t="s">
        <v>658</v>
      </c>
      <c r="N23" t="s">
        <v>488</v>
      </c>
      <c r="O23" t="s">
        <v>489</v>
      </c>
      <c r="U23" t="s">
        <v>659</v>
      </c>
      <c r="V23" t="s">
        <v>660</v>
      </c>
      <c r="W23" t="s">
        <v>494</v>
      </c>
      <c r="X23" t="s">
        <v>538</v>
      </c>
      <c r="Y23" t="s">
        <v>415</v>
      </c>
      <c r="Z23" t="s">
        <v>550</v>
      </c>
      <c r="AB23" t="s">
        <v>661</v>
      </c>
      <c r="AD23" t="s">
        <v>232</v>
      </c>
      <c r="AE23" t="s">
        <v>490</v>
      </c>
      <c r="AF23">
        <v>0</v>
      </c>
      <c r="AG23">
        <v>0</v>
      </c>
      <c r="AH23">
        <v>0</v>
      </c>
      <c r="AI23">
        <v>0</v>
      </c>
      <c r="AJ23" t="s">
        <v>552</v>
      </c>
      <c r="AK23" t="s">
        <v>661</v>
      </c>
      <c r="AL23" t="s">
        <v>553</v>
      </c>
    </row>
    <row r="24" spans="1:38" x14ac:dyDescent="0.2">
      <c r="A24">
        <v>1235767</v>
      </c>
    </row>
    <row r="25" spans="1:38" x14ac:dyDescent="0.2">
      <c r="A25">
        <v>1235772</v>
      </c>
    </row>
    <row r="26" spans="1:38" x14ac:dyDescent="0.2">
      <c r="A26">
        <v>1235660</v>
      </c>
      <c r="B26">
        <v>7612900</v>
      </c>
      <c r="C26">
        <v>187509</v>
      </c>
      <c r="E26" t="b">
        <v>0</v>
      </c>
      <c r="F26">
        <v>64197</v>
      </c>
      <c r="G26" t="s">
        <v>662</v>
      </c>
      <c r="H26">
        <v>1</v>
      </c>
      <c r="I26" t="s">
        <v>663</v>
      </c>
      <c r="J26" t="s">
        <v>536</v>
      </c>
      <c r="K26" t="s">
        <v>537</v>
      </c>
      <c r="L26" t="s">
        <v>537</v>
      </c>
      <c r="M26" t="s">
        <v>664</v>
      </c>
      <c r="N26" t="s">
        <v>198</v>
      </c>
      <c r="O26" t="s">
        <v>475</v>
      </c>
      <c r="U26" t="s">
        <v>665</v>
      </c>
      <c r="V26" t="s">
        <v>666</v>
      </c>
      <c r="W26" t="s">
        <v>107</v>
      </c>
      <c r="X26" t="s">
        <v>538</v>
      </c>
      <c r="Y26" t="s">
        <v>116</v>
      </c>
      <c r="AB26" t="s">
        <v>661</v>
      </c>
      <c r="AD26" t="s">
        <v>234</v>
      </c>
      <c r="AE26" t="s">
        <v>434</v>
      </c>
      <c r="AF26">
        <v>0</v>
      </c>
      <c r="AG26">
        <v>0</v>
      </c>
      <c r="AI26">
        <v>0</v>
      </c>
      <c r="AJ26" t="s">
        <v>552</v>
      </c>
      <c r="AK26" t="s">
        <v>661</v>
      </c>
      <c r="AL26" t="s">
        <v>585</v>
      </c>
    </row>
    <row r="27" spans="1:38" x14ac:dyDescent="0.2">
      <c r="A27">
        <v>1235502</v>
      </c>
      <c r="B27">
        <v>6008756</v>
      </c>
      <c r="C27">
        <v>187514</v>
      </c>
      <c r="E27" t="b">
        <v>0</v>
      </c>
      <c r="F27">
        <v>41783</v>
      </c>
      <c r="G27" t="s">
        <v>667</v>
      </c>
      <c r="H27">
        <v>1</v>
      </c>
      <c r="I27" t="s">
        <v>668</v>
      </c>
      <c r="J27" t="s">
        <v>536</v>
      </c>
      <c r="K27" t="s">
        <v>537</v>
      </c>
      <c r="L27" t="s">
        <v>537</v>
      </c>
      <c r="M27" t="s">
        <v>669</v>
      </c>
      <c r="N27" t="s">
        <v>199</v>
      </c>
      <c r="O27" t="s">
        <v>433</v>
      </c>
      <c r="U27" t="s">
        <v>670</v>
      </c>
      <c r="V27" t="s">
        <v>671</v>
      </c>
      <c r="W27" t="s">
        <v>166</v>
      </c>
      <c r="X27" t="s">
        <v>538</v>
      </c>
      <c r="Y27" t="s">
        <v>116</v>
      </c>
      <c r="Z27" t="s">
        <v>550</v>
      </c>
      <c r="AB27" t="s">
        <v>661</v>
      </c>
      <c r="AD27" t="s">
        <v>235</v>
      </c>
      <c r="AE27" t="s">
        <v>434</v>
      </c>
      <c r="AF27">
        <v>0</v>
      </c>
      <c r="AG27">
        <v>0</v>
      </c>
      <c r="AH27">
        <v>27.5</v>
      </c>
      <c r="AI27">
        <v>0</v>
      </c>
      <c r="AJ27" t="s">
        <v>552</v>
      </c>
      <c r="AK27" t="s">
        <v>661</v>
      </c>
      <c r="AL27" t="s">
        <v>553</v>
      </c>
    </row>
    <row r="28" spans="1:38" x14ac:dyDescent="0.2">
      <c r="A28">
        <v>1235505</v>
      </c>
      <c r="B28">
        <v>7971837</v>
      </c>
      <c r="C28">
        <v>187514</v>
      </c>
      <c r="E28" t="b">
        <v>0</v>
      </c>
      <c r="F28">
        <v>70496</v>
      </c>
      <c r="G28" t="s">
        <v>672</v>
      </c>
      <c r="H28">
        <v>1</v>
      </c>
      <c r="I28" t="s">
        <v>673</v>
      </c>
      <c r="J28" t="s">
        <v>536</v>
      </c>
      <c r="K28" t="s">
        <v>537</v>
      </c>
      <c r="L28" t="s">
        <v>537</v>
      </c>
      <c r="M28" t="s">
        <v>674</v>
      </c>
      <c r="N28" t="s">
        <v>200</v>
      </c>
      <c r="O28" t="s">
        <v>437</v>
      </c>
      <c r="S28" t="s">
        <v>675</v>
      </c>
      <c r="U28" t="s">
        <v>676</v>
      </c>
      <c r="V28" t="s">
        <v>677</v>
      </c>
      <c r="W28" t="s">
        <v>507</v>
      </c>
      <c r="X28" t="s">
        <v>538</v>
      </c>
      <c r="Y28" t="s">
        <v>415</v>
      </c>
      <c r="Z28" t="s">
        <v>550</v>
      </c>
      <c r="AB28" t="s">
        <v>661</v>
      </c>
      <c r="AD28" t="s">
        <v>236</v>
      </c>
      <c r="AE28" t="s">
        <v>434</v>
      </c>
      <c r="AF28">
        <v>0</v>
      </c>
      <c r="AG28">
        <v>0</v>
      </c>
      <c r="AH28">
        <v>75</v>
      </c>
      <c r="AI28">
        <v>0</v>
      </c>
      <c r="AJ28" t="s">
        <v>552</v>
      </c>
      <c r="AK28" t="s">
        <v>661</v>
      </c>
      <c r="AL28" t="s">
        <v>553</v>
      </c>
    </row>
    <row r="29" spans="1:38" x14ac:dyDescent="0.2">
      <c r="A29">
        <v>1235646</v>
      </c>
      <c r="B29">
        <v>6249107</v>
      </c>
      <c r="C29">
        <v>187514</v>
      </c>
      <c r="E29" t="b">
        <v>0</v>
      </c>
      <c r="F29">
        <v>46530</v>
      </c>
      <c r="G29" t="s">
        <v>678</v>
      </c>
      <c r="H29">
        <v>1</v>
      </c>
      <c r="I29" t="s">
        <v>679</v>
      </c>
      <c r="J29" t="s">
        <v>536</v>
      </c>
      <c r="K29" t="s">
        <v>537</v>
      </c>
      <c r="L29" t="s">
        <v>537</v>
      </c>
      <c r="M29" t="s">
        <v>680</v>
      </c>
      <c r="N29" t="s">
        <v>201</v>
      </c>
      <c r="O29" t="s">
        <v>471</v>
      </c>
      <c r="U29" t="s">
        <v>681</v>
      </c>
      <c r="V29" t="s">
        <v>682</v>
      </c>
      <c r="W29" t="s">
        <v>166</v>
      </c>
      <c r="X29" t="s">
        <v>538</v>
      </c>
      <c r="Y29" t="s">
        <v>549</v>
      </c>
      <c r="AB29" t="s">
        <v>661</v>
      </c>
      <c r="AD29" t="s">
        <v>237</v>
      </c>
      <c r="AE29" t="s">
        <v>472</v>
      </c>
      <c r="AF29">
        <v>0</v>
      </c>
      <c r="AG29">
        <v>0</v>
      </c>
      <c r="AI29">
        <v>0</v>
      </c>
      <c r="AJ29" t="s">
        <v>552</v>
      </c>
      <c r="AK29" t="s">
        <v>661</v>
      </c>
      <c r="AL29" t="s">
        <v>553</v>
      </c>
    </row>
    <row r="30" spans="1:38" x14ac:dyDescent="0.2">
      <c r="A30">
        <v>1235659</v>
      </c>
      <c r="B30">
        <v>8065644</v>
      </c>
      <c r="C30">
        <v>187514</v>
      </c>
      <c r="E30" t="b">
        <v>0</v>
      </c>
      <c r="F30">
        <v>72594</v>
      </c>
      <c r="G30" t="s">
        <v>683</v>
      </c>
      <c r="H30">
        <v>1</v>
      </c>
      <c r="I30" t="s">
        <v>684</v>
      </c>
      <c r="J30" t="s">
        <v>536</v>
      </c>
      <c r="K30" t="s">
        <v>537</v>
      </c>
      <c r="L30" t="s">
        <v>537</v>
      </c>
      <c r="M30" t="s">
        <v>685</v>
      </c>
      <c r="N30" t="s">
        <v>202</v>
      </c>
      <c r="O30" t="s">
        <v>473</v>
      </c>
      <c r="U30" t="s">
        <v>686</v>
      </c>
      <c r="V30" t="s">
        <v>687</v>
      </c>
      <c r="W30" t="s">
        <v>458</v>
      </c>
      <c r="X30" t="s">
        <v>538</v>
      </c>
      <c r="Y30" t="s">
        <v>415</v>
      </c>
      <c r="Z30" t="s">
        <v>550</v>
      </c>
      <c r="AB30" t="s">
        <v>661</v>
      </c>
      <c r="AD30" t="s">
        <v>238</v>
      </c>
      <c r="AE30" t="s">
        <v>474</v>
      </c>
      <c r="AF30">
        <v>0</v>
      </c>
      <c r="AG30">
        <v>0</v>
      </c>
      <c r="AH30">
        <v>0</v>
      </c>
      <c r="AI30">
        <v>0</v>
      </c>
      <c r="AJ30" t="s">
        <v>552</v>
      </c>
      <c r="AK30" t="s">
        <v>661</v>
      </c>
      <c r="AL30" t="s">
        <v>553</v>
      </c>
    </row>
    <row r="31" spans="1:38" x14ac:dyDescent="0.2">
      <c r="A31">
        <v>1235504</v>
      </c>
      <c r="B31">
        <v>6820976</v>
      </c>
      <c r="C31">
        <v>187514</v>
      </c>
      <c r="E31" t="b">
        <v>0</v>
      </c>
      <c r="F31">
        <v>50724</v>
      </c>
      <c r="G31" t="s">
        <v>688</v>
      </c>
      <c r="H31">
        <v>1</v>
      </c>
      <c r="I31" t="s">
        <v>689</v>
      </c>
      <c r="J31" t="s">
        <v>536</v>
      </c>
      <c r="K31" t="s">
        <v>537</v>
      </c>
      <c r="L31" t="s">
        <v>537</v>
      </c>
      <c r="M31" t="s">
        <v>690</v>
      </c>
      <c r="N31" t="s">
        <v>203</v>
      </c>
      <c r="O31" t="s">
        <v>436</v>
      </c>
      <c r="U31" t="s">
        <v>691</v>
      </c>
      <c r="V31" t="s">
        <v>692</v>
      </c>
      <c r="W31" t="s">
        <v>485</v>
      </c>
      <c r="X31" t="s">
        <v>538</v>
      </c>
      <c r="Y31" t="s">
        <v>549</v>
      </c>
      <c r="Z31" t="s">
        <v>550</v>
      </c>
      <c r="AB31" t="s">
        <v>661</v>
      </c>
      <c r="AD31" t="s">
        <v>239</v>
      </c>
      <c r="AE31" t="s">
        <v>434</v>
      </c>
      <c r="AF31">
        <v>0</v>
      </c>
      <c r="AG31">
        <v>0</v>
      </c>
      <c r="AH31">
        <v>27.5</v>
      </c>
      <c r="AI31">
        <v>0</v>
      </c>
      <c r="AJ31" t="s">
        <v>552</v>
      </c>
      <c r="AK31" t="s">
        <v>661</v>
      </c>
      <c r="AL31" t="s">
        <v>553</v>
      </c>
    </row>
    <row r="32" spans="1:38" x14ac:dyDescent="0.2">
      <c r="A32">
        <v>1235506</v>
      </c>
      <c r="B32">
        <v>7162110</v>
      </c>
      <c r="C32">
        <v>187514</v>
      </c>
      <c r="E32" t="b">
        <v>0</v>
      </c>
      <c r="F32">
        <v>57050</v>
      </c>
      <c r="G32" t="s">
        <v>693</v>
      </c>
      <c r="H32">
        <v>1</v>
      </c>
      <c r="I32" t="s">
        <v>694</v>
      </c>
      <c r="J32" t="s">
        <v>536</v>
      </c>
      <c r="K32" t="s">
        <v>537</v>
      </c>
      <c r="L32" t="s">
        <v>537</v>
      </c>
      <c r="M32" t="s">
        <v>695</v>
      </c>
      <c r="N32" t="s">
        <v>204</v>
      </c>
      <c r="O32" t="s">
        <v>438</v>
      </c>
      <c r="U32" t="s">
        <v>696</v>
      </c>
      <c r="V32" t="s">
        <v>697</v>
      </c>
      <c r="W32" t="s">
        <v>107</v>
      </c>
      <c r="X32" t="s">
        <v>538</v>
      </c>
      <c r="Y32" t="s">
        <v>549</v>
      </c>
      <c r="AB32" t="s">
        <v>661</v>
      </c>
      <c r="AD32" t="s">
        <v>240</v>
      </c>
      <c r="AE32" t="s">
        <v>434</v>
      </c>
      <c r="AF32">
        <v>0</v>
      </c>
      <c r="AG32">
        <v>0</v>
      </c>
      <c r="AI32">
        <v>0</v>
      </c>
      <c r="AJ32" t="s">
        <v>552</v>
      </c>
      <c r="AK32" t="s">
        <v>661</v>
      </c>
      <c r="AL32" t="s">
        <v>553</v>
      </c>
    </row>
    <row r="33" spans="1:38" x14ac:dyDescent="0.2">
      <c r="A33">
        <v>1235510</v>
      </c>
      <c r="B33">
        <v>6129692</v>
      </c>
      <c r="C33">
        <v>187514</v>
      </c>
      <c r="E33" t="b">
        <v>0</v>
      </c>
      <c r="F33">
        <v>44349</v>
      </c>
      <c r="G33" t="s">
        <v>698</v>
      </c>
      <c r="H33">
        <v>1</v>
      </c>
      <c r="I33" t="s">
        <v>699</v>
      </c>
      <c r="J33" t="s">
        <v>536</v>
      </c>
      <c r="K33" t="s">
        <v>537</v>
      </c>
      <c r="L33" t="s">
        <v>537</v>
      </c>
      <c r="M33" t="s">
        <v>700</v>
      </c>
      <c r="N33" t="s">
        <v>205</v>
      </c>
      <c r="O33" t="s">
        <v>442</v>
      </c>
      <c r="U33" t="s">
        <v>701</v>
      </c>
      <c r="V33" t="s">
        <v>702</v>
      </c>
      <c r="W33" t="s">
        <v>703</v>
      </c>
      <c r="X33" t="s">
        <v>538</v>
      </c>
      <c r="Y33" t="s">
        <v>549</v>
      </c>
      <c r="AB33" t="s">
        <v>661</v>
      </c>
      <c r="AD33" t="s">
        <v>241</v>
      </c>
      <c r="AE33" t="s">
        <v>434</v>
      </c>
      <c r="AF33">
        <v>0</v>
      </c>
      <c r="AG33">
        <v>0</v>
      </c>
      <c r="AI33">
        <v>0</v>
      </c>
      <c r="AJ33" t="s">
        <v>552</v>
      </c>
      <c r="AK33" t="s">
        <v>661</v>
      </c>
      <c r="AL33" t="s">
        <v>553</v>
      </c>
    </row>
    <row r="34" spans="1:38" x14ac:dyDescent="0.2">
      <c r="A34">
        <v>1235590</v>
      </c>
      <c r="B34">
        <v>7948956</v>
      </c>
      <c r="C34">
        <v>187514</v>
      </c>
      <c r="E34" t="b">
        <v>0</v>
      </c>
      <c r="F34">
        <v>70164</v>
      </c>
      <c r="G34" t="s">
        <v>704</v>
      </c>
      <c r="H34">
        <v>1</v>
      </c>
      <c r="I34" t="s">
        <v>705</v>
      </c>
      <c r="J34" t="s">
        <v>706</v>
      </c>
      <c r="K34" t="s">
        <v>537</v>
      </c>
      <c r="L34" t="s">
        <v>537</v>
      </c>
      <c r="M34" t="s">
        <v>707</v>
      </c>
      <c r="N34" t="s">
        <v>207</v>
      </c>
      <c r="O34" t="s">
        <v>206</v>
      </c>
      <c r="U34" t="s">
        <v>708</v>
      </c>
      <c r="X34" t="s">
        <v>538</v>
      </c>
      <c r="Y34" t="s">
        <v>116</v>
      </c>
      <c r="Z34" t="s">
        <v>550</v>
      </c>
      <c r="AD34" t="s">
        <v>242</v>
      </c>
      <c r="AE34" t="s">
        <v>434</v>
      </c>
      <c r="AJ34" t="s">
        <v>552</v>
      </c>
      <c r="AK34" t="s">
        <v>661</v>
      </c>
      <c r="AL34" t="s">
        <v>553</v>
      </c>
    </row>
    <row r="35" spans="1:38" x14ac:dyDescent="0.2">
      <c r="A35">
        <v>1235489</v>
      </c>
      <c r="B35">
        <v>7008912</v>
      </c>
      <c r="C35">
        <v>187510</v>
      </c>
      <c r="E35" t="b">
        <v>0</v>
      </c>
      <c r="F35">
        <v>53750</v>
      </c>
      <c r="G35" t="s">
        <v>709</v>
      </c>
      <c r="H35">
        <v>1</v>
      </c>
      <c r="I35" t="s">
        <v>710</v>
      </c>
      <c r="J35" t="s">
        <v>536</v>
      </c>
      <c r="K35" t="s">
        <v>535</v>
      </c>
      <c r="L35" t="s">
        <v>537</v>
      </c>
      <c r="M35" t="s">
        <v>711</v>
      </c>
      <c r="N35" t="s">
        <v>426</v>
      </c>
      <c r="O35" t="s">
        <v>428</v>
      </c>
      <c r="S35" t="s">
        <v>589</v>
      </c>
      <c r="U35" t="s">
        <v>712</v>
      </c>
      <c r="V35" t="s">
        <v>713</v>
      </c>
      <c r="W35" t="s">
        <v>444</v>
      </c>
      <c r="X35" t="s">
        <v>538</v>
      </c>
      <c r="Y35" t="s">
        <v>116</v>
      </c>
      <c r="Z35" t="s">
        <v>550</v>
      </c>
      <c r="AA35" t="s">
        <v>22</v>
      </c>
      <c r="AB35" t="s">
        <v>593</v>
      </c>
      <c r="AD35" t="s">
        <v>429</v>
      </c>
      <c r="AE35" t="s">
        <v>429</v>
      </c>
      <c r="AF35">
        <v>0</v>
      </c>
      <c r="AG35">
        <v>0</v>
      </c>
      <c r="AH35">
        <v>76.25</v>
      </c>
      <c r="AI35">
        <v>0</v>
      </c>
      <c r="AJ35" t="s">
        <v>552</v>
      </c>
      <c r="AK35" t="s">
        <v>593</v>
      </c>
      <c r="AL35" t="s">
        <v>553</v>
      </c>
    </row>
    <row r="36" spans="1:38" x14ac:dyDescent="0.2">
      <c r="A36">
        <v>1235508</v>
      </c>
      <c r="B36">
        <v>4996970</v>
      </c>
      <c r="C36">
        <v>187508</v>
      </c>
      <c r="E36" t="b">
        <v>0</v>
      </c>
      <c r="F36">
        <v>28336</v>
      </c>
      <c r="G36" t="s">
        <v>714</v>
      </c>
      <c r="H36">
        <v>1</v>
      </c>
      <c r="I36" t="s">
        <v>715</v>
      </c>
      <c r="J36" t="s">
        <v>536</v>
      </c>
      <c r="K36" t="s">
        <v>537</v>
      </c>
      <c r="L36" t="s">
        <v>537</v>
      </c>
      <c r="M36" t="s">
        <v>716</v>
      </c>
      <c r="N36" t="s">
        <v>717</v>
      </c>
      <c r="O36" t="s">
        <v>440</v>
      </c>
      <c r="U36" t="s">
        <v>718</v>
      </c>
      <c r="X36" t="s">
        <v>538</v>
      </c>
      <c r="Y36" t="s">
        <v>116</v>
      </c>
      <c r="Z36" t="s">
        <v>550</v>
      </c>
      <c r="AD36" t="s">
        <v>719</v>
      </c>
      <c r="AE36" t="s">
        <v>413</v>
      </c>
      <c r="AJ36" t="s">
        <v>552</v>
      </c>
      <c r="AK36" t="s">
        <v>551</v>
      </c>
      <c r="AL36" t="s">
        <v>553</v>
      </c>
    </row>
    <row r="37" spans="1:38" x14ac:dyDescent="0.2">
      <c r="A37">
        <v>1235777</v>
      </c>
      <c r="B37">
        <v>5034456</v>
      </c>
      <c r="C37">
        <v>187514</v>
      </c>
      <c r="E37" t="b">
        <v>0</v>
      </c>
      <c r="F37">
        <v>29273</v>
      </c>
      <c r="G37" t="s">
        <v>720</v>
      </c>
      <c r="H37">
        <v>1</v>
      </c>
      <c r="I37" t="s">
        <v>721</v>
      </c>
      <c r="J37" t="s">
        <v>536</v>
      </c>
      <c r="K37" t="s">
        <v>537</v>
      </c>
      <c r="L37" t="s">
        <v>537</v>
      </c>
      <c r="M37" t="s">
        <v>722</v>
      </c>
      <c r="N37" t="s">
        <v>208</v>
      </c>
      <c r="O37" t="s">
        <v>491</v>
      </c>
      <c r="S37" t="s">
        <v>675</v>
      </c>
      <c r="V37" t="s">
        <v>723</v>
      </c>
      <c r="W37" t="s">
        <v>724</v>
      </c>
      <c r="X37" t="s">
        <v>538</v>
      </c>
      <c r="Y37" t="s">
        <v>116</v>
      </c>
      <c r="Z37" t="s">
        <v>550</v>
      </c>
      <c r="AB37" t="s">
        <v>661</v>
      </c>
      <c r="AD37" t="s">
        <v>244</v>
      </c>
      <c r="AE37" t="s">
        <v>492</v>
      </c>
      <c r="AF37">
        <v>0</v>
      </c>
      <c r="AG37">
        <v>0</v>
      </c>
      <c r="AH37">
        <v>27.5</v>
      </c>
      <c r="AI37">
        <v>0</v>
      </c>
      <c r="AJ37" t="s">
        <v>552</v>
      </c>
      <c r="AK37" t="s">
        <v>661</v>
      </c>
      <c r="AL37" t="s">
        <v>553</v>
      </c>
    </row>
    <row r="38" spans="1:38" x14ac:dyDescent="0.2">
      <c r="A38">
        <v>1235400</v>
      </c>
      <c r="B38">
        <v>6119636</v>
      </c>
      <c r="C38">
        <v>187514</v>
      </c>
      <c r="E38" t="b">
        <v>0</v>
      </c>
      <c r="F38">
        <v>44172</v>
      </c>
      <c r="G38" t="s">
        <v>725</v>
      </c>
      <c r="H38">
        <v>1</v>
      </c>
      <c r="I38" t="s">
        <v>726</v>
      </c>
      <c r="J38" t="s">
        <v>536</v>
      </c>
      <c r="K38" t="s">
        <v>537</v>
      </c>
      <c r="L38" t="s">
        <v>537</v>
      </c>
      <c r="M38" t="s">
        <v>727</v>
      </c>
      <c r="N38" t="s">
        <v>209</v>
      </c>
      <c r="O38" t="s">
        <v>412</v>
      </c>
      <c r="U38" t="s">
        <v>728</v>
      </c>
      <c r="V38" t="s">
        <v>729</v>
      </c>
      <c r="W38" t="s">
        <v>703</v>
      </c>
      <c r="X38" t="s">
        <v>538</v>
      </c>
      <c r="Y38" t="s">
        <v>549</v>
      </c>
      <c r="AB38" t="s">
        <v>661</v>
      </c>
      <c r="AD38" t="s">
        <v>245</v>
      </c>
      <c r="AE38" t="s">
        <v>413</v>
      </c>
      <c r="AF38">
        <v>0</v>
      </c>
      <c r="AG38">
        <v>0</v>
      </c>
      <c r="AI38">
        <v>0</v>
      </c>
      <c r="AJ38" t="s">
        <v>552</v>
      </c>
      <c r="AK38" t="s">
        <v>661</v>
      </c>
      <c r="AL38" t="s">
        <v>553</v>
      </c>
    </row>
    <row r="39" spans="1:38" x14ac:dyDescent="0.2">
      <c r="A39">
        <v>1235661</v>
      </c>
      <c r="B39">
        <v>8074219</v>
      </c>
      <c r="C39">
        <v>187514</v>
      </c>
      <c r="E39" t="b">
        <v>0</v>
      </c>
      <c r="F39">
        <v>72769</v>
      </c>
      <c r="G39" t="s">
        <v>730</v>
      </c>
      <c r="H39">
        <v>1</v>
      </c>
      <c r="I39" t="s">
        <v>731</v>
      </c>
      <c r="J39" t="s">
        <v>536</v>
      </c>
      <c r="K39" t="s">
        <v>537</v>
      </c>
      <c r="L39" t="s">
        <v>537</v>
      </c>
      <c r="M39" t="s">
        <v>732</v>
      </c>
      <c r="N39" t="s">
        <v>210</v>
      </c>
      <c r="O39" t="s">
        <v>476</v>
      </c>
      <c r="S39" t="s">
        <v>675</v>
      </c>
      <c r="U39" t="s">
        <v>733</v>
      </c>
      <c r="V39" t="s">
        <v>734</v>
      </c>
      <c r="W39" t="s">
        <v>507</v>
      </c>
      <c r="X39" t="s">
        <v>538</v>
      </c>
      <c r="Y39" t="s">
        <v>549</v>
      </c>
      <c r="Z39" t="s">
        <v>550</v>
      </c>
      <c r="AB39" t="s">
        <v>661</v>
      </c>
      <c r="AD39" t="s">
        <v>246</v>
      </c>
      <c r="AE39" t="s">
        <v>413</v>
      </c>
      <c r="AF39">
        <v>0</v>
      </c>
      <c r="AG39">
        <v>0</v>
      </c>
      <c r="AH39">
        <v>0</v>
      </c>
      <c r="AI39">
        <v>0</v>
      </c>
      <c r="AJ39" t="s">
        <v>552</v>
      </c>
      <c r="AK39" t="s">
        <v>661</v>
      </c>
      <c r="AL39" t="s">
        <v>553</v>
      </c>
    </row>
    <row r="40" spans="1:38" x14ac:dyDescent="0.2">
      <c r="A40">
        <v>1235507</v>
      </c>
      <c r="B40">
        <v>8085736</v>
      </c>
      <c r="C40">
        <v>187514</v>
      </c>
      <c r="E40" t="b">
        <v>0</v>
      </c>
      <c r="F40">
        <v>72935</v>
      </c>
      <c r="G40" t="s">
        <v>735</v>
      </c>
      <c r="H40">
        <v>1</v>
      </c>
      <c r="I40" t="s">
        <v>736</v>
      </c>
      <c r="J40" t="s">
        <v>535</v>
      </c>
      <c r="K40" t="s">
        <v>535</v>
      </c>
      <c r="L40" t="s">
        <v>535</v>
      </c>
      <c r="M40" t="s">
        <v>737</v>
      </c>
      <c r="N40" t="s">
        <v>211</v>
      </c>
      <c r="O40" t="s">
        <v>439</v>
      </c>
      <c r="U40" t="s">
        <v>738</v>
      </c>
      <c r="V40" t="s">
        <v>739</v>
      </c>
      <c r="W40" t="s">
        <v>470</v>
      </c>
      <c r="X40" t="s">
        <v>538</v>
      </c>
      <c r="Y40" t="s">
        <v>549</v>
      </c>
      <c r="AB40" t="s">
        <v>661</v>
      </c>
      <c r="AD40" t="s">
        <v>247</v>
      </c>
      <c r="AE40" t="s">
        <v>413</v>
      </c>
      <c r="AF40">
        <v>0</v>
      </c>
      <c r="AG40">
        <v>0</v>
      </c>
      <c r="AI40">
        <v>0</v>
      </c>
      <c r="AJ40" t="s">
        <v>552</v>
      </c>
      <c r="AK40" t="s">
        <v>661</v>
      </c>
      <c r="AL40" t="s">
        <v>553</v>
      </c>
    </row>
    <row r="42" spans="1:38" x14ac:dyDescent="0.2">
      <c r="A42">
        <v>1235500</v>
      </c>
      <c r="B42">
        <v>8128420</v>
      </c>
      <c r="C42">
        <v>187514</v>
      </c>
      <c r="E42" t="b">
        <v>0</v>
      </c>
      <c r="F42">
        <v>73271</v>
      </c>
      <c r="G42" t="s">
        <v>740</v>
      </c>
      <c r="H42">
        <v>1</v>
      </c>
      <c r="I42" t="s">
        <v>741</v>
      </c>
      <c r="J42" t="s">
        <v>536</v>
      </c>
      <c r="K42" t="s">
        <v>535</v>
      </c>
      <c r="L42" t="s">
        <v>537</v>
      </c>
      <c r="M42" t="s">
        <v>742</v>
      </c>
      <c r="N42" t="s">
        <v>212</v>
      </c>
      <c r="O42" t="s">
        <v>431</v>
      </c>
      <c r="U42" t="s">
        <v>743</v>
      </c>
      <c r="V42" t="s">
        <v>744</v>
      </c>
      <c r="W42" t="s">
        <v>107</v>
      </c>
      <c r="X42" t="s">
        <v>538</v>
      </c>
      <c r="Y42" t="s">
        <v>116</v>
      </c>
      <c r="Z42" t="s">
        <v>550</v>
      </c>
      <c r="AB42" t="s">
        <v>661</v>
      </c>
      <c r="AD42" t="s">
        <v>248</v>
      </c>
      <c r="AE42" t="s">
        <v>413</v>
      </c>
      <c r="AF42">
        <v>0</v>
      </c>
      <c r="AG42">
        <v>0</v>
      </c>
      <c r="AH42">
        <v>0</v>
      </c>
      <c r="AI42">
        <v>0</v>
      </c>
      <c r="AJ42" t="s">
        <v>552</v>
      </c>
      <c r="AK42" t="s">
        <v>661</v>
      </c>
      <c r="AL42" t="s">
        <v>553</v>
      </c>
    </row>
    <row r="43" spans="1:38" x14ac:dyDescent="0.2">
      <c r="A43">
        <v>1235509</v>
      </c>
      <c r="B43">
        <v>6206718</v>
      </c>
      <c r="C43">
        <v>187514</v>
      </c>
      <c r="E43" t="b">
        <v>0</v>
      </c>
      <c r="F43">
        <v>46040</v>
      </c>
      <c r="G43" t="s">
        <v>745</v>
      </c>
      <c r="H43">
        <v>2</v>
      </c>
      <c r="I43" t="s">
        <v>746</v>
      </c>
      <c r="J43" t="s">
        <v>536</v>
      </c>
      <c r="K43" t="s">
        <v>537</v>
      </c>
      <c r="L43" t="s">
        <v>537</v>
      </c>
      <c r="M43" t="s">
        <v>747</v>
      </c>
      <c r="N43" t="s">
        <v>213</v>
      </c>
      <c r="O43" t="s">
        <v>441</v>
      </c>
      <c r="U43" t="s">
        <v>748</v>
      </c>
      <c r="V43" t="s">
        <v>749</v>
      </c>
      <c r="W43" t="s">
        <v>724</v>
      </c>
      <c r="X43" t="s">
        <v>538</v>
      </c>
      <c r="Y43" t="s">
        <v>549</v>
      </c>
      <c r="AB43" t="s">
        <v>661</v>
      </c>
      <c r="AD43" t="s">
        <v>249</v>
      </c>
      <c r="AE43" t="s">
        <v>413</v>
      </c>
      <c r="AF43">
        <v>0</v>
      </c>
      <c r="AG43">
        <v>0</v>
      </c>
      <c r="AI43">
        <v>0</v>
      </c>
      <c r="AJ43" t="s">
        <v>552</v>
      </c>
      <c r="AK43" t="s">
        <v>661</v>
      </c>
      <c r="AL43" t="s">
        <v>553</v>
      </c>
    </row>
    <row r="44" spans="1:38" x14ac:dyDescent="0.2">
      <c r="A44">
        <v>1235498</v>
      </c>
      <c r="B44">
        <v>4234901</v>
      </c>
      <c r="C44">
        <v>187508</v>
      </c>
      <c r="E44" t="b">
        <v>0</v>
      </c>
      <c r="F44">
        <v>24455</v>
      </c>
      <c r="G44" t="s">
        <v>750</v>
      </c>
      <c r="H44">
        <v>1</v>
      </c>
      <c r="I44" t="s">
        <v>751</v>
      </c>
      <c r="J44" t="s">
        <v>536</v>
      </c>
      <c r="K44" t="s">
        <v>537</v>
      </c>
      <c r="L44" t="s">
        <v>537</v>
      </c>
      <c r="M44" t="s">
        <v>752</v>
      </c>
      <c r="N44" t="s">
        <v>214</v>
      </c>
      <c r="O44" t="s">
        <v>430</v>
      </c>
      <c r="S44" t="s">
        <v>753</v>
      </c>
      <c r="U44" t="s">
        <v>754</v>
      </c>
      <c r="V44" t="s">
        <v>755</v>
      </c>
      <c r="W44" t="s">
        <v>756</v>
      </c>
      <c r="X44" t="s">
        <v>538</v>
      </c>
      <c r="Y44" t="s">
        <v>116</v>
      </c>
      <c r="Z44" t="s">
        <v>550</v>
      </c>
      <c r="AB44" t="s">
        <v>551</v>
      </c>
      <c r="AD44" t="s">
        <v>250</v>
      </c>
      <c r="AE44" t="s">
        <v>413</v>
      </c>
      <c r="AF44">
        <v>0</v>
      </c>
      <c r="AG44">
        <v>0</v>
      </c>
      <c r="AH44">
        <v>68</v>
      </c>
      <c r="AI44">
        <v>0</v>
      </c>
      <c r="AJ44" t="s">
        <v>552</v>
      </c>
      <c r="AK44" t="s">
        <v>551</v>
      </c>
      <c r="AL44" t="s">
        <v>553</v>
      </c>
    </row>
    <row r="45" spans="1:38" x14ac:dyDescent="0.2">
      <c r="A45">
        <v>1235401</v>
      </c>
      <c r="B45">
        <v>6140648</v>
      </c>
      <c r="C45">
        <v>187514</v>
      </c>
      <c r="E45" t="b">
        <v>0</v>
      </c>
      <c r="F45">
        <v>44618</v>
      </c>
      <c r="G45" t="s">
        <v>757</v>
      </c>
      <c r="H45">
        <v>1</v>
      </c>
      <c r="I45" t="s">
        <v>758</v>
      </c>
      <c r="J45" t="s">
        <v>536</v>
      </c>
      <c r="K45" t="s">
        <v>537</v>
      </c>
      <c r="L45" t="s">
        <v>537</v>
      </c>
      <c r="M45" t="s">
        <v>759</v>
      </c>
      <c r="N45" t="s">
        <v>215</v>
      </c>
      <c r="O45" t="s">
        <v>414</v>
      </c>
      <c r="P45" t="s">
        <v>115</v>
      </c>
      <c r="U45" t="s">
        <v>760</v>
      </c>
      <c r="V45" t="s">
        <v>761</v>
      </c>
      <c r="W45" t="s">
        <v>166</v>
      </c>
      <c r="X45" t="s">
        <v>538</v>
      </c>
      <c r="Y45" t="s">
        <v>116</v>
      </c>
      <c r="AB45" t="s">
        <v>661</v>
      </c>
      <c r="AD45" t="s">
        <v>251</v>
      </c>
      <c r="AE45" t="s">
        <v>413</v>
      </c>
      <c r="AF45">
        <v>0</v>
      </c>
      <c r="AG45">
        <v>0</v>
      </c>
      <c r="AI45">
        <v>0</v>
      </c>
      <c r="AJ45" t="s">
        <v>552</v>
      </c>
      <c r="AK45" t="s">
        <v>661</v>
      </c>
      <c r="AL45" t="s">
        <v>553</v>
      </c>
    </row>
    <row r="46" spans="1:38" x14ac:dyDescent="0.2">
      <c r="A46">
        <v>1235402</v>
      </c>
      <c r="B46">
        <v>8128495</v>
      </c>
      <c r="C46">
        <v>187514</v>
      </c>
      <c r="E46" t="b">
        <v>0</v>
      </c>
      <c r="F46">
        <v>73279</v>
      </c>
      <c r="G46" t="s">
        <v>762</v>
      </c>
      <c r="H46">
        <v>1</v>
      </c>
      <c r="I46" t="s">
        <v>763</v>
      </c>
      <c r="J46" t="s">
        <v>536</v>
      </c>
      <c r="K46" t="s">
        <v>537</v>
      </c>
      <c r="L46" t="s">
        <v>537</v>
      </c>
      <c r="M46" t="s">
        <v>764</v>
      </c>
      <c r="N46" t="s">
        <v>216</v>
      </c>
      <c r="O46" t="s">
        <v>416</v>
      </c>
      <c r="P46" t="s">
        <v>115</v>
      </c>
      <c r="U46" t="s">
        <v>765</v>
      </c>
      <c r="V46" t="s">
        <v>766</v>
      </c>
      <c r="W46" t="s">
        <v>107</v>
      </c>
      <c r="X46" t="s">
        <v>538</v>
      </c>
      <c r="Y46" t="s">
        <v>116</v>
      </c>
      <c r="Z46" t="s">
        <v>550</v>
      </c>
      <c r="AB46" t="s">
        <v>661</v>
      </c>
      <c r="AD46" t="s">
        <v>252</v>
      </c>
      <c r="AE46" t="s">
        <v>413</v>
      </c>
      <c r="AF46">
        <v>0</v>
      </c>
      <c r="AG46">
        <v>0</v>
      </c>
      <c r="AH46">
        <v>0</v>
      </c>
      <c r="AI46">
        <v>0</v>
      </c>
      <c r="AJ46" t="s">
        <v>552</v>
      </c>
      <c r="AK46" t="s">
        <v>661</v>
      </c>
      <c r="AL46" t="s">
        <v>553</v>
      </c>
    </row>
    <row r="47" spans="1:38" x14ac:dyDescent="0.2">
      <c r="A47">
        <v>1235610</v>
      </c>
      <c r="B47">
        <v>3518992</v>
      </c>
      <c r="E47" t="b">
        <v>0</v>
      </c>
      <c r="F47">
        <v>7771</v>
      </c>
      <c r="G47" t="s">
        <v>767</v>
      </c>
      <c r="H47">
        <v>1</v>
      </c>
      <c r="I47" t="s">
        <v>768</v>
      </c>
      <c r="J47" t="s">
        <v>536</v>
      </c>
      <c r="K47" t="s">
        <v>535</v>
      </c>
      <c r="L47" t="s">
        <v>537</v>
      </c>
      <c r="M47" t="s">
        <v>769</v>
      </c>
      <c r="N47" t="s">
        <v>222</v>
      </c>
      <c r="O47" t="s">
        <v>221</v>
      </c>
      <c r="P47" t="s">
        <v>460</v>
      </c>
      <c r="S47" t="s">
        <v>581</v>
      </c>
      <c r="V47" t="s">
        <v>770</v>
      </c>
      <c r="W47" t="s">
        <v>444</v>
      </c>
      <c r="X47" t="s">
        <v>538</v>
      </c>
      <c r="Y47" t="s">
        <v>116</v>
      </c>
      <c r="Z47" t="s">
        <v>550</v>
      </c>
      <c r="AD47" t="s">
        <v>220</v>
      </c>
      <c r="AE47" t="s">
        <v>461</v>
      </c>
      <c r="AF47">
        <v>0</v>
      </c>
      <c r="AG47">
        <v>0</v>
      </c>
      <c r="AH47">
        <v>41</v>
      </c>
      <c r="AI47">
        <v>0</v>
      </c>
      <c r="AJ47" t="s">
        <v>771</v>
      </c>
    </row>
    <row r="49" spans="1:38" x14ac:dyDescent="0.2">
      <c r="A49">
        <v>1235673</v>
      </c>
      <c r="B49">
        <v>7098933</v>
      </c>
      <c r="C49">
        <v>187514</v>
      </c>
      <c r="E49" t="b">
        <v>0</v>
      </c>
      <c r="F49">
        <v>55608</v>
      </c>
      <c r="G49" t="s">
        <v>772</v>
      </c>
      <c r="H49">
        <v>1</v>
      </c>
      <c r="I49" t="s">
        <v>773</v>
      </c>
      <c r="J49" t="s">
        <v>536</v>
      </c>
      <c r="K49" t="s">
        <v>537</v>
      </c>
      <c r="L49" t="s">
        <v>537</v>
      </c>
      <c r="M49" t="s">
        <v>774</v>
      </c>
      <c r="N49" t="s">
        <v>329</v>
      </c>
      <c r="O49" t="s">
        <v>477</v>
      </c>
      <c r="U49" t="s">
        <v>775</v>
      </c>
      <c r="V49" t="s">
        <v>776</v>
      </c>
      <c r="W49" t="s">
        <v>107</v>
      </c>
      <c r="X49" t="s">
        <v>538</v>
      </c>
      <c r="Y49" t="s">
        <v>549</v>
      </c>
      <c r="Z49" t="s">
        <v>550</v>
      </c>
      <c r="AB49" t="s">
        <v>661</v>
      </c>
      <c r="AD49" t="s">
        <v>328</v>
      </c>
      <c r="AE49" t="s">
        <v>446</v>
      </c>
      <c r="AF49">
        <v>0</v>
      </c>
      <c r="AG49">
        <v>0</v>
      </c>
      <c r="AH49">
        <v>27.5</v>
      </c>
      <c r="AI49">
        <v>0</v>
      </c>
      <c r="AJ49" t="s">
        <v>552</v>
      </c>
      <c r="AK49" t="s">
        <v>661</v>
      </c>
      <c r="AL49" t="s">
        <v>553</v>
      </c>
    </row>
    <row r="50" spans="1:38" x14ac:dyDescent="0.2">
      <c r="A50">
        <v>1235526</v>
      </c>
      <c r="B50">
        <v>6917566</v>
      </c>
      <c r="C50">
        <v>187514</v>
      </c>
      <c r="E50" t="b">
        <v>0</v>
      </c>
      <c r="F50">
        <v>51875</v>
      </c>
      <c r="G50" t="s">
        <v>777</v>
      </c>
      <c r="H50">
        <v>1</v>
      </c>
      <c r="I50" t="s">
        <v>778</v>
      </c>
      <c r="J50" t="s">
        <v>536</v>
      </c>
      <c r="K50" t="s">
        <v>537</v>
      </c>
      <c r="L50" t="s">
        <v>537</v>
      </c>
      <c r="M50" t="s">
        <v>779</v>
      </c>
      <c r="N50" t="s">
        <v>217</v>
      </c>
      <c r="O50" t="s">
        <v>445</v>
      </c>
      <c r="U50" t="s">
        <v>780</v>
      </c>
      <c r="V50" t="s">
        <v>781</v>
      </c>
      <c r="W50" t="s">
        <v>458</v>
      </c>
      <c r="X50" t="s">
        <v>538</v>
      </c>
      <c r="Y50" t="s">
        <v>549</v>
      </c>
      <c r="AB50" t="s">
        <v>661</v>
      </c>
      <c r="AD50" t="s">
        <v>253</v>
      </c>
      <c r="AE50" t="s">
        <v>446</v>
      </c>
      <c r="AF50">
        <v>0</v>
      </c>
      <c r="AG50">
        <v>0</v>
      </c>
      <c r="AI50">
        <v>0</v>
      </c>
      <c r="AJ50" t="s">
        <v>552</v>
      </c>
      <c r="AK50" t="s">
        <v>661</v>
      </c>
      <c r="AL50" t="s">
        <v>553</v>
      </c>
    </row>
    <row r="51" spans="1:38" x14ac:dyDescent="0.2">
      <c r="A51">
        <v>2635568</v>
      </c>
      <c r="B51">
        <v>7621062</v>
      </c>
      <c r="C51">
        <v>187514</v>
      </c>
      <c r="E51" t="b">
        <v>0</v>
      </c>
      <c r="F51">
        <v>64450</v>
      </c>
      <c r="G51" t="s">
        <v>782</v>
      </c>
      <c r="H51">
        <v>1</v>
      </c>
      <c r="I51" t="s">
        <v>783</v>
      </c>
      <c r="J51" t="s">
        <v>535</v>
      </c>
      <c r="K51" t="s">
        <v>535</v>
      </c>
      <c r="L51" t="s">
        <v>535</v>
      </c>
      <c r="M51" t="s">
        <v>784</v>
      </c>
      <c r="N51" t="s">
        <v>218</v>
      </c>
      <c r="O51" t="s">
        <v>505</v>
      </c>
      <c r="U51" t="s">
        <v>785</v>
      </c>
      <c r="V51" t="s">
        <v>786</v>
      </c>
      <c r="W51" t="s">
        <v>498</v>
      </c>
      <c r="X51" t="s">
        <v>538</v>
      </c>
      <c r="Y51" t="s">
        <v>415</v>
      </c>
      <c r="Z51" t="s">
        <v>550</v>
      </c>
      <c r="AB51" t="s">
        <v>661</v>
      </c>
      <c r="AD51" t="s">
        <v>254</v>
      </c>
      <c r="AE51" t="s">
        <v>446</v>
      </c>
      <c r="AF51">
        <v>0</v>
      </c>
      <c r="AG51">
        <v>0</v>
      </c>
      <c r="AH51">
        <v>27.5</v>
      </c>
      <c r="AI51">
        <v>0</v>
      </c>
      <c r="AJ51" t="s">
        <v>552</v>
      </c>
      <c r="AK51" t="s">
        <v>661</v>
      </c>
      <c r="AL51" t="s">
        <v>553</v>
      </c>
    </row>
    <row r="52" spans="1:38" x14ac:dyDescent="0.2">
      <c r="A52">
        <v>1235345</v>
      </c>
      <c r="B52">
        <v>7865996</v>
      </c>
      <c r="C52">
        <v>7654931</v>
      </c>
      <c r="E52" t="b">
        <v>0</v>
      </c>
      <c r="F52">
        <v>68489</v>
      </c>
      <c r="G52" t="s">
        <v>787</v>
      </c>
      <c r="H52">
        <v>1</v>
      </c>
      <c r="I52" t="s">
        <v>788</v>
      </c>
      <c r="J52" t="s">
        <v>536</v>
      </c>
      <c r="K52" t="s">
        <v>537</v>
      </c>
      <c r="L52" t="s">
        <v>537</v>
      </c>
      <c r="M52" t="s">
        <v>789</v>
      </c>
      <c r="N52" t="s">
        <v>184</v>
      </c>
      <c r="O52" t="s">
        <v>184</v>
      </c>
      <c r="P52" t="s">
        <v>407</v>
      </c>
      <c r="S52" t="s">
        <v>790</v>
      </c>
      <c r="U52" t="s">
        <v>791</v>
      </c>
      <c r="V52" t="s">
        <v>792</v>
      </c>
      <c r="W52" t="s">
        <v>793</v>
      </c>
      <c r="X52" t="s">
        <v>538</v>
      </c>
      <c r="Y52" t="s">
        <v>116</v>
      </c>
      <c r="Z52" t="s">
        <v>794</v>
      </c>
      <c r="AB52" t="s">
        <v>576</v>
      </c>
      <c r="AD52" t="s">
        <v>183</v>
      </c>
      <c r="AE52" t="s">
        <v>408</v>
      </c>
      <c r="AF52">
        <v>0</v>
      </c>
      <c r="AG52">
        <v>0</v>
      </c>
      <c r="AH52">
        <v>117.75</v>
      </c>
      <c r="AI52">
        <v>0</v>
      </c>
      <c r="AJ52" t="s">
        <v>552</v>
      </c>
      <c r="AK52" t="s">
        <v>576</v>
      </c>
      <c r="AL52" t="s">
        <v>795</v>
      </c>
    </row>
    <row r="53" spans="1:38" x14ac:dyDescent="0.2">
      <c r="A53">
        <v>1235444</v>
      </c>
      <c r="B53">
        <v>7855800</v>
      </c>
      <c r="C53">
        <v>187508</v>
      </c>
      <c r="E53" t="b">
        <v>0</v>
      </c>
      <c r="F53">
        <v>68290</v>
      </c>
      <c r="G53" t="s">
        <v>796</v>
      </c>
      <c r="H53">
        <v>1</v>
      </c>
      <c r="I53" t="s">
        <v>797</v>
      </c>
      <c r="J53" t="s">
        <v>536</v>
      </c>
      <c r="K53" t="s">
        <v>535</v>
      </c>
      <c r="L53" t="s">
        <v>537</v>
      </c>
      <c r="M53" t="s">
        <v>798</v>
      </c>
      <c r="N53" t="s">
        <v>188</v>
      </c>
      <c r="O53" t="s">
        <v>187</v>
      </c>
      <c r="P53" t="s">
        <v>115</v>
      </c>
      <c r="S53" t="s">
        <v>589</v>
      </c>
      <c r="U53" t="s">
        <v>799</v>
      </c>
      <c r="V53" t="s">
        <v>800</v>
      </c>
      <c r="W53" t="s">
        <v>444</v>
      </c>
      <c r="X53" t="s">
        <v>538</v>
      </c>
      <c r="Y53" t="s">
        <v>549</v>
      </c>
      <c r="Z53" t="s">
        <v>550</v>
      </c>
      <c r="AB53" t="s">
        <v>551</v>
      </c>
      <c r="AD53" t="s">
        <v>425</v>
      </c>
      <c r="AE53" t="s">
        <v>801</v>
      </c>
      <c r="AF53">
        <v>0</v>
      </c>
      <c r="AG53">
        <v>0</v>
      </c>
      <c r="AH53">
        <v>102</v>
      </c>
      <c r="AI53">
        <v>0</v>
      </c>
      <c r="AJ53" t="s">
        <v>552</v>
      </c>
      <c r="AK53" t="s">
        <v>551</v>
      </c>
      <c r="AL53" t="s">
        <v>553</v>
      </c>
    </row>
    <row r="54" spans="1:38" x14ac:dyDescent="0.2">
      <c r="A54">
        <v>1235564</v>
      </c>
      <c r="B54">
        <v>7890061</v>
      </c>
      <c r="C54">
        <v>187508</v>
      </c>
      <c r="E54" t="b">
        <v>0</v>
      </c>
      <c r="F54">
        <v>69031</v>
      </c>
      <c r="G54" t="s">
        <v>802</v>
      </c>
      <c r="H54">
        <v>1</v>
      </c>
      <c r="I54" t="s">
        <v>803</v>
      </c>
      <c r="J54" t="s">
        <v>536</v>
      </c>
      <c r="K54" t="s">
        <v>535</v>
      </c>
      <c r="L54" t="s">
        <v>537</v>
      </c>
      <c r="M54" t="s">
        <v>804</v>
      </c>
      <c r="N54" t="s">
        <v>193</v>
      </c>
      <c r="O54" t="s">
        <v>192</v>
      </c>
      <c r="S54" t="s">
        <v>805</v>
      </c>
      <c r="U54" t="s">
        <v>806</v>
      </c>
      <c r="V54" t="s">
        <v>807</v>
      </c>
      <c r="W54" t="s">
        <v>444</v>
      </c>
      <c r="X54" t="s">
        <v>538</v>
      </c>
      <c r="Y54" t="s">
        <v>549</v>
      </c>
      <c r="Z54" t="s">
        <v>550</v>
      </c>
      <c r="AB54" t="s">
        <v>551</v>
      </c>
      <c r="AD54" t="s">
        <v>191</v>
      </c>
      <c r="AE54" t="s">
        <v>456</v>
      </c>
      <c r="AF54">
        <v>0</v>
      </c>
      <c r="AG54">
        <v>0</v>
      </c>
      <c r="AH54">
        <v>75</v>
      </c>
      <c r="AI54">
        <v>0</v>
      </c>
      <c r="AJ54" t="s">
        <v>552</v>
      </c>
      <c r="AK54" t="s">
        <v>551</v>
      </c>
      <c r="AL54" t="s">
        <v>553</v>
      </c>
    </row>
    <row r="55" spans="1:38" x14ac:dyDescent="0.2">
      <c r="A55">
        <v>1235501</v>
      </c>
      <c r="B55">
        <v>8010165</v>
      </c>
      <c r="C55">
        <v>187508</v>
      </c>
      <c r="E55" t="b">
        <v>0</v>
      </c>
      <c r="F55">
        <v>71410</v>
      </c>
      <c r="G55" t="s">
        <v>808</v>
      </c>
      <c r="H55">
        <v>1</v>
      </c>
      <c r="I55" t="s">
        <v>809</v>
      </c>
      <c r="J55" t="s">
        <v>536</v>
      </c>
      <c r="K55" t="s">
        <v>535</v>
      </c>
      <c r="L55" t="s">
        <v>537</v>
      </c>
      <c r="M55" t="s">
        <v>810</v>
      </c>
      <c r="N55" t="s">
        <v>196</v>
      </c>
      <c r="O55" t="s">
        <v>195</v>
      </c>
      <c r="P55" t="s">
        <v>415</v>
      </c>
      <c r="S55" t="s">
        <v>589</v>
      </c>
      <c r="U55" t="s">
        <v>627</v>
      </c>
      <c r="V55" t="s">
        <v>811</v>
      </c>
      <c r="W55" t="s">
        <v>444</v>
      </c>
      <c r="X55" t="s">
        <v>538</v>
      </c>
      <c r="Y55" t="s">
        <v>549</v>
      </c>
      <c r="Z55" t="s">
        <v>550</v>
      </c>
      <c r="AB55" t="s">
        <v>551</v>
      </c>
      <c r="AD55" t="s">
        <v>194</v>
      </c>
      <c r="AE55" t="s">
        <v>432</v>
      </c>
      <c r="AF55">
        <v>0</v>
      </c>
      <c r="AG55">
        <v>0</v>
      </c>
      <c r="AH55">
        <v>75</v>
      </c>
      <c r="AI55">
        <v>0</v>
      </c>
      <c r="AJ55" t="s">
        <v>552</v>
      </c>
      <c r="AK55" t="s">
        <v>551</v>
      </c>
      <c r="AL55" t="s">
        <v>553</v>
      </c>
    </row>
    <row r="56" spans="1:38" x14ac:dyDescent="0.2">
      <c r="A56">
        <v>1235704</v>
      </c>
      <c r="B56">
        <v>8031653</v>
      </c>
      <c r="C56">
        <v>187514</v>
      </c>
      <c r="E56" t="b">
        <v>0</v>
      </c>
      <c r="F56">
        <v>71907</v>
      </c>
      <c r="G56" t="s">
        <v>812</v>
      </c>
      <c r="H56">
        <v>1</v>
      </c>
      <c r="I56" t="s">
        <v>813</v>
      </c>
      <c r="J56" t="s">
        <v>536</v>
      </c>
      <c r="K56" t="s">
        <v>537</v>
      </c>
      <c r="L56" t="s">
        <v>537</v>
      </c>
      <c r="M56" t="s">
        <v>814</v>
      </c>
      <c r="N56" t="s">
        <v>262</v>
      </c>
      <c r="O56" t="s">
        <v>483</v>
      </c>
      <c r="S56" t="s">
        <v>675</v>
      </c>
      <c r="U56" t="s">
        <v>815</v>
      </c>
      <c r="V56" t="s">
        <v>816</v>
      </c>
      <c r="W56" t="s">
        <v>377</v>
      </c>
      <c r="X56" t="s">
        <v>538</v>
      </c>
      <c r="Y56" t="s">
        <v>415</v>
      </c>
      <c r="Z56" t="s">
        <v>550</v>
      </c>
      <c r="AB56" t="s">
        <v>661</v>
      </c>
      <c r="AD56" t="s">
        <v>261</v>
      </c>
      <c r="AE56" t="s">
        <v>261</v>
      </c>
      <c r="AF56">
        <v>0</v>
      </c>
      <c r="AG56">
        <v>0</v>
      </c>
      <c r="AH56">
        <v>27.5</v>
      </c>
      <c r="AI56">
        <v>0</v>
      </c>
      <c r="AJ56" t="s">
        <v>552</v>
      </c>
      <c r="AK56" t="s">
        <v>661</v>
      </c>
      <c r="AL56" t="s">
        <v>553</v>
      </c>
    </row>
    <row r="57" spans="1:38" x14ac:dyDescent="0.2">
      <c r="A57">
        <v>1235563</v>
      </c>
      <c r="B57">
        <v>7009411</v>
      </c>
      <c r="C57">
        <v>7589603</v>
      </c>
      <c r="E57" t="b">
        <v>0</v>
      </c>
      <c r="F57">
        <v>53782</v>
      </c>
      <c r="G57" t="s">
        <v>817</v>
      </c>
      <c r="H57">
        <v>1</v>
      </c>
      <c r="I57" t="s">
        <v>818</v>
      </c>
      <c r="J57" t="s">
        <v>536</v>
      </c>
      <c r="K57" t="s">
        <v>535</v>
      </c>
      <c r="L57" t="s">
        <v>537</v>
      </c>
      <c r="M57" t="s">
        <v>819</v>
      </c>
      <c r="N57" t="s">
        <v>228</v>
      </c>
      <c r="O57" t="s">
        <v>228</v>
      </c>
      <c r="P57" t="s">
        <v>453</v>
      </c>
      <c r="S57" t="s">
        <v>581</v>
      </c>
      <c r="U57" t="s">
        <v>820</v>
      </c>
      <c r="V57" t="s">
        <v>821</v>
      </c>
      <c r="W57" t="s">
        <v>444</v>
      </c>
      <c r="X57" t="s">
        <v>538</v>
      </c>
      <c r="Y57" t="s">
        <v>116</v>
      </c>
      <c r="Z57" t="s">
        <v>550</v>
      </c>
      <c r="AB57" t="s">
        <v>576</v>
      </c>
      <c r="AD57" t="s">
        <v>454</v>
      </c>
      <c r="AE57" t="s">
        <v>455</v>
      </c>
      <c r="AF57">
        <v>0</v>
      </c>
      <c r="AG57">
        <v>0</v>
      </c>
      <c r="AH57">
        <v>46</v>
      </c>
      <c r="AI57">
        <v>0</v>
      </c>
      <c r="AJ57" t="s">
        <v>552</v>
      </c>
      <c r="AK57" t="s">
        <v>576</v>
      </c>
      <c r="AL57" t="s">
        <v>585</v>
      </c>
    </row>
    <row r="58" spans="1:38" x14ac:dyDescent="0.2">
      <c r="A58">
        <v>1235428</v>
      </c>
      <c r="B58">
        <v>3934094</v>
      </c>
      <c r="C58">
        <v>7589603</v>
      </c>
      <c r="E58" t="b">
        <v>0</v>
      </c>
      <c r="F58">
        <v>17702</v>
      </c>
      <c r="G58" t="s">
        <v>822</v>
      </c>
      <c r="H58">
        <v>1</v>
      </c>
      <c r="I58" t="s">
        <v>823</v>
      </c>
      <c r="J58" t="s">
        <v>536</v>
      </c>
      <c r="K58" t="s">
        <v>537</v>
      </c>
      <c r="L58" t="s">
        <v>537</v>
      </c>
      <c r="M58" t="s">
        <v>824</v>
      </c>
      <c r="N58" t="s">
        <v>229</v>
      </c>
      <c r="O58" t="s">
        <v>229</v>
      </c>
      <c r="P58" t="s">
        <v>756</v>
      </c>
      <c r="S58" t="s">
        <v>581</v>
      </c>
      <c r="V58" t="s">
        <v>825</v>
      </c>
      <c r="W58" t="s">
        <v>444</v>
      </c>
      <c r="X58" t="s">
        <v>538</v>
      </c>
      <c r="Y58" t="s">
        <v>116</v>
      </c>
      <c r="Z58" t="s">
        <v>550</v>
      </c>
      <c r="AB58" t="s">
        <v>576</v>
      </c>
      <c r="AD58" t="s">
        <v>826</v>
      </c>
      <c r="AE58" t="s">
        <v>827</v>
      </c>
      <c r="AF58">
        <v>0</v>
      </c>
      <c r="AG58">
        <v>0</v>
      </c>
      <c r="AH58">
        <v>41</v>
      </c>
      <c r="AI58">
        <v>0</v>
      </c>
      <c r="AJ58" t="s">
        <v>552</v>
      </c>
      <c r="AK58" t="s">
        <v>576</v>
      </c>
      <c r="AL58" t="s">
        <v>585</v>
      </c>
    </row>
    <row r="59" spans="1:38" x14ac:dyDescent="0.2">
      <c r="A59">
        <v>2822437</v>
      </c>
    </row>
    <row r="60" spans="1:38" x14ac:dyDescent="0.2">
      <c r="A60">
        <v>1235598</v>
      </c>
      <c r="B60">
        <v>7490110</v>
      </c>
      <c r="C60">
        <v>7589602</v>
      </c>
      <c r="E60" t="b">
        <v>0</v>
      </c>
      <c r="F60">
        <v>61175</v>
      </c>
      <c r="G60" t="s">
        <v>828</v>
      </c>
      <c r="H60">
        <v>1</v>
      </c>
      <c r="I60" t="s">
        <v>829</v>
      </c>
      <c r="J60" t="s">
        <v>536</v>
      </c>
      <c r="K60" t="s">
        <v>535</v>
      </c>
      <c r="L60" t="s">
        <v>537</v>
      </c>
      <c r="M60" t="s">
        <v>830</v>
      </c>
      <c r="N60" t="s">
        <v>185</v>
      </c>
      <c r="O60" t="s">
        <v>185</v>
      </c>
      <c r="P60" t="s">
        <v>444</v>
      </c>
      <c r="S60" t="s">
        <v>589</v>
      </c>
      <c r="U60" t="s">
        <v>831</v>
      </c>
      <c r="V60" t="s">
        <v>832</v>
      </c>
      <c r="W60" t="s">
        <v>444</v>
      </c>
      <c r="X60" t="s">
        <v>538</v>
      </c>
      <c r="Y60" t="s">
        <v>116</v>
      </c>
      <c r="Z60" t="s">
        <v>550</v>
      </c>
      <c r="AA60" t="s">
        <v>22</v>
      </c>
      <c r="AB60" t="s">
        <v>593</v>
      </c>
      <c r="AD60" t="s">
        <v>459</v>
      </c>
      <c r="AE60" t="s">
        <v>459</v>
      </c>
      <c r="AF60">
        <v>0</v>
      </c>
      <c r="AG60">
        <v>0</v>
      </c>
      <c r="AH60">
        <v>76.25</v>
      </c>
      <c r="AI60">
        <v>0</v>
      </c>
      <c r="AJ60" t="s">
        <v>552</v>
      </c>
      <c r="AK60" t="s">
        <v>593</v>
      </c>
      <c r="AL60" t="s">
        <v>585</v>
      </c>
    </row>
    <row r="61" spans="1:38" x14ac:dyDescent="0.2">
      <c r="A61">
        <v>1235517</v>
      </c>
      <c r="B61">
        <v>6829128</v>
      </c>
      <c r="C61">
        <v>187510</v>
      </c>
      <c r="E61" t="b">
        <v>0</v>
      </c>
      <c r="F61">
        <v>50907</v>
      </c>
      <c r="G61" t="s">
        <v>833</v>
      </c>
      <c r="H61">
        <v>1</v>
      </c>
      <c r="I61" t="s">
        <v>834</v>
      </c>
      <c r="J61" t="s">
        <v>536</v>
      </c>
      <c r="K61" t="s">
        <v>535</v>
      </c>
      <c r="L61" t="s">
        <v>537</v>
      </c>
      <c r="M61" t="s">
        <v>835</v>
      </c>
      <c r="N61" t="s">
        <v>186</v>
      </c>
      <c r="O61" t="s">
        <v>186</v>
      </c>
      <c r="P61" t="s">
        <v>107</v>
      </c>
      <c r="S61" t="s">
        <v>589</v>
      </c>
      <c r="U61" t="s">
        <v>836</v>
      </c>
      <c r="V61" t="s">
        <v>837</v>
      </c>
      <c r="W61" t="s">
        <v>444</v>
      </c>
      <c r="X61" t="s">
        <v>538</v>
      </c>
      <c r="Y61" t="s">
        <v>116</v>
      </c>
      <c r="Z61" t="s">
        <v>550</v>
      </c>
      <c r="AA61" t="s">
        <v>22</v>
      </c>
      <c r="AB61" t="s">
        <v>593</v>
      </c>
      <c r="AD61" t="s">
        <v>838</v>
      </c>
      <c r="AE61" t="s">
        <v>838</v>
      </c>
      <c r="AF61">
        <v>0</v>
      </c>
      <c r="AG61">
        <v>0</v>
      </c>
      <c r="AH61">
        <v>74.75</v>
      </c>
      <c r="AI61">
        <v>0</v>
      </c>
      <c r="AJ61" t="s">
        <v>552</v>
      </c>
      <c r="AK61" t="s">
        <v>593</v>
      </c>
      <c r="AL61" t="s">
        <v>553</v>
      </c>
    </row>
    <row r="62" spans="1:38" x14ac:dyDescent="0.2">
      <c r="A62">
        <v>2822784</v>
      </c>
      <c r="B62">
        <v>8069275</v>
      </c>
      <c r="E62" t="b">
        <v>0</v>
      </c>
      <c r="F62">
        <v>72690</v>
      </c>
      <c r="G62" t="s">
        <v>839</v>
      </c>
      <c r="H62">
        <v>1</v>
      </c>
      <c r="I62" t="s">
        <v>840</v>
      </c>
      <c r="J62" t="s">
        <v>536</v>
      </c>
      <c r="K62" t="s">
        <v>537</v>
      </c>
      <c r="L62" t="s">
        <v>537</v>
      </c>
      <c r="M62" t="s">
        <v>841</v>
      </c>
      <c r="N62" t="s">
        <v>509</v>
      </c>
      <c r="O62" t="s">
        <v>509</v>
      </c>
      <c r="P62" t="s">
        <v>148</v>
      </c>
      <c r="S62" t="s">
        <v>842</v>
      </c>
      <c r="V62" t="s">
        <v>843</v>
      </c>
      <c r="W62" t="s">
        <v>444</v>
      </c>
      <c r="X62" t="s">
        <v>538</v>
      </c>
      <c r="Y62" t="s">
        <v>584</v>
      </c>
      <c r="Z62" t="s">
        <v>550</v>
      </c>
      <c r="AA62" t="s">
        <v>22</v>
      </c>
      <c r="AD62" t="s">
        <v>510</v>
      </c>
      <c r="AE62" t="s">
        <v>510</v>
      </c>
      <c r="AF62">
        <v>0</v>
      </c>
      <c r="AG62">
        <v>0</v>
      </c>
      <c r="AH62">
        <v>76.25</v>
      </c>
      <c r="AI62">
        <v>0</v>
      </c>
      <c r="AJ62" t="s">
        <v>552</v>
      </c>
    </row>
    <row r="63" spans="1:38" x14ac:dyDescent="0.2">
      <c r="A63">
        <v>1235416</v>
      </c>
      <c r="B63">
        <v>7618351</v>
      </c>
      <c r="C63">
        <v>187510</v>
      </c>
      <c r="E63" t="b">
        <v>0</v>
      </c>
      <c r="F63">
        <v>64375</v>
      </c>
      <c r="G63" t="s">
        <v>844</v>
      </c>
      <c r="H63">
        <v>1</v>
      </c>
      <c r="I63" t="s">
        <v>845</v>
      </c>
      <c r="J63" t="s">
        <v>536</v>
      </c>
      <c r="K63" t="s">
        <v>846</v>
      </c>
      <c r="L63" t="s">
        <v>537</v>
      </c>
      <c r="M63" t="s">
        <v>847</v>
      </c>
      <c r="N63" t="s">
        <v>419</v>
      </c>
      <c r="O63" t="s">
        <v>419</v>
      </c>
      <c r="P63" t="s">
        <v>420</v>
      </c>
      <c r="S63" t="s">
        <v>848</v>
      </c>
      <c r="U63" t="s">
        <v>849</v>
      </c>
      <c r="V63" t="s">
        <v>850</v>
      </c>
      <c r="W63" t="s">
        <v>444</v>
      </c>
      <c r="X63" t="s">
        <v>538</v>
      </c>
      <c r="Y63" t="s">
        <v>116</v>
      </c>
      <c r="Z63" t="s">
        <v>550</v>
      </c>
      <c r="AA63" t="s">
        <v>22</v>
      </c>
      <c r="AB63" t="s">
        <v>593</v>
      </c>
      <c r="AD63" t="s">
        <v>421</v>
      </c>
      <c r="AE63" t="s">
        <v>421</v>
      </c>
      <c r="AF63">
        <v>0</v>
      </c>
      <c r="AG63">
        <v>0</v>
      </c>
      <c r="AH63">
        <v>76.25</v>
      </c>
      <c r="AI63">
        <v>0</v>
      </c>
      <c r="AJ63" t="s">
        <v>552</v>
      </c>
      <c r="AK63" t="s">
        <v>593</v>
      </c>
      <c r="AL63" t="s">
        <v>553</v>
      </c>
    </row>
    <row r="64" spans="1:38" x14ac:dyDescent="0.2">
      <c r="A64">
        <v>1235503</v>
      </c>
      <c r="B64">
        <v>8035837</v>
      </c>
      <c r="C64">
        <v>187508</v>
      </c>
      <c r="E64" t="b">
        <v>0</v>
      </c>
      <c r="F64">
        <v>72022</v>
      </c>
      <c r="G64" t="s">
        <v>851</v>
      </c>
      <c r="H64">
        <v>1</v>
      </c>
      <c r="I64" t="s">
        <v>852</v>
      </c>
      <c r="J64" t="s">
        <v>536</v>
      </c>
      <c r="K64" t="s">
        <v>535</v>
      </c>
      <c r="L64" t="s">
        <v>537</v>
      </c>
      <c r="M64" t="s">
        <v>853</v>
      </c>
      <c r="N64" t="s">
        <v>267</v>
      </c>
      <c r="O64" t="s">
        <v>189</v>
      </c>
      <c r="P64" t="s">
        <v>415</v>
      </c>
      <c r="S64" t="s">
        <v>854</v>
      </c>
      <c r="U64" t="s">
        <v>855</v>
      </c>
      <c r="V64" t="s">
        <v>856</v>
      </c>
      <c r="W64" t="s">
        <v>444</v>
      </c>
      <c r="X64" t="s">
        <v>538</v>
      </c>
      <c r="Y64" t="s">
        <v>549</v>
      </c>
      <c r="Z64" t="s">
        <v>550</v>
      </c>
      <c r="AB64" t="s">
        <v>551</v>
      </c>
      <c r="AD64" t="s">
        <v>268</v>
      </c>
      <c r="AE64" t="s">
        <v>435</v>
      </c>
      <c r="AF64">
        <v>0</v>
      </c>
      <c r="AG64">
        <v>0</v>
      </c>
      <c r="AH64">
        <v>97</v>
      </c>
      <c r="AI64">
        <v>0</v>
      </c>
      <c r="AJ64" t="s">
        <v>552</v>
      </c>
      <c r="AK64" t="s">
        <v>551</v>
      </c>
      <c r="AL64" t="s">
        <v>553</v>
      </c>
    </row>
    <row r="65" spans="1:1" x14ac:dyDescent="0.2">
      <c r="A65">
        <v>1235768</v>
      </c>
    </row>
    <row r="66" spans="1:1" x14ac:dyDescent="0.2">
      <c r="A66">
        <v>1235769</v>
      </c>
    </row>
    <row r="67" spans="1:1" x14ac:dyDescent="0.2">
      <c r="A67">
        <v>1235540</v>
      </c>
    </row>
  </sheetData>
  <sheetProtection algorithmName="SHA-512" hashValue="rjo5YyEXh8sLtKYKhDsPLvsboGveGUGOlu3dHDQGpqNkiT0m/rdbw5UA04bppchIIrzmKpxuXemeE7K8lviYSQ==" saltValue="DTEOn1uPOy2X4Du4bwsDP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569</v>
      </c>
      <c r="B1" s="39" t="s">
        <v>567</v>
      </c>
      <c r="C1" s="39" t="s">
        <v>568</v>
      </c>
    </row>
    <row r="2" spans="1:3" x14ac:dyDescent="0.2">
      <c r="A2" s="39" t="s">
        <v>566</v>
      </c>
      <c r="B2">
        <v>-100</v>
      </c>
      <c r="C2">
        <v>450</v>
      </c>
    </row>
    <row r="3" spans="1:3" x14ac:dyDescent="0.2">
      <c r="A3" s="39" t="s">
        <v>560</v>
      </c>
      <c r="B3">
        <v>-50</v>
      </c>
      <c r="C3">
        <v>450</v>
      </c>
    </row>
    <row r="4" spans="1:3" x14ac:dyDescent="0.2">
      <c r="A4" s="39" t="s">
        <v>559</v>
      </c>
      <c r="B4">
        <v>70</v>
      </c>
      <c r="C4">
        <v>500</v>
      </c>
    </row>
    <row r="5" spans="1:3" x14ac:dyDescent="0.2">
      <c r="A5" s="39" t="s">
        <v>561</v>
      </c>
      <c r="B5">
        <v>70</v>
      </c>
      <c r="C5">
        <v>450</v>
      </c>
    </row>
    <row r="6" spans="1:3" x14ac:dyDescent="0.2">
      <c r="A6" s="39" t="s">
        <v>563</v>
      </c>
      <c r="B6">
        <v>70</v>
      </c>
      <c r="C6">
        <v>1000</v>
      </c>
    </row>
    <row r="7" spans="1:3" x14ac:dyDescent="0.2">
      <c r="A7" s="39" t="s">
        <v>564</v>
      </c>
      <c r="B7">
        <v>200</v>
      </c>
      <c r="C7">
        <v>1850</v>
      </c>
    </row>
    <row r="8" spans="1:3" x14ac:dyDescent="0.2">
      <c r="A8" s="39" t="s">
        <v>562</v>
      </c>
      <c r="B8">
        <v>700</v>
      </c>
      <c r="C8">
        <v>2200</v>
      </c>
    </row>
    <row r="9" spans="1:3" x14ac:dyDescent="0.2">
      <c r="A9" s="39" t="s">
        <v>565</v>
      </c>
      <c r="B9">
        <v>700</v>
      </c>
      <c r="C9">
        <v>2200</v>
      </c>
    </row>
  </sheetData>
  <sheetProtection algorithmName="SHA-512" hashValue="WtCYXSu3qVBjdxYHtIgrmFx9ZNPO6UcZiE9/Y0ZsuRH9VOwNXjnLqsjBAoO7mvhmPFZ0pndGh17qrlmV/Dspug==" saltValue="EDeMnYU2CFk2P1w/5rqVe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916</v>
      </c>
      <c r="G1" s="39" t="s">
        <v>919</v>
      </c>
      <c r="I1" s="502" t="s">
        <v>913</v>
      </c>
      <c r="J1" s="503"/>
      <c r="L1" s="36"/>
      <c r="M1" s="453" t="s">
        <v>908</v>
      </c>
      <c r="N1" s="454" t="s">
        <v>15</v>
      </c>
      <c r="O1" s="454" t="s">
        <v>912</v>
      </c>
      <c r="P1" s="454" t="s">
        <v>902</v>
      </c>
      <c r="Q1" s="454" t="s">
        <v>14</v>
      </c>
    </row>
    <row r="2" spans="1:17" ht="13.5" thickTop="1" x14ac:dyDescent="0.2">
      <c r="A2" s="440"/>
      <c r="I2" s="464" t="s">
        <v>909</v>
      </c>
      <c r="J2" s="465">
        <f>COUNTIF(Survey[TestPoint],"&lt;=5")-1</f>
        <v>-1</v>
      </c>
      <c r="L2" s="476" t="s">
        <v>1</v>
      </c>
      <c r="M2" s="460" t="e">
        <f>_xlfn.XLOOKUP(P2,Survey[CorrectedTemp],Survey[TestPoint])</f>
        <v>#N/A</v>
      </c>
      <c r="N2" s="455">
        <f>P2-NominalTemp</f>
        <v>0</v>
      </c>
      <c r="O2" s="456" t="s">
        <v>270</v>
      </c>
      <c r="P2" s="455">
        <f>MAX(Survey[CorrectedTemp])</f>
        <v>0</v>
      </c>
      <c r="Q2" s="457" t="e">
        <f>_xlfn.XLOOKUP(P2,Survey[CorrectedTemp],Survey[Time])</f>
        <v>#N/A</v>
      </c>
    </row>
    <row r="3" spans="1:17" x14ac:dyDescent="0.2">
      <c r="I3" s="470" t="s">
        <v>917</v>
      </c>
      <c r="J3" s="471" t="e">
        <f>_xlfn.T.INV.2T(1-0.9545, DoF)</f>
        <v>#NUM!</v>
      </c>
      <c r="L3" s="476" t="s">
        <v>2</v>
      </c>
      <c r="M3" s="461" t="e">
        <f>_xlfn.XLOOKUP(P3,Survey[CorrectedTemp],Survey[TestPoint])</f>
        <v>#N/A</v>
      </c>
      <c r="N3" s="458">
        <f>P3-NominalTemp</f>
        <v>0</v>
      </c>
      <c r="O3" s="447" t="s">
        <v>271</v>
      </c>
      <c r="P3" s="458">
        <f>MIN(Survey[CorrectedTemp])</f>
        <v>0</v>
      </c>
      <c r="Q3" s="459" t="e">
        <f>_xlfn.XLOOKUP(P3,Survey[CorrectedTemp],Survey[Time])</f>
        <v>#N/A</v>
      </c>
    </row>
    <row r="4" spans="1:17" x14ac:dyDescent="0.2">
      <c r="I4" s="466" t="s">
        <v>921</v>
      </c>
      <c r="J4" s="467" cm="1">
        <f t="array" ref="J4">SUM(_xlfn._xlws.FILTER(Survey[Deviations],Survey[TestPoint]&lt;=5)^2)/DoF</f>
        <v>0</v>
      </c>
      <c r="L4" s="504" t="s">
        <v>914</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922</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920</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910</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911</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918</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943</v>
      </c>
      <c r="I2" t="str" cm="1">
        <f t="array" ref="I2">TRANSPOSE(_xlfn._xlws.FILTER(CorrectionFactors[], (CorrectionFactors[point]&gt;=Main!V22) * (CorrectionFactors[point]&lt;=Main!V23), ""))</f>
        <v/>
      </c>
    </row>
    <row r="3" spans="1:9" x14ac:dyDescent="0.2">
      <c r="H3" t="s">
        <v>308</v>
      </c>
    </row>
    <row r="4" spans="1:9" x14ac:dyDescent="0.2">
      <c r="H4" t="s">
        <v>944</v>
      </c>
    </row>
    <row r="5" spans="1:9" x14ac:dyDescent="0.2">
      <c r="H5" t="s">
        <v>945</v>
      </c>
    </row>
    <row r="6" spans="1:9" x14ac:dyDescent="0.2">
      <c r="H6" t="s">
        <v>946</v>
      </c>
    </row>
    <row r="7" spans="1:9" x14ac:dyDescent="0.2">
      <c r="H7" t="s">
        <v>947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860</v>
      </c>
      <c r="B1" s="411" t="s">
        <v>861</v>
      </c>
    </row>
    <row r="2" spans="1:3" x14ac:dyDescent="0.2">
      <c r="A2" s="39"/>
      <c r="B2" s="39"/>
    </row>
    <row r="3" spans="1:3" x14ac:dyDescent="0.2">
      <c r="A3" s="39" t="s">
        <v>567</v>
      </c>
      <c r="B3" s="39" t="s">
        <v>568</v>
      </c>
      <c r="C3" s="39" t="s">
        <v>862</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MbHAQ6MU3PGRNeBLG15RIWICId9EglnDMvzDdMI3EW1Curg4/xpDvxHudui2JpWUODOeANHEGVPYG5MMSYck/g==" saltValue="UulYPSm9b/M19BKxXszik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57.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election activeCell="K17" sqref="K17"/>
    </sheetView>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401</v>
      </c>
      <c r="F1" t="s">
        <v>967</v>
      </c>
      <c r="G1" t="s">
        <v>968</v>
      </c>
    </row>
    <row r="2" spans="1:7" x14ac:dyDescent="0.2">
      <c r="A2"/>
      <c r="B2"/>
      <c r="C2"/>
      <c r="E2" t="e" cm="1">
        <f t="array" ref="E2">_xlfn.XLOOKUP(AssetId,AggregatedUUTRangeTol[AssetId],AggregatedUUTRangeTol[])</f>
        <v>#N/A</v>
      </c>
    </row>
    <row r="3" spans="1:7" x14ac:dyDescent="0.2">
      <c r="A3"/>
      <c r="B3"/>
      <c r="C3"/>
    </row>
    <row r="4" spans="1:7" x14ac:dyDescent="0.2">
      <c r="A4"/>
      <c r="B4"/>
      <c r="C4"/>
    </row>
    <row r="5" spans="1:7" x14ac:dyDescent="0.2">
      <c r="A5"/>
      <c r="B5"/>
      <c r="C5"/>
    </row>
    <row r="6" spans="1:7" x14ac:dyDescent="0.2">
      <c r="A6"/>
      <c r="B6"/>
      <c r="C6"/>
    </row>
    <row r="7" spans="1:7" x14ac:dyDescent="0.2">
      <c r="A7"/>
      <c r="B7"/>
      <c r="C7"/>
    </row>
    <row r="8" spans="1:7" x14ac:dyDescent="0.2">
      <c r="A8"/>
      <c r="B8"/>
      <c r="C8"/>
    </row>
    <row r="9" spans="1:7" x14ac:dyDescent="0.2">
      <c r="A9"/>
      <c r="B9"/>
      <c r="C9"/>
    </row>
    <row r="10" spans="1:7" x14ac:dyDescent="0.2">
      <c r="A10"/>
      <c r="B10"/>
      <c r="C10"/>
    </row>
    <row r="11" spans="1:7" x14ac:dyDescent="0.2">
      <c r="A11"/>
      <c r="B11"/>
      <c r="C11"/>
    </row>
    <row r="12" spans="1:7" x14ac:dyDescent="0.2">
      <c r="A12"/>
      <c r="B12"/>
      <c r="C12"/>
    </row>
    <row r="13" spans="1:7" x14ac:dyDescent="0.2">
      <c r="A13"/>
      <c r="B13"/>
      <c r="C13"/>
    </row>
    <row r="14" spans="1:7" x14ac:dyDescent="0.2">
      <c r="A14"/>
      <c r="B14"/>
      <c r="C14"/>
    </row>
    <row r="15" spans="1:7" x14ac:dyDescent="0.2">
      <c r="A15"/>
      <c r="B15"/>
      <c r="C15"/>
    </row>
    <row r="16" spans="1:7"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row r="213" spans="1:3" x14ac:dyDescent="0.2">
      <c r="A213"/>
      <c r="B213"/>
      <c r="C213"/>
    </row>
    <row r="214" spans="1:3" x14ac:dyDescent="0.2">
      <c r="A214"/>
      <c r="B214"/>
      <c r="C214"/>
    </row>
    <row r="215" spans="1:3" x14ac:dyDescent="0.2">
      <c r="A215"/>
      <c r="B215"/>
      <c r="C215"/>
    </row>
    <row r="216" spans="1:3" x14ac:dyDescent="0.2">
      <c r="A216"/>
      <c r="B216"/>
      <c r="C216"/>
    </row>
    <row r="217" spans="1:3" x14ac:dyDescent="0.2">
      <c r="A217"/>
      <c r="B217"/>
      <c r="C217"/>
    </row>
    <row r="218" spans="1:3" x14ac:dyDescent="0.2">
      <c r="A218"/>
      <c r="B218"/>
      <c r="C218"/>
    </row>
    <row r="219" spans="1:3" x14ac:dyDescent="0.2">
      <c r="A219"/>
      <c r="B219"/>
      <c r="C219"/>
    </row>
    <row r="220" spans="1:3" x14ac:dyDescent="0.2">
      <c r="A220"/>
      <c r="B220"/>
      <c r="C220"/>
    </row>
    <row r="221" spans="1:3" x14ac:dyDescent="0.2">
      <c r="A221"/>
      <c r="B221"/>
      <c r="C221"/>
    </row>
    <row r="222" spans="1:3" x14ac:dyDescent="0.2">
      <c r="A222"/>
      <c r="B222"/>
      <c r="C222"/>
    </row>
    <row r="223" spans="1:3" x14ac:dyDescent="0.2">
      <c r="A223"/>
      <c r="B223"/>
      <c r="C223"/>
    </row>
    <row r="224" spans="1:3" x14ac:dyDescent="0.2">
      <c r="A224"/>
      <c r="B224"/>
      <c r="C224"/>
    </row>
    <row r="225" spans="1:3" x14ac:dyDescent="0.2">
      <c r="A225"/>
      <c r="B225"/>
      <c r="C225"/>
    </row>
    <row r="226" spans="1:3" x14ac:dyDescent="0.2">
      <c r="A226"/>
      <c r="B226"/>
      <c r="C226"/>
    </row>
    <row r="227" spans="1:3" x14ac:dyDescent="0.2">
      <c r="A227"/>
      <c r="B227"/>
      <c r="C227"/>
    </row>
    <row r="228" spans="1:3" x14ac:dyDescent="0.2">
      <c r="A228"/>
      <c r="B228"/>
      <c r="C228"/>
    </row>
    <row r="229" spans="1:3" x14ac:dyDescent="0.2">
      <c r="A229"/>
      <c r="B229"/>
      <c r="C229"/>
    </row>
    <row r="230" spans="1:3" x14ac:dyDescent="0.2">
      <c r="A230"/>
      <c r="B230"/>
      <c r="C230"/>
    </row>
    <row r="231" spans="1:3" x14ac:dyDescent="0.2">
      <c r="A231"/>
      <c r="B231"/>
      <c r="C231"/>
    </row>
    <row r="232" spans="1:3" x14ac:dyDescent="0.2">
      <c r="A232"/>
      <c r="B232"/>
      <c r="C232"/>
    </row>
    <row r="233" spans="1:3" x14ac:dyDescent="0.2">
      <c r="A233"/>
      <c r="B233"/>
      <c r="C233"/>
    </row>
    <row r="234" spans="1:3" x14ac:dyDescent="0.2">
      <c r="A234"/>
      <c r="B234"/>
      <c r="C234"/>
    </row>
    <row r="235" spans="1:3" x14ac:dyDescent="0.2">
      <c r="A235"/>
      <c r="B235"/>
      <c r="C235"/>
    </row>
    <row r="236" spans="1:3" x14ac:dyDescent="0.2">
      <c r="A236"/>
      <c r="B236"/>
      <c r="C236"/>
    </row>
    <row r="237" spans="1:3" x14ac:dyDescent="0.2">
      <c r="A237"/>
      <c r="B237"/>
      <c r="C237"/>
    </row>
    <row r="238" spans="1:3" x14ac:dyDescent="0.2">
      <c r="A238"/>
      <c r="B238"/>
      <c r="C238"/>
    </row>
    <row r="239" spans="1:3" x14ac:dyDescent="0.2">
      <c r="A239"/>
      <c r="B239"/>
      <c r="C239"/>
    </row>
    <row r="240" spans="1:3" x14ac:dyDescent="0.2">
      <c r="A240"/>
      <c r="B240"/>
      <c r="C240"/>
    </row>
    <row r="241" spans="1:3" x14ac:dyDescent="0.2">
      <c r="A241"/>
      <c r="B241"/>
      <c r="C241"/>
    </row>
    <row r="242" spans="1:3" x14ac:dyDescent="0.2">
      <c r="A242"/>
      <c r="B242"/>
      <c r="C242"/>
    </row>
    <row r="243" spans="1:3" x14ac:dyDescent="0.2">
      <c r="A243"/>
      <c r="B243"/>
      <c r="C243"/>
    </row>
    <row r="244" spans="1:3" x14ac:dyDescent="0.2">
      <c r="A244"/>
      <c r="B244"/>
      <c r="C244"/>
    </row>
    <row r="245" spans="1:3" x14ac:dyDescent="0.2">
      <c r="A245"/>
      <c r="B245"/>
      <c r="C245"/>
    </row>
    <row r="246" spans="1:3" x14ac:dyDescent="0.2">
      <c r="A246"/>
      <c r="B246"/>
      <c r="C246"/>
    </row>
    <row r="247" spans="1:3" x14ac:dyDescent="0.2">
      <c r="A247"/>
      <c r="B247"/>
      <c r="C247"/>
    </row>
    <row r="248" spans="1:3" x14ac:dyDescent="0.2">
      <c r="A248"/>
      <c r="B248"/>
      <c r="C248"/>
    </row>
    <row r="249" spans="1:3" x14ac:dyDescent="0.2">
      <c r="A249"/>
      <c r="B249"/>
      <c r="C249"/>
    </row>
    <row r="250" spans="1:3" x14ac:dyDescent="0.2">
      <c r="A250"/>
      <c r="B250"/>
      <c r="C250"/>
    </row>
    <row r="251" spans="1:3" x14ac:dyDescent="0.2">
      <c r="A251"/>
      <c r="B251"/>
      <c r="C251"/>
    </row>
    <row r="252" spans="1:3" x14ac:dyDescent="0.2">
      <c r="A252"/>
      <c r="B252"/>
      <c r="C252"/>
    </row>
    <row r="253" spans="1:3" x14ac:dyDescent="0.2">
      <c r="A253"/>
      <c r="B253"/>
      <c r="C253"/>
    </row>
    <row r="254" spans="1:3" x14ac:dyDescent="0.2">
      <c r="A254"/>
      <c r="B254"/>
      <c r="C254"/>
    </row>
    <row r="255" spans="1:3" x14ac:dyDescent="0.2">
      <c r="A255"/>
      <c r="B255"/>
      <c r="C255"/>
    </row>
    <row r="256" spans="1:3" x14ac:dyDescent="0.2">
      <c r="A256"/>
      <c r="B256"/>
      <c r="C256"/>
    </row>
    <row r="257" spans="1:3" x14ac:dyDescent="0.2">
      <c r="A257"/>
      <c r="B257"/>
      <c r="C257"/>
    </row>
    <row r="258" spans="1:3" x14ac:dyDescent="0.2">
      <c r="A258"/>
      <c r="B258"/>
      <c r="C258"/>
    </row>
    <row r="259" spans="1:3" x14ac:dyDescent="0.2">
      <c r="A259"/>
      <c r="B259"/>
      <c r="C259"/>
    </row>
    <row r="260" spans="1:3" x14ac:dyDescent="0.2">
      <c r="A260"/>
      <c r="B260"/>
      <c r="C260"/>
    </row>
    <row r="261" spans="1:3" x14ac:dyDescent="0.2">
      <c r="A261"/>
      <c r="B261"/>
      <c r="C261"/>
    </row>
    <row r="262" spans="1:3" x14ac:dyDescent="0.2">
      <c r="A262"/>
      <c r="B262"/>
      <c r="C262"/>
    </row>
    <row r="263" spans="1:3" x14ac:dyDescent="0.2">
      <c r="A263"/>
      <c r="B263"/>
      <c r="C263"/>
    </row>
    <row r="264" spans="1:3" x14ac:dyDescent="0.2">
      <c r="A264"/>
      <c r="B264"/>
      <c r="C264"/>
    </row>
    <row r="265" spans="1:3" x14ac:dyDescent="0.2">
      <c r="A265"/>
      <c r="B265"/>
      <c r="C265"/>
    </row>
    <row r="266" spans="1:3" x14ac:dyDescent="0.2">
      <c r="A266"/>
      <c r="B266"/>
      <c r="C266"/>
    </row>
    <row r="267" spans="1:3" x14ac:dyDescent="0.2">
      <c r="A267"/>
      <c r="B267"/>
      <c r="C267"/>
    </row>
    <row r="268" spans="1:3" x14ac:dyDescent="0.2">
      <c r="A268"/>
      <c r="B268"/>
      <c r="C268"/>
    </row>
    <row r="269" spans="1:3" x14ac:dyDescent="0.2">
      <c r="A269"/>
      <c r="B269"/>
      <c r="C269"/>
    </row>
    <row r="270" spans="1:3" x14ac:dyDescent="0.2">
      <c r="A270"/>
      <c r="B270"/>
      <c r="C270"/>
    </row>
    <row r="271" spans="1:3" x14ac:dyDescent="0.2">
      <c r="A271"/>
      <c r="B271"/>
      <c r="C271"/>
    </row>
    <row r="272" spans="1:3" x14ac:dyDescent="0.2">
      <c r="A272"/>
      <c r="B272"/>
      <c r="C272"/>
    </row>
    <row r="273" spans="1:3" x14ac:dyDescent="0.2">
      <c r="A273"/>
      <c r="B273"/>
      <c r="C273"/>
    </row>
    <row r="274" spans="1:3" x14ac:dyDescent="0.2">
      <c r="A274"/>
      <c r="B274"/>
      <c r="C274"/>
    </row>
    <row r="275" spans="1:3" x14ac:dyDescent="0.2">
      <c r="A275"/>
      <c r="B275"/>
      <c r="C275"/>
    </row>
    <row r="276" spans="1:3" x14ac:dyDescent="0.2">
      <c r="A276"/>
      <c r="B276"/>
      <c r="C276"/>
    </row>
    <row r="277" spans="1:3" x14ac:dyDescent="0.2">
      <c r="A277"/>
      <c r="B277"/>
      <c r="C277"/>
    </row>
    <row r="278" spans="1:3" x14ac:dyDescent="0.2">
      <c r="A278"/>
      <c r="B278"/>
      <c r="C278"/>
    </row>
    <row r="279" spans="1:3" x14ac:dyDescent="0.2">
      <c r="A279"/>
      <c r="B279"/>
      <c r="C279"/>
    </row>
    <row r="280" spans="1:3" x14ac:dyDescent="0.2">
      <c r="A280"/>
      <c r="B280"/>
      <c r="C280"/>
    </row>
    <row r="281" spans="1:3" x14ac:dyDescent="0.2">
      <c r="A281"/>
      <c r="B281"/>
      <c r="C281"/>
    </row>
    <row r="282" spans="1:3" x14ac:dyDescent="0.2">
      <c r="A282"/>
      <c r="B282"/>
      <c r="C282"/>
    </row>
    <row r="283" spans="1:3" x14ac:dyDescent="0.2">
      <c r="A283"/>
      <c r="B283"/>
      <c r="C283"/>
    </row>
    <row r="284" spans="1:3" x14ac:dyDescent="0.2">
      <c r="A284"/>
      <c r="B284"/>
      <c r="C284"/>
    </row>
    <row r="285" spans="1:3" x14ac:dyDescent="0.2">
      <c r="A285"/>
      <c r="B285"/>
      <c r="C285"/>
    </row>
    <row r="286" spans="1:3" x14ac:dyDescent="0.2">
      <c r="A286"/>
      <c r="B286"/>
      <c r="C286"/>
    </row>
    <row r="287" spans="1:3" x14ac:dyDescent="0.2">
      <c r="A287"/>
      <c r="B287"/>
      <c r="C287"/>
    </row>
    <row r="288" spans="1:3" x14ac:dyDescent="0.2">
      <c r="A288"/>
      <c r="B288"/>
      <c r="C288"/>
    </row>
    <row r="289" spans="1:3" x14ac:dyDescent="0.2">
      <c r="A289"/>
      <c r="B289"/>
      <c r="C289"/>
    </row>
    <row r="290" spans="1:3" x14ac:dyDescent="0.2">
      <c r="A290"/>
      <c r="B290"/>
      <c r="C290"/>
    </row>
    <row r="291" spans="1:3" x14ac:dyDescent="0.2">
      <c r="A291"/>
      <c r="B291"/>
      <c r="C291"/>
    </row>
    <row r="292" spans="1:3" x14ac:dyDescent="0.2">
      <c r="A292"/>
      <c r="B292"/>
      <c r="C292"/>
    </row>
    <row r="293" spans="1:3" x14ac:dyDescent="0.2">
      <c r="A293"/>
      <c r="B293"/>
      <c r="C293"/>
    </row>
    <row r="294" spans="1:3" x14ac:dyDescent="0.2">
      <c r="A294"/>
      <c r="B294"/>
      <c r="C294"/>
    </row>
    <row r="295" spans="1:3" x14ac:dyDescent="0.2">
      <c r="A295"/>
      <c r="B295"/>
      <c r="C295"/>
    </row>
    <row r="296" spans="1:3" x14ac:dyDescent="0.2">
      <c r="A296"/>
      <c r="B296"/>
      <c r="C296"/>
    </row>
    <row r="297" spans="1:3" x14ac:dyDescent="0.2">
      <c r="A297"/>
      <c r="B297"/>
      <c r="C297"/>
    </row>
    <row r="298" spans="1:3" x14ac:dyDescent="0.2">
      <c r="A298"/>
      <c r="B298"/>
      <c r="C298"/>
    </row>
    <row r="299" spans="1:3" x14ac:dyDescent="0.2">
      <c r="A299"/>
      <c r="B299"/>
      <c r="C299"/>
    </row>
    <row r="300" spans="1:3" x14ac:dyDescent="0.2">
      <c r="A300"/>
      <c r="B300"/>
      <c r="C300"/>
    </row>
    <row r="301" spans="1:3" x14ac:dyDescent="0.2">
      <c r="A301"/>
      <c r="B301"/>
      <c r="C301"/>
    </row>
    <row r="302" spans="1:3" x14ac:dyDescent="0.2">
      <c r="A302"/>
      <c r="B302"/>
      <c r="C302"/>
    </row>
    <row r="303" spans="1:3" x14ac:dyDescent="0.2">
      <c r="A303"/>
      <c r="B303"/>
      <c r="C303"/>
    </row>
    <row r="304" spans="1:3" x14ac:dyDescent="0.2">
      <c r="A304"/>
      <c r="B304"/>
      <c r="C304"/>
    </row>
    <row r="305" spans="1:3" x14ac:dyDescent="0.2">
      <c r="A305"/>
      <c r="B305"/>
      <c r="C305"/>
    </row>
    <row r="306" spans="1:3" x14ac:dyDescent="0.2">
      <c r="A306"/>
      <c r="B306"/>
      <c r="C306"/>
    </row>
    <row r="307" spans="1:3" x14ac:dyDescent="0.2">
      <c r="A307"/>
      <c r="B307"/>
      <c r="C307"/>
    </row>
    <row r="308" spans="1:3" x14ac:dyDescent="0.2">
      <c r="A308"/>
      <c r="B308"/>
      <c r="C308"/>
    </row>
    <row r="309" spans="1:3" x14ac:dyDescent="0.2">
      <c r="A309"/>
      <c r="B309"/>
      <c r="C309"/>
    </row>
    <row r="310" spans="1:3" x14ac:dyDescent="0.2">
      <c r="A310"/>
      <c r="B310"/>
      <c r="C310"/>
    </row>
    <row r="311" spans="1:3" x14ac:dyDescent="0.2">
      <c r="A311"/>
      <c r="B311"/>
      <c r="C311"/>
    </row>
    <row r="312" spans="1:3" x14ac:dyDescent="0.2">
      <c r="A312"/>
      <c r="B312"/>
      <c r="C312"/>
    </row>
    <row r="313" spans="1:3" x14ac:dyDescent="0.2">
      <c r="A313"/>
      <c r="B313"/>
      <c r="C313"/>
    </row>
    <row r="314" spans="1:3" x14ac:dyDescent="0.2">
      <c r="A314"/>
      <c r="B314"/>
      <c r="C314"/>
    </row>
    <row r="315" spans="1:3" x14ac:dyDescent="0.2">
      <c r="A315"/>
      <c r="B315"/>
      <c r="C315"/>
    </row>
    <row r="316" spans="1:3" x14ac:dyDescent="0.2">
      <c r="A316"/>
      <c r="B316"/>
      <c r="C316"/>
    </row>
    <row r="317" spans="1:3" x14ac:dyDescent="0.2">
      <c r="A317"/>
      <c r="B317"/>
      <c r="C317"/>
    </row>
    <row r="318" spans="1:3" x14ac:dyDescent="0.2">
      <c r="A318"/>
      <c r="B318"/>
      <c r="C318"/>
    </row>
    <row r="319" spans="1:3" x14ac:dyDescent="0.2">
      <c r="A319"/>
      <c r="B319"/>
      <c r="C319"/>
    </row>
    <row r="320" spans="1:3" x14ac:dyDescent="0.2">
      <c r="A320"/>
      <c r="B320"/>
      <c r="C320"/>
    </row>
    <row r="321" spans="1:3" x14ac:dyDescent="0.2">
      <c r="A321"/>
      <c r="B321"/>
      <c r="C321"/>
    </row>
    <row r="322" spans="1:3" x14ac:dyDescent="0.2">
      <c r="A322"/>
      <c r="B322"/>
      <c r="C322"/>
    </row>
    <row r="323" spans="1:3" x14ac:dyDescent="0.2">
      <c r="A323"/>
      <c r="B323"/>
      <c r="C323"/>
    </row>
    <row r="324" spans="1:3" x14ac:dyDescent="0.2">
      <c r="A324"/>
      <c r="B324"/>
      <c r="C324"/>
    </row>
    <row r="325" spans="1:3" x14ac:dyDescent="0.2">
      <c r="A325"/>
      <c r="B325"/>
      <c r="C325"/>
    </row>
    <row r="326" spans="1:3" x14ac:dyDescent="0.2">
      <c r="A326"/>
      <c r="B326"/>
      <c r="C326"/>
    </row>
    <row r="327" spans="1:3" x14ac:dyDescent="0.2">
      <c r="A327"/>
      <c r="B327"/>
      <c r="C327"/>
    </row>
    <row r="328" spans="1:3" x14ac:dyDescent="0.2">
      <c r="A328"/>
      <c r="B328"/>
      <c r="C328"/>
    </row>
    <row r="329" spans="1:3" x14ac:dyDescent="0.2">
      <c r="A329"/>
      <c r="B329"/>
      <c r="C329"/>
    </row>
    <row r="330" spans="1:3" x14ac:dyDescent="0.2">
      <c r="A330"/>
      <c r="B330"/>
      <c r="C330"/>
    </row>
    <row r="331" spans="1:3" x14ac:dyDescent="0.2">
      <c r="A331"/>
      <c r="B331"/>
      <c r="C331"/>
    </row>
    <row r="332" spans="1:3" x14ac:dyDescent="0.2">
      <c r="A332"/>
      <c r="B332"/>
      <c r="C332"/>
    </row>
    <row r="333" spans="1:3" x14ac:dyDescent="0.2">
      <c r="A333"/>
      <c r="B333"/>
      <c r="C333"/>
    </row>
    <row r="334" spans="1:3" x14ac:dyDescent="0.2">
      <c r="A334"/>
      <c r="B334"/>
      <c r="C334"/>
    </row>
    <row r="335" spans="1:3" x14ac:dyDescent="0.2">
      <c r="A335"/>
      <c r="B335"/>
      <c r="C335"/>
    </row>
    <row r="336" spans="1:3" x14ac:dyDescent="0.2">
      <c r="A336"/>
      <c r="B336"/>
      <c r="C336"/>
    </row>
    <row r="337" spans="1:3" x14ac:dyDescent="0.2">
      <c r="A337"/>
      <c r="B337"/>
      <c r="C337"/>
    </row>
    <row r="338" spans="1:3" x14ac:dyDescent="0.2">
      <c r="A338"/>
      <c r="B338"/>
      <c r="C338"/>
    </row>
    <row r="339" spans="1:3" x14ac:dyDescent="0.2">
      <c r="A339"/>
      <c r="B339"/>
      <c r="C339"/>
    </row>
    <row r="340" spans="1:3" x14ac:dyDescent="0.2">
      <c r="A340"/>
      <c r="B340"/>
      <c r="C340"/>
    </row>
    <row r="341" spans="1:3" x14ac:dyDescent="0.2">
      <c r="A341"/>
      <c r="B341"/>
      <c r="C341"/>
    </row>
    <row r="342" spans="1:3" x14ac:dyDescent="0.2">
      <c r="A342"/>
      <c r="B342"/>
      <c r="C342"/>
    </row>
    <row r="343" spans="1:3" x14ac:dyDescent="0.2">
      <c r="A343"/>
      <c r="B343"/>
      <c r="C343"/>
    </row>
    <row r="344" spans="1:3" x14ac:dyDescent="0.2">
      <c r="A344"/>
      <c r="B344"/>
      <c r="C344"/>
    </row>
    <row r="345" spans="1:3" x14ac:dyDescent="0.2">
      <c r="A345"/>
      <c r="B345"/>
      <c r="C345"/>
    </row>
    <row r="346" spans="1:3" x14ac:dyDescent="0.2">
      <c r="A346"/>
      <c r="B346"/>
      <c r="C346"/>
    </row>
    <row r="347" spans="1:3" x14ac:dyDescent="0.2">
      <c r="A347"/>
      <c r="B347"/>
      <c r="C347"/>
    </row>
    <row r="348" spans="1:3" x14ac:dyDescent="0.2">
      <c r="A348"/>
      <c r="B348"/>
      <c r="C348"/>
    </row>
    <row r="349" spans="1:3" x14ac:dyDescent="0.2">
      <c r="A349"/>
      <c r="B349"/>
      <c r="C349"/>
    </row>
    <row r="350" spans="1:3" x14ac:dyDescent="0.2">
      <c r="A350"/>
      <c r="B350"/>
      <c r="C350"/>
    </row>
    <row r="351" spans="1:3" x14ac:dyDescent="0.2">
      <c r="A351"/>
      <c r="B351"/>
      <c r="C351"/>
    </row>
    <row r="352" spans="1:3" x14ac:dyDescent="0.2">
      <c r="A352"/>
      <c r="B352"/>
      <c r="C352"/>
    </row>
    <row r="353" spans="1:3" x14ac:dyDescent="0.2">
      <c r="A353"/>
      <c r="B353"/>
      <c r="C353"/>
    </row>
    <row r="354" spans="1:3" x14ac:dyDescent="0.2">
      <c r="A354"/>
      <c r="B354"/>
      <c r="C354"/>
    </row>
    <row r="355" spans="1:3" x14ac:dyDescent="0.2">
      <c r="A355"/>
      <c r="B355"/>
      <c r="C355"/>
    </row>
    <row r="356" spans="1:3" x14ac:dyDescent="0.2">
      <c r="A356"/>
      <c r="B356"/>
      <c r="C356"/>
    </row>
    <row r="357" spans="1:3" x14ac:dyDescent="0.2">
      <c r="A357"/>
      <c r="B357"/>
      <c r="C357"/>
    </row>
    <row r="358" spans="1:3" x14ac:dyDescent="0.2">
      <c r="A358"/>
      <c r="B358"/>
      <c r="C358"/>
    </row>
    <row r="359" spans="1:3" x14ac:dyDescent="0.2">
      <c r="A359"/>
      <c r="B359"/>
      <c r="C359"/>
    </row>
    <row r="360" spans="1:3" x14ac:dyDescent="0.2">
      <c r="A360"/>
      <c r="B360"/>
      <c r="C360"/>
    </row>
    <row r="361" spans="1:3" x14ac:dyDescent="0.2">
      <c r="A361"/>
      <c r="B361"/>
      <c r="C361"/>
    </row>
    <row r="362" spans="1:3" x14ac:dyDescent="0.2">
      <c r="A362"/>
      <c r="B362"/>
      <c r="C362"/>
    </row>
    <row r="363" spans="1:3" x14ac:dyDescent="0.2">
      <c r="A363"/>
      <c r="B363"/>
      <c r="C363"/>
    </row>
    <row r="364" spans="1:3" x14ac:dyDescent="0.2">
      <c r="A364"/>
      <c r="B364"/>
      <c r="C364"/>
    </row>
    <row r="365" spans="1:3" x14ac:dyDescent="0.2">
      <c r="A365"/>
      <c r="B365"/>
      <c r="C365"/>
    </row>
    <row r="366" spans="1:3" x14ac:dyDescent="0.2">
      <c r="A366"/>
      <c r="B366"/>
      <c r="C366"/>
    </row>
    <row r="367" spans="1:3" x14ac:dyDescent="0.2">
      <c r="A367"/>
      <c r="B367"/>
      <c r="C367"/>
    </row>
    <row r="368" spans="1:3" x14ac:dyDescent="0.2">
      <c r="A368"/>
      <c r="B368"/>
      <c r="C368"/>
    </row>
    <row r="369" spans="1:3" x14ac:dyDescent="0.2">
      <c r="A369"/>
      <c r="B369"/>
      <c r="C369"/>
    </row>
    <row r="370" spans="1:3" x14ac:dyDescent="0.2">
      <c r="A370"/>
      <c r="B370"/>
      <c r="C370"/>
    </row>
    <row r="371" spans="1:3" x14ac:dyDescent="0.2">
      <c r="A371"/>
      <c r="B371"/>
      <c r="C371"/>
    </row>
    <row r="372" spans="1:3" x14ac:dyDescent="0.2">
      <c r="A372"/>
      <c r="B372"/>
      <c r="C372"/>
    </row>
    <row r="373" spans="1:3" x14ac:dyDescent="0.2">
      <c r="A373"/>
      <c r="B373"/>
      <c r="C373"/>
    </row>
    <row r="374" spans="1:3" x14ac:dyDescent="0.2">
      <c r="A374"/>
      <c r="B374"/>
      <c r="C374"/>
    </row>
    <row r="375" spans="1:3" x14ac:dyDescent="0.2">
      <c r="A375"/>
      <c r="B375"/>
      <c r="C375"/>
    </row>
    <row r="376" spans="1:3" x14ac:dyDescent="0.2">
      <c r="A376"/>
      <c r="B376"/>
      <c r="C376"/>
    </row>
    <row r="377" spans="1:3" x14ac:dyDescent="0.2">
      <c r="A377"/>
      <c r="B377"/>
      <c r="C377"/>
    </row>
    <row r="378" spans="1:3" x14ac:dyDescent="0.2">
      <c r="A378"/>
      <c r="B378"/>
      <c r="C378"/>
    </row>
    <row r="379" spans="1:3" x14ac:dyDescent="0.2">
      <c r="A379"/>
      <c r="B379"/>
      <c r="C379"/>
    </row>
    <row r="380" spans="1:3" x14ac:dyDescent="0.2">
      <c r="A380"/>
      <c r="B380"/>
      <c r="C380"/>
    </row>
    <row r="381" spans="1:3" x14ac:dyDescent="0.2">
      <c r="A381"/>
      <c r="B381"/>
      <c r="C381"/>
    </row>
    <row r="382" spans="1:3" x14ac:dyDescent="0.2">
      <c r="A382"/>
      <c r="B382"/>
      <c r="C382"/>
    </row>
    <row r="383" spans="1:3" x14ac:dyDescent="0.2">
      <c r="A383"/>
      <c r="B383"/>
      <c r="C383"/>
    </row>
    <row r="384" spans="1:3" x14ac:dyDescent="0.2">
      <c r="A384"/>
      <c r="B384"/>
      <c r="C384"/>
    </row>
    <row r="385" spans="1:3" x14ac:dyDescent="0.2">
      <c r="A385"/>
      <c r="B385"/>
      <c r="C385"/>
    </row>
    <row r="386" spans="1:3" x14ac:dyDescent="0.2">
      <c r="A386"/>
      <c r="B386"/>
      <c r="C386"/>
    </row>
    <row r="387" spans="1:3" x14ac:dyDescent="0.2">
      <c r="A387"/>
      <c r="B387"/>
      <c r="C387"/>
    </row>
    <row r="388" spans="1:3" x14ac:dyDescent="0.2">
      <c r="A388"/>
      <c r="B388"/>
      <c r="C388"/>
    </row>
    <row r="389" spans="1:3" x14ac:dyDescent="0.2">
      <c r="A389"/>
      <c r="B389"/>
      <c r="C389"/>
    </row>
    <row r="390" spans="1:3" x14ac:dyDescent="0.2">
      <c r="A390"/>
      <c r="B390"/>
      <c r="C390"/>
    </row>
    <row r="391" spans="1:3" x14ac:dyDescent="0.2">
      <c r="A391"/>
      <c r="B391"/>
      <c r="C391"/>
    </row>
    <row r="392" spans="1:3" x14ac:dyDescent="0.2">
      <c r="A392"/>
      <c r="B392"/>
      <c r="C392"/>
    </row>
    <row r="393" spans="1:3" x14ac:dyDescent="0.2">
      <c r="A393"/>
      <c r="B393"/>
      <c r="C393"/>
    </row>
    <row r="394" spans="1:3" x14ac:dyDescent="0.2">
      <c r="A394"/>
      <c r="B394"/>
      <c r="C394"/>
    </row>
    <row r="395" spans="1:3" x14ac:dyDescent="0.2">
      <c r="A395"/>
      <c r="B395"/>
      <c r="C395"/>
    </row>
    <row r="396" spans="1:3" x14ac:dyDescent="0.2">
      <c r="A396"/>
      <c r="B396"/>
      <c r="C396"/>
    </row>
    <row r="397" spans="1:3" x14ac:dyDescent="0.2">
      <c r="A397"/>
      <c r="B397"/>
      <c r="C397"/>
    </row>
    <row r="398" spans="1:3" x14ac:dyDescent="0.2">
      <c r="A398"/>
      <c r="B398"/>
      <c r="C398"/>
    </row>
    <row r="399" spans="1:3" x14ac:dyDescent="0.2">
      <c r="A399"/>
      <c r="B399"/>
      <c r="C399"/>
    </row>
    <row r="400" spans="1:3" x14ac:dyDescent="0.2">
      <c r="A400"/>
      <c r="B400"/>
      <c r="C400"/>
    </row>
    <row r="401" spans="1:3" x14ac:dyDescent="0.2">
      <c r="A401"/>
      <c r="B401"/>
      <c r="C401"/>
    </row>
    <row r="402" spans="1:3" x14ac:dyDescent="0.2">
      <c r="A402"/>
      <c r="B402"/>
      <c r="C402"/>
    </row>
    <row r="403" spans="1:3" x14ac:dyDescent="0.2">
      <c r="A403"/>
      <c r="B403"/>
      <c r="C403"/>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962</v>
      </c>
      <c r="J1" t="s">
        <v>963</v>
      </c>
      <c r="K1" t="s">
        <v>964</v>
      </c>
      <c r="L1" t="s">
        <v>965</v>
      </c>
      <c r="M1" t="s">
        <v>966</v>
      </c>
      <c r="O1" s="39" t="s">
        <v>401</v>
      </c>
      <c r="P1" t="s">
        <v>955</v>
      </c>
      <c r="Q1" t="s">
        <v>956</v>
      </c>
      <c r="R1" t="s">
        <v>957</v>
      </c>
      <c r="S1" t="s">
        <v>958</v>
      </c>
      <c r="T1" t="s">
        <v>959</v>
      </c>
      <c r="U1" t="s">
        <v>960</v>
      </c>
      <c r="V1" t="s">
        <v>961</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954</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4"/>
    </row>
    <row r="4" spans="1:22" s="291" customFormat="1" x14ac:dyDescent="0.2">
      <c r="A4" s="334"/>
      <c r="B4" s="144"/>
      <c r="C4" s="145" t="s">
        <v>230</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4"/>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4"/>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4"/>
    </row>
    <row r="11" spans="1:22" s="291" customFormat="1" x14ac:dyDescent="0.2">
      <c r="A11" s="334"/>
      <c r="B11" s="144"/>
      <c r="C11" s="153" t="s">
        <v>53</v>
      </c>
      <c r="D11" s="492"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4"/>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4"/>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325</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4"/>
    </row>
    <row r="14" spans="1:22" s="291" customFormat="1" x14ac:dyDescent="0.2">
      <c r="A14" s="334"/>
      <c r="B14" s="144"/>
      <c r="C14" s="153" t="s">
        <v>88</v>
      </c>
      <c r="D14" s="492" t="e">
        <f>VLOOKUP("certificate_number",DaqbookServiceRecord[], 2, FALSE)</f>
        <v>#N/A</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269</v>
      </c>
      <c r="H16" s="442"/>
      <c r="I16" s="316"/>
      <c r="J16" s="508" t="s">
        <v>163</v>
      </c>
      <c r="K16" s="509"/>
      <c r="L16" s="297"/>
      <c r="M16" s="316"/>
      <c r="N16" s="462">
        <v>12</v>
      </c>
      <c r="O16" s="149"/>
      <c r="P16" s="571" t="str">
        <f>VLOOKUP(N16,Alerts[],3,FALSE)</f>
        <v/>
      </c>
      <c r="Q16" s="572"/>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08" t="s">
        <v>164</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44" t="str">
        <f>IF(K15="Salt",0, IF(OR(K15="Hot",K15="SIM Load Hot"),IF(OR(D26="",D28=""),"N/A",IF(ISBLANK(D26),"N/A",D28-D26)),"N/A"))</f>
        <v>N/A</v>
      </c>
      <c r="H19" s="545"/>
      <c r="I19" s="343" t="str">
        <f>IF(G19="N/A","N/A",IF(G19=0,"&lt;2",ROUND(IF(LEN(G19)&gt;3,G19*1440,RIGHT(TEXT(G19,"hh:mm"),2)),0))&amp;" MINUTES")</f>
        <v>N/A</v>
      </c>
      <c r="J19" s="496">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4"/>
      <c r="U19" s="299" t="s">
        <v>953</v>
      </c>
      <c r="V19" s="299">
        <f>L20</f>
        <v>1</v>
      </c>
    </row>
    <row r="20" spans="1:22" s="291" customFormat="1" ht="13.7" customHeight="1" x14ac:dyDescent="0.2">
      <c r="A20" s="192"/>
      <c r="B20" s="548" t="str">
        <f>IF(E20=TRUE,"SAT Tolerance (per AMS2750):","SAT Tolerance (per BAC5621):")</f>
        <v>SAT Tolerance (per BAC5621):</v>
      </c>
      <c r="C20" s="549"/>
      <c r="D20" s="412" t="e">
        <f>G94</f>
        <v>#N/A</v>
      </c>
      <c r="E20" s="477" t="b">
        <v>0</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4"/>
      <c r="U20" s="299" t="s">
        <v>952</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4"/>
      <c r="U21" s="299" t="s">
        <v>951</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4"/>
      <c r="U22" s="299" t="s">
        <v>950</v>
      </c>
      <c r="V22" s="299">
        <f>V20+1</f>
        <v>1</v>
      </c>
    </row>
    <row r="23" spans="1:22" s="291" customFormat="1" x14ac:dyDescent="0.2">
      <c r="A23" s="334"/>
      <c r="B23" s="144"/>
      <c r="C23" s="444" t="s">
        <v>915</v>
      </c>
      <c r="D23" s="295"/>
      <c r="E23" s="316"/>
      <c r="F23" s="163" t="s">
        <v>97</v>
      </c>
      <c r="G23" s="525" t="s">
        <v>373</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4"/>
      <c r="U23" s="299" t="s">
        <v>949</v>
      </c>
      <c r="V23" s="299">
        <f>V20+V21</f>
        <v>40</v>
      </c>
    </row>
    <row r="24" spans="1:22" s="291" customFormat="1" x14ac:dyDescent="0.2">
      <c r="A24" s="334"/>
      <c r="B24" s="550" t="s">
        <v>554</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4"/>
      <c r="U24" s="299" t="s">
        <v>948</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272</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273</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274</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4"/>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5"/>
    </row>
    <row r="36" spans="1:23" s="291" customFormat="1" ht="13.5" thickBot="1" x14ac:dyDescent="0.25">
      <c r="A36" s="500" t="s">
        <v>924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330</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331</v>
      </c>
      <c r="N47" s="314" t="s">
        <v>332</v>
      </c>
      <c r="O47" s="361"/>
      <c r="P47" s="512" t="s">
        <v>333</v>
      </c>
      <c r="Q47" s="512"/>
      <c r="R47" s="432" t="s">
        <v>334</v>
      </c>
      <c r="S47" s="320"/>
      <c r="T47" s="320"/>
      <c r="U47" s="320"/>
    </row>
    <row r="48" spans="1:23" x14ac:dyDescent="0.2">
      <c r="A48" s="334"/>
      <c r="B48" s="358"/>
      <c r="C48" s="430" t="s">
        <v>34</v>
      </c>
      <c r="D48" s="303"/>
      <c r="E48" s="303"/>
      <c r="F48" s="303"/>
      <c r="G48" s="303"/>
      <c r="H48" s="303"/>
      <c r="I48" s="303"/>
      <c r="J48" s="360"/>
      <c r="K48" s="360"/>
      <c r="L48" s="360"/>
      <c r="M48" s="513" t="s">
        <v>335</v>
      </c>
      <c r="N48" s="513"/>
      <c r="O48" s="362"/>
      <c r="P48" s="514" t="s">
        <v>382</v>
      </c>
      <c r="Q48" s="515"/>
      <c r="R48" s="516"/>
      <c r="S48" s="363"/>
      <c r="T48" s="321"/>
      <c r="U48" s="514" t="s">
        <v>385</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859</v>
      </c>
      <c r="L49" s="360"/>
      <c r="M49" s="252" t="s">
        <v>336</v>
      </c>
      <c r="N49" s="313" t="str">
        <f>IF(PB="","",PB)</f>
        <v/>
      </c>
      <c r="O49" s="330"/>
      <c r="P49" s="517" t="s">
        <v>387</v>
      </c>
      <c r="Q49" s="518"/>
      <c r="R49" s="519"/>
      <c r="S49" s="433"/>
      <c r="T49" s="322"/>
      <c r="U49" s="517" t="s">
        <v>386</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337</v>
      </c>
      <c r="N50" s="313" t="str">
        <f>IF(Integral="","",Integral)</f>
        <v/>
      </c>
      <c r="O50" s="330"/>
      <c r="P50" s="520" t="s">
        <v>338</v>
      </c>
      <c r="Q50" s="521"/>
      <c r="R50" s="522"/>
      <c r="S50" s="366"/>
      <c r="T50" s="323"/>
      <c r="U50" s="520" t="s">
        <v>338</v>
      </c>
      <c r="V50" s="521"/>
      <c r="W50" s="522"/>
      <c r="X50" s="320"/>
    </row>
    <row r="51" spans="1:24" x14ac:dyDescent="0.2">
      <c r="A51" s="334"/>
      <c r="B51" s="367"/>
      <c r="C51" s="429" t="s">
        <v>57</v>
      </c>
      <c r="D51" s="303"/>
      <c r="E51" s="303"/>
      <c r="F51" s="303"/>
      <c r="G51" s="303"/>
      <c r="H51" s="303"/>
      <c r="I51" s="303"/>
      <c r="J51" s="360"/>
      <c r="K51" s="368"/>
      <c r="L51" s="360"/>
      <c r="M51" s="416" t="s">
        <v>339</v>
      </c>
      <c r="N51" s="313" t="str">
        <f>IF(Derivative="","",Derivative)</f>
        <v/>
      </c>
      <c r="O51" s="316"/>
      <c r="P51" s="517" t="s">
        <v>383</v>
      </c>
      <c r="Q51" s="518"/>
      <c r="R51" s="519"/>
      <c r="S51" s="433"/>
      <c r="T51" s="324"/>
      <c r="U51" s="517" t="s">
        <v>388</v>
      </c>
      <c r="V51" s="518"/>
      <c r="W51" s="519"/>
      <c r="X51" s="304"/>
    </row>
    <row r="52" spans="1:24" x14ac:dyDescent="0.2">
      <c r="A52" s="334"/>
      <c r="B52" s="358"/>
      <c r="C52" s="429" t="s">
        <v>345</v>
      </c>
      <c r="D52" s="303"/>
      <c r="E52" s="303"/>
      <c r="F52" s="303"/>
      <c r="G52" s="303"/>
      <c r="H52" s="303"/>
      <c r="I52" s="303"/>
      <c r="J52" s="360"/>
      <c r="K52" s="368"/>
      <c r="L52" s="360"/>
      <c r="M52" s="416" t="s">
        <v>340</v>
      </c>
      <c r="N52" s="313" t="str">
        <f>IF(Other1="","",Other1)</f>
        <v/>
      </c>
      <c r="O52" s="330"/>
      <c r="P52" s="520" t="s">
        <v>338</v>
      </c>
      <c r="Q52" s="521"/>
      <c r="R52" s="522"/>
      <c r="S52" s="366"/>
      <c r="T52" s="325"/>
      <c r="U52" s="520" t="s">
        <v>338</v>
      </c>
      <c r="V52" s="521"/>
      <c r="W52" s="522"/>
      <c r="X52" s="320"/>
    </row>
    <row r="53" spans="1:24" ht="12.75" customHeight="1" x14ac:dyDescent="0.2">
      <c r="A53" s="334"/>
      <c r="B53" s="358"/>
      <c r="C53" s="429" t="s">
        <v>58</v>
      </c>
      <c r="D53" s="308"/>
      <c r="E53" s="308"/>
      <c r="F53" s="308"/>
      <c r="G53" s="308"/>
      <c r="H53" s="308"/>
      <c r="I53" s="308"/>
      <c r="J53" s="360"/>
      <c r="K53" s="369"/>
      <c r="L53" s="369"/>
      <c r="M53" s="417" t="s">
        <v>340</v>
      </c>
      <c r="N53" s="313" t="str">
        <f>IF(Other2="","",Other2)</f>
        <v/>
      </c>
      <c r="O53" s="330"/>
      <c r="P53" s="565" t="s">
        <v>384</v>
      </c>
      <c r="Q53" s="566"/>
      <c r="R53" s="567"/>
      <c r="S53" s="434"/>
      <c r="T53" s="326"/>
      <c r="U53" s="565" t="s">
        <v>389</v>
      </c>
      <c r="V53" s="566"/>
      <c r="W53" s="567"/>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367</v>
      </c>
      <c r="N54" s="312">
        <v>0</v>
      </c>
      <c r="O54" s="318"/>
      <c r="P54" s="568"/>
      <c r="Q54" s="569"/>
      <c r="R54" s="570"/>
      <c r="S54" s="371"/>
      <c r="T54" s="327"/>
      <c r="U54" s="568"/>
      <c r="V54" s="569"/>
      <c r="W54" s="570"/>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368</v>
      </c>
      <c r="N55" s="312">
        <v>0</v>
      </c>
      <c r="O55" s="318"/>
      <c r="P55" s="255" t="s">
        <v>341</v>
      </c>
      <c r="Q55" s="255" t="s">
        <v>14</v>
      </c>
      <c r="R55" s="263" t="s">
        <v>342</v>
      </c>
      <c r="S55" s="373"/>
      <c r="T55" s="328"/>
      <c r="U55" s="315" t="s">
        <v>343</v>
      </c>
      <c r="V55" s="255" t="s">
        <v>14</v>
      </c>
      <c r="W55" s="255" t="s">
        <v>344</v>
      </c>
    </row>
    <row r="56" spans="1:24" x14ac:dyDescent="0.2">
      <c r="A56" s="334"/>
      <c r="B56" s="374"/>
      <c r="C56" s="431" t="s">
        <v>153</v>
      </c>
      <c r="D56" s="303"/>
      <c r="E56" s="303"/>
      <c r="F56" s="303"/>
      <c r="G56" s="303"/>
      <c r="H56" s="303"/>
      <c r="I56" s="303"/>
      <c r="J56" s="375"/>
      <c r="K56" s="424"/>
      <c r="L56" s="425"/>
      <c r="M56" s="423" t="s">
        <v>369</v>
      </c>
      <c r="N56" s="312">
        <v>0</v>
      </c>
      <c r="O56" s="318"/>
      <c r="P56" s="435"/>
      <c r="Q56" s="436"/>
      <c r="R56" s="437"/>
      <c r="S56" s="376"/>
      <c r="T56" s="329"/>
      <c r="U56" s="438"/>
      <c r="V56" s="436"/>
      <c r="W56" s="435"/>
    </row>
    <row r="57" spans="1:24" x14ac:dyDescent="0.2">
      <c r="A57" s="334"/>
      <c r="B57" s="355"/>
      <c r="C57" s="252" t="s">
        <v>346</v>
      </c>
      <c r="D57" s="304"/>
      <c r="E57" s="304"/>
      <c r="F57" s="304"/>
      <c r="G57" s="304"/>
      <c r="H57" s="304"/>
      <c r="I57" s="304"/>
      <c r="J57" s="316"/>
      <c r="K57" s="426"/>
      <c r="L57" s="427"/>
      <c r="M57" s="428" t="s">
        <v>370</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161</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365</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907</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905</v>
      </c>
      <c r="G85" t="s">
        <v>151</v>
      </c>
      <c r="H85" t="s">
        <v>150</v>
      </c>
      <c r="I85" s="39" t="s">
        <v>906</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t="s">
        <v>265</v>
      </c>
      <c r="G93" s="398" t="e">
        <f>VLOOKUP(G97,G86:H91,2,FALSE)</f>
        <v>#N/A</v>
      </c>
      <c r="H93" s="399" t="s">
        <v>266</v>
      </c>
      <c r="I93" s="400"/>
      <c r="J93" s="393"/>
      <c r="K93" s="394"/>
      <c r="L93" s="395"/>
      <c r="M93" s="390"/>
      <c r="N93" s="391"/>
      <c r="O93" s="391"/>
      <c r="P93" s="391"/>
      <c r="Q93" s="390"/>
      <c r="R93" s="316"/>
      <c r="S93" s="316"/>
    </row>
    <row r="94" spans="1:19" x14ac:dyDescent="0.2">
      <c r="A94" s="387"/>
      <c r="B94" s="388"/>
      <c r="C94" s="389"/>
      <c r="D94" s="390"/>
      <c r="E94" s="396"/>
      <c r="F94" s="401"/>
      <c r="G94" s="402" t="e">
        <f>F93&amp;G93&amp;H93</f>
        <v>#N/A</v>
      </c>
      <c r="H94" s="403"/>
      <c r="J94" s="393"/>
      <c r="K94" s="394"/>
      <c r="L94" s="395"/>
      <c r="M94" s="390"/>
      <c r="N94" s="391"/>
      <c r="O94" s="391"/>
      <c r="P94" s="391"/>
      <c r="Q94" s="390"/>
      <c r="R94" s="316"/>
      <c r="S94" s="316"/>
    </row>
    <row r="95" spans="1:19" x14ac:dyDescent="0.2">
      <c r="A95" s="387"/>
      <c r="B95" s="388"/>
      <c r="C95" s="389"/>
      <c r="D95" s="390"/>
      <c r="E95" s="392"/>
      <c r="F95" s="393"/>
      <c r="G95" s="394" t="e">
        <f>ROUNDDOWN(G93,2-(1+INT(LOG10(ABS(G93)))))</f>
        <v>#N/A</v>
      </c>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923</v>
      </c>
      <c r="G97" s="389">
        <f>IF(TolMin+TolMax=0,TolMax,NA())</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wIULCFQcD6NfdZgyLbafyDvKcVBPYygtftu58L/oIipwsxmQmibT9UxuJm3sWH2XGwiTHmeQ36CDIRbpLGj6Og==" saltValue="s3j70nFPrZBP05FneBqvp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941</v>
      </c>
      <c r="B1" s="1" t="s">
        <v>940</v>
      </c>
    </row>
    <row r="2" spans="1:2" x14ac:dyDescent="0.2">
      <c r="A2" t="s">
        <v>942</v>
      </c>
      <c r="B2" t="b">
        <v>1</v>
      </c>
    </row>
  </sheetData>
  <sheetProtection algorithmName="SHA-512" hashValue="xxYzozd4YDvGRooDDCeSYhPG7/achwQ6HDmSzDavwcFKasRhP1YVSVmxbrdK9LS7+0q7hXBe73gHMCGp+QUMhw==" saltValue="ZDV9u9bJFVyPPKoXxbedO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890</v>
      </c>
      <c r="C2" s="48" t="s">
        <v>891</v>
      </c>
      <c r="D2" s="48" t="s">
        <v>892</v>
      </c>
      <c r="E2" s="48" t="s">
        <v>397</v>
      </c>
      <c r="F2" s="48" t="s">
        <v>893</v>
      </c>
      <c r="G2" s="48" t="s">
        <v>894</v>
      </c>
      <c r="H2" s="48" t="s">
        <v>895</v>
      </c>
      <c r="I2" s="48" t="s">
        <v>896</v>
      </c>
      <c r="J2" s="48" t="s">
        <v>897</v>
      </c>
      <c r="K2" s="48" t="s">
        <v>398</v>
      </c>
      <c r="L2" s="48" t="s">
        <v>898</v>
      </c>
      <c r="M2" s="48" t="s">
        <v>899</v>
      </c>
      <c r="N2" s="48" t="s">
        <v>900</v>
      </c>
      <c r="O2" s="48" t="s">
        <v>901</v>
      </c>
      <c r="P2" s="52"/>
      <c r="Q2" s="443" t="s">
        <v>14</v>
      </c>
      <c r="R2" s="48" t="s">
        <v>876</v>
      </c>
      <c r="S2" s="48" t="s">
        <v>877</v>
      </c>
      <c r="T2" s="48" t="s">
        <v>878</v>
      </c>
      <c r="U2" s="48" t="s">
        <v>879</v>
      </c>
      <c r="V2" s="48" t="s">
        <v>880</v>
      </c>
      <c r="W2" s="48" t="s">
        <v>881</v>
      </c>
      <c r="X2" s="48" t="s">
        <v>882</v>
      </c>
      <c r="Y2" s="48" t="s">
        <v>883</v>
      </c>
      <c r="Z2" s="48" t="s">
        <v>884</v>
      </c>
      <c r="AA2" s="48" t="s">
        <v>885</v>
      </c>
      <c r="AB2" s="48" t="s">
        <v>886</v>
      </c>
      <c r="AC2" s="48" t="s">
        <v>887</v>
      </c>
      <c r="AD2" s="48" t="s">
        <v>888</v>
      </c>
      <c r="AE2" s="48" t="s">
        <v>889</v>
      </c>
      <c r="AF2" s="52"/>
      <c r="AG2" s="443" t="s">
        <v>14</v>
      </c>
      <c r="AH2" s="87" t="s">
        <v>864</v>
      </c>
      <c r="AI2" s="87" t="s">
        <v>865</v>
      </c>
      <c r="AJ2" s="87" t="s">
        <v>866</v>
      </c>
      <c r="AK2" s="87" t="s">
        <v>867</v>
      </c>
      <c r="AL2" s="87" t="s">
        <v>868</v>
      </c>
      <c r="AM2" s="87" t="s">
        <v>869</v>
      </c>
      <c r="AN2" s="87" t="s">
        <v>870</v>
      </c>
      <c r="AO2" s="87" t="s">
        <v>871</v>
      </c>
      <c r="AP2" s="87" t="s">
        <v>872</v>
      </c>
      <c r="AQ2" s="87" t="s">
        <v>873</v>
      </c>
      <c r="AR2" s="87" t="s">
        <v>874</v>
      </c>
      <c r="AS2" s="87" t="s">
        <v>875</v>
      </c>
    </row>
    <row r="3" spans="1:45" x14ac:dyDescent="0.2">
      <c r="B3" s="489"/>
      <c r="C3" s="489"/>
      <c r="D3" s="489"/>
      <c r="E3" s="489"/>
      <c r="F3" s="489"/>
      <c r="G3" s="489"/>
      <c r="H3" s="489"/>
      <c r="I3" s="489"/>
      <c r="J3" s="489"/>
      <c r="K3" s="489"/>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cdA5JWLcDGGDLsf6hEXbIxUUo2GjFGzppjJc8L7Mo7DatCjWGuQNYL5ySzRySO5WuC0rcS1NVJJs31vvNcB0qA==" saltValue="ttqMa9G4n2itwsEDtoI0z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375</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376</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FM5/6p6q2YPzLiW/QHONeA9Bcnx8bAs9jkyxv7sEA/uoeEXkH6DFdwhMdGVfA6xsY06gvCxllCDlCnA4w3HrKw==" saltValue="y3603ySJyzX4fW055aduF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L9" sqref="L9:O1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323</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320</v>
      </c>
      <c r="L8" s="616">
        <f>FormNumber</f>
        <v>0</v>
      </c>
      <c r="M8" s="616"/>
      <c r="N8" s="616"/>
      <c r="O8" s="616"/>
    </row>
    <row r="9" spans="1:18" ht="18" customHeight="1" x14ac:dyDescent="0.25">
      <c r="A9" s="228" t="s">
        <v>277</v>
      </c>
      <c r="B9" s="34" t="e">
        <f>Main!D5</f>
        <v>#N/A</v>
      </c>
      <c r="J9" s="81"/>
      <c r="K9" s="228" t="s">
        <v>321</v>
      </c>
      <c r="L9" s="608" t="str">
        <f>"JGI WP4100, "&amp;CalMethod</f>
        <v xml:space="preserve">JGI WP4100, </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322</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278</v>
      </c>
      <c r="B14" s="230">
        <f>Item</f>
        <v>0</v>
      </c>
      <c r="C14" s="231"/>
      <c r="D14" s="231"/>
      <c r="E14" s="231"/>
      <c r="F14" s="205"/>
      <c r="G14" s="219" t="s">
        <v>283</v>
      </c>
      <c r="H14" s="230">
        <f>Ranges</f>
        <v>0</v>
      </c>
      <c r="I14" s="205"/>
      <c r="J14" s="205"/>
      <c r="K14" s="205"/>
      <c r="L14" s="205"/>
      <c r="M14" s="219" t="s">
        <v>288</v>
      </c>
      <c r="N14" s="230" t="str">
        <f>Main!D7</f>
        <v>Jeff Hall</v>
      </c>
      <c r="O14" s="206"/>
    </row>
    <row r="15" spans="1:18" ht="18" customHeight="1" x14ac:dyDescent="0.25">
      <c r="A15" s="234" t="s">
        <v>279</v>
      </c>
      <c r="B15" s="232">
        <f>ModelNumber</f>
        <v>0</v>
      </c>
      <c r="C15" s="223"/>
      <c r="D15" s="223"/>
      <c r="E15" s="223"/>
      <c r="G15" s="228" t="s">
        <v>284</v>
      </c>
      <c r="H15" s="232">
        <f>Tolerances</f>
        <v>0</v>
      </c>
      <c r="M15" s="228" t="s">
        <v>289</v>
      </c>
      <c r="N15" s="236">
        <f>Main!D3</f>
        <v>0</v>
      </c>
      <c r="O15" s="207"/>
    </row>
    <row r="16" spans="1:18" ht="18" customHeight="1" x14ac:dyDescent="0.25">
      <c r="A16" s="234" t="s">
        <v>280</v>
      </c>
      <c r="B16" s="609">
        <f>SerialNumber</f>
        <v>0</v>
      </c>
      <c r="C16" s="609"/>
      <c r="D16" s="609"/>
      <c r="E16" s="609"/>
      <c r="G16" s="228" t="s">
        <v>285</v>
      </c>
      <c r="H16" s="232">
        <f>HeatingMethod</f>
        <v>0</v>
      </c>
      <c r="M16" s="228" t="s">
        <v>290</v>
      </c>
      <c r="N16" s="236" t="e">
        <f>IF(CalInterval="N/A", "N/A", EDATE(N15, CHOOSE(MATCH(CalInterval, {"M","2 Mo","Q","4 Mo","6 Mo","A","2Yr","3Yr"}, 0), 1, 2, 3, 4, 6, 12, 24, 36)))</f>
        <v>#N/A</v>
      </c>
      <c r="O16" s="207"/>
    </row>
    <row r="17" spans="1:19" ht="18" customHeight="1" x14ac:dyDescent="0.25">
      <c r="A17" s="234" t="s">
        <v>281</v>
      </c>
      <c r="B17" s="257">
        <f>UnitNumber</f>
        <v>0</v>
      </c>
      <c r="C17" s="223"/>
      <c r="D17" s="223"/>
      <c r="E17" s="223"/>
      <c r="G17" s="228" t="s">
        <v>286</v>
      </c>
      <c r="H17" s="232">
        <f>WorkingZoneSize</f>
        <v>0</v>
      </c>
      <c r="M17" s="228" t="str">
        <f>IF(Main!K13="","","PO:")</f>
        <v/>
      </c>
      <c r="N17" s="232" t="str">
        <f>IF(Main!K13="","",Main!K13)</f>
        <v/>
      </c>
      <c r="O17" s="207"/>
    </row>
    <row r="18" spans="1:19" ht="18" customHeight="1" x14ac:dyDescent="0.25">
      <c r="A18" s="234" t="s">
        <v>282</v>
      </c>
      <c r="B18" s="600">
        <f>Class</f>
        <v>0</v>
      </c>
      <c r="C18" s="600"/>
      <c r="D18" s="600"/>
      <c r="E18" s="600"/>
      <c r="G18" s="228" t="s">
        <v>287</v>
      </c>
      <c r="H18" s="232">
        <f>CubicFeet</f>
        <v>0</v>
      </c>
      <c r="M18" s="228" t="s">
        <v>291</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292</v>
      </c>
      <c r="B21" s="610">
        <f>Controller</f>
        <v>0</v>
      </c>
      <c r="C21" s="610"/>
      <c r="D21" s="610"/>
      <c r="E21" s="610"/>
      <c r="F21" s="219" t="s">
        <v>294</v>
      </c>
      <c r="G21" s="610">
        <f>ContSN</f>
        <v>0</v>
      </c>
      <c r="H21" s="610"/>
      <c r="I21" s="610"/>
      <c r="J21" s="219" t="s">
        <v>295</v>
      </c>
      <c r="K21" s="231">
        <f>ContTol</f>
        <v>0</v>
      </c>
      <c r="L21" s="205"/>
      <c r="M21" s="219" t="s">
        <v>296</v>
      </c>
      <c r="N21" s="244" t="str">
        <f>Main!G27</f>
        <v/>
      </c>
      <c r="O21" s="206"/>
    </row>
    <row r="22" spans="1:19" ht="18" customHeight="1" x14ac:dyDescent="0.25">
      <c r="A22" s="237" t="s">
        <v>293</v>
      </c>
      <c r="B22" s="611">
        <f>_xlnm.Recorder</f>
        <v>0</v>
      </c>
      <c r="C22" s="611"/>
      <c r="D22" s="611"/>
      <c r="E22" s="611"/>
      <c r="F22" s="220" t="s">
        <v>294</v>
      </c>
      <c r="G22" s="611">
        <f>RecSN</f>
        <v>0</v>
      </c>
      <c r="H22" s="611"/>
      <c r="I22" s="611"/>
      <c r="J22" s="220" t="s">
        <v>295</v>
      </c>
      <c r="K22" s="243">
        <f>RecTol</f>
        <v>0</v>
      </c>
      <c r="L22" s="208"/>
      <c r="M22" s="220" t="s">
        <v>296</v>
      </c>
      <c r="N22" s="245" t="str">
        <f>Main!G28</f>
        <v/>
      </c>
      <c r="O22" s="209"/>
    </row>
    <row r="23" spans="1:19" ht="8.1" customHeight="1" x14ac:dyDescent="0.25">
      <c r="A23" s="81"/>
      <c r="B23" s="223"/>
      <c r="C23" s="223"/>
      <c r="D23" s="223"/>
      <c r="E23" s="212"/>
    </row>
    <row r="24" spans="1:19" ht="18" customHeight="1" x14ac:dyDescent="0.25">
      <c r="A24" s="233" t="s">
        <v>297</v>
      </c>
      <c r="B24" s="239">
        <f>NominalTemp</f>
        <v>0</v>
      </c>
      <c r="C24" s="231"/>
      <c r="D24" s="231"/>
      <c r="E24" s="213"/>
      <c r="F24" s="205"/>
      <c r="G24" s="219" t="s">
        <v>300</v>
      </c>
      <c r="H24" s="221">
        <f>Main!D26</f>
        <v>0</v>
      </c>
      <c r="I24" s="205"/>
      <c r="J24" s="205"/>
      <c r="K24" s="205"/>
      <c r="L24" s="217"/>
      <c r="M24" s="219" t="s">
        <v>303</v>
      </c>
      <c r="N24" s="231" t="str">
        <f>TEXT(Survey!N2,"0.0") &amp; Unit &amp; " / " &amp; TEXT(Survey!N3,"0.0") &amp; Unit</f>
        <v>0.0°F / 0.0°F</v>
      </c>
      <c r="O24" s="206"/>
    </row>
    <row r="25" spans="1:19" ht="18" customHeight="1" x14ac:dyDescent="0.25">
      <c r="A25" s="234" t="s">
        <v>298</v>
      </c>
      <c r="B25" s="240">
        <f>Main!D15</f>
        <v>0</v>
      </c>
      <c r="C25" s="223"/>
      <c r="D25" s="223"/>
      <c r="E25" s="212"/>
      <c r="G25" s="228" t="s">
        <v>301</v>
      </c>
      <c r="H25" s="222" t="str">
        <f>Main!E29</f>
        <v/>
      </c>
      <c r="L25" s="81"/>
      <c r="M25" s="228" t="s">
        <v>304</v>
      </c>
      <c r="N25" s="223" t="str">
        <f>IF(Main!H15=TRUE,Main!G17,"VERIFY LOAD!!!")</f>
        <v/>
      </c>
      <c r="O25" s="207"/>
      <c r="R25" s="140"/>
      <c r="S25" s="75"/>
    </row>
    <row r="26" spans="1:19" ht="18" customHeight="1" x14ac:dyDescent="0.25">
      <c r="A26" s="234" t="s">
        <v>299</v>
      </c>
      <c r="B26" s="223" t="s">
        <v>269</v>
      </c>
      <c r="C26" s="223"/>
      <c r="D26" s="223"/>
      <c r="E26" s="212"/>
      <c r="G26" s="228" t="s">
        <v>302</v>
      </c>
      <c r="H26" s="223" t="str">
        <f>Main!I19</f>
        <v>N/A</v>
      </c>
      <c r="L26" s="81"/>
      <c r="M26" s="228" t="e">
        <f>"Uncertainty @ k="&amp;ROUND(k,1)&amp;":"</f>
        <v>#NUM!</v>
      </c>
      <c r="N26" s="223" t="e">
        <f>TEXT(Survey!J9,"0.0") &amp; Unit</f>
        <v>#NUM!</v>
      </c>
      <c r="O26" s="207"/>
    </row>
    <row r="27" spans="1:19" ht="18" customHeight="1" x14ac:dyDescent="0.2">
      <c r="A27" s="238"/>
      <c r="B27" s="208"/>
      <c r="C27" s="607" t="s">
        <v>305</v>
      </c>
      <c r="D27" s="607"/>
      <c r="E27" s="607"/>
      <c r="F27" s="607"/>
      <c r="G27" s="607"/>
      <c r="H27" s="607"/>
      <c r="I27" s="607"/>
      <c r="J27" s="607"/>
      <c r="K27" s="607"/>
      <c r="L27" s="607"/>
      <c r="M27" s="607"/>
      <c r="N27" s="208"/>
      <c r="O27" s="209"/>
    </row>
    <row r="28" spans="1:19" ht="8.1" customHeight="1" x14ac:dyDescent="0.2"/>
    <row r="29" spans="1:19" ht="18" customHeight="1" x14ac:dyDescent="0.2">
      <c r="A29" s="603" t="s">
        <v>275</v>
      </c>
      <c r="B29" s="604"/>
      <c r="C29" s="605"/>
      <c r="D29" s="603" t="s">
        <v>306</v>
      </c>
      <c r="E29" s="604"/>
      <c r="F29" s="604"/>
      <c r="G29" s="605"/>
      <c r="H29" s="603" t="s">
        <v>276</v>
      </c>
      <c r="I29" s="604"/>
      <c r="J29" s="604"/>
      <c r="K29" s="605"/>
      <c r="L29" s="603" t="s">
        <v>257</v>
      </c>
      <c r="M29" s="604"/>
      <c r="N29" s="604"/>
      <c r="O29" s="605"/>
    </row>
    <row r="30" spans="1:19" ht="18" customHeight="1" x14ac:dyDescent="0.2">
      <c r="A30" s="224"/>
      <c r="B30" s="214" t="s">
        <v>969</v>
      </c>
      <c r="C30" s="225"/>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307</v>
      </c>
      <c r="B32" s="595" t="s">
        <v>308</v>
      </c>
      <c r="C32" s="595"/>
      <c r="D32" s="247" t="s">
        <v>271</v>
      </c>
      <c r="E32" s="247" t="s">
        <v>270</v>
      </c>
      <c r="F32" s="247" t="s">
        <v>309</v>
      </c>
      <c r="G32" s="81"/>
      <c r="H32" s="81"/>
      <c r="I32" s="247" t="s">
        <v>307</v>
      </c>
      <c r="J32" s="595" t="s">
        <v>308</v>
      </c>
      <c r="K32" s="595"/>
      <c r="L32" s="247" t="s">
        <v>271</v>
      </c>
      <c r="M32" s="247" t="s">
        <v>270</v>
      </c>
      <c r="N32" s="247" t="s">
        <v>309</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310</v>
      </c>
      <c r="C53" s="599"/>
      <c r="D53" s="599"/>
      <c r="E53" s="599"/>
      <c r="F53" s="599"/>
      <c r="G53" s="599"/>
      <c r="H53" s="599"/>
      <c r="I53" s="599"/>
      <c r="J53" s="599"/>
      <c r="K53" s="599"/>
      <c r="L53" s="599"/>
      <c r="M53" s="599"/>
      <c r="N53" s="599"/>
    </row>
    <row r="54" spans="1:20" ht="18" customHeight="1" x14ac:dyDescent="0.25">
      <c r="A54" s="250" t="s">
        <v>311</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319</v>
      </c>
      <c r="B60" s="598"/>
      <c r="C60" s="598"/>
      <c r="D60" s="598"/>
      <c r="E60" s="598"/>
      <c r="F60" s="598"/>
      <c r="G60" s="598"/>
      <c r="H60" s="598"/>
      <c r="I60" s="598"/>
      <c r="J60" s="598"/>
      <c r="K60" s="598"/>
      <c r="L60" s="598"/>
      <c r="M60" s="598"/>
      <c r="N60" s="598"/>
      <c r="O60" s="598"/>
    </row>
    <row r="61" spans="1:20" ht="18" customHeight="1" x14ac:dyDescent="0.2">
      <c r="A61" s="602" t="s">
        <v>312</v>
      </c>
      <c r="B61" s="602"/>
      <c r="C61" s="602"/>
      <c r="D61" s="602"/>
      <c r="E61" s="602"/>
      <c r="F61" s="615" t="s">
        <v>313</v>
      </c>
      <c r="G61" s="615"/>
      <c r="H61" s="615"/>
      <c r="I61" s="615" t="s">
        <v>314</v>
      </c>
      <c r="J61" s="615"/>
      <c r="K61" s="615" t="s">
        <v>315</v>
      </c>
      <c r="L61" s="615"/>
      <c r="M61" s="615" t="s">
        <v>316</v>
      </c>
      <c r="N61" s="615"/>
      <c r="O61" s="615"/>
      <c r="R61" s="39" t="s">
        <v>857</v>
      </c>
      <c r="T61" s="39" t="s">
        <v>858</v>
      </c>
    </row>
    <row r="62" spans="1:20" ht="18" customHeight="1" x14ac:dyDescent="0.2">
      <c r="A62" s="586" t="str">
        <f>IF(F62="","",CONCATENATE(T62," - ",R62))</f>
        <v/>
      </c>
      <c r="B62" s="587"/>
      <c r="C62" s="587"/>
      <c r="D62" s="587"/>
      <c r="E62" s="588"/>
      <c r="F62" s="586" t="str" cm="1">
        <f t="array" ref="F62">IFERROR(
  _xlfn.XLOOKUP(
    Main!D9,
    _xlfn._xlws.FILTER(AssetPool[asset_tag], AssetPool[root_category_name]="DAQ Modules"),
    _xlfn._xlws.FILTER(AssetPool[serial_number], AssetPool[root_category_name]="DAQ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371</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317</v>
      </c>
      <c r="N80" s="246" t="s">
        <v>318</v>
      </c>
    </row>
    <row r="81" ht="15" customHeight="1" x14ac:dyDescent="0.2"/>
    <row r="82" ht="15" customHeight="1" x14ac:dyDescent="0.2"/>
  </sheetData>
  <sheetProtection algorithmName="SHA-512" hashValue="bxcc+bZRsFpkDMZ7pqeQDTToxUw0ETze5Uj/RIzR1AF4KFuRcnkIdns45cEGoFtchVYllp6s3jbVfOIoLcPWpQ==" saltValue="YCEkjCXBUDosmsTARWiUsw=="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925</v>
      </c>
      <c r="R1" t="s">
        <v>926</v>
      </c>
      <c r="S1" t="s">
        <v>927</v>
      </c>
      <c r="T1" t="s">
        <v>928</v>
      </c>
      <c r="U1" t="s">
        <v>929</v>
      </c>
      <c r="V1" t="s">
        <v>930</v>
      </c>
      <c r="W1" t="s">
        <v>931</v>
      </c>
      <c r="X1" t="s">
        <v>932</v>
      </c>
      <c r="Y1" t="s">
        <v>933</v>
      </c>
      <c r="Z1" t="s">
        <v>934</v>
      </c>
      <c r="AA1" t="s">
        <v>935</v>
      </c>
      <c r="AB1" t="s">
        <v>936</v>
      </c>
      <c r="AC1" t="s">
        <v>937</v>
      </c>
      <c r="AD1" t="s">
        <v>938</v>
      </c>
      <c r="AE1" t="s">
        <v>939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Fw5Qr7XzkabfuvoI0VX5BvozSNc0kkK/1aclLURed4xEcZKHKuSYxMOyeH+avZUPJdC0ckBsIjjlGcOFRWlzcg==" saltValue="aofOzb9Lq51pTrDdbGeCv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dzq0lCwfF3dke/cesnnV0ZSTZU6pPcbndEbKNJSV9UVn4k9WxJfTQkqVyfcgf0K3zomRtINEUiWdBrtLXcHr4w==" saltValue="SkZ/BHUCEqWw+PaPjPbHk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hdPCqlHAud9nvggTJhzStE25j9/w2bEOHm/PdJMN4vMU9uFlZSWLsL6gxVp5a/1EBGBOo1Q/XDCXwSQQwUxqFA==" saltValue="CXkXFI66IbRJDKyFihgA8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396</v>
      </c>
      <c r="U11" s="290" t="s">
        <v>397</v>
      </c>
      <c r="V11" s="290" t="s">
        <v>398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HgGhc92Cp2rEniM4Z31+UMdVnc6sX0I6S1OYnSaxJp3pKb4T4j1cG6G1Uyj/4KSdP8o/FKqsMKDGAxwLeeUW2A==" saltValue="dp3ZbVA25T80Hevq6Vl6ag=="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347</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348</v>
      </c>
      <c r="I29" s="115" t="str">
        <f>IF(Main!N47="","",Main!N47)</f>
        <v>Periodic</v>
      </c>
      <c r="J29" s="648" t="s">
        <v>349</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335</v>
      </c>
      <c r="I30" s="641"/>
      <c r="J30" s="650" t="s">
        <v>382</v>
      </c>
      <c r="K30" s="651"/>
      <c r="L30" s="652"/>
      <c r="M30" s="266"/>
      <c r="O30" s="642" t="s">
        <v>385</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350</v>
      </c>
      <c r="I31" s="256" t="str">
        <f>IF(Main!N49="","",Main!N49)</f>
        <v/>
      </c>
      <c r="J31" s="665" t="s">
        <v>390</v>
      </c>
      <c r="K31" s="666"/>
      <c r="L31" s="667"/>
      <c r="M31" s="267" t="str">
        <f>IF(Main!S49="","",Main!S49)</f>
        <v/>
      </c>
      <c r="O31" s="531" t="s">
        <v>392</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366</v>
      </c>
      <c r="I32" s="256" t="str">
        <f>IF(Main!N50="","",Main!N50)</f>
        <v/>
      </c>
      <c r="J32" s="656" t="s">
        <v>338</v>
      </c>
      <c r="K32" s="657"/>
      <c r="L32" s="658"/>
      <c r="M32" s="262"/>
      <c r="O32" s="656" t="s">
        <v>338</v>
      </c>
      <c r="P32" s="657"/>
      <c r="Q32" s="658"/>
      <c r="T32" s="39"/>
    </row>
    <row r="33" spans="1:20" ht="12.75" customHeight="1" x14ac:dyDescent="0.2">
      <c r="A33" s="646" t="s">
        <v>351</v>
      </c>
      <c r="B33" s="647"/>
      <c r="C33" s="49" t="str">
        <f>IF(Main!D52="","",Main!D52)</f>
        <v/>
      </c>
      <c r="D33" s="49" t="str">
        <f>IF(Main!E52="","",Main!E52)</f>
        <v/>
      </c>
      <c r="E33" s="49" t="str">
        <f>IF(Main!F52="","",Main!F52)</f>
        <v/>
      </c>
      <c r="F33" s="49" t="str">
        <f>IF(Main!G52="","",Main!G52)</f>
        <v/>
      </c>
      <c r="G33" s="272"/>
      <c r="H33" s="254" t="s">
        <v>352</v>
      </c>
      <c r="I33" s="256" t="str">
        <f>IF(Main!N51="","",Main!N51)</f>
        <v/>
      </c>
      <c r="J33" s="653" t="s">
        <v>391</v>
      </c>
      <c r="K33" s="654"/>
      <c r="L33" s="655"/>
      <c r="M33" s="261" t="str">
        <f>IF(Main!S51="","",Main!S51)</f>
        <v/>
      </c>
      <c r="O33" s="653" t="s">
        <v>393</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353</v>
      </c>
      <c r="I34" s="253" t="str">
        <f>IF(Main!N52="","",Main!N52)</f>
        <v/>
      </c>
      <c r="J34" s="656" t="s">
        <v>338</v>
      </c>
      <c r="K34" s="657"/>
      <c r="L34" s="658"/>
      <c r="O34" s="656" t="s">
        <v>338</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353</v>
      </c>
      <c r="I35" s="253" t="str">
        <f>IF(Main!N53="","",Main!N53)</f>
        <v/>
      </c>
      <c r="J35" s="659" t="s">
        <v>394</v>
      </c>
      <c r="K35" s="660"/>
      <c r="L35" s="661"/>
      <c r="M35" s="270" t="str">
        <f>IF(Main!S53="","",Main!S53)</f>
        <v/>
      </c>
      <c r="O35" s="659" t="s">
        <v>395</v>
      </c>
      <c r="P35" s="660"/>
      <c r="Q35" s="661"/>
      <c r="R35" s="271" t="str">
        <f>IF(Main!X53="","",Main!X53)</f>
        <v/>
      </c>
    </row>
    <row r="36" spans="1:20" ht="13.5" thickBot="1" x14ac:dyDescent="0.25">
      <c r="B36" s="61" t="s">
        <v>354</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355</v>
      </c>
      <c r="C37" s="49" t="str">
        <f>IF(Main!D57="","",Main!D57)</f>
        <v/>
      </c>
      <c r="D37" s="49" t="str">
        <f>IF(Main!E57="","",Main!E57)</f>
        <v/>
      </c>
      <c r="E37" s="49" t="str">
        <f>IF(Main!F57="","",Main!F57)</f>
        <v/>
      </c>
      <c r="F37" s="49" t="str">
        <f>IF(Main!G57="","",Main!G57)</f>
        <v/>
      </c>
      <c r="G37" s="272"/>
      <c r="H37" s="273"/>
      <c r="J37" s="280" t="s">
        <v>341</v>
      </c>
      <c r="K37" s="281" t="s">
        <v>14</v>
      </c>
      <c r="L37" s="282" t="s">
        <v>342</v>
      </c>
      <c r="M37" s="265"/>
      <c r="O37" s="280" t="s">
        <v>343</v>
      </c>
      <c r="P37" s="281" t="s">
        <v>14</v>
      </c>
      <c r="Q37" s="282" t="s">
        <v>344</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364</v>
      </c>
      <c r="M39" s="283"/>
    </row>
    <row r="40" spans="1:20" ht="15.75" x14ac:dyDescent="0.25">
      <c r="B40" s="264"/>
      <c r="C40" s="264"/>
      <c r="D40" s="264"/>
      <c r="E40" s="264"/>
      <c r="K40" s="59" t="s">
        <v>367</v>
      </c>
      <c r="L40">
        <f>IF(Main!N54="","",Main!N54)</f>
        <v>0</v>
      </c>
      <c r="O40" s="59" t="s">
        <v>369</v>
      </c>
      <c r="P40">
        <f>IF(Main!N56="","",Main!N56)</f>
        <v>0</v>
      </c>
    </row>
    <row r="41" spans="1:20" x14ac:dyDescent="0.2">
      <c r="K41" s="59" t="s">
        <v>368</v>
      </c>
      <c r="L41">
        <f>IF(Main!N55="","",Main!N55)</f>
        <v>0</v>
      </c>
      <c r="O41" s="59" t="s">
        <v>370</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EDx6IsnoiAqa8Jfja9w2UCQfUTvJ6jyKBzDuei2YljHI/9UMie0h+k6VaOtPZVc792bHIIorTgsl84mnT62znA==" saltValue="Ne9qa9/1DBnBq8U7bXsZm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Z9K2AdlPWLUHqPjVyUyoulj4jK4wR/5dyLOY3LTMwxECGTzAINwUljBQSftn7wIxAYXgSWm3imcjgU31Zkxh0A==" saltValue="Y9S+PG62GeKtzyKKNKOhM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168</v>
      </c>
      <c r="W1" s="39" t="s">
        <v>172</v>
      </c>
      <c r="Y1" s="39" t="s">
        <v>223</v>
      </c>
      <c r="AA1" s="39" t="s">
        <v>224</v>
      </c>
      <c r="AC1" s="39" t="s">
        <v>257</v>
      </c>
      <c r="AE1" s="64" t="s">
        <v>356</v>
      </c>
      <c r="AG1" s="36" t="s">
        <v>363</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560</v>
      </c>
      <c r="H2" t="s">
        <v>71</v>
      </c>
      <c r="K2" t="s">
        <v>83</v>
      </c>
      <c r="M2" t="s">
        <v>94</v>
      </c>
      <c r="Q2" t="s">
        <v>133</v>
      </c>
      <c r="S2" t="s">
        <v>80</v>
      </c>
      <c r="U2" s="39" t="s">
        <v>169</v>
      </c>
      <c r="W2">
        <f>IF(Main!D32 = 10, 5, IF(Main!D32 = 30, 15, IF(Main!D32 = 40, 20, 0)))</f>
        <v>0</v>
      </c>
      <c r="Y2" t="s">
        <v>198</v>
      </c>
      <c r="AC2" s="39" t="s">
        <v>259</v>
      </c>
      <c r="AE2" s="39" t="s">
        <v>357</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561</v>
      </c>
      <c r="H3" t="s">
        <v>69</v>
      </c>
      <c r="K3" t="s">
        <v>84</v>
      </c>
      <c r="M3" t="s">
        <v>95</v>
      </c>
      <c r="O3" t="s">
        <v>124</v>
      </c>
      <c r="Q3" s="39" t="s">
        <v>165</v>
      </c>
      <c r="S3" t="s">
        <v>140</v>
      </c>
      <c r="U3" s="39" t="s">
        <v>324</v>
      </c>
      <c r="Y3" t="s">
        <v>199</v>
      </c>
      <c r="AC3" s="39" t="s">
        <v>258</v>
      </c>
      <c r="AE3" s="39" t="s">
        <v>381</v>
      </c>
      <c r="AG3" s="39" t="str">
        <v>James Haven</v>
      </c>
      <c r="AH3" s="39"/>
    </row>
    <row r="4" spans="1:34" x14ac:dyDescent="0.2">
      <c r="A4" s="35" t="str">
        <v>J3</v>
      </c>
      <c r="B4" s="35" t="str">
        <v>DaqBook/2005</v>
      </c>
      <c r="C4" s="35" t="str">
        <v>807705</v>
      </c>
      <c r="D4" s="35" t="str">
        <f t="shared" si="0"/>
        <v>"J" IRON-CONSTANTAN</v>
      </c>
      <c r="E4" s="35">
        <v>28</v>
      </c>
      <c r="G4" s="39" t="s">
        <v>559</v>
      </c>
      <c r="H4" t="s">
        <v>70</v>
      </c>
      <c r="K4" t="s">
        <v>95</v>
      </c>
      <c r="M4" t="s">
        <v>105</v>
      </c>
      <c r="O4" t="s">
        <v>130</v>
      </c>
      <c r="Q4" t="s">
        <v>134</v>
      </c>
      <c r="S4" t="s">
        <v>139</v>
      </c>
      <c r="U4" s="39" t="s">
        <v>170</v>
      </c>
      <c r="Y4" t="s">
        <v>200</v>
      </c>
      <c r="AE4" s="39" t="s">
        <v>332</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378</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379</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380</v>
      </c>
      <c r="U8" t="str">
        <f>IF(AND(Main!D17&lt;&gt;"",Main!D17&gt;14),"Data_Sheet_15_28","")</f>
        <v/>
      </c>
      <c r="Y8" t="s">
        <v>204</v>
      </c>
      <c r="AE8" s="64" t="s">
        <v>358</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334</v>
      </c>
      <c r="AG9" s="39" t="str">
        <v>Mike Ragonese</v>
      </c>
      <c r="AH9" s="39"/>
    </row>
    <row r="10" spans="1:34" x14ac:dyDescent="0.2">
      <c r="O10" t="s">
        <v>125</v>
      </c>
      <c r="Y10" t="s">
        <v>207</v>
      </c>
      <c r="AE10" s="39" t="s">
        <v>359</v>
      </c>
      <c r="AG10" s="39" t="str">
        <v>Nick Nolte</v>
      </c>
      <c r="AH10" s="39"/>
    </row>
    <row r="11" spans="1:34" x14ac:dyDescent="0.2">
      <c r="O11" t="s">
        <v>129</v>
      </c>
      <c r="Y11" s="39" t="s">
        <v>233</v>
      </c>
      <c r="AE11" s="39" t="s">
        <v>135</v>
      </c>
      <c r="AG11" t="str">
        <v>Ryan Byars</v>
      </c>
    </row>
    <row r="12" spans="1:34" x14ac:dyDescent="0.2">
      <c r="O12" t="s">
        <v>128</v>
      </c>
      <c r="Y12" s="39" t="s">
        <v>372</v>
      </c>
      <c r="AE12" s="39" t="s">
        <v>360</v>
      </c>
    </row>
    <row r="13" spans="1:34" x14ac:dyDescent="0.2">
      <c r="O13" s="39" t="s">
        <v>375</v>
      </c>
      <c r="Y13" t="s">
        <v>208</v>
      </c>
      <c r="AE13" s="39" t="s">
        <v>361</v>
      </c>
    </row>
    <row r="14" spans="1:34" x14ac:dyDescent="0.2">
      <c r="Y14" t="s">
        <v>209</v>
      </c>
      <c r="AE14" s="39" t="s">
        <v>362</v>
      </c>
    </row>
    <row r="15" spans="1:34" x14ac:dyDescent="0.2">
      <c r="Y15" t="s">
        <v>210</v>
      </c>
      <c r="AE15" s="39" t="s">
        <v>374</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329</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267</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O6Jo7IKLx2DbK5zEInHm08uisJak6cBy90VCz8UCam7oSk8Cm0lPo4HLnJQn74FkvH42bvGPZYMLaVtLNSKSZA==" saltValue="HqXXcptZSgNP2JDCu5hWu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2025-07-17T21:38:13Z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