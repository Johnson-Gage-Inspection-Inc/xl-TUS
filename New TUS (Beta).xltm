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CC2225C-EB9A-4971-93A2-E1FC248DF951}"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J7" i="95"/>
  <c r="J8" i="95"/>
  <c r="J9" i="95"/>
  <c r="J10" i="95"/>
  <c r="J11" i="95"/>
  <c r="J12" i="95"/>
  <c r="J13" i="95"/>
  <c r="J14" i="95"/>
  <c r="J15" i="95"/>
  <c r="K15" i="95" s="1"/>
  <c r="J16" i="95"/>
  <c r="K16" i="95" s="1"/>
  <c r="J17" i="95"/>
  <c r="K17" i="95" s="1"/>
  <c r="J18" i="95"/>
  <c r="K18" i="95" s="1"/>
  <c r="J19" i="95"/>
  <c r="J20" i="95"/>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J35" i="95"/>
  <c r="J36" i="95"/>
  <c r="K36" i="95" s="1"/>
  <c r="J37" i="95"/>
  <c r="J38" i="95"/>
  <c r="J39" i="95"/>
  <c r="J40" i="95"/>
  <c r="J41" i="95"/>
  <c r="J42" i="95"/>
  <c r="K42" i="95" s="1"/>
  <c r="J43" i="95"/>
  <c r="K43" i="95" s="1"/>
  <c r="J44" i="95"/>
  <c r="K44" i="95" s="1"/>
  <c r="J45" i="95"/>
  <c r="K45" i="95" s="1"/>
  <c r="J46" i="95"/>
  <c r="K46" i="95" s="1"/>
  <c r="J47" i="95"/>
  <c r="K47" i="95" s="1"/>
  <c r="J48" i="95"/>
  <c r="K48" i="95" s="1"/>
  <c r="J49" i="95"/>
  <c r="K49" i="95" s="1"/>
  <c r="J50" i="95"/>
  <c r="K50" i="95" s="1"/>
  <c r="J51" i="95"/>
  <c r="J52" i="95"/>
  <c r="J53" i="95"/>
  <c r="J54" i="95"/>
  <c r="J55" i="95"/>
  <c r="J56" i="95"/>
  <c r="J57" i="95"/>
  <c r="J58" i="95"/>
  <c r="K58" i="95" s="1"/>
  <c r="J59" i="95"/>
  <c r="K59" i="95" s="1"/>
  <c r="J60" i="95"/>
  <c r="K60" i="95" s="1"/>
  <c r="J61" i="95"/>
  <c r="K61" i="95" s="1"/>
  <c r="J62" i="95"/>
  <c r="K62" i="95" s="1"/>
  <c r="J63" i="95"/>
  <c r="K63" i="95" s="1"/>
  <c r="J64" i="95"/>
  <c r="K64" i="95" s="1"/>
  <c r="J65" i="95"/>
  <c r="J66" i="95"/>
  <c r="J67" i="95"/>
  <c r="J68" i="95"/>
  <c r="K68" i="95" s="1"/>
  <c r="J69" i="95"/>
  <c r="J70" i="95"/>
  <c r="J71" i="95"/>
  <c r="J72" i="95"/>
  <c r="J73" i="95"/>
  <c r="J74" i="95"/>
  <c r="J75" i="95"/>
  <c r="K75" i="95" s="1"/>
  <c r="J76" i="95"/>
  <c r="K76" i="95" s="1"/>
  <c r="J77" i="95"/>
  <c r="K77" i="95" s="1"/>
  <c r="J78" i="95"/>
  <c r="K78" i="95" s="1"/>
  <c r="J79" i="95"/>
  <c r="K79" i="95" s="1"/>
  <c r="J80" i="95"/>
  <c r="K80" i="95" s="1"/>
  <c r="J81" i="95"/>
  <c r="K81" i="95" s="1"/>
  <c r="J82" i="95"/>
  <c r="K82" i="95" s="1"/>
  <c r="J83" i="95"/>
  <c r="J84" i="95"/>
  <c r="J85" i="95"/>
  <c r="J86" i="95"/>
  <c r="J87" i="95"/>
  <c r="J88" i="95"/>
  <c r="J89" i="95"/>
  <c r="J90" i="95"/>
  <c r="J91" i="95"/>
  <c r="J92" i="95"/>
  <c r="J93" i="95"/>
  <c r="K93" i="95" s="1"/>
  <c r="J94" i="95"/>
  <c r="K94" i="95" s="1"/>
  <c r="J95" i="95"/>
  <c r="K95" i="95" s="1"/>
  <c r="J96" i="95"/>
  <c r="K96" i="95" s="1"/>
  <c r="J97" i="95"/>
  <c r="K97" i="95" s="1"/>
  <c r="J98" i="95"/>
  <c r="K98" i="95" s="1"/>
  <c r="J99" i="95"/>
  <c r="K99" i="95" s="1"/>
  <c r="J100" i="95"/>
  <c r="K100" i="95" s="1"/>
  <c r="J101" i="95"/>
  <c r="J102" i="95"/>
  <c r="J103" i="95"/>
  <c r="J104" i="95"/>
  <c r="J105" i="95"/>
  <c r="J106" i="95"/>
  <c r="J107" i="95"/>
  <c r="J108" i="95"/>
  <c r="J109" i="95"/>
  <c r="J110" i="95"/>
  <c r="J111" i="95"/>
  <c r="K111" i="95" s="1"/>
  <c r="J112" i="95"/>
  <c r="J113" i="95"/>
  <c r="K113" i="95" s="1"/>
  <c r="J114" i="95"/>
  <c r="K114" i="95" s="1"/>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K132" i="95" s="1"/>
  <c r="J133" i="95"/>
  <c r="J134" i="95"/>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J148" i="95"/>
  <c r="J149" i="95"/>
  <c r="J150" i="95"/>
  <c r="J151" i="95"/>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K164" i="95" s="1"/>
  <c r="J165" i="95"/>
  <c r="J166" i="95"/>
  <c r="J167" i="95"/>
  <c r="J168" i="95"/>
  <c r="J169" i="95"/>
  <c r="J170" i="95"/>
  <c r="J171" i="95"/>
  <c r="J172" i="95"/>
  <c r="K172" i="95" s="1"/>
  <c r="J173" i="95"/>
  <c r="K173" i="95" s="1"/>
  <c r="J174" i="95"/>
  <c r="K174" i="95" s="1"/>
  <c r="J175" i="95"/>
  <c r="K175" i="95" s="1"/>
  <c r="J176" i="95"/>
  <c r="K176" i="95" s="1"/>
  <c r="J177" i="95"/>
  <c r="K177" i="95" s="1"/>
  <c r="J178" i="95"/>
  <c r="K178" i="95" s="1"/>
  <c r="J179" i="95"/>
  <c r="J180" i="95"/>
  <c r="J181" i="95"/>
  <c r="J182" i="95"/>
  <c r="J183" i="95"/>
  <c r="J184" i="95"/>
  <c r="J185" i="95"/>
  <c r="J186" i="95"/>
  <c r="J187" i="95"/>
  <c r="J188" i="95"/>
  <c r="K188" i="95" s="1"/>
  <c r="J189" i="95"/>
  <c r="K189" i="95" s="1"/>
  <c r="J190" i="95"/>
  <c r="K190" i="95" s="1"/>
  <c r="J191" i="95"/>
  <c r="K191" i="95" s="1"/>
  <c r="J192" i="95"/>
  <c r="K192" i="95" s="1"/>
  <c r="J193" i="95"/>
  <c r="J194" i="95"/>
  <c r="K194" i="95" s="1"/>
  <c r="J195" i="95"/>
  <c r="K195" i="95" s="1"/>
  <c r="J196" i="95"/>
  <c r="K196" i="95" s="1"/>
  <c r="J197" i="95"/>
  <c r="J198" i="95"/>
  <c r="J199" i="95"/>
  <c r="J200" i="95"/>
  <c r="J201" i="95"/>
  <c r="J202" i="95"/>
  <c r="J203" i="95"/>
  <c r="J204" i="95"/>
  <c r="J205" i="95"/>
  <c r="J206" i="95"/>
  <c r="J207" i="95"/>
  <c r="K207" i="95" s="1"/>
  <c r="J208" i="95"/>
  <c r="J209" i="95"/>
  <c r="J210" i="95"/>
  <c r="K210" i="95" s="1"/>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J227" i="95"/>
  <c r="J228" i="95"/>
  <c r="K228" i="95" s="1"/>
  <c r="J229" i="95"/>
  <c r="J230" i="95"/>
  <c r="J231" i="95"/>
  <c r="J232" i="95"/>
  <c r="J233" i="95"/>
  <c r="J234" i="95"/>
  <c r="K234" i="95" s="1"/>
  <c r="J235" i="95"/>
  <c r="K235" i="95" s="1"/>
  <c r="J236" i="95"/>
  <c r="K236" i="95" s="1"/>
  <c r="J237" i="95"/>
  <c r="K237" i="95" s="1"/>
  <c r="J238" i="95"/>
  <c r="K238" i="95" s="1"/>
  <c r="J239" i="95"/>
  <c r="K239" i="95" s="1"/>
  <c r="J240" i="95"/>
  <c r="K240" i="95" s="1"/>
  <c r="J241" i="95"/>
  <c r="K241" i="95" s="1"/>
  <c r="J242" i="95"/>
  <c r="K242" i="95" s="1"/>
  <c r="J243" i="95"/>
  <c r="J244" i="95"/>
  <c r="J245" i="95"/>
  <c r="J246" i="95"/>
  <c r="J247" i="95"/>
  <c r="J248" i="95"/>
  <c r="J249" i="95"/>
  <c r="J250" i="95"/>
  <c r="K250" i="95" s="1"/>
  <c r="J251" i="95"/>
  <c r="K251" i="95" s="1"/>
  <c r="J252" i="95"/>
  <c r="K252" i="95" s="1"/>
  <c r="J253" i="95"/>
  <c r="K253" i="95" s="1"/>
  <c r="J254" i="95"/>
  <c r="K254" i="95" s="1"/>
  <c r="J255" i="95"/>
  <c r="K255" i="95" s="1"/>
  <c r="J256" i="95"/>
  <c r="K256" i="95" s="1"/>
  <c r="J257" i="95"/>
  <c r="J258" i="95"/>
  <c r="J259" i="95"/>
  <c r="J260" i="95"/>
  <c r="K260" i="95" s="1"/>
  <c r="J261" i="95"/>
  <c r="J262" i="95"/>
  <c r="J263" i="95"/>
  <c r="J264" i="95"/>
  <c r="J265" i="95"/>
  <c r="J266" i="95"/>
  <c r="J267" i="95"/>
  <c r="K267" i="95" s="1"/>
  <c r="J268" i="95"/>
  <c r="K268" i="95" s="1"/>
  <c r="J269" i="95"/>
  <c r="K269" i="95" s="1"/>
  <c r="J270" i="95"/>
  <c r="K270" i="95" s="1"/>
  <c r="J271" i="95"/>
  <c r="K271" i="95" s="1"/>
  <c r="J272" i="95"/>
  <c r="K272" i="95" s="1"/>
  <c r="J273" i="95"/>
  <c r="K273" i="95" s="1"/>
  <c r="J274" i="95"/>
  <c r="K274" i="95" s="1"/>
  <c r="J275" i="95"/>
  <c r="J276" i="95"/>
  <c r="J277" i="95"/>
  <c r="J278" i="95"/>
  <c r="J279" i="95"/>
  <c r="J280" i="95"/>
  <c r="J281" i="95"/>
  <c r="J282" i="95"/>
  <c r="J283" i="95"/>
  <c r="J284" i="95"/>
  <c r="J285" i="95"/>
  <c r="K285" i="95" s="1"/>
  <c r="J286" i="95"/>
  <c r="K286" i="95" s="1"/>
  <c r="J287" i="95"/>
  <c r="K287" i="95" s="1"/>
  <c r="J288" i="95"/>
  <c r="K288" i="95" s="1"/>
  <c r="J289" i="95"/>
  <c r="K289" i="95" s="1"/>
  <c r="J290" i="95"/>
  <c r="K290" i="95" s="1"/>
  <c r="J291" i="95"/>
  <c r="K291" i="95" s="1"/>
  <c r="J292" i="95"/>
  <c r="K292" i="95" s="1"/>
  <c r="J293" i="95"/>
  <c r="J294" i="95"/>
  <c r="J295" i="95"/>
  <c r="J296" i="95"/>
  <c r="J297" i="95"/>
  <c r="J298" i="95"/>
  <c r="J299" i="95"/>
  <c r="J300" i="95"/>
  <c r="J301" i="95"/>
  <c r="J302" i="95"/>
  <c r="J303" i="95"/>
  <c r="K303" i="95" s="1"/>
  <c r="J304" i="95"/>
  <c r="J305" i="95"/>
  <c r="K305" i="95" s="1"/>
  <c r="J306" i="95"/>
  <c r="K306" i="95" s="1"/>
  <c r="J307" i="95"/>
  <c r="J308" i="95"/>
  <c r="J309" i="95"/>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J323" i="95"/>
  <c r="J324" i="95"/>
  <c r="K324" i="95" s="1"/>
  <c r="J325" i="95"/>
  <c r="J326" i="95"/>
  <c r="J327" i="95"/>
  <c r="J328" i="95"/>
  <c r="K328" i="95" s="1"/>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J340" i="95"/>
  <c r="J341" i="95"/>
  <c r="J342" i="95"/>
  <c r="J343" i="95"/>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K356" i="95" s="1"/>
  <c r="J357" i="95"/>
  <c r="J358" i="95"/>
  <c r="J359" i="95"/>
  <c r="J360" i="95"/>
  <c r="J361" i="95"/>
  <c r="J362" i="95"/>
  <c r="J363" i="95"/>
  <c r="J364" i="95"/>
  <c r="J365" i="95"/>
  <c r="K365" i="95" s="1"/>
  <c r="J366" i="95"/>
  <c r="K366" i="95" s="1"/>
  <c r="J367" i="95"/>
  <c r="K367" i="95" s="1"/>
  <c r="J368" i="95"/>
  <c r="K368" i="95" s="1"/>
  <c r="J369" i="95"/>
  <c r="K369" i="95" s="1"/>
  <c r="J370" i="95"/>
  <c r="K370" i="95" s="1"/>
  <c r="J371" i="95"/>
  <c r="J372" i="95"/>
  <c r="J373" i="95"/>
  <c r="J374" i="95"/>
  <c r="J375" i="95"/>
  <c r="J376" i="95"/>
  <c r="J377" i="95"/>
  <c r="J378" i="95"/>
  <c r="J379" i="95"/>
  <c r="J380" i="95"/>
  <c r="J381" i="95"/>
  <c r="K381" i="95" s="1"/>
  <c r="J382" i="95"/>
  <c r="K382" i="95" s="1"/>
  <c r="J383" i="95"/>
  <c r="K383" i="95" s="1"/>
  <c r="J384" i="95"/>
  <c r="K384" i="95" s="1"/>
  <c r="J385" i="95"/>
  <c r="J386" i="95"/>
  <c r="J387" i="95"/>
  <c r="K387" i="95" s="1"/>
  <c r="J388" i="95"/>
  <c r="K388" i="95" s="1"/>
  <c r="J389" i="95"/>
  <c r="J390" i="95"/>
  <c r="J391" i="95"/>
  <c r="J392" i="95"/>
  <c r="J393" i="95"/>
  <c r="J394" i="95"/>
  <c r="J395" i="95"/>
  <c r="J396" i="95"/>
  <c r="J397" i="95"/>
  <c r="J398" i="95"/>
  <c r="J399" i="95"/>
  <c r="K399" i="95" s="1"/>
  <c r="J400" i="95"/>
  <c r="J401" i="95"/>
  <c r="J402" i="95"/>
  <c r="K402" i="95" s="1"/>
  <c r="J403" i="95"/>
  <c r="J404" i="95"/>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J418" i="95"/>
  <c r="K2" i="95"/>
  <c r="K3" i="95"/>
  <c r="K5" i="95"/>
  <c r="K6" i="95"/>
  <c r="K7" i="95"/>
  <c r="K8" i="95"/>
  <c r="K9" i="95"/>
  <c r="K10" i="95"/>
  <c r="K11" i="95"/>
  <c r="K12" i="95"/>
  <c r="K13" i="95"/>
  <c r="K14" i="95"/>
  <c r="K19" i="95"/>
  <c r="K20" i="95"/>
  <c r="K33" i="95"/>
  <c r="K34" i="95"/>
  <c r="K35" i="95"/>
  <c r="K37" i="95"/>
  <c r="K38" i="95"/>
  <c r="K39" i="95"/>
  <c r="K40" i="95"/>
  <c r="K41" i="95"/>
  <c r="K51" i="95"/>
  <c r="K52" i="95"/>
  <c r="K53" i="95"/>
  <c r="K54" i="95"/>
  <c r="K55" i="95"/>
  <c r="K56" i="95"/>
  <c r="K57" i="95"/>
  <c r="K65" i="95"/>
  <c r="K66" i="95"/>
  <c r="K67" i="95"/>
  <c r="K69" i="95"/>
  <c r="K70" i="95"/>
  <c r="K71" i="95"/>
  <c r="K72" i="95"/>
  <c r="K73" i="95"/>
  <c r="K74" i="95"/>
  <c r="K83" i="95"/>
  <c r="K84" i="95"/>
  <c r="K85" i="95"/>
  <c r="K86" i="95"/>
  <c r="K87" i="95"/>
  <c r="K88" i="95"/>
  <c r="K89" i="95"/>
  <c r="K90" i="95"/>
  <c r="K91" i="95"/>
  <c r="K92" i="95"/>
  <c r="K101" i="95"/>
  <c r="K102" i="95"/>
  <c r="K103" i="95"/>
  <c r="K104" i="95"/>
  <c r="K105" i="95"/>
  <c r="K106" i="95"/>
  <c r="K107" i="95"/>
  <c r="K108" i="95"/>
  <c r="K109" i="95"/>
  <c r="K110" i="95"/>
  <c r="K112" i="95"/>
  <c r="K115" i="95"/>
  <c r="K116" i="95"/>
  <c r="K117" i="95"/>
  <c r="K129" i="95"/>
  <c r="K130" i="95"/>
  <c r="K131" i="95"/>
  <c r="K133" i="95"/>
  <c r="K134" i="95"/>
  <c r="K147" i="95"/>
  <c r="K148" i="95"/>
  <c r="K149" i="95"/>
  <c r="K150" i="95"/>
  <c r="K151" i="95"/>
  <c r="K161" i="95"/>
  <c r="K162" i="95"/>
  <c r="K163" i="95"/>
  <c r="K165" i="95"/>
  <c r="K166" i="95"/>
  <c r="K167" i="95"/>
  <c r="K168" i="95"/>
  <c r="K169" i="95"/>
  <c r="K170" i="95"/>
  <c r="K171" i="95"/>
  <c r="K179" i="95"/>
  <c r="K180" i="95"/>
  <c r="K181" i="95"/>
  <c r="K182" i="95"/>
  <c r="K183" i="95"/>
  <c r="K184" i="95"/>
  <c r="K185" i="95"/>
  <c r="K186" i="95"/>
  <c r="K187" i="95"/>
  <c r="K193" i="95"/>
  <c r="K197" i="95"/>
  <c r="K198" i="95"/>
  <c r="K199" i="95"/>
  <c r="K200" i="95"/>
  <c r="K201" i="95"/>
  <c r="K202" i="95"/>
  <c r="K203" i="95"/>
  <c r="K204" i="95"/>
  <c r="K205" i="95"/>
  <c r="K206" i="95"/>
  <c r="K209" i="95"/>
  <c r="K212" i="95"/>
  <c r="K225" i="95"/>
  <c r="K226" i="95"/>
  <c r="K227" i="95"/>
  <c r="K229" i="95"/>
  <c r="K230" i="95"/>
  <c r="K231" i="95"/>
  <c r="K232" i="95"/>
  <c r="K233" i="95"/>
  <c r="K243" i="95"/>
  <c r="K244" i="95"/>
  <c r="K245" i="95"/>
  <c r="K246" i="95"/>
  <c r="K247" i="95"/>
  <c r="K248" i="95"/>
  <c r="K249" i="95"/>
  <c r="K257" i="95"/>
  <c r="K258" i="95"/>
  <c r="K259" i="95"/>
  <c r="K261" i="95"/>
  <c r="K262" i="95"/>
  <c r="K263" i="95"/>
  <c r="K264" i="95"/>
  <c r="K265" i="95"/>
  <c r="K266" i="95"/>
  <c r="K275" i="95"/>
  <c r="K276" i="95"/>
  <c r="K277" i="95"/>
  <c r="K278" i="95"/>
  <c r="K279" i="95"/>
  <c r="K280" i="95"/>
  <c r="K281" i="95"/>
  <c r="K282" i="95"/>
  <c r="K283" i="95"/>
  <c r="K284" i="95"/>
  <c r="K293" i="95"/>
  <c r="K294" i="95"/>
  <c r="K295" i="95"/>
  <c r="K296" i="95"/>
  <c r="K297" i="95"/>
  <c r="K298" i="95"/>
  <c r="K299" i="95"/>
  <c r="K300" i="95"/>
  <c r="K301" i="95"/>
  <c r="K302" i="95"/>
  <c r="K304" i="95"/>
  <c r="K307" i="95"/>
  <c r="K308" i="95"/>
  <c r="K309" i="95"/>
  <c r="K322" i="95"/>
  <c r="K323" i="95"/>
  <c r="K325" i="95"/>
  <c r="K326" i="95"/>
  <c r="K327" i="95"/>
  <c r="K339" i="95"/>
  <c r="K340" i="95"/>
  <c r="K341" i="95"/>
  <c r="K342" i="95"/>
  <c r="K343" i="95"/>
  <c r="K354" i="95"/>
  <c r="K355" i="95"/>
  <c r="K357" i="95"/>
  <c r="K358" i="95"/>
  <c r="K359" i="95"/>
  <c r="K360" i="95"/>
  <c r="K361" i="95"/>
  <c r="K362" i="95"/>
  <c r="K363" i="95"/>
  <c r="K364" i="95"/>
  <c r="K371" i="95"/>
  <c r="K372" i="95"/>
  <c r="K373" i="95"/>
  <c r="K374" i="95"/>
  <c r="K375" i="95"/>
  <c r="K376" i="95"/>
  <c r="K377" i="95"/>
  <c r="K378" i="95"/>
  <c r="K379" i="95"/>
  <c r="K380" i="95"/>
  <c r="K385" i="95"/>
  <c r="K386" i="95"/>
  <c r="K389" i="95"/>
  <c r="K390" i="95"/>
  <c r="K391" i="95"/>
  <c r="K392" i="95"/>
  <c r="K393" i="95"/>
  <c r="K394" i="95"/>
  <c r="K395" i="95"/>
  <c r="K396" i="95"/>
  <c r="K397" i="95"/>
  <c r="K398" i="95"/>
  <c r="K400" i="95"/>
  <c r="K401" i="95"/>
  <c r="K403" i="95"/>
  <c r="K404" i="95"/>
  <c r="K417" i="95"/>
  <c r="K418" i="95"/>
  <c r="L2" i="95"/>
  <c r="M2" i="95" s="1"/>
  <c r="L3" i="95"/>
  <c r="L4" i="95"/>
  <c r="L5" i="95"/>
  <c r="L6" i="95"/>
  <c r="L7" i="95"/>
  <c r="L8" i="95"/>
  <c r="L9" i="95"/>
  <c r="L10" i="95"/>
  <c r="L11" i="95"/>
  <c r="L12" i="95"/>
  <c r="L13" i="95"/>
  <c r="M13" i="95" s="1"/>
  <c r="L14" i="95"/>
  <c r="M14" i="95" s="1"/>
  <c r="L15" i="95"/>
  <c r="M15" i="95" s="1"/>
  <c r="L16" i="95"/>
  <c r="M16" i="95" s="1"/>
  <c r="L17" i="95"/>
  <c r="M17" i="95" s="1"/>
  <c r="L18" i="95"/>
  <c r="M18" i="95" s="1"/>
  <c r="L19" i="95"/>
  <c r="M19" i="95" s="1"/>
  <c r="L20" i="95"/>
  <c r="M20" i="95" s="1"/>
  <c r="L21" i="95"/>
  <c r="L22" i="95"/>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L36" i="95"/>
  <c r="L37" i="95"/>
  <c r="L38" i="95"/>
  <c r="L39" i="95"/>
  <c r="L40" i="95"/>
  <c r="L41" i="95"/>
  <c r="L42" i="95"/>
  <c r="L43" i="95"/>
  <c r="L44" i="95"/>
  <c r="M44" i="95" s="1"/>
  <c r="L45" i="95"/>
  <c r="M45" i="95" s="1"/>
  <c r="L46" i="95"/>
  <c r="M46" i="95" s="1"/>
  <c r="L47" i="95"/>
  <c r="M47" i="95" s="1"/>
  <c r="L48" i="95"/>
  <c r="M48" i="95" s="1"/>
  <c r="L49" i="95"/>
  <c r="M49" i="95" s="1"/>
  <c r="L50" i="95"/>
  <c r="M50" i="95" s="1"/>
  <c r="L51" i="95"/>
  <c r="M51" i="95" s="1"/>
  <c r="L52" i="95"/>
  <c r="M52" i="95" s="1"/>
  <c r="L53" i="95"/>
  <c r="L54" i="95"/>
  <c r="L55" i="95"/>
  <c r="L56" i="95"/>
  <c r="L57" i="95"/>
  <c r="L58" i="95"/>
  <c r="L59" i="95"/>
  <c r="M59" i="95" s="1"/>
  <c r="L60" i="95"/>
  <c r="L61" i="95"/>
  <c r="M61" i="95" s="1"/>
  <c r="L62" i="95"/>
  <c r="M62" i="95" s="1"/>
  <c r="L63" i="95"/>
  <c r="M63" i="95" s="1"/>
  <c r="L64" i="95"/>
  <c r="M64" i="95" s="1"/>
  <c r="L65" i="95"/>
  <c r="M65" i="95" s="1"/>
  <c r="L66" i="95"/>
  <c r="M66" i="95" s="1"/>
  <c r="L67" i="95"/>
  <c r="M67" i="95" s="1"/>
  <c r="L68" i="95"/>
  <c r="L69" i="95"/>
  <c r="L70" i="95"/>
  <c r="L71" i="95"/>
  <c r="L72" i="95"/>
  <c r="L73" i="95"/>
  <c r="L74" i="95"/>
  <c r="L75" i="95"/>
  <c r="L76" i="95"/>
  <c r="L77" i="95"/>
  <c r="M77" i="95" s="1"/>
  <c r="L78" i="95"/>
  <c r="M78" i="95" s="1"/>
  <c r="L79" i="95"/>
  <c r="M79" i="95" s="1"/>
  <c r="L80" i="95"/>
  <c r="M80" i="95" s="1"/>
  <c r="L81" i="95"/>
  <c r="M81" i="95" s="1"/>
  <c r="L82" i="95"/>
  <c r="M82" i="95" s="1"/>
  <c r="L83" i="95"/>
  <c r="M83" i="95" s="1"/>
  <c r="L84" i="95"/>
  <c r="M84" i="95" s="1"/>
  <c r="L85" i="95"/>
  <c r="L86" i="95"/>
  <c r="L87" i="95"/>
  <c r="L88" i="95"/>
  <c r="L89" i="95"/>
  <c r="L90" i="95"/>
  <c r="L91" i="95"/>
  <c r="M91" i="95" s="1"/>
  <c r="L92" i="95"/>
  <c r="M92" i="95" s="1"/>
  <c r="L93" i="95"/>
  <c r="L94" i="95"/>
  <c r="M94" i="95" s="1"/>
  <c r="L95" i="95"/>
  <c r="M95" i="95" s="1"/>
  <c r="L96" i="95"/>
  <c r="M96" i="95" s="1"/>
  <c r="L97" i="95"/>
  <c r="M97" i="95" s="1"/>
  <c r="L98" i="95"/>
  <c r="M98" i="95" s="1"/>
  <c r="L99" i="95"/>
  <c r="L100" i="95"/>
  <c r="M100" i="95" s="1"/>
  <c r="L101" i="95"/>
  <c r="M101" i="95" s="1"/>
  <c r="L102" i="95"/>
  <c r="M102" i="95" s="1"/>
  <c r="L103" i="95"/>
  <c r="L104" i="95"/>
  <c r="L105" i="95"/>
  <c r="L106" i="95"/>
  <c r="L107" i="95"/>
  <c r="L108" i="95"/>
  <c r="L109" i="95"/>
  <c r="M109" i="95" s="1"/>
  <c r="L110" i="95"/>
  <c r="L111" i="95"/>
  <c r="L112" i="95"/>
  <c r="M112" i="95" s="1"/>
  <c r="L113" i="95"/>
  <c r="L114" i="95"/>
  <c r="L115" i="95"/>
  <c r="L116" i="95"/>
  <c r="M116" i="95" s="1"/>
  <c r="L117" i="95"/>
  <c r="L118" i="95"/>
  <c r="L119" i="95"/>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L132" i="95"/>
  <c r="L133" i="95"/>
  <c r="L134" i="95"/>
  <c r="L135" i="95"/>
  <c r="L136" i="95"/>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L165" i="95"/>
  <c r="L166" i="95"/>
  <c r="L167" i="95"/>
  <c r="L168" i="95"/>
  <c r="L169" i="95"/>
  <c r="L170" i="95"/>
  <c r="L171" i="95"/>
  <c r="L172" i="95"/>
  <c r="L173" i="95"/>
  <c r="M173" i="95" s="1"/>
  <c r="L174" i="95"/>
  <c r="L175" i="95"/>
  <c r="M175" i="95" s="1"/>
  <c r="L176" i="95"/>
  <c r="M176" i="95" s="1"/>
  <c r="L177" i="95"/>
  <c r="M177" i="95" s="1"/>
  <c r="L178" i="95"/>
  <c r="M178" i="95" s="1"/>
  <c r="L179" i="95"/>
  <c r="M179" i="95" s="1"/>
  <c r="L180" i="95"/>
  <c r="M180" i="95" s="1"/>
  <c r="L181" i="95"/>
  <c r="L182" i="95"/>
  <c r="L183" i="95"/>
  <c r="L184" i="95"/>
  <c r="L185" i="95"/>
  <c r="L186" i="95"/>
  <c r="L187" i="95"/>
  <c r="M187" i="95" s="1"/>
  <c r="L188" i="95"/>
  <c r="L189" i="95"/>
  <c r="L190" i="95"/>
  <c r="M190" i="95" s="1"/>
  <c r="L191" i="95"/>
  <c r="L192" i="95"/>
  <c r="M192" i="95" s="1"/>
  <c r="L193" i="95"/>
  <c r="M193" i="95" s="1"/>
  <c r="L194" i="95"/>
  <c r="M194" i="95" s="1"/>
  <c r="L195" i="95"/>
  <c r="L196" i="95"/>
  <c r="L197" i="95"/>
  <c r="M197" i="95" s="1"/>
  <c r="L198" i="95"/>
  <c r="M198" i="95" s="1"/>
  <c r="L199" i="95"/>
  <c r="L200" i="95"/>
  <c r="L201" i="95"/>
  <c r="L202" i="95"/>
  <c r="L203" i="95"/>
  <c r="L204" i="95"/>
  <c r="L205" i="95"/>
  <c r="M205" i="95" s="1"/>
  <c r="L206" i="95"/>
  <c r="L207" i="95"/>
  <c r="L208" i="95"/>
  <c r="M208" i="95" s="1"/>
  <c r="L209" i="95"/>
  <c r="L210" i="95"/>
  <c r="L211" i="95"/>
  <c r="L212" i="95"/>
  <c r="L213" i="95"/>
  <c r="L214" i="95"/>
  <c r="L215" i="95"/>
  <c r="L216" i="95"/>
  <c r="L217" i="95"/>
  <c r="L218" i="95"/>
  <c r="L219" i="95"/>
  <c r="M219" i="95" s="1"/>
  <c r="L220" i="95"/>
  <c r="M220" i="95" s="1"/>
  <c r="L221" i="95"/>
  <c r="M221" i="95" s="1"/>
  <c r="L222" i="95"/>
  <c r="M222" i="95" s="1"/>
  <c r="L223" i="95"/>
  <c r="M223" i="95" s="1"/>
  <c r="L224" i="95"/>
  <c r="M224" i="95" s="1"/>
  <c r="L225" i="95"/>
  <c r="M225" i="95" s="1"/>
  <c r="L226" i="95"/>
  <c r="M226" i="95" s="1"/>
  <c r="L227" i="95"/>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L246" i="95"/>
  <c r="L247" i="95"/>
  <c r="L248" i="95"/>
  <c r="L249" i="95"/>
  <c r="L250" i="95"/>
  <c r="M250" i="95" s="1"/>
  <c r="L251" i="95"/>
  <c r="M251" i="95" s="1"/>
  <c r="L252" i="95"/>
  <c r="M252" i="95" s="1"/>
  <c r="L253" i="95"/>
  <c r="M253" i="95" s="1"/>
  <c r="L254" i="95"/>
  <c r="M254" i="95" s="1"/>
  <c r="L255" i="95"/>
  <c r="M255" i="95" s="1"/>
  <c r="L256" i="95"/>
  <c r="M256" i="95" s="1"/>
  <c r="L257" i="95"/>
  <c r="M257" i="95" s="1"/>
  <c r="L258" i="95"/>
  <c r="M258" i="95" s="1"/>
  <c r="L259" i="95"/>
  <c r="L260" i="95"/>
  <c r="L261" i="95"/>
  <c r="L262" i="95"/>
  <c r="L263" i="95"/>
  <c r="L264" i="95"/>
  <c r="L265" i="95"/>
  <c r="L266" i="95"/>
  <c r="L267" i="95"/>
  <c r="L268" i="95"/>
  <c r="M268" i="95" s="1"/>
  <c r="L269" i="95"/>
  <c r="M269" i="95" s="1"/>
  <c r="L270" i="95"/>
  <c r="M270" i="95" s="1"/>
  <c r="L271" i="95"/>
  <c r="M271" i="95" s="1"/>
  <c r="L272" i="95"/>
  <c r="M272" i="95" s="1"/>
  <c r="L273" i="95"/>
  <c r="M273" i="95" s="1"/>
  <c r="L274" i="95"/>
  <c r="M274" i="95" s="1"/>
  <c r="L275" i="95"/>
  <c r="M275" i="95" s="1"/>
  <c r="L276" i="95"/>
  <c r="M276" i="95" s="1"/>
  <c r="L277" i="95"/>
  <c r="L278" i="95"/>
  <c r="L279" i="95"/>
  <c r="L280" i="95"/>
  <c r="L281" i="95"/>
  <c r="L282" i="95"/>
  <c r="L283" i="95"/>
  <c r="M283" i="95" s="1"/>
  <c r="L284" i="95"/>
  <c r="L285" i="95"/>
  <c r="L286" i="95"/>
  <c r="M286" i="95" s="1"/>
  <c r="L287" i="95"/>
  <c r="L288" i="95"/>
  <c r="L289" i="95"/>
  <c r="M289" i="95" s="1"/>
  <c r="L290" i="95"/>
  <c r="M290" i="95" s="1"/>
  <c r="L291" i="95"/>
  <c r="M291" i="95" s="1"/>
  <c r="L292" i="95"/>
  <c r="M292" i="95" s="1"/>
  <c r="L293" i="95"/>
  <c r="M293" i="95" s="1"/>
  <c r="L294" i="95"/>
  <c r="M294" i="95" s="1"/>
  <c r="L295" i="95"/>
  <c r="L296" i="95"/>
  <c r="L297" i="95"/>
  <c r="L298" i="95"/>
  <c r="L299" i="95"/>
  <c r="L300" i="95"/>
  <c r="L301" i="95"/>
  <c r="M301" i="95" s="1"/>
  <c r="L302" i="95"/>
  <c r="L303" i="95"/>
  <c r="L304" i="95"/>
  <c r="M304" i="95" s="1"/>
  <c r="L305" i="95"/>
  <c r="L306" i="95"/>
  <c r="M306" i="95" s="1"/>
  <c r="L307" i="95"/>
  <c r="M307" i="95" s="1"/>
  <c r="L308" i="95"/>
  <c r="M308" i="95" s="1"/>
  <c r="L309" i="95"/>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L324" i="95"/>
  <c r="L325" i="95"/>
  <c r="L326" i="95"/>
  <c r="L327" i="95"/>
  <c r="L328" i="95"/>
  <c r="L329" i="95"/>
  <c r="L330" i="95"/>
  <c r="L331" i="95"/>
  <c r="L332" i="95"/>
  <c r="L333" i="95"/>
  <c r="M333" i="95" s="1"/>
  <c r="L334" i="95"/>
  <c r="L335" i="95"/>
  <c r="L336" i="95"/>
  <c r="M336" i="95" s="1"/>
  <c r="L337" i="95"/>
  <c r="M337" i="95" s="1"/>
  <c r="L338" i="95"/>
  <c r="M338" i="95" s="1"/>
  <c r="L339" i="95"/>
  <c r="L340" i="95"/>
  <c r="L341" i="95"/>
  <c r="L342" i="95"/>
  <c r="L343" i="95"/>
  <c r="L344" i="95"/>
  <c r="L345" i="95"/>
  <c r="L346" i="95"/>
  <c r="M346" i="95" s="1"/>
  <c r="L347" i="95"/>
  <c r="M347" i="95" s="1"/>
  <c r="L348" i="95"/>
  <c r="M348" i="95" s="1"/>
  <c r="L349" i="95"/>
  <c r="M349" i="95" s="1"/>
  <c r="L350" i="95"/>
  <c r="M350" i="95" s="1"/>
  <c r="L351" i="95"/>
  <c r="M351" i="95" s="1"/>
  <c r="L352" i="95"/>
  <c r="M352" i="95" s="1"/>
  <c r="L353" i="95"/>
  <c r="M353" i="95" s="1"/>
  <c r="L354" i="95"/>
  <c r="M354" i="95" s="1"/>
  <c r="L355" i="95"/>
  <c r="L356" i="95"/>
  <c r="L357" i="95"/>
  <c r="L358" i="95"/>
  <c r="L359" i="95"/>
  <c r="L360" i="95"/>
  <c r="L361" i="95"/>
  <c r="L362" i="95"/>
  <c r="L363" i="95"/>
  <c r="L364" i="95"/>
  <c r="M364" i="95" s="1"/>
  <c r="L365" i="95"/>
  <c r="M365" i="95" s="1"/>
  <c r="L366" i="95"/>
  <c r="M366" i="95" s="1"/>
  <c r="L367" i="95"/>
  <c r="M367" i="95" s="1"/>
  <c r="L368" i="95"/>
  <c r="M368" i="95" s="1"/>
  <c r="L369" i="95"/>
  <c r="M369" i="95" s="1"/>
  <c r="L370" i="95"/>
  <c r="M370" i="95" s="1"/>
  <c r="L371" i="95"/>
  <c r="M371" i="95" s="1"/>
  <c r="L372" i="95"/>
  <c r="M372" i="95" s="1"/>
  <c r="L373" i="95"/>
  <c r="L374" i="95"/>
  <c r="L375" i="95"/>
  <c r="L376" i="95"/>
  <c r="L377" i="95"/>
  <c r="L378" i="95"/>
  <c r="L379" i="95"/>
  <c r="M379" i="95" s="1"/>
  <c r="L380" i="95"/>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L392" i="95"/>
  <c r="L393" i="95"/>
  <c r="L394" i="95"/>
  <c r="L395" i="95"/>
  <c r="L396" i="95"/>
  <c r="L397" i="95"/>
  <c r="M397" i="95" s="1"/>
  <c r="L398" i="95"/>
  <c r="L399" i="95"/>
  <c r="L400" i="95"/>
  <c r="M400" i="95" s="1"/>
  <c r="L401" i="95"/>
  <c r="L402" i="95"/>
  <c r="M402" i="95" s="1"/>
  <c r="L403" i="95"/>
  <c r="M403" i="95" s="1"/>
  <c r="L404" i="95"/>
  <c r="M404" i="95" s="1"/>
  <c r="L405" i="95"/>
  <c r="L406" i="95"/>
  <c r="L407" i="95"/>
  <c r="L408" i="95"/>
  <c r="L409" i="95"/>
  <c r="L410" i="95"/>
  <c r="L411" i="95"/>
  <c r="M411" i="95" s="1"/>
  <c r="L412" i="95"/>
  <c r="L413" i="95"/>
  <c r="L414" i="95"/>
  <c r="M414" i="95" s="1"/>
  <c r="L415" i="95"/>
  <c r="L416" i="95"/>
  <c r="L417" i="95"/>
  <c r="L418" i="95"/>
  <c r="M418" i="95" s="1"/>
  <c r="M3" i="95"/>
  <c r="M4" i="95"/>
  <c r="M5" i="95"/>
  <c r="M6" i="95"/>
  <c r="M7" i="95"/>
  <c r="M8" i="95"/>
  <c r="M9" i="95"/>
  <c r="M10" i="95"/>
  <c r="M11" i="95"/>
  <c r="M12" i="95"/>
  <c r="M21" i="95"/>
  <c r="M22" i="95"/>
  <c r="M35" i="95"/>
  <c r="M36" i="95"/>
  <c r="M37" i="95"/>
  <c r="M38" i="95"/>
  <c r="M39" i="95"/>
  <c r="M40" i="95"/>
  <c r="M41" i="95"/>
  <c r="M42" i="95"/>
  <c r="M43" i="95"/>
  <c r="M53" i="95"/>
  <c r="M54" i="95"/>
  <c r="M55" i="95"/>
  <c r="M56" i="95"/>
  <c r="M57" i="95"/>
  <c r="M58" i="95"/>
  <c r="M60" i="95"/>
  <c r="M68" i="95"/>
  <c r="M69" i="95"/>
  <c r="M70" i="95"/>
  <c r="M71" i="95"/>
  <c r="M72" i="95"/>
  <c r="M73" i="95"/>
  <c r="M74" i="95"/>
  <c r="M75" i="95"/>
  <c r="M76" i="95"/>
  <c r="M85" i="95"/>
  <c r="M86" i="95"/>
  <c r="M87" i="95"/>
  <c r="M88" i="95"/>
  <c r="M89" i="95"/>
  <c r="M90" i="95"/>
  <c r="M93" i="95"/>
  <c r="M99" i="95"/>
  <c r="M103" i="95"/>
  <c r="M104" i="95"/>
  <c r="M105" i="95"/>
  <c r="M106" i="95"/>
  <c r="M107" i="95"/>
  <c r="M108" i="95"/>
  <c r="M110" i="95"/>
  <c r="M111" i="95"/>
  <c r="M113" i="95"/>
  <c r="M114" i="95"/>
  <c r="M115" i="95"/>
  <c r="M117" i="95"/>
  <c r="M118" i="95"/>
  <c r="M119" i="95"/>
  <c r="M131" i="95"/>
  <c r="M132" i="95"/>
  <c r="M133" i="95"/>
  <c r="M134" i="95"/>
  <c r="M135" i="95"/>
  <c r="M136" i="95"/>
  <c r="M149" i="95"/>
  <c r="M150" i="95"/>
  <c r="M151" i="95"/>
  <c r="M152" i="95"/>
  <c r="M153" i="95"/>
  <c r="M164" i="95"/>
  <c r="M165" i="95"/>
  <c r="M166" i="95"/>
  <c r="M167" i="95"/>
  <c r="M168" i="95"/>
  <c r="M169" i="95"/>
  <c r="M170" i="95"/>
  <c r="M171" i="95"/>
  <c r="M172" i="95"/>
  <c r="M174" i="95"/>
  <c r="M181" i="95"/>
  <c r="M182" i="95"/>
  <c r="M183" i="95"/>
  <c r="M184" i="95"/>
  <c r="M185" i="95"/>
  <c r="M186" i="95"/>
  <c r="M188" i="95"/>
  <c r="M189" i="95"/>
  <c r="M191" i="95"/>
  <c r="M195" i="95"/>
  <c r="M196" i="95"/>
  <c r="M199" i="95"/>
  <c r="M200" i="95"/>
  <c r="M201" i="95"/>
  <c r="M202" i="95"/>
  <c r="M203" i="95"/>
  <c r="M204" i="95"/>
  <c r="M206" i="95"/>
  <c r="M207" i="95"/>
  <c r="M209" i="95"/>
  <c r="M210" i="95"/>
  <c r="M211" i="95"/>
  <c r="M212" i="95"/>
  <c r="M213" i="95"/>
  <c r="M214" i="95"/>
  <c r="M215" i="95"/>
  <c r="M216" i="95"/>
  <c r="M217" i="95"/>
  <c r="M218" i="95"/>
  <c r="M227" i="95"/>
  <c r="M228" i="95"/>
  <c r="M229" i="95"/>
  <c r="M230" i="95"/>
  <c r="M231" i="95"/>
  <c r="M232" i="95"/>
  <c r="M233" i="95"/>
  <c r="M245" i="95"/>
  <c r="M246" i="95"/>
  <c r="M247" i="95"/>
  <c r="M248" i="95"/>
  <c r="M249" i="95"/>
  <c r="M259" i="95"/>
  <c r="M260" i="95"/>
  <c r="M261" i="95"/>
  <c r="M262" i="95"/>
  <c r="M263" i="95"/>
  <c r="M264" i="95"/>
  <c r="M265" i="95"/>
  <c r="M266" i="95"/>
  <c r="M267" i="95"/>
  <c r="M277" i="95"/>
  <c r="M278" i="95"/>
  <c r="M279" i="95"/>
  <c r="M280" i="95"/>
  <c r="M281" i="95"/>
  <c r="M282" i="95"/>
  <c r="M284" i="95"/>
  <c r="M285" i="95"/>
  <c r="M287" i="95"/>
  <c r="M288" i="95"/>
  <c r="M295" i="95"/>
  <c r="M296" i="95"/>
  <c r="M297" i="95"/>
  <c r="M298" i="95"/>
  <c r="M299" i="95"/>
  <c r="M300" i="95"/>
  <c r="M302" i="95"/>
  <c r="M303" i="95"/>
  <c r="M305" i="95"/>
  <c r="M309" i="95"/>
  <c r="M323" i="95"/>
  <c r="M324" i="95"/>
  <c r="M325" i="95"/>
  <c r="M326" i="95"/>
  <c r="M327" i="95"/>
  <c r="M328" i="95"/>
  <c r="M329" i="95"/>
  <c r="M330" i="95"/>
  <c r="M331" i="95"/>
  <c r="M332" i="95"/>
  <c r="M334" i="95"/>
  <c r="M335" i="95"/>
  <c r="M339" i="95"/>
  <c r="M340" i="95"/>
  <c r="M341" i="95"/>
  <c r="M342" i="95"/>
  <c r="M343" i="95"/>
  <c r="M344" i="95"/>
  <c r="M345" i="95"/>
  <c r="M355" i="95"/>
  <c r="M356" i="95"/>
  <c r="M357" i="95"/>
  <c r="M358" i="95"/>
  <c r="M359" i="95"/>
  <c r="M360" i="95"/>
  <c r="M361" i="95"/>
  <c r="M362" i="95"/>
  <c r="M363" i="95"/>
  <c r="M373" i="95"/>
  <c r="M374" i="95"/>
  <c r="M375" i="95"/>
  <c r="M376" i="95"/>
  <c r="M377" i="95"/>
  <c r="M378" i="95"/>
  <c r="M380" i="95"/>
  <c r="M391" i="95"/>
  <c r="M392" i="95"/>
  <c r="M393" i="95"/>
  <c r="M394" i="95"/>
  <c r="M395" i="95"/>
  <c r="M396" i="95"/>
  <c r="M398" i="95"/>
  <c r="M399" i="95"/>
  <c r="M401" i="95"/>
  <c r="M405" i="95"/>
  <c r="M406" i="95"/>
  <c r="M407" i="95"/>
  <c r="M408" i="95"/>
  <c r="M409" i="95"/>
  <c r="M410" i="95"/>
  <c r="M412" i="95"/>
  <c r="M413" i="95"/>
  <c r="M415" i="95"/>
  <c r="M416" i="95"/>
  <c r="M417"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B20" i="8"/>
  <c r="AL1" i="77" a="1"/>
  <c r="AL1" i="77" s="1"/>
  <c r="K208" i="95" l="1"/>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G97" i="8"/>
  <c r="AL2" i="77" a="1"/>
  <c r="E2" i="96" a="1"/>
  <c r="B10" i="26"/>
  <c r="B11" i="26"/>
  <c r="Q2" i="29"/>
  <c r="D5" i="8" s="1"/>
  <c r="E19" i="4"/>
  <c r="K19" i="4"/>
  <c r="N19" i="4"/>
  <c r="X2" i="95" l="1"/>
  <c r="S6" i="95"/>
  <c r="M6" i="15" s="1"/>
  <c r="M6" i="14"/>
  <c r="Q6" i="95"/>
  <c r="P7" i="95"/>
  <c r="Q7" i="95"/>
  <c r="P6" i="95"/>
  <c r="AL2" i="77"/>
  <c r="L9" i="26"/>
  <c r="K61" i="8"/>
  <c r="F60" i="8"/>
  <c r="L60" i="8"/>
  <c r="D30" i="26"/>
  <c r="B54" i="26"/>
  <c r="E2" i="96"/>
  <c r="D19" i="8"/>
  <c r="H15" i="26"/>
  <c r="H14" i="26"/>
  <c r="P3" i="90"/>
  <c r="M3" i="90" s="1"/>
  <c r="P2" i="90"/>
  <c r="Q2" i="90" s="1"/>
  <c r="D36" i="8"/>
  <c r="E36" i="8" s="1"/>
  <c r="F36" i="8" s="1"/>
  <c r="G36" i="8" s="1"/>
  <c r="J2" i="90"/>
  <c r="M6" i="13" l="1"/>
  <c r="C1" i="15"/>
  <c r="C1" i="13"/>
  <c r="C1" i="14"/>
  <c r="G93"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17" i="8" a="1"/>
  <c r="R15" i="8" a="1"/>
  <c r="R28" i="8" a="1"/>
  <c r="S21" i="8" a="1"/>
  <c r="R16" i="8" a="1"/>
  <c r="S41" i="8" a="1"/>
  <c r="S27" i="8" a="1"/>
  <c r="S12" i="8" a="1"/>
  <c r="R26" i="8" a="1"/>
  <c r="S13" i="8" a="1"/>
  <c r="R12" i="8" a="1"/>
  <c r="R29" i="8" a="1"/>
  <c r="S22" i="8" a="1"/>
  <c r="R40" i="8" a="1"/>
  <c r="S19" i="8" a="1"/>
  <c r="S18" i="8" a="1"/>
  <c r="S26" i="8" a="1"/>
  <c r="S42" i="8" a="1"/>
  <c r="S32" i="8" a="1"/>
  <c r="S38" i="8" a="1"/>
  <c r="S23" i="8" a="1"/>
  <c r="S34" i="8" a="1"/>
  <c r="R20" i="8" a="1"/>
  <c r="R19" i="8" a="1"/>
  <c r="R27" i="8" a="1"/>
  <c r="S17" i="8" a="1"/>
  <c r="S39" i="8" a="1"/>
  <c r="S9" i="8" a="1"/>
  <c r="S43" i="8" a="1"/>
  <c r="S31" i="8" a="1"/>
  <c r="R42" i="8" a="1"/>
  <c r="R34" i="8" a="1"/>
  <c r="R30" i="8" a="1"/>
  <c r="R22" i="8" a="1"/>
  <c r="R18" i="8" a="1"/>
  <c r="R33" i="8" a="1"/>
  <c r="R5" i="8" a="1"/>
  <c r="S16" i="8" a="1"/>
  <c r="R10" i="8" a="1"/>
  <c r="S5" i="8" a="1"/>
  <c r="S14" i="8" a="1"/>
  <c r="S35" i="8" a="1"/>
  <c r="R41" i="8" a="1"/>
  <c r="R43" i="8" a="1"/>
  <c r="R39" i="8" a="1"/>
  <c r="R11" i="8" a="1"/>
  <c r="R38" i="8" a="1"/>
  <c r="R23" i="8" a="1"/>
  <c r="S8" i="8" a="1"/>
  <c r="S6" i="8" a="1"/>
  <c r="R8" i="8" a="1"/>
  <c r="S20" i="8" a="1"/>
  <c r="R6" i="8" a="1"/>
  <c r="S33" i="8" a="1"/>
  <c r="S44" i="8" a="1"/>
  <c r="R36" i="8" a="1"/>
  <c r="S36" i="8" a="1"/>
  <c r="R13" i="8" a="1"/>
  <c r="S24" i="8" a="1"/>
  <c r="S7" i="8" a="1"/>
  <c r="R9" i="8" a="1"/>
  <c r="S37" i="8" a="1"/>
  <c r="R14" i="8" a="1"/>
  <c r="R24" i="8" a="1"/>
  <c r="S25" i="8" a="1"/>
  <c r="S40" i="8" a="1"/>
  <c r="S10" i="8" a="1"/>
  <c r="R44" i="8" a="1"/>
  <c r="S28" i="8" a="1"/>
  <c r="S30" i="8" a="1"/>
  <c r="R25" i="8" a="1"/>
  <c r="R32" i="8" a="1"/>
  <c r="R31" i="8" a="1"/>
  <c r="R37" i="8" a="1"/>
  <c r="S11" i="8" a="1"/>
  <c r="R7" i="8" a="1"/>
  <c r="R21" i="8" a="1"/>
  <c r="R35" i="8" a="1"/>
  <c r="S1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<sst xmlns="http://schemas.openxmlformats.org/spreadsheetml/2006/main" count="1936" uniqueCount="970">
  <si>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</si>
  <si>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</si>
  <si>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</si>
  <si>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</si>
  <si>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</si>
  <si>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</si>
  <si>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</si>
  <si>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</si>
  <si>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</si>
  <si>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</si>
  <si>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</si>
  <si>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</si>
  <si>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</si>
  <si>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</si>
  <si>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</si>
  <si>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</si>
  <si>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</si>
  <si>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</si>
  <si>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</si>
  <si>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</si>
  <si>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</si>
  <si>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</si>
  <si>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</si>
  <si>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</si>
  <si>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</si>
  <si>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</si>
  <si>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</si>
  <si>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</si>
  <si>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</si>
  <si>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</si>
  <si>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</si>
  <si>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</si>
  <si>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</si>
  <si>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</si>
  <si>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</si>
  <si>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</si>
  <si>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</si>
  <si>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</si>
  <si>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</si>
  <si>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</si>
  <si>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</si>
  <si>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</si>
  <si>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</si>
  <si>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</si>
  <si>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</si>
  <si>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</si>
  <si>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</si>
  <si>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</si>
  <si>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</si>
  <si>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</si>
  <si>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</si>
  <si>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</si>
  <si>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</si>
  <si>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</si>
  <si>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</si>
  <si>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</si>
  <si>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</si>
  <si>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</si>
  <si>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</si>
  <si>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</si>
  <si>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</si>
  <si>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</si>
  <si>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</si>
  <si>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</si>
  <si>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</si>
  <si>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</si>
  <si>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</si>
  <si>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</si>
  <si>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</si>
  <si>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</si>
  <si>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</si>
  <si>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</si>
  <si>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</si>
  <si>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</si>
  <si>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</si>
  <si>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</si>
  <si>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</si>
  <si>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</si>
  <si>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</si>
  <si>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</si>
  <si>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</si>
  <si>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</si>
  <si>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</si>
  <si>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</si>
  <si>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</si>
  <si>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</si>
  <si>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</si>
  <si>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</si>
  <si>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</si>
  <si>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</si>
  <si>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</si>
  <si>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</si>
  <si>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</si>
  <si>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</si>
  <si>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</si>
  <si>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</si>
  <si>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</si>
  <si>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</si>
  <si>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</si>
  <si>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</si>
  <si>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</si>
  <si>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</si>
  <si>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</si>
  <si>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</si>
  <si>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</si>
  <si>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</si>
  <si>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</si>
  <si>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</si>
  <si>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</si>
  <si>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</si>
  <si>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</si>
  <si>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</si>
  <si>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</si>
  <si>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</si>
  <si>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</si>
  <si>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</si>
  <si>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</si>
  <si>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</si>
  <si>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</si>
  <si>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</si>
  <si>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</si>
  <si>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</si>
  <si>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</si>
  <si>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</si>
  <si>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</si>
  <si>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</si>
  <si>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</si>
  <si>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</si>
  <si>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</si>
  <si>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</si>
  <si>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</si>
  <si>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</si>
  <si>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</si>
  <si>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</si>
  <si>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</si>
  <si>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</si>
  <si>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</si>
  <si>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</si>
  <si>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</si>
  <si>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</si>
  <si>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</si>
  <si>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</si>
  <si>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</si>
  <si>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</si>
  <si>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</si>
  <si>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</si>
  <si>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</si>
  <si>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</si>
  <si>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</si>
  <si>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</si>
  <si>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</si>
  <si>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</si>
  <si>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</si>
  <si>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</si>
  <si>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</si>
  <si>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</si>
  <si>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</si>
  <si>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</si>
  <si>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</si>
  <si>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</si>
  <si>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</si>
  <si>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</si>
  <si>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</si>
  <si>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</si>
  <si>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</si>
  <si>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</si>
  <si>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</si>
  <si>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</si>
  <si>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</si>
  <si>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</si>
  <si>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</si>
  <si>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</si>
  <si>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</si>
  <si>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</si>
  <si>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</si>
  <si>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</si>
  <si>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</si>
  <si>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</si>
  <si>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</si>
  <si>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</si>
  <si>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</si>
  <si>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</si>
  <si>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</si>
  <si>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</si>
  <si>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</si>
  <si>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</si>
  <si>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</si>
  <si>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</si>
  <si>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</si>
  <si>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</si>
  <si>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</si>
  <si>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</si>
  <si>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</si>
  <si>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</si>
  <si>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</si>
  <si>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</si>
  <si>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</si>
  <si>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</si>
  <si>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</si>
  <si>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</si>
  <si>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</si>
  <si>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</si>
  <si>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</si>
  <si>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</si>
  <si>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</si>
  <si>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</si>
  <si>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</si>
  <si>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</si>
  <si>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</si>
  <si>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</si>
  <si>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</si>
  <si>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</si>
  <si>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</si>
  <si>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</si>
  <si>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</si>
  <si>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</si>
  <si>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</si>
  <si>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</si>
  <si>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</si>
  <si>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</si>
  <si>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</si>
  <si>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</si>
  <si>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</si>
  <si>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</si>
  <si>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</si>
  <si>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</si>
  <si>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</si>
  <si>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</si>
  <si>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</si>
  <si>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</si>
  <si>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</si>
  <si>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</si>
  <si>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</si>
  <si>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</si>
  <si>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</si>
  <si>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</si>
  <si>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</si>
  <si>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</si>
  <si>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</si>
  <si>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</si>
  <si>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</si>
  <si>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</si>
  <si>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</si>
  <si>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</si>
  <si>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</si>
  <si>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</si>
  <si>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</si>
  <si>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</si>
  <si>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</si>
  <si>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</si>
  <si>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</si>
  <si>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</si>
  <si>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</si>
  <si>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</si>
  <si>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</si>
  <si>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</si>
  <si>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</si>
  <si>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</si>
  <si>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</si>
  <si>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</si>
  <si>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</si>
  <si>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</si>
  <si>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</si>
  <si>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</si>
  <si>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</si>
  <si>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</si>
  <si>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</si>
  <si>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</si>
  <si>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</si>
  <si>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</si>
  <si>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</si>
  <si>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</si>
  <si>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</si>
  <si>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</si>
  <si>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</si>
  <si>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</si>
  <si>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</si>
  <si>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</si>
  <si>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</si>
  <si>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</si>
  <si>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</si>
  <si>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</si>
  <si>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</si>
  <si>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</si>
  <si>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</si>
  <si>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</si>
  <si>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</si>
  <si>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</si>
  <si>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</si>
  <si>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</si>
  <si>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</si>
  <si>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</si>
  <si>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</si>
  <si>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</si>
  <si>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</si>
  <si>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</si>
  <si>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</si>
  <si>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</si>
  <si>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</si>
  <si>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</si>
  <si>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</si>
  <si>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</si>
  <si>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</si>
  <si>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</si>
  <si>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</si>
  <si>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</si>
  <si>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</si>
  <si>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</si>
  <si>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</si>
  <si>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</si>
  <si>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</si>
  <si>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</si>
  <si>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</si>
  <si>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</si>
  <si>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</si>
  <si>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</si>
  <si>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</si>
  <si>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</si>
  <si>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</si>
  <si>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</si>
  <si>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</si>
  <si>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</si>
  <si>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</si>
  <si>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</si>
  <si>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</si>
  <si>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</si>
  <si>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</si>
  <si>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</si>
  <si>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</si>
  <si>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</si>
  <si>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</si>
  <si>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</si>
  <si>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</si>
  <si>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</si>
  <si>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</si>
  <si>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</si>
  <si>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</si>
  <si>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</si>
  <si>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</si>
  <si>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</si>
  <si>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</si>
  <si>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</si>
  <si>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</si>
  <si>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</si>
  <si>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</si>
  <si>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</si>
  <si>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</si>
  <si>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</si>
  <si>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</si>
  <si>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</si>
  <si>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</si>
  <si>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</si>
  <si>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</si>
  <si>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</si>
  <si>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</si>
  <si>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</si>
  <si>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</si>
  <si>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</si>
  <si>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</si>
  <si>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</si>
  <si>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</si>
  <si>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</si>
  <si>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</si>
  <si>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</si>
  <si>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</si>
  <si>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</si>
  <si>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</si>
  <si>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</si>
  <si>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</si>
  <si>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</si>
  <si>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</si>
  <si>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</si>
  <si>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</si>
  <si>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</si>
  <si>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</si>
  <si>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</si>
  <si>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</si>
  <si>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</si>
  <si>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</si>
  <si>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</si>
  <si>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</si>
  <si>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</si>
  <si>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</si>
  <si>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</si>
  <si>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</si>
  <si>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</si>
  <si>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</si>
  <si>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</si>
  <si>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</si>
  <si>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</si>
  <si>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</si>
  <si>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</si>
  <si>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</si>
  <si>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</si>
  <si>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</si>
  <si>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</si>
  <si>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</si>
  <si>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</si>
  <si>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</si>
  <si>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</si>
  <si>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</si>
  <si>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</si>
  <si>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</si>
  <si>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</si>
  <si>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</si>
  <si>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</si>
  <si>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</si>
  <si>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</si>
  <si>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</si>
  <si>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</si>
  <si>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</si>
  <si>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</si>
  <si>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</si>
  <si>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</si>
  <si>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</si>
  <si>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</si>
  <si>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</si>
  <si>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</si>
  <si>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</si>
  <si>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</si>
  <si>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</si>
  <si>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</si>
  <si>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</si>
  <si>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</si>
  <si>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</si>
  <si>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</si>
  <si>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</si>
  <si>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</si>
  <si>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</si>
  <si>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</si>
  <si>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</si>
  <si>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</si>
  <si>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</si>
  <si>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</si>
  <si>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</si>
  <si>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</si>
  <si>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</si>
  <si>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</si>
  <si>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</si>
  <si>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</si>
  <si>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</si>
  <si>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</si>
  <si>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</si>
  <si>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</si>
  <si>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</si>
  <si>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</si>
  <si>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</si>
  <si>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</si>
  <si>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</si>
  <si>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</si>
  <si>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</si>
  <si>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</si>
  <si>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</si>
  <si>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</si>
  <si>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</si>
  <si>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</si>
  <si>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</si>
  <si>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</si>
  <si>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</si>
  <si>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</si>
  <si>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</si>
  <si>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</si>
  <si>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</si>
  <si>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</si>
  <si>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</si>
  <si>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</si>
  <si>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</si>
  <si>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</si>
  <si>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</si>
  <si>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</si>
  <si>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</si>
  <si>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</si>
  <si>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</si>
  <si>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</si>
  <si>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</si>
  <si>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</si>
  <si>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</si>
  <si>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</si>
  <si>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</si>
  <si>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</si>
  <si>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</si>
  <si>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</si>
  <si>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</si>
  <si>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</si>
  <si>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</si>
  <si>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</si>
  <si>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</si>
  <si>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</si>
  <si>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</si>
  <si>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</si>
  <si>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</si>
  <si>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</si>
  <si>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</si>
  <si>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</si>
  <si>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</si>
  <si>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</si>
  <si>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</si>
  <si>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</si>
  <si>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</si>
  <si>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</si>
  <si>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</si>
  <si>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</si>
  <si>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</si>
  <si>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</si>
  <si>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</si>
  <si>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</si>
  <si>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</si>
  <si>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</si>
  <si>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</si>
  <si>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</si>
  <si>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</si>
  <si>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</si>
  <si>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</si>
  <si>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</si>
  <si>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</si>
  <si>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</si>
  <si>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</si>
  <si>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</si>
  <si>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</si>
  <si>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</si>
  <si>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</si>
  <si>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</si>
  <si>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</si>
  <si>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</si>
  <si>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</si>
  <si>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</si>
  <si>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</si>
  <si>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</si>
  <si>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</si>
  <si>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</si>
  <si>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</si>
  <si>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</si>
  <si>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</si>
  <si>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</si>
  <si>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</si>
  <si>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</si>
  <si>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</si>
  <si>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</si>
  <si>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</si>
  <si>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</si>
  <si>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</si>
  <si>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</si>
  <si>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</si>
  <si>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</si>
  <si>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</si>
  <si>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</si>
  <si>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</si>
  <si>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</si>
  <si>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</si>
  <si>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</si>
  <si>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</si>
  <si>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</si>
  <si>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</si>
  <si>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</si>
  <si>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</si>
  <si>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</si>
  <si>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</si>
  <si>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</si>
  <si>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</si>
  <si>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</si>
  <si>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</si>
  <si>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</si>
  <si>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</si>
  <si>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</si>
  <si>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</si>
  <si>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</si>
  <si>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</si>
  <si>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</si>
  <si>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</si>
  <si>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</si>
  <si>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</si>
  <si>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</si>
  <si>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</si>
  <si>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</si>
  <si>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</si>
  <si>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</si>
  <si>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</si>
  <si>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</si>
  <si>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</si>
  <si>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</si>
  <si>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</si>
  <si>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</si>
  <si>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</si>
  <si>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</si>
  <si>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</si>
  <si>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</si>
  <si>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</si>
  <si>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</si>
  <si>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</si>
  <si>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</si>
  <si>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</si>
  <si>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</si>
  <si>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</si>
  <si>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</si>
  <si>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</si>
  <si>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</si>
  <si>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</si>
  <si>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</si>
  <si>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</si>
  <si>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</si>
  <si>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</si>
  <si>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</si>
  <si>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</si>
  <si>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</si>
  <si>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</si>
  <si>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</si>
  <si>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</si>
  <si>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</si>
  <si>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</si>
  <si>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</si>
  <si>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</si>
  <si>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</si>
  <si>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</si>
  <si>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</si>
  <si>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</si>
  <si>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</si>
  <si>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</si>
  <si>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</si>
  <si>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</si>
  <si>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</si>
  <si>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</si>
  <si>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</si>
  <si>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</si>
  <si>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</si>
  <si>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</si>
  <si>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</si>
  <si>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</si>
  <si>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</si>
  <si>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</si>
  <si>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</si>
  <si>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</si>
  <si>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</si>
  <si>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</si>
  <si>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</si>
  <si>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</si>
  <si>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</si>
  <si>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</si>
  <si>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</si>
  <si>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</si>
  <si>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</si>
  <si>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</si>
  <si>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</si>
  <si>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</si>
  <si>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</si>
  <si>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</si>
  <si>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</si>
  <si>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</si>
  <si>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</si>
  <si>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</si>
  <si>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</si>
  <si>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</si>
  <si>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</si>
  <si>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</si>
  <si>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</si>
  <si>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</si>
  <si>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</si>
  <si>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</si>
  <si>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</si>
  <si>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</si>
  <si>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</si>
  <si>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</si>
  <si>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</si>
  <si>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</si>
  <si>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</si>
  <si>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</si>
  <si>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</si>
  <si>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</si>
  <si>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</si>
  <si>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</si>
  <si>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</si>
  <si>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</si>
  <si>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</si>
  <si>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</si>
  <si>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</si>
  <si>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</si>
  <si>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</si>
  <si>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</si>
  <si>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</si>
  <si>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</si>
  <si>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</si>
  <si>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</si>
  <si>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</si>
  <si>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</si>
  <si>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</si>
  <si>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</si>
  <si>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</si>
  <si>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</si>
  <si>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</si>
  <si>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</si>
  <si>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</si>
  <si>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</si>
  <si>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</si>
  <si>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</si>
  <si>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</si>
  <si>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</si>
  <si>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</si>
  <si>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</si>
  <si>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</si>
  <si>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</si>
  <si>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</si>
  <si>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</si>
  <si>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</si>
  <si>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</si>
  <si>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</si>
  <si>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</si>
  <si>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</si>
  <si>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</si>
  <si>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</si>
  <si>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</si>
  <si>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</si>
  <si>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</si>
  <si>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</si>
  <si>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</si>
  <si>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</si>
  <si>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</si>
  <si>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</si>
  <si>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</si>
  <si>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</si>
  <si>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</si>
  <si>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</si>
  <si>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</si>
  <si>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</si>
  <si>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</si>
  <si>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</si>
  <si>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</si>
  <si>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</si>
  <si>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</si>
  <si>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</si>
  <si>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</si>
  <si>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</si>
  <si>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</si>
  <si>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</si>
  <si>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</si>
  <si>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</si>
  <si>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</si>
  <si>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</si>
  <si>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</si>
  <si>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</si>
  <si>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</si>
  <si>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</si>
  <si>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</si>
  <si>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</si>
  <si>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</si>
  <si>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</si>
  <si>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</si>
  <si>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</si>
  <si>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</si>
  <si>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</si>
  <si>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</si>
  <si>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</si>
  <si>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</si>
  <si>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</si>
  <si>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</si>
  <si>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</si>
  <si>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</si>
  <si>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</si>
  <si>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</si>
  <si>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</si>
  <si>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</si>
  <si>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</si>
  <si>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</si>
  <si>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</si>
  <si>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</si>
  <si>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</si>
  <si>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</si>
  <si>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</si>
  <si>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</si>
  <si>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</si>
  <si>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</si>
  <si>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</si>
  <si>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</si>
  <si>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</si>
  <si>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</si>
  <si>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</si>
  <si>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</si>
  <si>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</si>
  <si>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</si>
  <si>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</si>
  <si>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</si>
  <si>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</si>
  <si>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</si>
  <si>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</si>
  <si>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</si>
  <si>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</si>
  <si>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</si>
  <si>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</si>
  <si>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</si>
  <si>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</si>
  <si>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</si>
  <si>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</si>
  <si>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</si>
  <si>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</si>
  <si>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</si>
  <si>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</si>
  <si>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</si>
  <si>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</si>
  <si>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</si>
  <si>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</si>
  <si>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</si>
  <si>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</si>
  <si>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</si>
  <si>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</si>
  <si>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</si>
  <si>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</si>
  <si>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</si>
  <si>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</si>
  <si>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</si>
  <si>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</si>
  <si>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</si>
  <si>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</si>
  <si>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</si>
  <si>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</si>
  <si>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</si>
  <si>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</si>
  <si>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</si>
  <si>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</si>
  <si>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</si>
  <si>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</si>
  <si>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</si>
  <si>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</si>
  <si>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</si>
  <si>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</si>
  <si>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</si>
  <si>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</si>
  <si>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</si>
  <si>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</si>
  <si>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</si>
  <si>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</si>
  <si>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</si>
  <si>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</si>
  <si>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</si>
  <si>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</si>
  <si>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</si>
  <si>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</si>
  <si>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</si>
  <si>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</si>
  <si>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</si>
  <si>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</si>
  <si>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</si>
  <si>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</si>
  <si>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</si>
  <si>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</si>
  <si>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</si>
  <si>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</si>
  <si>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</si>
  <si>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</si>
  <si>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</si>
  <si>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</si>
  <si>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</si>
  <si>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</si>
  <si>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</si>
  <si>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</si>
  <si>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</si>
  <si>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</si>
  <si>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</si>
  <si>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</si>
  <si>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</si>
  <si>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</si>
  <si>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</si>
  <si>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</si>
  <si>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</si>
  <si>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</si>
  <si>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</si>
  <si>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</si>
  <si>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</si>
  <si>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</si>
  <si>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</si>
  <si>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</si>
  <si>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</si>
  <si>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</si>
  <si>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</si>
  <si>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</si>
  <si>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</si>
  <si>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</si>
  <si>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</si>
  <si>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</si>
  <si>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</si>
  <si>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</si>
  <si>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</si>
  <si>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</si>
  <si>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</si>
  <si>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</si>
  <si>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</si>
  <si>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</si>
  <si>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</si>
  <si>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</si>
  <si>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</si>
  <si>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</si>
  <si>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</si>
  <si>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</si>
  <si>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</si>
  <si>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</si>
  <si>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</si>
  <si>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</si>
  <si>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</si>
  <si>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</si>
  <si>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</si>
  <si>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</si>
  <si>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</si>
  <si>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</si>
  <si>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</si>
  <si>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</si>
  <si>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</si>
  <si>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</si>
  <si>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</si>
  <si>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</si>
  <si>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</si>
  <si>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</si>
  <si>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</si>
  <si>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</si>
  <si>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</si>
  <si>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</si>
  <si>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</si>
  <si>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</si>
  <si>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</si>
  <si>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</si>
  <si>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</si>
  <si>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</si>
  <si>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</si>
  <si>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</si>
  <si>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</si>
  <si>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</si>
  <si>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</si>
  <si>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</si>
  <si>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</si>
  <si>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</si>
  <si>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</si>
  <si>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</si>
  <si>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</si>
  <si>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</si>
  <si>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</si>
  <si>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</si>
  <si>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</si>
  <si>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</si>
  <si>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</si>
  <si>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</si>
  <si>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</si>
  <si>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</si>
  <si>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</si>
  <si>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</si>
  <si>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</si>
  <si>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</si>
  <si>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</si>
  <si>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</si>
  <si>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</si>
  <si>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</si>
  <si>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</si>
  <si>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</si>
  <si>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</si>
  <si>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</si>
  <si>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</si>
  <si>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</si>
  <si>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</si>
  <si>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</si>
  <si>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</si>
  <si>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</si>
  <si>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</si>
  <si>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</si>
  <si>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</si>
  <si>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</si>
  <si>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</si>
  <si>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</si>
  <si>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</si>
  <si>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</si>
  <si>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</si>
  <si>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</si>
  <si>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</si>
  <si>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</si>
  <si>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</si>
  <si>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Ver. 10.02.25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</si>
</sst>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22"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2">
    <dxf>
      <numFmt numFmtId="184" formatCode="[$-F400]h:mm:ss\ AM/PM"/>
    </dxf>
    <dxf>
      <numFmt numFmtId="0" formatCode="General"/>
    </dxf>
    <dxf>
      <numFmt numFmtId="0" formatCode="General"/>
    </dxf>
    <dxf>
      <numFmt numFmtId="0" formatCode="General"/>
    </dxf>
    <dxf>
      <numFmt numFmtId="184" formatCode="[$-F400]h:mm:ss\ AM/PM"/>
    </dxf>
    <dxf>
      <numFmt numFmtId="2" formatCode="0.00"/>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30" formatCode="@"/>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81"/>
    <tableColumn id="2" xr3:uid="{D07D770F-21F7-425E-8CCA-AA85FFD513A3}" uniqueName="2" name="serial_number" queryTableFieldId="2" dataDxfId="80"/>
    <tableColumn id="3" xr3:uid="{D963BD5C-EE98-4CDD-ABAE-5315BBDA1135}" uniqueName="3" name="asset_tag" queryTableFieldId="3" dataDxfId="79"/>
    <tableColumn id="4" xr3:uid="{44F03B5B-6C09-4D5C-B2E2-D809B4EDF2B0}" uniqueName="4" name="custom_order_number" queryTableFieldId="4" dataDxfId="78"/>
    <tableColumn id="5" xr3:uid="{412A70E1-7452-417E-A3A9-BD3499EBD33C}" uniqueName="5" name="service_date" queryTableFieldId="5" dataDxfId="77"/>
    <tableColumn id="7" xr3:uid="{297A4F29-F6E9-4BD3-A7A2-5F1039480BAE}" uniqueName="7" name="certificate_number" queryTableFieldId="7" dataDxfId="76"/>
    <tableColumn id="6" xr3:uid="{7231074C-78F5-4F41-8E96-7068B6555E6F}" uniqueName="6" name="traceability_number" queryTableFieldId="61"/>
    <tableColumn id="8" xr3:uid="{7C740CB9-37DA-435E-A87E-AF050E31623C}" uniqueName="8" name="wire_roll_cert_number" queryTableFieldId="8" dataDxfId="75"/>
    <tableColumn id="9" xr3:uid="{5B17E9FC-0D68-4EA9-9145-B5DC8FAF5A93}" uniqueName="9" name="type" queryTableFieldId="9"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6"/>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1"/>
    <tableColumn id="3" xr3:uid="{5A7694DA-28F6-45C3-AA3A-8F5C42BC36CB}" uniqueName="3" name="login_email" queryTableFieldId="12"/>
    <tableColumn id="4" xr3:uid="{E8A7333A-3221-4D58-96FF-11D069828831}" uniqueName="4" name="IsPyro" queryTableFieldId="13" dataDxfId="18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9">
  <autoFilter ref="A1:C9" xr:uid="{8AF992F3-27EF-4265-960D-70EC6F74FAFA}"/>
  <sortState xmlns:xlrd2="http://schemas.microsoft.com/office/spreadsheetml/2017/richdata2" ref="A2:C9">
    <sortCondition ref="B1:B9"/>
  </sortState>
  <tableColumns count="3">
    <tableColumn id="1" xr3:uid="{1F7D0D09-7152-4679-B25C-65CF0E0AB2D4}" name="Type" dataDxfId="17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5"/>
    <tableColumn id="3" xr3:uid="{2724CA85-C781-4E38-A0DA-097BFEEFE8B1}" uniqueName="3" name="Temp" queryTableFieldId="3" dataDxfId="174"/>
    <tableColumn id="6" xr3:uid="{12D5EB84-2052-49F7-A25B-127266D7FB89}" uniqueName="6" name="traceability_no" queryTableFieldId="6" dataDxfId="173"/>
    <tableColumn id="5" xr3:uid="{D8FBA668-C3CE-41DC-B112-B2663A4558F7}" uniqueName="5" name="Offset" queryTableFieldId="5" dataDxfId="17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1"/>
    <tableColumn id="5" xr3:uid="{27363C9A-3D85-416E-8BCC-52B2C8D77A72}" uniqueName="5" name="Uncert Units" queryTableFieldId="5" dataDxfId="17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5"/>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9">
  <autoFilter ref="A3:C8" xr:uid="{5AC13131-9A1C-4C12-B4F9-A393708ED370}"/>
  <tableColumns count="3">
    <tableColumn id="1" xr3:uid="{97181276-3609-45C8-AD82-B2880A7AEDE4}" name="Min" dataDxfId="168"/>
    <tableColumn id="2" xr3:uid="{FCA9B2A8-03BC-4152-9483-74D5E30011E8}" name="Max" dataDxfId="167"/>
    <tableColumn id="3" xr3:uid="{53EFB432-094F-4AB8-B706-DACB84CFAD58}" name="CMC" dataDxfId="16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4"/>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5"/>
    <tableColumn id="43" xr3:uid="{EC576AA5-7F07-4B99-BBD1-C006A3FF4861}" uniqueName="43" name="CalibrationMethod" queryTableFieldId="168" dataDxfId="164"/>
    <tableColumn id="44" xr3:uid="{11784700-CE79-4C3A-B181-67F89C94AC89}" uniqueName="44" name="ToleranceSource" queryTableFieldId="169" dataDxfId="163"/>
    <tableColumn id="45" xr3:uid="{F8D57A3B-9D48-4C00-8E7C-AC29615D88F6}" uniqueName="45" name="Item" queryTableFieldId="170" dataDxfId="16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1"/>
    <tableColumn id="51" xr3:uid="{5B79DBE7-7CAB-41DA-AF62-362ADDE2AED9}" uniqueName="51" name="WorkingZoneSize" queryTableFieldId="176" dataDxfId="16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9"/>
    <tableColumn id="63" xr3:uid="{478884C5-ACFA-42A0-A5A5-3FD7354DF395}" uniqueName="63" name="TestLocation" queryTableFieldId="188" dataDxfId="158"/>
    <tableColumn id="64" xr3:uid="{8742E83A-8953-4A6F-B342-02A544F42A3E}" uniqueName="64" name="OvenLocation" queryTableFieldId="189" dataDxfId="157"/>
    <tableColumn id="65" xr3:uid="{D2C69FD9-EF22-4D46-9BCA-A04DCD92EC4B}" uniqueName="65" name="Condition" queryTableFieldId="190" dataDxfId="15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5"/>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3"/>
    <tableColumn id="2" xr3:uid="{437C4123-EB61-4869-9470-5A1B394BA060}" uniqueName="2" name="Ranges" queryTableFieldId="2" dataDxfId="2"/>
    <tableColumn id="3" xr3:uid="{F2805B69-D38A-4282-80C7-76512A175951}" uniqueName="3" name="Tolerances" queryTableFieldId="3" dataDxfId="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4"/>
    <tableColumn id="8" xr3:uid="{6A970319-4DB4-4470-AD18-810376DE6248}" uniqueName="8" name="Flags" queryTableFieldId="8" dataDxfId="153"/>
    <tableColumn id="10" xr3:uid="{C036645E-37FD-4D8C-A495-9B7CD74F1924}" uniqueName="10" name="TolMinText" queryTableFieldId="10" dataDxfId="152">
      <calculatedColumnFormula>TEXT(UUTRangeTol[[#This Row],[TolMin]],SUBSTITUTE(UUTRangeTol[[#This Row],[TolResolution]],"1","0"))&amp;UUTRangeTol[[#This Row],[Unit]]</calculatedColumnFormula>
    </tableColumn>
    <tableColumn id="11" xr3:uid="{7185F013-BA2C-4D79-99A0-8DCC297E6118}" uniqueName="11" name="TolMaxText" queryTableFieldId="11" dataDxfId="151">
      <calculatedColumnFormula>TEXT(UUTRangeTol[[#This Row],[TolMax]],SUBSTITUTE(UUTRangeTol[[#This Row],[TolResolution]],"1","0"))&amp;UUTRangeTol[[#This Row],[Unit]]</calculatedColumnFormula>
    </tableColumn>
    <tableColumn id="12" xr3:uid="{EE0701A7-578C-482F-B1ED-DBCB9E95A0C6}" uniqueName="12" name="TolText" queryTableFieldId="12" dataDxfId="15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9">
      <calculatedColumnFormula>UUTRangeTol[[#This Row],[RangeMax]]&amp;UUTRangeTol[[#This Row],[Unit]]</calculatedColumnFormula>
    </tableColumn>
    <tableColumn id="14" xr3:uid="{EF348E52-D936-44CC-A058-66DD7A780488}" uniqueName="14" name="RangeText" queryTableFieldId="14" dataDxfId="14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7"/>
    <tableColumn id="3" xr3:uid="{E88E0260-3227-45C4-8780-42D2D8D460DF}" name="SAT TOL" dataDxfId="14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94" dataDxfId="93">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9" dataDxfId="88">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7"/>
    <tableColumn id="3" xr3:uid="{A4F2902A-51C9-47F2-ABB5-33476BF6B798}" uniqueName="3" name="login_email" queryTableFieldId="5"/>
    <tableColumn id="4" xr3:uid="{93F361AC-D356-4A7B-A6F2-34FB0F71E2F6}" uniqueName="4" name="IsPyro" queryTableFieldId="7" dataDxfId="8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5" dataDxfId="84" headerRowCellStyle="Normal 2" dataCellStyle="Normal 2">
  <autoFilter ref="U11:V25" xr:uid="{DCCFF26E-EC5C-4962-98DB-A7DA1F3C8CE2}"/>
  <tableColumns count="2">
    <tableColumn id="1" xr3:uid="{DFC40837-B092-4826-9847-4A23BE22020F}" name="4" dataDxfId="83" dataCellStyle="Normal 2"/>
    <tableColumn id="2" xr3:uid="{0711DB07-19DA-4D5E-A417-C242A0304453}" name="10" dataDxfId="8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s="669"/>
      <c r="B2" s="669"/>
      <c r="C2" s="669"/>
      <c r="D2" s="669"/>
      <c r="E2" s="670"/>
      <c r="F2" s="669"/>
      <c r="G2"/>
      <c r="H2" s="669"/>
      <c r="I2" s="75"/>
    </row>
    <row r="3" spans="1:9" x14ac:dyDescent="0.2">
      <c r="A3" s="669"/>
      <c r="B3" s="669"/>
      <c r="C3" s="669"/>
      <c r="D3" s="669"/>
      <c r="E3" s="670"/>
      <c r="F3" s="669"/>
      <c r="G3"/>
      <c r="H3" s="669"/>
      <c r="I3" s="75"/>
    </row>
    <row r="4" spans="1:9" x14ac:dyDescent="0.2">
      <c r="A4" s="669"/>
      <c r="B4" s="669"/>
      <c r="C4" s="669"/>
      <c r="D4" s="669"/>
      <c r="E4" s="670"/>
      <c r="F4" s="669"/>
      <c r="G4"/>
      <c r="H4" s="669"/>
      <c r="I4" s="75"/>
    </row>
    <row r="5" spans="1:9" x14ac:dyDescent="0.2">
      <c r="A5" s="669"/>
      <c r="B5" s="669"/>
      <c r="C5" s="669"/>
      <c r="D5" s="669"/>
      <c r="E5" s="670"/>
      <c r="F5" s="669"/>
      <c r="G5"/>
      <c r="H5" s="669"/>
      <c r="I5" s="75"/>
    </row>
    <row r="6" spans="1:9" x14ac:dyDescent="0.2">
      <c r="A6" s="669"/>
      <c r="B6" s="669"/>
      <c r="C6" s="669"/>
      <c r="D6" s="669"/>
      <c r="E6" s="670"/>
      <c r="F6" s="669"/>
      <c r="G6"/>
      <c r="H6" s="669"/>
      <c r="I6" s="75"/>
    </row>
    <row r="7" spans="1:9" x14ac:dyDescent="0.2">
      <c r="A7" s="669"/>
      <c r="B7" s="669"/>
      <c r="C7" s="669"/>
      <c r="D7" s="669"/>
      <c r="E7" s="670"/>
      <c r="F7" s="669"/>
      <c r="G7"/>
      <c r="H7" s="669"/>
      <c r="I7" s="75"/>
    </row>
    <row r="8" spans="1:9" x14ac:dyDescent="0.2">
      <c r="A8" s="669"/>
      <c r="B8" s="669"/>
      <c r="C8" s="669"/>
      <c r="D8" s="669"/>
      <c r="E8" s="670"/>
      <c r="F8" s="669"/>
      <c r="G8"/>
      <c r="H8" s="669"/>
      <c r="I8" s="75"/>
    </row>
    <row r="9" spans="1:9" x14ac:dyDescent="0.2">
      <c r="A9" s="669"/>
      <c r="B9" s="669"/>
      <c r="C9" s="669"/>
      <c r="D9" s="669"/>
      <c r="E9" s="670"/>
      <c r="F9" s="669"/>
      <c r="G9"/>
      <c r="H9" s="669"/>
      <c r="I9" s="75"/>
    </row>
    <row r="10" spans="1:9" x14ac:dyDescent="0.2">
      <c r="A10" s="669"/>
      <c r="B10" s="669"/>
      <c r="C10" s="669"/>
      <c r="D10" s="669"/>
      <c r="E10" s="670"/>
      <c r="F10" s="669"/>
      <c r="G10"/>
      <c r="H10" s="669"/>
      <c r="I10" s="75"/>
    </row>
    <row r="11" spans="1:9" x14ac:dyDescent="0.2">
      <c r="A11" s="669"/>
      <c r="B11" s="669"/>
      <c r="C11" s="669"/>
      <c r="D11" s="669"/>
      <c r="E11" s="670"/>
      <c r="F11" s="669"/>
      <c r="G11"/>
      <c r="H11" s="669"/>
      <c r="I11" s="75"/>
    </row>
    <row r="12" spans="1:9" x14ac:dyDescent="0.2">
      <c r="A12" s="669"/>
      <c r="B12" s="669"/>
      <c r="C12" s="669"/>
      <c r="D12" s="669"/>
      <c r="E12" s="670"/>
      <c r="F12" s="669"/>
      <c r="G12"/>
      <c r="H12" s="669"/>
      <c r="I12" s="75"/>
    </row>
    <row r="13" spans="1:9" x14ac:dyDescent="0.2">
      <c r="A13" s="669"/>
      <c r="B13" s="669"/>
      <c r="C13" s="669"/>
      <c r="D13" s="669"/>
      <c r="E13" s="670"/>
      <c r="F13" s="669"/>
      <c r="G13"/>
      <c r="H13" s="669"/>
      <c r="I13" s="75"/>
    </row>
    <row r="14" spans="1:9" x14ac:dyDescent="0.2">
      <c r="A14" s="669"/>
      <c r="B14" s="669"/>
      <c r="C14" s="669"/>
      <c r="D14" s="669"/>
      <c r="E14" s="670"/>
      <c r="F14" s="669"/>
      <c r="G14"/>
      <c r="H14" s="669"/>
      <c r="I14" s="75"/>
    </row>
    <row r="15" spans="1:9" x14ac:dyDescent="0.2">
      <c r="A15" s="669"/>
      <c r="B15" s="669"/>
      <c r="C15" s="669"/>
      <c r="D15" s="669"/>
      <c r="E15" s="670"/>
      <c r="F15" s="669"/>
      <c r="G15"/>
      <c r="H15" s="669"/>
      <c r="I15" s="75"/>
    </row>
    <row r="16" spans="1:9" x14ac:dyDescent="0.2">
      <c r="A16" s="669"/>
      <c r="B16" s="669"/>
      <c r="C16" s="669"/>
      <c r="D16" s="669"/>
      <c r="E16" s="670"/>
      <c r="F16" s="669"/>
      <c r="G16"/>
      <c r="H16" s="669"/>
      <c r="I16" s="75"/>
    </row>
    <row r="17" spans="1:9" x14ac:dyDescent="0.2">
      <c r="A17" s="669"/>
      <c r="B17" s="669"/>
      <c r="C17" s="669"/>
      <c r="D17" s="669"/>
      <c r="E17" s="670"/>
      <c r="F17" s="669"/>
      <c r="G17"/>
      <c r="H17" s="669"/>
      <c r="I17" s="75"/>
    </row>
    <row r="18" spans="1:9" x14ac:dyDescent="0.2">
      <c r="A18" s="669"/>
      <c r="B18" s="669"/>
      <c r="C18" s="669"/>
      <c r="D18" s="669"/>
      <c r="E18" s="670"/>
      <c r="F18" s="669"/>
      <c r="G18"/>
      <c r="H18" s="669"/>
      <c r="I18" s="75"/>
    </row>
    <row r="19" spans="1:9" x14ac:dyDescent="0.2">
      <c r="A19" s="669"/>
      <c r="B19" s="669"/>
      <c r="C19" s="669"/>
      <c r="D19" s="669"/>
      <c r="E19" s="670"/>
      <c r="F19" s="669"/>
      <c r="G19"/>
      <c r="H19" s="669"/>
      <c r="I19" s="75"/>
    </row>
    <row r="20" spans="1:9" x14ac:dyDescent="0.2">
      <c r="A20" s="669"/>
      <c r="B20" s="669"/>
      <c r="C20" s="669"/>
      <c r="D20" s="669"/>
      <c r="E20" s="670"/>
      <c r="F20" s="669"/>
      <c r="G20"/>
      <c r="H20" s="669"/>
      <c r="I20" s="75"/>
    </row>
    <row r="21" spans="1:9" x14ac:dyDescent="0.2">
      <c r="A21" s="669"/>
      <c r="B21" s="669"/>
      <c r="C21" s="669"/>
      <c r="D21" s="669"/>
      <c r="E21" s="670"/>
      <c r="F21" s="669"/>
      <c r="G21"/>
      <c r="H21" s="669"/>
      <c r="I21" s="75"/>
    </row>
    <row r="22" spans="1:9" x14ac:dyDescent="0.2">
      <c r="A22" s="669"/>
      <c r="B22" s="669"/>
      <c r="C22" s="669"/>
      <c r="D22" s="669"/>
      <c r="E22" s="670"/>
      <c r="F22" s="669"/>
      <c r="G22"/>
      <c r="H22" s="669"/>
      <c r="I22" s="75"/>
    </row>
    <row r="23" spans="1:9" x14ac:dyDescent="0.2">
      <c r="A23" s="669"/>
      <c r="B23" s="669"/>
      <c r="C23" s="669"/>
      <c r="D23" s="669"/>
      <c r="E23" s="670"/>
      <c r="F23" s="669"/>
      <c r="G23"/>
      <c r="H23" s="669"/>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968</v>
      </c>
    </row>
    <row r="2" spans="1:5" x14ac:dyDescent="0.2">
      <c r="A2" s="669"/>
      <c r="B2"/>
      <c r="C2"/>
      <c r="E2" t="str" cm="1">
        <f t="array" ref="E2:E40">_xlfn._xlws.SORT(_xlfn.UNIQUE(AllWireOffsets[traceability_no]))</f>
        <v>047655B</v>
      </c>
    </row>
    <row r="3" spans="1:5" x14ac:dyDescent="0.2">
      <c r="A3" s="669"/>
      <c r="B3"/>
      <c r="C3"/>
      <c r="E3" t="str">
        <v>049787R</v>
      </c>
    </row>
    <row r="4" spans="1:5" x14ac:dyDescent="0.2">
      <c r="A4" s="669"/>
      <c r="B4"/>
      <c r="C4"/>
      <c r="E4" t="str">
        <v>059078F</v>
      </c>
    </row>
    <row r="5" spans="1:5" x14ac:dyDescent="0.2">
      <c r="A5" s="669"/>
      <c r="B5"/>
      <c r="C5"/>
      <c r="E5" t="str">
        <v>059078G</v>
      </c>
    </row>
    <row r="6" spans="1:5" x14ac:dyDescent="0.2">
      <c r="A6" s="669"/>
      <c r="B6"/>
      <c r="C6"/>
      <c r="E6" t="str">
        <v>061486E</v>
      </c>
    </row>
    <row r="7" spans="1:5" x14ac:dyDescent="0.2">
      <c r="A7" s="669"/>
      <c r="B7"/>
      <c r="C7"/>
      <c r="E7" t="str">
        <v>065908A</v>
      </c>
    </row>
    <row r="8" spans="1:5" x14ac:dyDescent="0.2">
      <c r="A8" s="669"/>
      <c r="B8"/>
      <c r="C8"/>
      <c r="E8" t="str">
        <v>065908B</v>
      </c>
    </row>
    <row r="9" spans="1:5" x14ac:dyDescent="0.2">
      <c r="A9" s="669"/>
      <c r="B9"/>
      <c r="C9"/>
      <c r="E9" t="str">
        <v>065908C</v>
      </c>
    </row>
    <row r="10" spans="1:5" x14ac:dyDescent="0.2">
      <c r="A10" s="669"/>
      <c r="B10"/>
      <c r="C10"/>
      <c r="E10" t="str">
        <v>065908E</v>
      </c>
    </row>
    <row r="11" spans="1:5" x14ac:dyDescent="0.2">
      <c r="A11" s="669"/>
      <c r="B11"/>
      <c r="C11"/>
      <c r="E11" t="str">
        <v>065908H</v>
      </c>
    </row>
    <row r="12" spans="1:5" x14ac:dyDescent="0.2">
      <c r="A12" s="669"/>
      <c r="B12"/>
      <c r="C12"/>
      <c r="E12" t="str">
        <v>065908I</v>
      </c>
    </row>
    <row r="13" spans="1:5" x14ac:dyDescent="0.2">
      <c r="A13" s="669"/>
      <c r="B13"/>
      <c r="C13"/>
      <c r="E13" t="str">
        <v>065908J</v>
      </c>
    </row>
    <row r="14" spans="1:5" x14ac:dyDescent="0.2">
      <c r="A14" s="669"/>
      <c r="B14"/>
      <c r="C14"/>
      <c r="E14" t="str">
        <v>065908K</v>
      </c>
    </row>
    <row r="15" spans="1:5" x14ac:dyDescent="0.2">
      <c r="A15" s="669"/>
      <c r="B15"/>
      <c r="C15"/>
      <c r="E15" t="str">
        <v>065908L</v>
      </c>
    </row>
    <row r="16" spans="1:5" x14ac:dyDescent="0.2">
      <c r="A16" s="669"/>
      <c r="B16"/>
      <c r="C16"/>
      <c r="E16" t="str">
        <v>065908M</v>
      </c>
    </row>
    <row r="17" spans="1:5" x14ac:dyDescent="0.2">
      <c r="A17" s="669"/>
      <c r="B17"/>
      <c r="C17"/>
      <c r="E17" t="str">
        <v>065908N</v>
      </c>
    </row>
    <row r="18" spans="1:5" x14ac:dyDescent="0.2">
      <c r="A18" s="669"/>
      <c r="B18"/>
      <c r="C18"/>
      <c r="E18" t="str">
        <v>065908O</v>
      </c>
    </row>
    <row r="19" spans="1:5" x14ac:dyDescent="0.2">
      <c r="A19" s="669"/>
      <c r="B19"/>
      <c r="C19"/>
      <c r="E19" t="str">
        <v>065908P</v>
      </c>
    </row>
    <row r="20" spans="1:5" x14ac:dyDescent="0.2">
      <c r="A20" s="669"/>
      <c r="B20"/>
      <c r="C20"/>
      <c r="E20" t="str">
        <v>065908Q</v>
      </c>
    </row>
    <row r="21" spans="1:5" x14ac:dyDescent="0.2">
      <c r="A21" s="669"/>
      <c r="B21"/>
      <c r="C21"/>
      <c r="E21" t="str">
        <v>065908R</v>
      </c>
    </row>
    <row r="22" spans="1:5" x14ac:dyDescent="0.2">
      <c r="A22" s="669"/>
      <c r="B22"/>
      <c r="C22"/>
      <c r="E22" t="str">
        <v>065908S</v>
      </c>
    </row>
    <row r="23" spans="1:5" x14ac:dyDescent="0.2">
      <c r="A23" s="669"/>
      <c r="B23"/>
      <c r="C23"/>
      <c r="E23" t="str">
        <v>069220A</v>
      </c>
    </row>
    <row r="24" spans="1:5" x14ac:dyDescent="0.2">
      <c r="A24" s="669"/>
      <c r="B24"/>
      <c r="C24"/>
      <c r="E24" t="str">
        <v>069220B</v>
      </c>
    </row>
    <row r="25" spans="1:5" x14ac:dyDescent="0.2">
      <c r="A25" s="669"/>
      <c r="B25"/>
      <c r="C25"/>
      <c r="E25" t="str">
        <v>069220C</v>
      </c>
    </row>
    <row r="26" spans="1:5" x14ac:dyDescent="0.2">
      <c r="A26" s="669"/>
      <c r="B26"/>
      <c r="C26"/>
      <c r="E26" t="str">
        <v>069220D</v>
      </c>
    </row>
    <row r="27" spans="1:5" x14ac:dyDescent="0.2">
      <c r="A27" s="669"/>
      <c r="B27"/>
      <c r="C27"/>
      <c r="E27" t="str">
        <v>069220E</v>
      </c>
    </row>
    <row r="28" spans="1:5" x14ac:dyDescent="0.2">
      <c r="A28" s="669"/>
      <c r="B28"/>
      <c r="C28"/>
      <c r="E28" t="str">
        <v>069220F</v>
      </c>
    </row>
    <row r="29" spans="1:5" x14ac:dyDescent="0.2">
      <c r="A29" s="669"/>
      <c r="B29"/>
      <c r="C29"/>
      <c r="E29" t="str">
        <v>069220G</v>
      </c>
    </row>
    <row r="30" spans="1:5" x14ac:dyDescent="0.2">
      <c r="A30" s="669"/>
      <c r="B30"/>
      <c r="C30"/>
      <c r="E30" t="str">
        <v>069220H</v>
      </c>
    </row>
    <row r="31" spans="1:5" x14ac:dyDescent="0.2">
      <c r="A31" s="669"/>
      <c r="B31"/>
      <c r="C31"/>
      <c r="E31" t="str">
        <v>072513B</v>
      </c>
    </row>
    <row r="32" spans="1:5" x14ac:dyDescent="0.2">
      <c r="A32" s="669"/>
      <c r="B32"/>
      <c r="C32"/>
      <c r="E32" t="str">
        <v>072513E</v>
      </c>
    </row>
    <row r="33" spans="1:5" x14ac:dyDescent="0.2">
      <c r="A33" s="669"/>
      <c r="B33"/>
      <c r="C33"/>
      <c r="E33" t="str">
        <v>072513F</v>
      </c>
    </row>
    <row r="34" spans="1:5" x14ac:dyDescent="0.2">
      <c r="A34" s="669"/>
      <c r="B34"/>
      <c r="C34"/>
      <c r="E34" t="str">
        <v>072513I</v>
      </c>
    </row>
    <row r="35" spans="1:5" x14ac:dyDescent="0.2">
      <c r="A35" s="669"/>
      <c r="B35"/>
      <c r="C35"/>
      <c r="E35" t="str">
        <v>072513K</v>
      </c>
    </row>
    <row r="36" spans="1:5" x14ac:dyDescent="0.2">
      <c r="A36" s="669"/>
      <c r="B36"/>
      <c r="C36"/>
      <c r="E36" t="str">
        <v>072513L</v>
      </c>
    </row>
    <row r="37" spans="1:5" x14ac:dyDescent="0.2">
      <c r="A37" s="669"/>
      <c r="B37"/>
      <c r="C37"/>
      <c r="E37" t="str">
        <v>072513M</v>
      </c>
    </row>
    <row r="38" spans="1:5" x14ac:dyDescent="0.2">
      <c r="A38" s="669"/>
      <c r="B38"/>
      <c r="C38"/>
      <c r="E38" t="str">
        <v>072513N</v>
      </c>
    </row>
    <row r="39" spans="1:5" x14ac:dyDescent="0.2">
      <c r="A39" s="669"/>
      <c r="B39"/>
      <c r="C39"/>
      <c r="E39" t="str">
        <v>074618A</v>
      </c>
    </row>
    <row r="40" spans="1:5" x14ac:dyDescent="0.2">
      <c r="A40" s="669"/>
      <c r="B40"/>
      <c r="C40"/>
      <c r="E40" t="str">
        <v>074618B</v>
      </c>
    </row>
    <row r="41" spans="1:5" x14ac:dyDescent="0.2">
      <c r="A41" s="669"/>
      <c r="B41"/>
      <c r="C41"/>
    </row>
    <row r="42" spans="1:5" x14ac:dyDescent="0.2">
      <c r="A42" s="669"/>
      <c r="B42"/>
      <c r="C42"/>
    </row>
    <row r="43" spans="1:5" x14ac:dyDescent="0.2">
      <c r="A43" s="669"/>
      <c r="B43"/>
      <c r="C43"/>
    </row>
    <row r="44" spans="1:5" x14ac:dyDescent="0.2">
      <c r="A44" s="669"/>
      <c r="B44"/>
      <c r="C44"/>
    </row>
    <row r="45" spans="1:5" x14ac:dyDescent="0.2">
      <c r="A45" s="669"/>
      <c r="B45"/>
      <c r="C45"/>
    </row>
    <row r="46" spans="1:5" x14ac:dyDescent="0.2">
      <c r="A46" s="669"/>
      <c r="B46"/>
      <c r="C46"/>
    </row>
    <row r="47" spans="1:5" x14ac:dyDescent="0.2">
      <c r="A47" s="669"/>
      <c r="B47"/>
      <c r="C47"/>
    </row>
    <row r="48" spans="1:5" x14ac:dyDescent="0.2">
      <c r="A48" s="669"/>
      <c r="B48"/>
      <c r="C48"/>
    </row>
    <row r="49" spans="1:3" x14ac:dyDescent="0.2">
      <c r="A49" s="669"/>
      <c r="B49"/>
      <c r="C49"/>
    </row>
    <row r="50" spans="1:3" x14ac:dyDescent="0.2">
      <c r="A50" s="669"/>
      <c r="B50"/>
      <c r="C50"/>
    </row>
    <row r="51" spans="1:3" x14ac:dyDescent="0.2">
      <c r="A51" s="669"/>
      <c r="B51"/>
      <c r="C51"/>
    </row>
    <row r="52" spans="1:3" x14ac:dyDescent="0.2">
      <c r="A52" s="669"/>
      <c r="B52"/>
      <c r="C52"/>
    </row>
    <row r="53" spans="1:3" x14ac:dyDescent="0.2">
      <c r="A53" s="669"/>
      <c r="B53"/>
      <c r="C53"/>
    </row>
    <row r="54" spans="1:3" x14ac:dyDescent="0.2">
      <c r="A54" s="669"/>
      <c r="B54"/>
      <c r="C54"/>
    </row>
    <row r="55" spans="1:3" x14ac:dyDescent="0.2">
      <c r="A55" s="669"/>
      <c r="B55"/>
      <c r="C55"/>
    </row>
    <row r="56" spans="1:3" x14ac:dyDescent="0.2">
      <c r="A56" s="669"/>
      <c r="B56"/>
      <c r="C56"/>
    </row>
    <row r="57" spans="1:3" x14ac:dyDescent="0.2">
      <c r="A57" s="669"/>
      <c r="B57"/>
      <c r="C57"/>
    </row>
    <row r="58" spans="1:3" x14ac:dyDescent="0.2">
      <c r="A58" s="669"/>
      <c r="B58"/>
      <c r="C58"/>
    </row>
    <row r="59" spans="1:3" x14ac:dyDescent="0.2">
      <c r="A59" s="669"/>
      <c r="B59"/>
      <c r="C59"/>
    </row>
    <row r="60" spans="1:3" x14ac:dyDescent="0.2">
      <c r="A60" s="669"/>
      <c r="B60"/>
      <c r="C60"/>
    </row>
    <row r="61" spans="1:3" x14ac:dyDescent="0.2">
      <c r="A61" s="669"/>
      <c r="B61"/>
      <c r="C61"/>
    </row>
    <row r="62" spans="1:3" x14ac:dyDescent="0.2">
      <c r="A62" s="669"/>
      <c r="B62"/>
      <c r="C62"/>
    </row>
    <row r="63" spans="1:3" x14ac:dyDescent="0.2">
      <c r="A63" s="669"/>
      <c r="B63"/>
      <c r="C63"/>
    </row>
    <row r="64" spans="1:3" x14ac:dyDescent="0.2">
      <c r="A64" s="669"/>
      <c r="B64"/>
      <c r="C64"/>
    </row>
    <row r="65" spans="1:3" x14ac:dyDescent="0.2">
      <c r="A65" s="669"/>
      <c r="B65"/>
      <c r="C65"/>
    </row>
    <row r="66" spans="1:3" x14ac:dyDescent="0.2">
      <c r="A66" s="669"/>
      <c r="B66"/>
      <c r="C66"/>
    </row>
    <row r="67" spans="1:3" x14ac:dyDescent="0.2">
      <c r="A67" s="669"/>
      <c r="B67"/>
      <c r="C67"/>
    </row>
    <row r="68" spans="1:3" x14ac:dyDescent="0.2">
      <c r="A68" s="669"/>
      <c r="B68"/>
      <c r="C68"/>
    </row>
    <row r="69" spans="1:3" x14ac:dyDescent="0.2">
      <c r="A69" s="669"/>
      <c r="B69"/>
      <c r="C69"/>
    </row>
    <row r="70" spans="1:3" x14ac:dyDescent="0.2">
      <c r="A70" s="669"/>
      <c r="B70"/>
      <c r="C70"/>
    </row>
    <row r="71" spans="1:3" x14ac:dyDescent="0.2">
      <c r="A71" s="669"/>
      <c r="B71"/>
      <c r="C71"/>
    </row>
    <row r="72" spans="1:3" x14ac:dyDescent="0.2">
      <c r="A72" s="669"/>
      <c r="B72"/>
      <c r="C72"/>
    </row>
    <row r="73" spans="1:3" x14ac:dyDescent="0.2">
      <c r="A73" s="669"/>
      <c r="B73"/>
      <c r="C73"/>
    </row>
    <row r="74" spans="1:3" x14ac:dyDescent="0.2">
      <c r="A74" s="669"/>
      <c r="B74"/>
      <c r="C74"/>
    </row>
    <row r="75" spans="1:3" x14ac:dyDescent="0.2">
      <c r="A75" s="669"/>
      <c r="B75"/>
      <c r="C75"/>
    </row>
    <row r="76" spans="1:3" x14ac:dyDescent="0.2">
      <c r="A76" s="669"/>
      <c r="B76"/>
      <c r="C76"/>
    </row>
    <row r="77" spans="1:3" x14ac:dyDescent="0.2">
      <c r="A77" s="669"/>
      <c r="B77"/>
      <c r="C77"/>
    </row>
    <row r="78" spans="1:3" x14ac:dyDescent="0.2">
      <c r="A78" s="669"/>
      <c r="B78"/>
      <c r="C78"/>
    </row>
    <row r="79" spans="1:3" x14ac:dyDescent="0.2">
      <c r="A79" s="669"/>
      <c r="B79"/>
      <c r="C79"/>
    </row>
    <row r="80" spans="1:3" x14ac:dyDescent="0.2">
      <c r="A80" s="669"/>
      <c r="B80"/>
      <c r="C80"/>
    </row>
    <row r="81" spans="1:3" x14ac:dyDescent="0.2">
      <c r="A81" s="669"/>
      <c r="B81"/>
      <c r="C81"/>
    </row>
    <row r="82" spans="1:3" x14ac:dyDescent="0.2">
      <c r="A82" s="669"/>
      <c r="B82"/>
      <c r="C82"/>
    </row>
    <row r="83" spans="1:3" x14ac:dyDescent="0.2">
      <c r="A83" s="669"/>
      <c r="B83"/>
      <c r="C83"/>
    </row>
    <row r="84" spans="1:3" x14ac:dyDescent="0.2">
      <c r="A84" s="669"/>
      <c r="B84"/>
      <c r="C84"/>
    </row>
    <row r="85" spans="1:3" x14ac:dyDescent="0.2">
      <c r="A85" s="669"/>
      <c r="B85"/>
      <c r="C85"/>
    </row>
    <row r="86" spans="1:3" x14ac:dyDescent="0.2">
      <c r="A86" s="669"/>
      <c r="B86"/>
      <c r="C86"/>
    </row>
    <row r="87" spans="1:3" x14ac:dyDescent="0.2">
      <c r="A87" s="669"/>
      <c r="B87"/>
      <c r="C87"/>
    </row>
    <row r="88" spans="1:3" x14ac:dyDescent="0.2">
      <c r="A88" s="669"/>
      <c r="B88"/>
      <c r="C88"/>
    </row>
    <row r="89" spans="1:3" x14ac:dyDescent="0.2">
      <c r="A89" s="669"/>
      <c r="B89"/>
      <c r="C89"/>
    </row>
    <row r="90" spans="1:3" x14ac:dyDescent="0.2">
      <c r="A90" s="669"/>
      <c r="B90"/>
      <c r="C90"/>
    </row>
    <row r="91" spans="1:3" x14ac:dyDescent="0.2">
      <c r="A91" s="669"/>
      <c r="B91"/>
      <c r="C91"/>
    </row>
    <row r="92" spans="1:3" x14ac:dyDescent="0.2">
      <c r="A92" s="669"/>
      <c r="B92"/>
      <c r="C92"/>
    </row>
    <row r="93" spans="1:3" x14ac:dyDescent="0.2">
      <c r="A93" s="669"/>
      <c r="B93"/>
      <c r="C93"/>
    </row>
    <row r="94" spans="1:3" x14ac:dyDescent="0.2">
      <c r="A94" s="669"/>
      <c r="B94"/>
      <c r="C94"/>
    </row>
    <row r="95" spans="1:3" x14ac:dyDescent="0.2">
      <c r="A95" s="669"/>
      <c r="B95"/>
      <c r="C95"/>
    </row>
    <row r="96" spans="1:3" x14ac:dyDescent="0.2">
      <c r="A96" s="669"/>
      <c r="B96"/>
      <c r="C96"/>
    </row>
    <row r="97" spans="1:3" x14ac:dyDescent="0.2">
      <c r="A97" s="669"/>
      <c r="B97"/>
      <c r="C97"/>
    </row>
    <row r="98" spans="1:3" x14ac:dyDescent="0.2">
      <c r="A98" s="669"/>
      <c r="B98"/>
      <c r="C98"/>
    </row>
    <row r="99" spans="1:3" x14ac:dyDescent="0.2">
      <c r="A99" s="669"/>
      <c r="B99"/>
      <c r="C99"/>
    </row>
    <row r="100" spans="1:3" x14ac:dyDescent="0.2">
      <c r="A100" s="669"/>
      <c r="B100"/>
      <c r="C100"/>
    </row>
    <row r="101" spans="1:3" x14ac:dyDescent="0.2">
      <c r="A101" s="669"/>
      <c r="B101"/>
      <c r="C101"/>
    </row>
    <row r="102" spans="1:3" x14ac:dyDescent="0.2">
      <c r="A102" s="669"/>
      <c r="B102"/>
      <c r="C102"/>
    </row>
    <row r="103" spans="1:3" x14ac:dyDescent="0.2">
      <c r="A103" s="669"/>
      <c r="B103"/>
      <c r="C103"/>
    </row>
    <row r="104" spans="1:3" x14ac:dyDescent="0.2">
      <c r="A104" s="669"/>
      <c r="B104"/>
      <c r="C104"/>
    </row>
    <row r="105" spans="1:3" x14ac:dyDescent="0.2">
      <c r="A105" s="669"/>
      <c r="B105"/>
      <c r="C105"/>
    </row>
    <row r="106" spans="1:3" x14ac:dyDescent="0.2">
      <c r="A106" s="669"/>
      <c r="B106"/>
      <c r="C106"/>
    </row>
    <row r="107" spans="1:3" x14ac:dyDescent="0.2">
      <c r="A107" s="669"/>
      <c r="B107"/>
      <c r="C107"/>
    </row>
    <row r="108" spans="1:3" x14ac:dyDescent="0.2">
      <c r="A108" s="669"/>
      <c r="B108"/>
      <c r="C108"/>
    </row>
    <row r="109" spans="1:3" x14ac:dyDescent="0.2">
      <c r="A109" s="669"/>
      <c r="B109"/>
      <c r="C109"/>
    </row>
    <row r="110" spans="1:3" x14ac:dyDescent="0.2">
      <c r="A110" s="669"/>
      <c r="B110"/>
      <c r="C110"/>
    </row>
    <row r="111" spans="1:3" x14ac:dyDescent="0.2">
      <c r="A111" s="669"/>
      <c r="B111"/>
      <c r="C111"/>
    </row>
    <row r="112" spans="1:3" x14ac:dyDescent="0.2">
      <c r="A112" s="669"/>
      <c r="B112"/>
      <c r="C112"/>
    </row>
    <row r="113" spans="1:3" x14ac:dyDescent="0.2">
      <c r="A113" s="669"/>
      <c r="B113"/>
      <c r="C113"/>
    </row>
    <row r="114" spans="1:3" x14ac:dyDescent="0.2">
      <c r="A114" s="669"/>
      <c r="B114"/>
      <c r="C114"/>
    </row>
    <row r="115" spans="1:3" x14ac:dyDescent="0.2">
      <c r="A115" s="669"/>
      <c r="B115"/>
      <c r="C115"/>
    </row>
    <row r="116" spans="1:3" x14ac:dyDescent="0.2">
      <c r="A116" s="669"/>
      <c r="B116"/>
      <c r="C116"/>
    </row>
    <row r="117" spans="1:3" x14ac:dyDescent="0.2">
      <c r="A117" s="669"/>
      <c r="B117"/>
      <c r="C117"/>
    </row>
    <row r="118" spans="1:3" x14ac:dyDescent="0.2">
      <c r="A118" s="669"/>
      <c r="B118"/>
      <c r="C118"/>
    </row>
    <row r="119" spans="1:3" x14ac:dyDescent="0.2">
      <c r="A119" s="669"/>
      <c r="B119"/>
      <c r="C119"/>
    </row>
    <row r="120" spans="1:3" x14ac:dyDescent="0.2">
      <c r="A120" s="669"/>
      <c r="B120"/>
      <c r="C120"/>
    </row>
    <row r="121" spans="1:3" x14ac:dyDescent="0.2">
      <c r="A121" s="669"/>
      <c r="B121"/>
      <c r="C121"/>
    </row>
    <row r="122" spans="1:3" x14ac:dyDescent="0.2">
      <c r="A122" s="669"/>
      <c r="B122"/>
      <c r="C122"/>
    </row>
    <row r="123" spans="1:3" x14ac:dyDescent="0.2">
      <c r="A123" s="669"/>
      <c r="B123"/>
      <c r="C123"/>
    </row>
    <row r="124" spans="1:3" x14ac:dyDescent="0.2">
      <c r="A124" s="669"/>
      <c r="B124"/>
      <c r="C124"/>
    </row>
    <row r="125" spans="1:3" x14ac:dyDescent="0.2">
      <c r="A125" s="669"/>
      <c r="B125"/>
      <c r="C125"/>
    </row>
    <row r="126" spans="1:3" x14ac:dyDescent="0.2">
      <c r="A126" s="669"/>
      <c r="B126"/>
      <c r="C126"/>
    </row>
    <row r="127" spans="1:3" x14ac:dyDescent="0.2">
      <c r="A127" s="669"/>
      <c r="B127"/>
      <c r="C127"/>
    </row>
    <row r="128" spans="1:3" x14ac:dyDescent="0.2">
      <c r="A128" s="669"/>
      <c r="B128"/>
      <c r="C128"/>
    </row>
    <row r="129" spans="1:3" x14ac:dyDescent="0.2">
      <c r="A129" s="669"/>
      <c r="B129"/>
      <c r="C129"/>
    </row>
    <row r="130" spans="1:3" x14ac:dyDescent="0.2">
      <c r="A130" s="669"/>
      <c r="B130"/>
      <c r="C130"/>
    </row>
    <row r="131" spans="1:3" x14ac:dyDescent="0.2">
      <c r="A131" s="669"/>
      <c r="B131"/>
      <c r="C131"/>
    </row>
    <row r="132" spans="1:3" x14ac:dyDescent="0.2">
      <c r="A132" s="669"/>
      <c r="B132"/>
      <c r="C132"/>
    </row>
    <row r="133" spans="1:3" x14ac:dyDescent="0.2">
      <c r="A133" s="669"/>
      <c r="B133"/>
      <c r="C133"/>
    </row>
    <row r="134" spans="1:3" x14ac:dyDescent="0.2">
      <c r="A134" s="669"/>
      <c r="B134"/>
      <c r="C134"/>
    </row>
    <row r="135" spans="1:3" x14ac:dyDescent="0.2">
      <c r="A135" s="669"/>
      <c r="B135"/>
      <c r="C135"/>
    </row>
    <row r="136" spans="1:3" x14ac:dyDescent="0.2">
      <c r="A136" s="669"/>
      <c r="B136"/>
      <c r="C136"/>
    </row>
    <row r="137" spans="1:3" x14ac:dyDescent="0.2">
      <c r="A137" s="669"/>
      <c r="B137"/>
      <c r="C137"/>
    </row>
    <row r="138" spans="1:3" x14ac:dyDescent="0.2">
      <c r="A138" s="669"/>
      <c r="B138"/>
      <c r="C138"/>
    </row>
    <row r="139" spans="1:3" x14ac:dyDescent="0.2">
      <c r="A139" s="669"/>
      <c r="B139"/>
      <c r="C139"/>
    </row>
    <row r="140" spans="1:3" x14ac:dyDescent="0.2">
      <c r="A140" s="669"/>
      <c r="B140"/>
      <c r="C140"/>
    </row>
    <row r="141" spans="1:3" x14ac:dyDescent="0.2">
      <c r="A141" s="669"/>
      <c r="B141"/>
      <c r="C141"/>
    </row>
    <row r="142" spans="1:3" x14ac:dyDescent="0.2">
      <c r="A142" s="669"/>
      <c r="B142"/>
      <c r="C142"/>
    </row>
    <row r="143" spans="1:3" x14ac:dyDescent="0.2">
      <c r="A143" s="669"/>
      <c r="B143"/>
      <c r="C143"/>
    </row>
    <row r="144" spans="1:3" x14ac:dyDescent="0.2">
      <c r="A144" s="669"/>
      <c r="B144"/>
      <c r="C144"/>
    </row>
    <row r="145" spans="1:3" x14ac:dyDescent="0.2">
      <c r="A145" s="669"/>
      <c r="B145"/>
      <c r="C145"/>
    </row>
    <row r="146" spans="1:3" x14ac:dyDescent="0.2">
      <c r="A146" s="669"/>
      <c r="B146"/>
      <c r="C146"/>
    </row>
    <row r="147" spans="1:3" x14ac:dyDescent="0.2">
      <c r="A147" s="669"/>
      <c r="B147"/>
      <c r="C147"/>
    </row>
    <row r="148" spans="1:3" x14ac:dyDescent="0.2">
      <c r="A148" s="669"/>
      <c r="B148"/>
      <c r="C148"/>
    </row>
    <row r="149" spans="1:3" x14ac:dyDescent="0.2">
      <c r="A149" s="669"/>
      <c r="B149"/>
      <c r="C149"/>
    </row>
    <row r="150" spans="1:3" x14ac:dyDescent="0.2">
      <c r="A150" s="669"/>
      <c r="B150"/>
      <c r="C150"/>
    </row>
    <row r="151" spans="1:3" x14ac:dyDescent="0.2">
      <c r="A151" s="669"/>
      <c r="B151"/>
      <c r="C151"/>
    </row>
    <row r="152" spans="1:3" x14ac:dyDescent="0.2">
      <c r="A152" s="669"/>
      <c r="B152"/>
      <c r="C152"/>
    </row>
    <row r="153" spans="1:3" x14ac:dyDescent="0.2">
      <c r="A153" s="669"/>
      <c r="B153"/>
      <c r="C153"/>
    </row>
    <row r="154" spans="1:3" x14ac:dyDescent="0.2">
      <c r="A154" s="669"/>
      <c r="B154"/>
      <c r="C154"/>
    </row>
    <row r="155" spans="1:3" x14ac:dyDescent="0.2">
      <c r="A155" s="669"/>
      <c r="B155"/>
      <c r="C155"/>
    </row>
    <row r="156" spans="1:3" x14ac:dyDescent="0.2">
      <c r="A156" s="669"/>
      <c r="B156"/>
      <c r="C156"/>
    </row>
    <row r="157" spans="1:3" x14ac:dyDescent="0.2">
      <c r="A157" s="669"/>
      <c r="B157"/>
      <c r="C157"/>
    </row>
    <row r="158" spans="1:3" x14ac:dyDescent="0.2">
      <c r="A158" s="669"/>
      <c r="B158"/>
      <c r="C158"/>
    </row>
    <row r="159" spans="1:3" x14ac:dyDescent="0.2">
      <c r="A159" s="669"/>
      <c r="B159"/>
      <c r="C159"/>
    </row>
    <row r="160" spans="1:3" x14ac:dyDescent="0.2">
      <c r="A160" s="669"/>
      <c r="B160"/>
      <c r="C160"/>
    </row>
    <row r="161" spans="1:3" x14ac:dyDescent="0.2">
      <c r="A161" s="669"/>
      <c r="B161"/>
      <c r="C161"/>
    </row>
    <row r="162" spans="1:3" x14ac:dyDescent="0.2">
      <c r="A162" s="669"/>
      <c r="B162"/>
      <c r="C162"/>
    </row>
    <row r="163" spans="1:3" x14ac:dyDescent="0.2">
      <c r="A163" s="669"/>
      <c r="B163"/>
      <c r="C163"/>
    </row>
    <row r="164" spans="1:3" x14ac:dyDescent="0.2">
      <c r="A164" s="669"/>
      <c r="B164"/>
      <c r="C164"/>
    </row>
    <row r="165" spans="1:3" x14ac:dyDescent="0.2">
      <c r="A165" s="669"/>
      <c r="B165"/>
      <c r="C165"/>
    </row>
    <row r="166" spans="1:3" x14ac:dyDescent="0.2">
      <c r="A166" s="669"/>
      <c r="B166"/>
      <c r="C166"/>
    </row>
    <row r="167" spans="1:3" x14ac:dyDescent="0.2">
      <c r="A167" s="669"/>
      <c r="B167"/>
      <c r="C167"/>
    </row>
    <row r="168" spans="1:3" x14ac:dyDescent="0.2">
      <c r="A168" s="669"/>
      <c r="B168"/>
      <c r="C168"/>
    </row>
    <row r="169" spans="1:3" x14ac:dyDescent="0.2">
      <c r="A169" s="669"/>
      <c r="B169"/>
      <c r="C169"/>
    </row>
    <row r="170" spans="1:3" x14ac:dyDescent="0.2">
      <c r="A170" s="669"/>
      <c r="B170"/>
      <c r="C170"/>
    </row>
    <row r="171" spans="1:3" x14ac:dyDescent="0.2">
      <c r="A171" s="669"/>
      <c r="B171"/>
      <c r="C171"/>
    </row>
    <row r="172" spans="1:3" x14ac:dyDescent="0.2">
      <c r="A172" s="669"/>
      <c r="B172"/>
      <c r="C172"/>
    </row>
    <row r="173" spans="1:3" x14ac:dyDescent="0.2">
      <c r="A173" s="669"/>
      <c r="B173"/>
      <c r="C173"/>
    </row>
    <row r="174" spans="1:3" x14ac:dyDescent="0.2">
      <c r="A174" s="669"/>
      <c r="B174"/>
      <c r="C174"/>
    </row>
    <row r="175" spans="1:3" x14ac:dyDescent="0.2">
      <c r="A175" s="669"/>
      <c r="B175"/>
      <c r="C175"/>
    </row>
    <row r="176" spans="1:3" x14ac:dyDescent="0.2">
      <c r="A176" s="669"/>
      <c r="B176"/>
      <c r="C176"/>
    </row>
    <row r="177" spans="1:3" x14ac:dyDescent="0.2">
      <c r="A177" s="669"/>
      <c r="B177"/>
      <c r="C177"/>
    </row>
    <row r="178" spans="1:3" x14ac:dyDescent="0.2">
      <c r="A178" s="669"/>
      <c r="B178"/>
      <c r="C178"/>
    </row>
    <row r="179" spans="1:3" x14ac:dyDescent="0.2">
      <c r="A179" s="669"/>
      <c r="B179"/>
      <c r="C179"/>
    </row>
    <row r="180" spans="1:3" x14ac:dyDescent="0.2">
      <c r="A180" s="669"/>
      <c r="B180"/>
      <c r="C180"/>
    </row>
    <row r="181" spans="1:3" x14ac:dyDescent="0.2">
      <c r="A181" s="669"/>
      <c r="B181"/>
      <c r="C181"/>
    </row>
    <row r="182" spans="1:3" x14ac:dyDescent="0.2">
      <c r="A182" s="669"/>
      <c r="B182"/>
      <c r="C182"/>
    </row>
    <row r="183" spans="1:3" x14ac:dyDescent="0.2">
      <c r="A183" s="669"/>
      <c r="B183"/>
      <c r="C183"/>
    </row>
    <row r="184" spans="1:3" x14ac:dyDescent="0.2">
      <c r="A184" s="669"/>
      <c r="B184"/>
      <c r="C184"/>
    </row>
    <row r="185" spans="1:3" x14ac:dyDescent="0.2">
      <c r="A185" s="669"/>
      <c r="B185"/>
      <c r="C185"/>
    </row>
    <row r="186" spans="1:3" x14ac:dyDescent="0.2">
      <c r="A186" s="669"/>
      <c r="B186"/>
      <c r="C186"/>
    </row>
    <row r="187" spans="1:3" x14ac:dyDescent="0.2">
      <c r="A187" s="669"/>
      <c r="B187"/>
      <c r="C187"/>
    </row>
    <row r="188" spans="1:3" x14ac:dyDescent="0.2">
      <c r="A188" s="669"/>
      <c r="B188"/>
      <c r="C188"/>
    </row>
    <row r="189" spans="1:3" x14ac:dyDescent="0.2">
      <c r="A189" s="669"/>
      <c r="B189"/>
      <c r="C189"/>
    </row>
    <row r="190" spans="1:3" x14ac:dyDescent="0.2">
      <c r="A190" s="669"/>
      <c r="B190"/>
      <c r="C190"/>
    </row>
    <row r="191" spans="1:3" x14ac:dyDescent="0.2">
      <c r="A191" s="669"/>
      <c r="B191"/>
      <c r="C191"/>
    </row>
    <row r="192" spans="1:3" x14ac:dyDescent="0.2">
      <c r="A192" s="669"/>
      <c r="B192"/>
      <c r="C192"/>
    </row>
    <row r="193" spans="1:3" x14ac:dyDescent="0.2">
      <c r="A193" s="669"/>
      <c r="B193"/>
      <c r="C193"/>
    </row>
    <row r="194" spans="1:3" x14ac:dyDescent="0.2">
      <c r="A194" s="669"/>
      <c r="B194"/>
      <c r="C194"/>
    </row>
    <row r="195" spans="1:3" x14ac:dyDescent="0.2">
      <c r="A195" s="669"/>
      <c r="B195"/>
      <c r="C195"/>
    </row>
    <row r="196" spans="1:3" x14ac:dyDescent="0.2">
      <c r="A196" s="669"/>
      <c r="B196"/>
      <c r="C196"/>
    </row>
    <row r="197" spans="1:3" x14ac:dyDescent="0.2">
      <c r="A197" s="669"/>
      <c r="B197"/>
      <c r="C197"/>
    </row>
    <row r="198" spans="1:3" x14ac:dyDescent="0.2">
      <c r="A198" s="669"/>
      <c r="B198"/>
      <c r="C198"/>
    </row>
    <row r="199" spans="1:3" x14ac:dyDescent="0.2">
      <c r="A199" s="669"/>
      <c r="B199"/>
      <c r="C199"/>
    </row>
    <row r="200" spans="1:3" x14ac:dyDescent="0.2">
      <c r="A200" s="669"/>
      <c r="B200"/>
      <c r="C200"/>
    </row>
    <row r="201" spans="1:3" x14ac:dyDescent="0.2">
      <c r="A201" s="669"/>
      <c r="B201"/>
      <c r="C201"/>
    </row>
    <row r="202" spans="1:3" x14ac:dyDescent="0.2">
      <c r="A202" s="669"/>
      <c r="B202"/>
      <c r="C202"/>
    </row>
    <row r="203" spans="1:3" x14ac:dyDescent="0.2">
      <c r="A203" s="669"/>
      <c r="B203"/>
      <c r="C203"/>
    </row>
    <row r="204" spans="1:3" x14ac:dyDescent="0.2">
      <c r="A204" s="669"/>
      <c r="B204"/>
      <c r="C204"/>
    </row>
    <row r="205" spans="1:3" x14ac:dyDescent="0.2">
      <c r="A205" s="669"/>
      <c r="B205"/>
      <c r="C205"/>
    </row>
    <row r="206" spans="1:3" x14ac:dyDescent="0.2">
      <c r="A206" s="669"/>
      <c r="B206"/>
      <c r="C206"/>
    </row>
    <row r="207" spans="1:3" x14ac:dyDescent="0.2">
      <c r="A207" s="669"/>
      <c r="B207"/>
      <c r="C207"/>
    </row>
    <row r="208" spans="1:3" x14ac:dyDescent="0.2">
      <c r="A208" s="669"/>
      <c r="B208"/>
      <c r="C208"/>
    </row>
    <row r="209" spans="1:3" x14ac:dyDescent="0.2">
      <c r="A209" s="669"/>
      <c r="B209"/>
      <c r="C209"/>
    </row>
    <row r="210" spans="1:3" x14ac:dyDescent="0.2">
      <c r="A210" s="669"/>
      <c r="B210"/>
      <c r="C210"/>
    </row>
    <row r="211" spans="1:3" x14ac:dyDescent="0.2">
      <c r="A211" s="669"/>
      <c r="B211"/>
      <c r="C211"/>
    </row>
    <row r="212" spans="1:3" x14ac:dyDescent="0.2">
      <c r="A212" s="669"/>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zlF74sMt5fcCSI7ZmIJnDWGQYJragZs7MhSTinppvCew8d2AOXnITEeGZAetOIhCaQ4zQquma2CCQSMa/TYtWw==" saltValue="5OkRqeFRjXi6KHifPHxQD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6VVQYeC7EqEjXwb6nPTEM9noqS2GBP2a6NijudEy2ee2dteMV4AL9MMDmBrWnJNEbenLIW55+oAtRRgd43VoQ==" saltValue="wU/0UqmilCvLmbpfDxaSo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jv668wRjIUqo4izRIPwJMQFBL+GAvsd1SofsN2HdB6yHUCUb2v9b+QWWRoJia3ZqVX0hykLB5kKLRkyOov+1NQ==" saltValue="68oZURumfgc5dPF3eSLfr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397</v>
      </c>
      <c r="F1" t="s">
        <v>961</v>
      </c>
      <c r="G1" t="s">
        <v>962</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R2" sqref="R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969</v>
      </c>
      <c r="B1" s="332"/>
      <c r="C1" s="524" t="s">
        <v>50</v>
      </c>
      <c r="D1" s="525"/>
      <c r="E1" s="525"/>
      <c r="F1" s="525"/>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6" t="s">
        <v>102</v>
      </c>
      <c r="K3" s="527"/>
      <c r="L3" s="528"/>
      <c r="M3" s="315"/>
      <c r="N3" s="543" t="s">
        <v>91</v>
      </c>
      <c r="O3" s="543"/>
      <c r="P3" s="543"/>
      <c r="Q3" s="543"/>
      <c r="R3" s="543"/>
      <c r="S3" s="543"/>
      <c r="T3" s="493"/>
    </row>
    <row r="4" spans="1:22" s="290" customFormat="1" x14ac:dyDescent="0.2">
      <c r="A4" s="333"/>
      <c r="B4" s="143"/>
      <c r="C4" s="144" t="s">
        <v>229</v>
      </c>
      <c r="D4" s="297" t="str">
        <f>IF(Condition="","",Condition)</f>
        <v/>
      </c>
      <c r="E4" s="315"/>
      <c r="F4" s="315"/>
      <c r="G4" s="315"/>
      <c r="H4" s="315"/>
      <c r="I4" s="315"/>
      <c r="J4" s="531" t="s">
        <v>1</v>
      </c>
      <c r="K4" s="532"/>
      <c r="L4" s="145">
        <f>IFERROR(Survey!N2,0)</f>
        <v>0</v>
      </c>
      <c r="M4" s="315"/>
      <c r="N4" s="146" t="s">
        <v>90</v>
      </c>
      <c r="O4" s="147" t="s">
        <v>89</v>
      </c>
      <c r="P4" s="529" t="s">
        <v>100</v>
      </c>
      <c r="Q4" s="530"/>
      <c r="R4" s="146" t="s">
        <v>137</v>
      </c>
      <c r="S4" s="146" t="s">
        <v>141</v>
      </c>
      <c r="T4" s="493"/>
    </row>
    <row r="5" spans="1:22" s="290" customFormat="1" x14ac:dyDescent="0.2">
      <c r="A5" s="333"/>
      <c r="B5" s="143"/>
      <c r="C5" s="144" t="s">
        <v>41</v>
      </c>
      <c r="D5" s="547" t="e">
        <f>companyName</f>
        <v>#N/A</v>
      </c>
      <c r="E5" s="548"/>
      <c r="F5" s="548"/>
      <c r="G5" s="548"/>
      <c r="H5" s="549"/>
      <c r="I5" s="298"/>
      <c r="J5" s="531" t="s">
        <v>2</v>
      </c>
      <c r="K5" s="532"/>
      <c r="L5" s="145">
        <f>IFERROR(Survey!N3,0)</f>
        <v>0</v>
      </c>
      <c r="M5" s="315"/>
      <c r="N5" s="461">
        <v>1</v>
      </c>
      <c r="O5" s="148"/>
      <c r="P5" s="505" t="str">
        <f>VLOOKUP(N5,Alerts[],3,FALSE)</f>
        <v/>
      </c>
      <c r="Q5" s="506"/>
      <c r="R5" s="462" t="str" cm="1">
        <f t="array" ref="R5">IFZERO(VLOOKUP(N5,Alerts[],4,FALSE),"")</f>
        <v/>
      </c>
      <c r="S5" s="149" t="str" cm="1">
        <f t="array" ref="S5">IFZERO(VLOOKUP(N5,Alerts[],5,FALSE),"")</f>
        <v/>
      </c>
      <c r="T5" s="493"/>
    </row>
    <row r="6" spans="1:22" s="290" customFormat="1" x14ac:dyDescent="0.2">
      <c r="A6" s="333"/>
      <c r="B6" s="143"/>
      <c r="C6" s="144" t="s">
        <v>40</v>
      </c>
      <c r="D6" s="544" t="e">
        <f>VLOOKUP("assetName",WorkItemDetails[],2,FALSE)</f>
        <v>#N/A</v>
      </c>
      <c r="E6" s="545"/>
      <c r="F6" s="545"/>
      <c r="G6" s="545"/>
      <c r="H6" s="546"/>
      <c r="J6" s="531" t="s">
        <v>101</v>
      </c>
      <c r="K6" s="532"/>
      <c r="L6" s="145">
        <f>L4-L5</f>
        <v>0</v>
      </c>
      <c r="M6" s="315"/>
      <c r="N6" s="461">
        <v>2</v>
      </c>
      <c r="O6" s="148"/>
      <c r="P6" s="505" t="str">
        <f>VLOOKUP(N6,Alerts[],3,FALSE)</f>
        <v/>
      </c>
      <c r="Q6" s="506"/>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05" t="str">
        <f>VLOOKUP(N7,Alerts[],3,FALSE)</f>
        <v/>
      </c>
      <c r="Q7" s="506"/>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05" t="str">
        <f>VLOOKUP(N8,Alerts[],3,FALSE)</f>
        <v/>
      </c>
      <c r="Q8" s="506"/>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05" t="str">
        <f>VLOOKUP(N9,Alerts[],3,FALSE)</f>
        <v/>
      </c>
      <c r="Q9" s="506"/>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05" t="str">
        <f>VLOOKUP(N10,Alerts[],3,FALSE)</f>
        <v/>
      </c>
      <c r="Q10" s="506"/>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05" t="str">
        <f>VLOOKUP(N11,Alerts[],3,FALSE)</f>
        <v/>
      </c>
      <c r="Q11" s="506"/>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05" t="str">
        <f>VLOOKUP(N12,Alerts[],3,FALSE)</f>
        <v/>
      </c>
      <c r="Q12" s="506"/>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322</v>
      </c>
      <c r="K13" s="541" t="str">
        <f>IFERROR(VLOOKUP("PoNumber",WorkItemDetails[],2,FALSE),"")</f>
        <v/>
      </c>
      <c r="L13" s="542"/>
      <c r="M13" s="315"/>
      <c r="N13" s="461">
        <v>9</v>
      </c>
      <c r="O13" s="148"/>
      <c r="P13" s="505" t="str">
        <f>VLOOKUP(N13,Alerts[],3,FALSE)</f>
        <v/>
      </c>
      <c r="Q13" s="506"/>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50"/>
      <c r="L14" s="551"/>
      <c r="M14" s="315"/>
      <c r="N14" s="461">
        <v>10</v>
      </c>
      <c r="O14" s="148"/>
      <c r="P14" s="505" t="str">
        <f>VLOOKUP(N14,Alerts[],3,FALSE)</f>
        <v/>
      </c>
      <c r="Q14" s="506"/>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35"/>
      <c r="L15" s="536"/>
      <c r="M15" s="315"/>
      <c r="N15" s="461">
        <v>11</v>
      </c>
      <c r="O15" s="148"/>
      <c r="P15" s="505" t="str">
        <f>VLOOKUP(N15,Alerts[],3,FALSE)</f>
        <v/>
      </c>
      <c r="Q15" s="506"/>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55" t="s">
        <v>162</v>
      </c>
      <c r="K16" s="556"/>
      <c r="L16" s="296"/>
      <c r="M16" s="315"/>
      <c r="N16" s="461">
        <v>12</v>
      </c>
      <c r="O16" s="148"/>
      <c r="P16" s="505" t="str">
        <f>VLOOKUP(N16,Alerts[],3,FALSE)</f>
        <v/>
      </c>
      <c r="Q16" s="506"/>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55" t="s">
        <v>163</v>
      </c>
      <c r="K17" s="556"/>
      <c r="L17" s="159" t="str">
        <f>IF(K15="SIM Load Hot",TEXT(D26,"hh:mm"),"")</f>
        <v/>
      </c>
      <c r="M17" s="315"/>
      <c r="N17" s="461">
        <v>13</v>
      </c>
      <c r="O17" s="148"/>
      <c r="P17" s="505" t="str">
        <f>VLOOKUP(N17,Alerts[],3,FALSE)</f>
        <v/>
      </c>
      <c r="Q17" s="506"/>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07" t="s">
        <v>19</v>
      </c>
      <c r="H18" s="508"/>
      <c r="I18" s="316"/>
      <c r="J18" s="341"/>
      <c r="K18" s="315"/>
      <c r="L18" s="316"/>
      <c r="M18" s="315"/>
      <c r="N18" s="461">
        <v>14</v>
      </c>
      <c r="O18" s="148"/>
      <c r="P18" s="505" t="str">
        <f>VLOOKUP(N18,Alerts[],3,FALSE)</f>
        <v/>
      </c>
      <c r="Q18" s="506"/>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33" t="str">
        <f>IF(K15="Salt",0, IF(OR(K15="Hot",K15="SIM Load Hot"),IF(OR(D26="",D28=""),"N/A",IF(ISBLANK(D26),"N/A",D28-D26)),"N/A"))</f>
        <v>N/A</v>
      </c>
      <c r="H19" s="534"/>
      <c r="I19" s="342" t="str">
        <f>IF(G19="N/A","N/A",IF(G19=0,"&lt;2",ROUND(IF(LEN(G19)&gt;3,G19*1440,RIGHT(TEXT(G19,"hh:mm"),2)),0))&amp;" MINUTES")</f>
        <v>N/A</v>
      </c>
      <c r="J19" s="495">
        <f>V21</f>
        <v>40</v>
      </c>
      <c r="K19" s="315"/>
      <c r="L19" s="316"/>
      <c r="M19" s="315"/>
      <c r="N19" s="461">
        <v>15</v>
      </c>
      <c r="O19" s="148"/>
      <c r="P19" s="505" t="str">
        <f>VLOOKUP(N19,Alerts[],3,FALSE)</f>
        <v/>
      </c>
      <c r="Q19" s="506"/>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37" t="str">
        <f>"SAT Tolerance (per " &amp; IF(E20, "AMS2750", "BAC5621") &amp; "):"</f>
        <v>SAT Tolerance (per AMS2750):</v>
      </c>
      <c r="C20" s="538"/>
      <c r="D20" s="411" t="e">
        <f>G94</f>
        <v>#N/A</v>
      </c>
      <c r="E20" s="476" t="b">
        <v>1</v>
      </c>
      <c r="F20" s="315"/>
      <c r="G20" s="315"/>
      <c r="H20" s="315"/>
      <c r="I20" s="316"/>
      <c r="J20" s="315"/>
      <c r="K20" s="315"/>
      <c r="L20" s="477">
        <v>1</v>
      </c>
      <c r="M20" s="315"/>
      <c r="N20" s="461">
        <v>16</v>
      </c>
      <c r="O20" s="148"/>
      <c r="P20" s="505" t="str">
        <f>VLOOKUP(N20,Alerts[],3,FALSE)</f>
        <v/>
      </c>
      <c r="Q20" s="506"/>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05" t="str">
        <f>VLOOKUP(N21,Alerts[],3,FALSE)</f>
        <v/>
      </c>
      <c r="Q21" s="506"/>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05" t="str">
        <f>VLOOKUP(N22,Alerts[],3,FALSE)</f>
        <v/>
      </c>
      <c r="Q22" s="506"/>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63" t="s">
        <v>369</v>
      </c>
      <c r="H23" s="564"/>
      <c r="I23" s="564"/>
      <c r="J23" s="564"/>
      <c r="K23" s="565"/>
      <c r="L23" s="316"/>
      <c r="M23" s="315"/>
      <c r="N23" s="461">
        <v>19</v>
      </c>
      <c r="O23" s="148"/>
      <c r="P23" s="505" t="str">
        <f>VLOOKUP(N23,Alerts[],3,FALSE)</f>
        <v/>
      </c>
      <c r="Q23" s="506"/>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39" t="s">
        <v>550</v>
      </c>
      <c r="C24" s="540"/>
      <c r="D24" s="294">
        <v>1</v>
      </c>
      <c r="E24" s="315"/>
      <c r="F24" s="162" t="s">
        <v>98</v>
      </c>
      <c r="G24" s="566"/>
      <c r="H24" s="567"/>
      <c r="I24" s="567"/>
      <c r="J24" s="567"/>
      <c r="K24" s="568"/>
      <c r="L24" s="316"/>
      <c r="M24" s="315"/>
      <c r="N24" s="461">
        <v>20</v>
      </c>
      <c r="O24" s="148"/>
      <c r="P24" s="505" t="str">
        <f>VLOOKUP(N24,Alerts[],3,FALSE)</f>
        <v/>
      </c>
      <c r="Q24" s="506"/>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66"/>
      <c r="H25" s="567"/>
      <c r="I25" s="567"/>
      <c r="J25" s="567"/>
      <c r="K25" s="568"/>
      <c r="L25" s="316"/>
      <c r="M25" s="315"/>
      <c r="N25" s="461">
        <v>21</v>
      </c>
      <c r="O25" s="148"/>
      <c r="P25" s="505" t="str">
        <f>VLOOKUP(N25,Alerts[],3,FALSE)</f>
        <v/>
      </c>
      <c r="Q25" s="506"/>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05" t="str">
        <f>VLOOKUP(N26,Alerts[],3,FALSE)</f>
        <v/>
      </c>
      <c r="Q26" s="506"/>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61" t="str">
        <f>IF(ISBLANK(D6),"",IF(CheckRec="x","CHECK INSTRUMENT CAL DATES!!!!             CHECK INSTRUMENT CAL DATES!!!!",""))</f>
        <v/>
      </c>
      <c r="I27" s="562"/>
      <c r="J27" s="562"/>
      <c r="K27" s="562"/>
      <c r="L27" s="316"/>
      <c r="M27" s="315"/>
      <c r="N27" s="461">
        <v>23</v>
      </c>
      <c r="O27" s="148"/>
      <c r="P27" s="505" t="str">
        <f>VLOOKUP(N27,Alerts[],3,FALSE)</f>
        <v/>
      </c>
      <c r="Q27" s="506"/>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61"/>
      <c r="I28" s="562"/>
      <c r="J28" s="562"/>
      <c r="K28" s="562"/>
      <c r="L28" s="316"/>
      <c r="M28" s="315"/>
      <c r="N28" s="461">
        <v>24</v>
      </c>
      <c r="O28" s="148"/>
      <c r="P28" s="505" t="str">
        <f>VLOOKUP(N28,Alerts[],3,FALSE)</f>
        <v/>
      </c>
      <c r="Q28" s="506"/>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05" t="str">
        <f>VLOOKUP(N29,Alerts[],3,FALSE)</f>
        <v/>
      </c>
      <c r="Q29" s="506"/>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05" t="str">
        <f>VLOOKUP(N30,Alerts[],3,FALSE)</f>
        <v/>
      </c>
      <c r="Q30" s="506"/>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05" t="str">
        <f>VLOOKUP(N31,Alerts[],3,FALSE)</f>
        <v/>
      </c>
      <c r="Q31" s="506"/>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05" t="str">
        <f>VLOOKUP(N32,Alerts[],3,FALSE)</f>
        <v/>
      </c>
      <c r="Q32" s="506"/>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05" t="str">
        <f>VLOOKUP(N33,Alerts[],3,FALSE)</f>
        <v/>
      </c>
      <c r="Q33" s="506"/>
      <c r="R33" s="462" t="str" cm="1">
        <f t="array" ref="R33">IFZERO(VLOOKUP(N33,Alerts[],4,FALSE),"")</f>
        <v/>
      </c>
      <c r="S33" s="149" t="str" cm="1">
        <f t="array" ref="S33">IFZERO(VLOOKUP(N33,Alerts[],5,FALSE),"")</f>
        <v/>
      </c>
      <c r="T33" s="493"/>
    </row>
    <row r="34" spans="1:23" s="290" customFormat="1" ht="12.75" customHeight="1" x14ac:dyDescent="0.2">
      <c r="A34" s="333"/>
      <c r="B34" s="526" t="s">
        <v>49</v>
      </c>
      <c r="C34" s="527"/>
      <c r="D34" s="527"/>
      <c r="E34" s="527"/>
      <c r="F34" s="527"/>
      <c r="G34" s="527"/>
      <c r="H34" s="527"/>
      <c r="I34" s="527"/>
      <c r="J34" s="527"/>
      <c r="K34" s="527"/>
      <c r="L34" s="528"/>
      <c r="M34" s="315"/>
      <c r="N34" s="461">
        <v>30</v>
      </c>
      <c r="O34" s="148"/>
      <c r="P34" s="505" t="str">
        <f>VLOOKUP(N34,Alerts[],3,FALSE)</f>
        <v/>
      </c>
      <c r="Q34" s="506"/>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05" t="str">
        <f>VLOOKUP(N35,Alerts[],3,FALSE)</f>
        <v/>
      </c>
      <c r="Q35" s="506"/>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05" t="str">
        <f>VLOOKUP(N36,Alerts[],3,FALSE)</f>
        <v/>
      </c>
      <c r="Q36" s="506"/>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05" t="str">
        <f>VLOOKUP(N37,Alerts[],3,FALSE)</f>
        <v/>
      </c>
      <c r="Q37" s="506"/>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05" t="str">
        <f>VLOOKUP(N38,Alerts[],3,FALSE)</f>
        <v/>
      </c>
      <c r="Q38" s="506"/>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05" t="str">
        <f>VLOOKUP(N39,Alerts[],3,FALSE)</f>
        <v/>
      </c>
      <c r="Q39" s="506"/>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05" t="str">
        <f>VLOOKUP(N40,Alerts[],3,FALSE)</f>
        <v/>
      </c>
      <c r="Q40" s="506"/>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05" t="str">
        <f>VLOOKUP(N41,Alerts[],3,FALSE)</f>
        <v/>
      </c>
      <c r="Q41" s="506"/>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05" t="str">
        <f>VLOOKUP(N42,Alerts[],3,FALSE)</f>
        <v/>
      </c>
      <c r="Q42" s="506"/>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05" t="str">
        <f>VLOOKUP(N43,Alerts[],3,FALSE)</f>
        <v/>
      </c>
      <c r="Q43" s="506"/>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05" t="str">
        <f>VLOOKUP(N44,Alerts[],3,FALSE)</f>
        <v/>
      </c>
      <c r="Q44" s="506"/>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52" t="s">
        <v>33</v>
      </c>
      <c r="E46" s="553"/>
      <c r="F46" s="553"/>
      <c r="G46" s="553"/>
      <c r="H46" s="553"/>
      <c r="I46" s="554"/>
      <c r="J46" s="359"/>
      <c r="K46" s="359"/>
      <c r="L46" s="359"/>
      <c r="M46" s="569" t="s">
        <v>327</v>
      </c>
      <c r="N46" s="570"/>
      <c r="O46" s="571"/>
      <c r="P46" s="572"/>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59" t="s">
        <v>330</v>
      </c>
      <c r="Q47" s="559"/>
      <c r="R47" s="431" t="s">
        <v>331</v>
      </c>
      <c r="S47" s="319"/>
      <c r="T47" s="319"/>
      <c r="U47" s="319"/>
    </row>
    <row r="48" spans="1:23" x14ac:dyDescent="0.2">
      <c r="A48" s="333"/>
      <c r="B48" s="357"/>
      <c r="C48" s="429" t="s">
        <v>34</v>
      </c>
      <c r="D48" s="302"/>
      <c r="E48" s="302"/>
      <c r="F48" s="302"/>
      <c r="G48" s="302"/>
      <c r="H48" s="302"/>
      <c r="I48" s="302"/>
      <c r="J48" s="359"/>
      <c r="K48" s="359"/>
      <c r="L48" s="359"/>
      <c r="M48" s="560" t="s">
        <v>332</v>
      </c>
      <c r="N48" s="560"/>
      <c r="O48" s="361"/>
      <c r="P48" s="518" t="s">
        <v>378</v>
      </c>
      <c r="Q48" s="519"/>
      <c r="R48" s="520"/>
      <c r="S48" s="362"/>
      <c r="T48" s="320"/>
      <c r="U48" s="518" t="s">
        <v>381</v>
      </c>
      <c r="V48" s="519"/>
      <c r="W48" s="520"/>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21" t="s">
        <v>383</v>
      </c>
      <c r="Q49" s="522"/>
      <c r="R49" s="523"/>
      <c r="S49" s="432"/>
      <c r="T49" s="321"/>
      <c r="U49" s="521" t="s">
        <v>382</v>
      </c>
      <c r="V49" s="522"/>
      <c r="W49" s="523"/>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334</v>
      </c>
      <c r="N50" s="312" t="str">
        <f>IF(Integral="","",Integral)</f>
        <v/>
      </c>
      <c r="O50" s="329"/>
      <c r="P50" s="509" t="s">
        <v>335</v>
      </c>
      <c r="Q50" s="510"/>
      <c r="R50" s="511"/>
      <c r="S50" s="365"/>
      <c r="T50" s="322"/>
      <c r="U50" s="509" t="s">
        <v>335</v>
      </c>
      <c r="V50" s="510"/>
      <c r="W50" s="511"/>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21" t="s">
        <v>379</v>
      </c>
      <c r="Q51" s="522"/>
      <c r="R51" s="523"/>
      <c r="S51" s="432"/>
      <c r="T51" s="323"/>
      <c r="U51" s="521" t="s">
        <v>384</v>
      </c>
      <c r="V51" s="522"/>
      <c r="W51" s="523"/>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09" t="s">
        <v>335</v>
      </c>
      <c r="Q52" s="510"/>
      <c r="R52" s="511"/>
      <c r="S52" s="365"/>
      <c r="T52" s="324"/>
      <c r="U52" s="509" t="s">
        <v>335</v>
      </c>
      <c r="V52" s="510"/>
      <c r="W52" s="511"/>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12" t="s">
        <v>380</v>
      </c>
      <c r="Q53" s="513"/>
      <c r="R53" s="514"/>
      <c r="S53" s="433"/>
      <c r="T53" s="325"/>
      <c r="U53" s="512" t="s">
        <v>385</v>
      </c>
      <c r="V53" s="513"/>
      <c r="W53" s="514"/>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15"/>
      <c r="Q54" s="516"/>
      <c r="R54" s="517"/>
      <c r="S54" s="370"/>
      <c r="T54" s="326"/>
      <c r="U54" s="515"/>
      <c r="V54" s="516"/>
      <c r="W54" s="517"/>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52" t="s">
        <v>157</v>
      </c>
      <c r="D58" s="553"/>
      <c r="E58" s="553"/>
      <c r="F58" s="553"/>
      <c r="G58" s="553"/>
      <c r="H58" s="553"/>
      <c r="I58" s="553"/>
      <c r="J58" s="553"/>
      <c r="K58" s="557"/>
      <c r="L58" s="558"/>
      <c r="M58" s="319"/>
      <c r="N58" s="319"/>
      <c r="O58" s="319"/>
      <c r="P58" s="319"/>
      <c r="Q58" s="319"/>
      <c r="R58" s="319"/>
      <c r="S58" s="319"/>
      <c r="T58" s="319"/>
      <c r="U58" s="319"/>
    </row>
    <row r="59" spans="1:24" x14ac:dyDescent="0.2">
      <c r="A59" s="333"/>
      <c r="B59" s="354"/>
      <c r="C59" s="552" t="s">
        <v>160</v>
      </c>
      <c r="D59" s="553"/>
      <c r="E59" s="553"/>
      <c r="F59" s="553"/>
      <c r="G59" s="553"/>
      <c r="H59" s="553"/>
      <c r="I59" s="553"/>
      <c r="J59" s="553"/>
      <c r="K59" s="553"/>
      <c r="L59" s="554"/>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IF(UUTRangeTol!R2+UUTRangeTol!S2=0,UUTRangeTol!S2,"Not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GwNL2QsMPnZV6HE/2SUTVrMAHvqratoXIIYuAH3t8f7TNSQlH36vkUweS7bTCq3QkFv5LdBNcIbSQo75w2xMBw==" saltValue="jcZ/zkuFcDW194n+klx9Gw==" spinCount="100000" sheet="1" objects="1" scenarios="1" selectLockedCells="1" autoFilter="0"/>
  <protectedRanges>
    <protectedRange sqref="D47:I57" name="Expendable Wire Data"/>
  </protectedRanges>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73"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tpEFpa5ttIRip/lQUxS+q5/Kj5a7yKR4z6+8smVp6iKC2/WS6eMHmMhKKHygsa/uY/F2vYuMsm0+eEoCePwGrg==" saltValue="RsL9frkDv2mJwssse6iLY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oBxw2S2qycwuBoYpI2lKuzGfX2Y/CCYVwjUTr3DitF28JO5Cim2jsit5fX9oLLpFL7sjxJj2Uo1FBzLHh+JuCw==" saltValue="S3BNalSdzPeh2aRkVLmD/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WN/EscSOE0bcZOgyiyTz5QMiHPIAeIWYXoNabpA9qnFQU7iY108pBOF5DtkOFekFKQ7wRMj2S+5O4sD0BPNp0A==" saltValue="pIlQRNfrtWAXpv1QV3yPs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3" t="s">
        <v>116</v>
      </c>
      <c r="E1" s="593"/>
      <c r="F1" s="593"/>
      <c r="G1" s="593"/>
      <c r="H1" s="593"/>
      <c r="I1" s="593"/>
      <c r="J1" s="593"/>
      <c r="K1" s="593"/>
      <c r="L1" s="593"/>
      <c r="M1" s="593"/>
    </row>
    <row r="2" spans="1:18" ht="23.25" customHeight="1" x14ac:dyDescent="0.3">
      <c r="C2" s="241"/>
      <c r="D2" s="241" t="s">
        <v>320</v>
      </c>
      <c r="E2" s="241"/>
      <c r="F2" s="241"/>
      <c r="G2" s="241"/>
      <c r="H2" s="241"/>
      <c r="I2" s="241"/>
      <c r="J2" s="241"/>
      <c r="K2" s="241"/>
      <c r="L2" s="241"/>
      <c r="M2" s="241"/>
    </row>
    <row r="3" spans="1:18" ht="23.25" x14ac:dyDescent="0.35">
      <c r="C3" s="594"/>
      <c r="D3" s="594"/>
      <c r="E3" s="594"/>
      <c r="F3" s="594"/>
      <c r="G3" s="594"/>
      <c r="H3" s="594"/>
      <c r="I3" s="594"/>
      <c r="J3" s="594"/>
      <c r="K3" s="594"/>
      <c r="L3" s="594"/>
      <c r="M3" s="594"/>
    </row>
    <row r="4" spans="1:18" ht="23.25" x14ac:dyDescent="0.35">
      <c r="C4" s="225"/>
      <c r="D4" s="225"/>
      <c r="E4" s="225"/>
      <c r="F4" s="225"/>
      <c r="G4" s="225"/>
      <c r="H4" s="225"/>
      <c r="I4" s="225"/>
      <c r="J4" s="225"/>
      <c r="K4" s="225"/>
      <c r="L4" s="225"/>
      <c r="M4" s="225"/>
    </row>
    <row r="5" spans="1:18" ht="23.25" x14ac:dyDescent="0.35">
      <c r="C5" s="611" t="s">
        <v>6</v>
      </c>
      <c r="D5" s="611"/>
      <c r="E5" s="611"/>
      <c r="F5" s="611"/>
      <c r="G5" s="611"/>
      <c r="H5" s="611"/>
      <c r="I5" s="611"/>
      <c r="J5" s="611"/>
      <c r="K5" s="611"/>
      <c r="L5" s="611"/>
      <c r="M5" s="611"/>
    </row>
    <row r="6" spans="1:18" ht="23.25" x14ac:dyDescent="0.35">
      <c r="C6" s="226"/>
      <c r="D6" s="226"/>
      <c r="E6" s="577" t="str">
        <f>IFERROR(CONCATENATE("Report Number: ", WorkItemNumber),"")</f>
        <v/>
      </c>
      <c r="F6" s="577"/>
      <c r="G6" s="577"/>
      <c r="H6" s="577"/>
      <c r="I6" s="577"/>
      <c r="J6" s="577"/>
      <c r="K6" s="577"/>
      <c r="L6" s="226"/>
      <c r="M6" s="226"/>
    </row>
    <row r="7" spans="1:18" ht="18.75" customHeight="1" x14ac:dyDescent="0.3">
      <c r="G7" s="589"/>
      <c r="H7" s="589"/>
      <c r="I7" s="200"/>
      <c r="R7" t="str">
        <f>CONCATENATE("Page ",Main!L9," of ",Main!L10)</f>
        <v xml:space="preserve">Page  of </v>
      </c>
    </row>
    <row r="8" spans="1:18" ht="18" customHeight="1" x14ac:dyDescent="0.25">
      <c r="G8" s="606"/>
      <c r="H8" s="606"/>
      <c r="J8" s="81"/>
      <c r="K8" s="227" t="s">
        <v>317</v>
      </c>
      <c r="L8" s="590">
        <f>FormNumber</f>
        <v>0</v>
      </c>
      <c r="M8" s="590"/>
      <c r="N8" s="590"/>
      <c r="O8" s="590"/>
    </row>
    <row r="9" spans="1:18" ht="18" customHeight="1" x14ac:dyDescent="0.25">
      <c r="A9" s="227" t="s">
        <v>274</v>
      </c>
      <c r="B9" s="34" t="e">
        <f>Main!D5</f>
        <v>#N/A</v>
      </c>
      <c r="J9" s="81"/>
      <c r="K9" s="227" t="s">
        <v>318</v>
      </c>
      <c r="L9" s="591" t="str">
        <f>"JGI WP4100, "&amp;CalMethod</f>
        <v xml:space="preserve">JGI WP4100, </v>
      </c>
      <c r="M9" s="591"/>
      <c r="N9" s="591"/>
      <c r="O9" s="591"/>
    </row>
    <row r="10" spans="1:18" ht="18" customHeight="1" x14ac:dyDescent="0.25">
      <c r="A10" s="89"/>
      <c r="B10" s="222" t="str" cm="1">
        <f t="array" ref="B10">IFZERO('Customer Table'!R2,"")</f>
        <v/>
      </c>
      <c r="J10" s="81"/>
      <c r="K10" s="227"/>
      <c r="L10" s="591"/>
      <c r="M10" s="591"/>
      <c r="N10" s="591"/>
      <c r="O10" s="591"/>
    </row>
    <row r="11" spans="1:18" ht="18" customHeight="1" x14ac:dyDescent="0.25">
      <c r="A11" s="89"/>
      <c r="B11" s="222" t="str" cm="1">
        <f t="array" ref="B11">IFZERO('Customer Table'!S2,"")</f>
        <v/>
      </c>
      <c r="J11" s="81"/>
      <c r="K11" s="227" t="s">
        <v>319</v>
      </c>
      <c r="L11" s="590">
        <f>TolSource</f>
        <v>0</v>
      </c>
      <c r="M11" s="590"/>
      <c r="N11" s="590"/>
      <c r="O11" s="590"/>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8">
        <f>SerialNumber</f>
        <v>0</v>
      </c>
      <c r="C16" s="608"/>
      <c r="D16" s="608"/>
      <c r="E16" s="608"/>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597">
        <f>Class</f>
        <v>0</v>
      </c>
      <c r="C18" s="597"/>
      <c r="D18" s="597"/>
      <c r="E18" s="597"/>
      <c r="G18" s="227" t="s">
        <v>284</v>
      </c>
      <c r="H18" s="231">
        <f>CubicFeet</f>
        <v>0</v>
      </c>
      <c r="M18" s="227" t="s">
        <v>288</v>
      </c>
      <c r="N18" s="231" t="str">
        <f>Main!G18</f>
        <v>ACCEPTED</v>
      </c>
      <c r="O18" s="206"/>
    </row>
    <row r="19" spans="1:19" ht="18" customHeight="1" x14ac:dyDescent="0.25">
      <c r="A19" s="217"/>
      <c r="B19" s="598"/>
      <c r="C19" s="598"/>
      <c r="D19" s="598"/>
      <c r="E19" s="598"/>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09">
        <f>Controller</f>
        <v>0</v>
      </c>
      <c r="C21" s="609"/>
      <c r="D21" s="609"/>
      <c r="E21" s="609"/>
      <c r="F21" s="218" t="s">
        <v>291</v>
      </c>
      <c r="G21" s="609">
        <f>ContSN</f>
        <v>0</v>
      </c>
      <c r="H21" s="609"/>
      <c r="I21" s="609"/>
      <c r="J21" s="218" t="s">
        <v>292</v>
      </c>
      <c r="K21" s="230">
        <f>ContTol</f>
        <v>0</v>
      </c>
      <c r="L21" s="204"/>
      <c r="M21" s="218" t="s">
        <v>293</v>
      </c>
      <c r="N21" s="243" t="str">
        <f>Main!G27</f>
        <v/>
      </c>
      <c r="O21" s="205"/>
    </row>
    <row r="22" spans="1:19" ht="18" customHeight="1" x14ac:dyDescent="0.25">
      <c r="A22" s="236" t="s">
        <v>290</v>
      </c>
      <c r="B22" s="610">
        <f>_xlnm.Recorder</f>
        <v>0</v>
      </c>
      <c r="C22" s="610"/>
      <c r="D22" s="610"/>
      <c r="E22" s="610"/>
      <c r="F22" s="219" t="s">
        <v>291</v>
      </c>
      <c r="G22" s="610">
        <f>RecSN</f>
        <v>0</v>
      </c>
      <c r="H22" s="610"/>
      <c r="I22" s="610"/>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600" t="str">
        <f>CONCATENATE(Main!D22,Unit," / ",Main!D23,"% RH")</f>
        <v>°F / % RH</v>
      </c>
      <c r="E30" s="601"/>
      <c r="F30" s="601"/>
      <c r="G30" s="602"/>
      <c r="H30" s="600">
        <f>OvenLocation</f>
        <v>0</v>
      </c>
      <c r="I30" s="601"/>
      <c r="J30" s="601"/>
      <c r="K30" s="602"/>
      <c r="L30" s="600">
        <f>Condition</f>
        <v>0</v>
      </c>
      <c r="M30" s="601"/>
      <c r="N30" s="601"/>
      <c r="O30" s="602"/>
    </row>
    <row r="31" spans="1:19" ht="18" customHeight="1" x14ac:dyDescent="0.2"/>
    <row r="32" spans="1:19" ht="18" customHeight="1" x14ac:dyDescent="0.25">
      <c r="A32" s="246" t="s">
        <v>304</v>
      </c>
      <c r="B32" s="592" t="s">
        <v>305</v>
      </c>
      <c r="C32" s="592"/>
      <c r="D32" s="246" t="s">
        <v>268</v>
      </c>
      <c r="E32" s="246" t="s">
        <v>267</v>
      </c>
      <c r="F32" s="246" t="s">
        <v>306</v>
      </c>
      <c r="G32" s="81"/>
      <c r="H32" s="81"/>
      <c r="I32" s="246" t="s">
        <v>304</v>
      </c>
      <c r="J32" s="592" t="s">
        <v>305</v>
      </c>
      <c r="K32" s="592"/>
      <c r="L32" s="246" t="s">
        <v>268</v>
      </c>
      <c r="M32" s="246" t="s">
        <v>267</v>
      </c>
      <c r="N32" s="246" t="s">
        <v>306</v>
      </c>
    </row>
    <row r="33" spans="1:14" ht="18" customHeight="1" x14ac:dyDescent="0.2">
      <c r="A33" s="247" t="str">
        <f>IF(B33="","",1)</f>
        <v/>
      </c>
      <c r="B33" s="589" t="str">
        <f>IF(Main!O5="","",Main!O5)</f>
        <v/>
      </c>
      <c r="C33" s="589"/>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9" t="str">
        <f>IF(Main!O25="","",Main!O25)</f>
        <v/>
      </c>
      <c r="K33" s="589"/>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9" t="str">
        <f>IF(Main!O6="","",Main!O6)</f>
        <v/>
      </c>
      <c r="C34" s="589"/>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9" t="str">
        <f>IF(Main!O26="","",Main!O26)</f>
        <v/>
      </c>
      <c r="K34" s="589"/>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9" t="str">
        <f>IF(Main!O7="","",Main!O7)</f>
        <v/>
      </c>
      <c r="C35" s="589"/>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9" t="str">
        <f>IF(Main!O27="","",Main!O27)</f>
        <v/>
      </c>
      <c r="K35" s="589"/>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9" t="str">
        <f>IF(Main!O8="","",Main!O8)</f>
        <v/>
      </c>
      <c r="C36" s="589"/>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9" t="str">
        <f>IF(Main!O28="","",Main!O28)</f>
        <v/>
      </c>
      <c r="K36" s="589"/>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9" t="str">
        <f>IF(Main!O9="","",Main!O9)</f>
        <v/>
      </c>
      <c r="C37" s="589"/>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9" t="str">
        <f>IF(Main!O29="","",Main!O29)</f>
        <v/>
      </c>
      <c r="K37" s="589"/>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9" t="str">
        <f>IF(Main!O10="","",Main!O10)</f>
        <v/>
      </c>
      <c r="C38" s="589"/>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9" t="str">
        <f>IF(Main!O30="","",Main!O30)</f>
        <v/>
      </c>
      <c r="K38" s="589"/>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9" t="str">
        <f>IF(Main!O11="","",Main!O11)</f>
        <v/>
      </c>
      <c r="C39" s="589"/>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9" t="str">
        <f>IF(Main!O31="","",Main!O31)</f>
        <v/>
      </c>
      <c r="K39" s="589"/>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9" t="str">
        <f>IF(Main!O12="","",Main!O12)</f>
        <v/>
      </c>
      <c r="C40" s="589"/>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9" t="str">
        <f>IF(Main!O32="","",Main!O32)</f>
        <v/>
      </c>
      <c r="K40" s="589"/>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9" t="str">
        <f>IF(Main!O13="","",Main!O13)</f>
        <v/>
      </c>
      <c r="C41" s="589"/>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9" t="str">
        <f>IF(Main!O33="","",Main!O33)</f>
        <v/>
      </c>
      <c r="K41" s="589"/>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9" t="str">
        <f>IF(Main!O14="","",Main!O14)</f>
        <v/>
      </c>
      <c r="C42" s="589"/>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9" t="str">
        <f>IF(Main!O34="","",Main!O34)</f>
        <v/>
      </c>
      <c r="K42" s="589"/>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9" t="str">
        <f>IF(Main!O15="","",Main!O15)</f>
        <v/>
      </c>
      <c r="C43" s="589"/>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9" t="str">
        <f>IF(Main!O35="","",Main!O35)</f>
        <v/>
      </c>
      <c r="K43" s="589"/>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9" t="str">
        <f>IF(Main!O16="","",Main!O16)</f>
        <v/>
      </c>
      <c r="C44" s="589"/>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9" t="str">
        <f>IF(Main!O36="","",Main!O36)</f>
        <v/>
      </c>
      <c r="K44" s="589"/>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9" t="str">
        <f>IF(Main!O17="","",Main!O17)</f>
        <v/>
      </c>
      <c r="C45" s="589"/>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9" t="str">
        <f>IF(Main!O37="","",Main!O37)</f>
        <v/>
      </c>
      <c r="K45" s="589"/>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9" t="str">
        <f>IF(Main!O18="","",Main!O18)</f>
        <v/>
      </c>
      <c r="C46" s="589"/>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9" t="str">
        <f>IF(Main!O38="","",Main!O38)</f>
        <v/>
      </c>
      <c r="K46" s="589"/>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9" t="str">
        <f>IF(Main!O19="","",Main!O19)</f>
        <v/>
      </c>
      <c r="C47" s="589"/>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9" t="str">
        <f>IF(Main!O39="","",Main!O39)</f>
        <v/>
      </c>
      <c r="K47" s="589"/>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9" t="str">
        <f>IF(Main!O20="","",Main!O20)</f>
        <v/>
      </c>
      <c r="C48" s="589"/>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9" t="str">
        <f>IF(Main!O40="","",Main!O40)</f>
        <v/>
      </c>
      <c r="K48" s="589"/>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9" t="str">
        <f>IF(Main!O21="","",Main!O21)</f>
        <v/>
      </c>
      <c r="C49" s="589"/>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9" t="str">
        <f>IF(Main!O41="","",Main!O41)</f>
        <v/>
      </c>
      <c r="K49" s="589"/>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9" t="str">
        <f>IF(Main!O22="","",Main!O22)</f>
        <v/>
      </c>
      <c r="C50" s="589"/>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9" t="str">
        <f>IF(Main!O42="","",Main!O42)</f>
        <v/>
      </c>
      <c r="K50" s="589"/>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9" t="str">
        <f>IF(Main!O23="","",Main!O23)</f>
        <v/>
      </c>
      <c r="C51" s="589"/>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9" t="str">
        <f>IF(Main!O43="","",Main!O43)</f>
        <v/>
      </c>
      <c r="K51" s="589"/>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9" t="str">
        <f>IF(Main!O24="","",Main!O24)</f>
        <v/>
      </c>
      <c r="C52" s="589"/>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9" t="str">
        <f>IF(Main!O44="","",Main!O44)</f>
        <v/>
      </c>
      <c r="K52" s="589"/>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6" t="s">
        <v>307</v>
      </c>
      <c r="C53" s="596"/>
      <c r="D53" s="596"/>
      <c r="E53" s="596"/>
      <c r="F53" s="596"/>
      <c r="G53" s="596"/>
      <c r="H53" s="596"/>
      <c r="I53" s="596"/>
      <c r="J53" s="596"/>
      <c r="K53" s="596"/>
      <c r="L53" s="596"/>
      <c r="M53" s="596"/>
      <c r="N53" s="596"/>
    </row>
    <row r="54" spans="1:20" ht="18" customHeight="1" x14ac:dyDescent="0.25">
      <c r="A54" s="249" t="s">
        <v>308</v>
      </c>
      <c r="B54" s="591" t="str">
        <f>CONCATENATE(Main!G23,"  ",FurnaceSpecificComments,Main!V24)</f>
        <v xml:space="preserve">Found in tolerance.  No adjustment required.  </v>
      </c>
      <c r="C54" s="591"/>
      <c r="D54" s="591"/>
      <c r="E54" s="591"/>
      <c r="F54" s="591"/>
      <c r="G54" s="591"/>
      <c r="H54" s="591"/>
      <c r="I54" s="591"/>
      <c r="J54" s="591"/>
      <c r="K54" s="591"/>
      <c r="L54" s="591"/>
      <c r="M54" s="591"/>
      <c r="N54" s="591"/>
      <c r="O54" s="591"/>
    </row>
    <row r="55" spans="1:20" ht="18" customHeight="1" x14ac:dyDescent="0.25">
      <c r="A55" s="78"/>
      <c r="B55" s="591"/>
      <c r="C55" s="591"/>
      <c r="D55" s="591"/>
      <c r="E55" s="591"/>
      <c r="F55" s="591"/>
      <c r="G55" s="591"/>
      <c r="H55" s="591"/>
      <c r="I55" s="591"/>
      <c r="J55" s="591"/>
      <c r="K55" s="591"/>
      <c r="L55" s="591"/>
      <c r="M55" s="591"/>
      <c r="N55" s="591"/>
      <c r="O55" s="591"/>
    </row>
    <row r="56" spans="1:20" ht="18" customHeight="1" x14ac:dyDescent="0.25">
      <c r="A56" s="78"/>
      <c r="B56" s="591"/>
      <c r="C56" s="591"/>
      <c r="D56" s="591"/>
      <c r="E56" s="591"/>
      <c r="F56" s="591"/>
      <c r="G56" s="591"/>
      <c r="H56" s="591"/>
      <c r="I56" s="591"/>
      <c r="J56" s="591"/>
      <c r="K56" s="591"/>
      <c r="L56" s="591"/>
      <c r="M56" s="591"/>
      <c r="N56" s="591"/>
      <c r="O56" s="591"/>
    </row>
    <row r="57" spans="1:20" ht="18" customHeight="1" x14ac:dyDescent="0.25">
      <c r="A57" s="78"/>
      <c r="B57" s="591"/>
      <c r="C57" s="591"/>
      <c r="D57" s="591"/>
      <c r="E57" s="591"/>
      <c r="F57" s="591"/>
      <c r="G57" s="591"/>
      <c r="H57" s="591"/>
      <c r="I57" s="591"/>
      <c r="J57" s="591"/>
      <c r="K57" s="591"/>
      <c r="L57" s="591"/>
      <c r="M57" s="591"/>
      <c r="N57" s="591"/>
      <c r="O57" s="591"/>
    </row>
    <row r="58" spans="1:20" ht="18" customHeight="1" x14ac:dyDescent="0.25">
      <c r="A58" s="78"/>
      <c r="B58" s="591"/>
      <c r="C58" s="591"/>
      <c r="D58" s="591"/>
      <c r="E58" s="591"/>
      <c r="F58" s="591"/>
      <c r="G58" s="591"/>
      <c r="H58" s="591"/>
      <c r="I58" s="591"/>
      <c r="J58" s="591"/>
      <c r="K58" s="591"/>
      <c r="L58" s="591"/>
      <c r="M58" s="591"/>
      <c r="N58" s="591"/>
      <c r="O58" s="591"/>
    </row>
    <row r="59" spans="1:20" ht="18" customHeight="1" x14ac:dyDescent="0.25">
      <c r="A59" s="78"/>
      <c r="B59" s="591"/>
      <c r="C59" s="591"/>
      <c r="D59" s="591"/>
      <c r="E59" s="591"/>
      <c r="F59" s="591"/>
      <c r="G59" s="591"/>
      <c r="H59" s="591"/>
      <c r="I59" s="591"/>
      <c r="J59" s="591"/>
      <c r="K59" s="591"/>
      <c r="L59" s="591"/>
      <c r="M59" s="591"/>
      <c r="N59" s="591"/>
      <c r="O59" s="591"/>
    </row>
    <row r="60" spans="1:20" ht="18" customHeight="1" x14ac:dyDescent="0.2">
      <c r="A60" s="595" t="s">
        <v>316</v>
      </c>
      <c r="B60" s="595"/>
      <c r="C60" s="595"/>
      <c r="D60" s="595"/>
      <c r="E60" s="595"/>
      <c r="F60" s="595"/>
      <c r="G60" s="595"/>
      <c r="H60" s="595"/>
      <c r="I60" s="595"/>
      <c r="J60" s="595"/>
      <c r="K60" s="595"/>
      <c r="L60" s="595"/>
      <c r="M60" s="595"/>
      <c r="N60" s="595"/>
      <c r="O60" s="595"/>
    </row>
    <row r="61" spans="1:20" ht="18" customHeight="1" x14ac:dyDescent="0.2">
      <c r="A61" s="599" t="s">
        <v>309</v>
      </c>
      <c r="B61" s="599"/>
      <c r="C61" s="599"/>
      <c r="D61" s="599"/>
      <c r="E61" s="599"/>
      <c r="F61" s="588" t="s">
        <v>310</v>
      </c>
      <c r="G61" s="588"/>
      <c r="H61" s="588"/>
      <c r="I61" s="588" t="s">
        <v>311</v>
      </c>
      <c r="J61" s="588"/>
      <c r="K61" s="588" t="s">
        <v>312</v>
      </c>
      <c r="L61" s="588"/>
      <c r="M61" s="588" t="s">
        <v>313</v>
      </c>
      <c r="N61" s="588"/>
      <c r="O61" s="588"/>
      <c r="R61" s="39" t="s">
        <v>853</v>
      </c>
      <c r="T61" s="39" t="s">
        <v>854</v>
      </c>
    </row>
    <row r="62" spans="1:20" ht="18" customHeight="1" x14ac:dyDescent="0.2">
      <c r="A62" s="578" t="str">
        <f>IF(F62="","",CONCATENATE(T62," - ",R62))</f>
        <v/>
      </c>
      <c r="B62" s="579"/>
      <c r="C62" s="579"/>
      <c r="D62" s="579"/>
      <c r="E62" s="580"/>
      <c r="F62" s="578" t="str" cm="1">
        <f t="array" ref="F62">IFERROR(
  _xlfn.XLOOKUP(
    Main!D9,
    _xlfn._xlws.FILTER(AssetPool[AssetTag], AssetPool[RootCategoryName]= "DAQ Modules"),
    _xlfn._xlws.FILTER(AssetPool[SerialNumber], AssetPool[RootCategoryName]= "DAQ Modules")
  ),
  ""
)</f>
        <v/>
      </c>
      <c r="G62" s="579"/>
      <c r="H62" s="580"/>
      <c r="I62" s="584" t="str">
        <f>IF(F62="","",Main!D12)</f>
        <v/>
      </c>
      <c r="J62" s="585"/>
      <c r="K62" s="584" t="str">
        <f>IF(F62="","",Main!D13)</f>
        <v/>
      </c>
      <c r="L62" s="585"/>
      <c r="M62" s="612" t="str">
        <f>IF(F62="","",REPLACE(Main!D14,3,1,""))</f>
        <v/>
      </c>
      <c r="N62" s="613"/>
      <c r="O62" s="614"/>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81" t="str">
        <f t="shared" ref="A63:A68" si="0">IF(Q63="","",CONCATENATE(T63," - ",R63))</f>
        <v/>
      </c>
      <c r="B63" s="582"/>
      <c r="C63" s="582"/>
      <c r="D63" s="582"/>
      <c r="E63" s="583"/>
      <c r="F63" s="581" t="str">
        <f>IF(Main!D48="","",Main!D48)</f>
        <v/>
      </c>
      <c r="G63" s="582"/>
      <c r="H63" s="583"/>
      <c r="I63" s="586" t="str">
        <f>IF(Q63="","",Main!D49)</f>
        <v/>
      </c>
      <c r="J63" s="587"/>
      <c r="K63" s="586" t="str">
        <f>IF(Q63="","",Main!D50)</f>
        <v/>
      </c>
      <c r="L63" s="587"/>
      <c r="M63" s="581" t="str">
        <f>IF(Q63="","",Main!D54)</f>
        <v/>
      </c>
      <c r="N63" s="582"/>
      <c r="O63" s="583"/>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81" t="str">
        <f t="shared" si="0"/>
        <v/>
      </c>
      <c r="B64" s="582"/>
      <c r="C64" s="582"/>
      <c r="D64" s="582"/>
      <c r="E64" s="583"/>
      <c r="F64" s="581" t="str">
        <f>IF(Main!E48="","",Main!E48)</f>
        <v/>
      </c>
      <c r="G64" s="582"/>
      <c r="H64" s="583"/>
      <c r="I64" s="586" t="str">
        <f>IF(Q64="","",Main!E49)</f>
        <v/>
      </c>
      <c r="J64" s="587"/>
      <c r="K64" s="586" t="str">
        <f>IF(Q64="","",Main!E50)</f>
        <v/>
      </c>
      <c r="L64" s="587"/>
      <c r="M64" s="581" t="str">
        <f>IF(Q64="","",Main!E54)</f>
        <v/>
      </c>
      <c r="N64" s="582"/>
      <c r="O64" s="583"/>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81" t="str">
        <f t="shared" si="0"/>
        <v/>
      </c>
      <c r="B65" s="582"/>
      <c r="C65" s="582"/>
      <c r="D65" s="582"/>
      <c r="E65" s="583"/>
      <c r="F65" s="581" t="str">
        <f>IF(Main!F48="","",Main!F48)</f>
        <v/>
      </c>
      <c r="G65" s="582"/>
      <c r="H65" s="583"/>
      <c r="I65" s="586" t="str">
        <f>IF(Q65="","",Main!F49)</f>
        <v/>
      </c>
      <c r="J65" s="587"/>
      <c r="K65" s="586" t="str">
        <f>IF(Q65="","",Main!F50)</f>
        <v/>
      </c>
      <c r="L65" s="587"/>
      <c r="M65" s="581" t="str">
        <f>IF(Q65="","",Main!F54)</f>
        <v/>
      </c>
      <c r="N65" s="582"/>
      <c r="O65" s="583"/>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81" t="str">
        <f t="shared" si="0"/>
        <v/>
      </c>
      <c r="B66" s="582"/>
      <c r="C66" s="582"/>
      <c r="D66" s="582"/>
      <c r="E66" s="583"/>
      <c r="F66" s="581" t="str">
        <f>IF(Main!G48="","",Main!G48)</f>
        <v/>
      </c>
      <c r="G66" s="582"/>
      <c r="H66" s="583"/>
      <c r="I66" s="586" t="str">
        <f>IF(Q66="","",Main!G49)</f>
        <v/>
      </c>
      <c r="J66" s="587"/>
      <c r="K66" s="586" t="str">
        <f>IF(Q66="","",Main!G50)</f>
        <v/>
      </c>
      <c r="L66" s="587"/>
      <c r="M66" s="581" t="str">
        <f>IF(Q66="","",Main!G54)</f>
        <v/>
      </c>
      <c r="N66" s="582"/>
      <c r="O66" s="583"/>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81" t="str">
        <f t="shared" si="0"/>
        <v/>
      </c>
      <c r="B67" s="582"/>
      <c r="C67" s="582"/>
      <c r="D67" s="582"/>
      <c r="E67" s="583"/>
      <c r="F67" s="581" t="str">
        <f>IF(Main!H48="","",Main!H48)</f>
        <v/>
      </c>
      <c r="G67" s="582"/>
      <c r="H67" s="583"/>
      <c r="I67" s="586" t="str">
        <f>IF(Q67="","",Main!H49)</f>
        <v/>
      </c>
      <c r="J67" s="587"/>
      <c r="K67" s="586" t="str">
        <f>IF(Q67="","",Main!H50)</f>
        <v/>
      </c>
      <c r="L67" s="587"/>
      <c r="M67" s="581" t="str">
        <f>IF(Q67="","",Main!H54)</f>
        <v/>
      </c>
      <c r="N67" s="582"/>
      <c r="O67" s="583"/>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81" t="str">
        <f t="shared" si="0"/>
        <v/>
      </c>
      <c r="B68" s="582"/>
      <c r="C68" s="582"/>
      <c r="D68" s="582"/>
      <c r="E68" s="583"/>
      <c r="F68" s="581" t="str">
        <f>IF(Main!I48="","",Main!I48)</f>
        <v/>
      </c>
      <c r="G68" s="582"/>
      <c r="H68" s="583"/>
      <c r="I68" s="586" t="str">
        <f>IF(Q68="","",Main!I49)</f>
        <v/>
      </c>
      <c r="J68" s="587"/>
      <c r="K68" s="586" t="str">
        <f>IF(Q68="","",Main!I50)</f>
        <v/>
      </c>
      <c r="L68" s="587"/>
      <c r="M68" s="581" t="str">
        <f>IF(Q68="","",Main!I54)</f>
        <v/>
      </c>
      <c r="N68" s="582"/>
      <c r="O68" s="583"/>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600" t="str">
        <f>IF(T69="","",CONCATENATE(T69," - ",R69))</f>
        <v/>
      </c>
      <c r="B69" s="601"/>
      <c r="C69" s="601"/>
      <c r="D69" s="601"/>
      <c r="E69" s="602"/>
      <c r="F69" s="600" t="str">
        <f>IF(Main!J48="","",Main!J48)</f>
        <v/>
      </c>
      <c r="G69" s="601"/>
      <c r="H69" s="602"/>
      <c r="I69" s="615" t="str">
        <f>IF(Q69="","",Main!J49)</f>
        <v/>
      </c>
      <c r="J69" s="616"/>
      <c r="K69" s="615" t="str">
        <f>IF(Q69="","",Main!J50)</f>
        <v/>
      </c>
      <c r="L69" s="616"/>
      <c r="M69" s="600" t="str">
        <f>IF(Q69="","",Main!J54)</f>
        <v/>
      </c>
      <c r="N69" s="601"/>
      <c r="O69" s="602"/>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967</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l4j3WmPgniCgGvzXTEf/7EMHlCTPGL1bQdE6/PwhSK5mClRRpfg5aG7fwKInSUz0eyJimpuqoZd5JsFPGK0Nfg==" saltValue="nERvmxLVWKN2jgbDB7RxG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Ymz5FbQX1KZwyWips0NWEkIkJqLDdzU0tMFhpqjbULEmI4hpKsX9ndjZv2AAXT9nywv0u5TbH/hr22z2oaHYdw==" saltValue="u/2EbQwONde6eiqfywwXP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M5S+yIU2JVKrPogSPPy8bfG5feznSUHnEULzkavPKp2B7Ia5J4hGg56WsuZjnuI9nonXHtrVkUg0k++hWtkL5g==" saltValue="TGZbk+IvX1EabxHC5YyZr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JfViJlGWfaZTG5ba6xLFmpUxvisiXzfDpalnVyFIIDenN+bWW0qQdXxL1ZvT8BVtt9wmoRI+2kGgIODfq770BQ==" saltValue="/zG98y772Fm4F0v64CphP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DEqOm3qoy+qz0ABxnZsUaRjhd2i9V1JB5vjQyQKGzBQGANEwlo2YvSOWUv3ei5O2kPjXcntfAiQvIbeYfnXiOg==" saltValue="qUykQwm+2DeCze3FAzTJiQ==" spinCount="100000" sheet="1" objects="1" scenarios="1" selectLockedCells="1" autoFilter="0"/>
  <mergeCells count="2">
    <mergeCell ref="D32:M34"/>
    <mergeCell ref="C37:M40"/>
  </mergeCells>
  <phoneticPr fontId="20"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8">
    <cfRule type="expression" dxfId="53" priority="61">
      <formula>ISERROR(SEARCH(1,$G$19))</formula>
    </cfRule>
    <cfRule type="expression" dxfId="52" priority="62">
      <formula>ISNUMBER(SEARCH(1,$G$19))</formula>
    </cfRule>
  </conditionalFormatting>
  <conditionalFormatting sqref="J14:J18">
    <cfRule type="expression" dxfId="51" priority="57">
      <formula>ISERROR(SEARCH(1,$J$19))</formula>
    </cfRule>
    <cfRule type="expression" dxfId="50" priority="58">
      <formula>ISNUMBER(SEARCH(1,$J$19))</formula>
    </cfRule>
  </conditionalFormatting>
  <conditionalFormatting sqref="M14:M18">
    <cfRule type="expression" dxfId="49" priority="53">
      <formula>ISERROR(SEARCH(1,$M$19))</formula>
    </cfRule>
    <cfRule type="expression" dxfId="48" priority="54">
      <formula>ISNUMBER(SEARCH(1,$M$19))</formula>
    </cfRule>
  </conditionalFormatting>
  <conditionalFormatting sqref="G26:G30">
    <cfRule type="expression" dxfId="47" priority="45">
      <formula>ISERROR(SEARCH(1,$G$31))</formula>
    </cfRule>
    <cfRule type="expression" dxfId="46" priority="46">
      <formula>ISNUMBER(SEARCH(1,$G$31))</formula>
    </cfRule>
  </conditionalFormatting>
  <conditionalFormatting sqref="J26:J30">
    <cfRule type="expression" dxfId="45" priority="41">
      <formula>ISERROR(SEARCH(1,$J$31))</formula>
    </cfRule>
    <cfRule type="expression" dxfId="44" priority="42">
      <formula>ISNUMBER(SEARCH(1,$J$31))</formula>
    </cfRule>
  </conditionalFormatting>
  <conditionalFormatting sqref="M26:M30">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D10">
    <cfRule type="expression" dxfId="37" priority="29">
      <formula>ISERROR(SEARCH(1,$G$19))</formula>
    </cfRule>
    <cfRule type="expression" dxfId="36" priority="30">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344</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63" t="s">
        <v>346</v>
      </c>
      <c r="K29" s="664"/>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58" t="s">
        <v>332</v>
      </c>
      <c r="I30" s="658"/>
      <c r="J30" s="665" t="s">
        <v>378</v>
      </c>
      <c r="K30" s="666"/>
      <c r="L30" s="667"/>
      <c r="M30" s="265"/>
      <c r="O30" s="659" t="s">
        <v>381</v>
      </c>
      <c r="P30" s="660"/>
      <c r="Q30" s="661"/>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48" t="s">
        <v>386</v>
      </c>
      <c r="K31" s="649"/>
      <c r="L31" s="650"/>
      <c r="M31" s="266" t="str">
        <f>IF(Main!S49="","",Main!S49)</f>
        <v/>
      </c>
      <c r="O31" s="569" t="s">
        <v>388</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1" t="s">
        <v>335</v>
      </c>
      <c r="K32" s="652"/>
      <c r="L32" s="653"/>
      <c r="M32" s="261"/>
      <c r="O32" s="651" t="s">
        <v>335</v>
      </c>
      <c r="P32" s="652"/>
      <c r="Q32" s="653"/>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1" t="s">
        <v>335</v>
      </c>
      <c r="K34" s="652"/>
      <c r="L34" s="653"/>
      <c r="O34" s="651" t="s">
        <v>335</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40" t="s">
        <v>390</v>
      </c>
      <c r="K35" s="641"/>
      <c r="L35" s="642"/>
      <c r="M35" s="269" t="str">
        <f>IF(Main!S53="","",Main!S53)</f>
        <v/>
      </c>
      <c r="O35" s="640" t="s">
        <v>391</v>
      </c>
      <c r="P35" s="641"/>
      <c r="Q35" s="64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43"/>
      <c r="K36" s="644"/>
      <c r="L36" s="645"/>
      <c r="M36" s="264"/>
      <c r="O36" s="643"/>
      <c r="P36" s="644"/>
      <c r="Q36" s="64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4XvIITAl7lg8vVUZdfPYsjpvaXM/HY5xnUnkX6ze7CtHMGVO9/j2PFYwepr1hiB8qCQBtKbIL44AivQiqBxK8w==" saltValue="1IScIwp2OAoeNjoWiQw6B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k2Bs7rDhUOyOFWkEt+r4rABzcKqCm/ku7ziBWZzxjJaMbYIxLub8Oj0uHxhyN36A5QhiKdoigIRZWS7aRLi72Q==" saltValue="p3my5yWK/9Unfa1WLVzxb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fIusMyxbVyAmy1axla+DAeNoyg5cRd0xMTf/I46yXwKTzpPTUwBoNc6yXIaMjBWrGi8MXNpXo+CNv0ebr4wjLQ==" saltValue="br18XgMyXvv3b2+utgIJu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2025-10-02T18:40:09Z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