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099870A-0017-4EBE-83FC-BCDC08629485}"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src" hidden="1" xlm="1">#NAME?</definedName>
    <definedName name="_xlpm.t" hidden="1" xlm="1">#NAME?</definedName>
    <definedName name="_xlpm.tbl" hidden="1" xlm="1">#NAME?</definedName>
    <definedName name="_xlpm.temps" hidden="1" xlm="1">#NAME?</definedName>
    <definedName name="_xlpm.TimeCol" hidden="1" xlm="1">#NAME?</definedName>
    <definedName name="_xlpm.timeIdx" hidden="1" xlm="1">#NAME?</definedName>
    <definedName name="_xlpm.times" hidden="1" xlm="1">#NAME?</definedName>
    <definedName name="_xlpm.TimesRow"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AssetId" comment="Client Asset Id">WorkItemDetails!$D$2</definedName>
    <definedName name="Assets_GetAssetByAssetPool" localSheetId="20" hidden="1">AssetPool!$A$1:$R$61</definedName>
    <definedName name="Base₂">Survey!$I$5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Survey!$I$2</definedName>
    <definedName name="ExpendableWireData">Main!$C$47:$I$57</definedName>
    <definedName name="ExternalData_1" localSheetId="21" hidden="1">DaqbookServiceRecords!$A$1:$B$2</definedName>
    <definedName name="ExternalData_1" localSheetId="3" hidden="1">Employee!$A$1:$D$2</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4"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12" hidden="1">AggregatedUUTRangeTol!$A$1:$C$2</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Survey!$I$3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Survey!$I$4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 i="4" l="1" a="1"/>
  <c r="L22" i="4" s="1"/>
  <c r="L21" i="4" a="1"/>
  <c r="L21" i="4" s="1"/>
  <c r="I21" i="4" a="1"/>
  <c r="I21" i="4"/>
  <c r="F21" i="4" a="1"/>
  <c r="F21" i="4" s="1"/>
  <c r="F22" i="4" s="1" a="1"/>
  <c r="F22" i="4" s="1"/>
  <c r="C21" i="4" a="1"/>
  <c r="C21" i="4"/>
  <c r="L9" i="4" a="1"/>
  <c r="L9" i="4" s="1"/>
  <c r="L10" i="4" s="1" a="1"/>
  <c r="L10" i="4" s="1"/>
  <c r="I9" i="4" a="1"/>
  <c r="I9" i="4"/>
  <c r="F9" i="4" a="1"/>
  <c r="F9" i="4"/>
  <c r="F10" i="4" a="1"/>
  <c r="F10" i="4" s="1"/>
  <c r="C9" i="4" a="1"/>
  <c r="C9" i="4" s="1"/>
  <c r="C10" i="4" s="1" a="1"/>
  <c r="C10" i="4" s="1"/>
  <c r="I22" i="4" a="1"/>
  <c r="I22" i="4" s="1"/>
  <c r="C22" i="4" a="1"/>
  <c r="C22" i="4" s="1"/>
  <c r="I10" i="4" a="1"/>
  <c r="I10" i="4" s="1"/>
  <c r="D10" i="4" a="1"/>
  <c r="D10" i="4" s="1"/>
  <c r="G10" i="4" a="1"/>
  <c r="G10" i="4"/>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J8" i="95"/>
  <c r="J9" i="95"/>
  <c r="J10" i="95"/>
  <c r="K10" i="95" s="1"/>
  <c r="J11" i="95"/>
  <c r="K11" i="95" s="1"/>
  <c r="J12" i="95"/>
  <c r="K12" i="95" s="1"/>
  <c r="J13" i="95"/>
  <c r="K13" i="95" s="1"/>
  <c r="J14" i="95"/>
  <c r="J15" i="95"/>
  <c r="K15" i="95" s="1"/>
  <c r="J16" i="95"/>
  <c r="K16" i="95" s="1"/>
  <c r="J17" i="95"/>
  <c r="K17" i="95" s="1"/>
  <c r="J18" i="95"/>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J37" i="95"/>
  <c r="J38" i="95"/>
  <c r="J39" i="95"/>
  <c r="J40" i="95"/>
  <c r="K40" i="95" s="1"/>
  <c r="J41" i="95"/>
  <c r="K41" i="95" s="1"/>
  <c r="J42" i="95"/>
  <c r="K42" i="95" s="1"/>
  <c r="J43" i="95"/>
  <c r="K43" i="95" s="1"/>
  <c r="J44" i="95"/>
  <c r="K44" i="95" s="1"/>
  <c r="J45" i="95"/>
  <c r="K45" i="95" s="1"/>
  <c r="J46" i="95"/>
  <c r="J47" i="95"/>
  <c r="J48" i="95"/>
  <c r="K48" i="95" s="1"/>
  <c r="J49" i="95"/>
  <c r="K49" i="95" s="1"/>
  <c r="J50" i="95"/>
  <c r="J51" i="95"/>
  <c r="K51" i="95" s="1"/>
  <c r="J52" i="95"/>
  <c r="J53" i="95"/>
  <c r="J54" i="95"/>
  <c r="J55" i="95"/>
  <c r="J56" i="95"/>
  <c r="J57" i="95"/>
  <c r="J58" i="95"/>
  <c r="K58" i="95" s="1"/>
  <c r="J59" i="95"/>
  <c r="J60" i="95"/>
  <c r="K60" i="95" s="1"/>
  <c r="J61" i="95"/>
  <c r="K61" i="95" s="1"/>
  <c r="J62" i="95"/>
  <c r="K62" i="95" s="1"/>
  <c r="J63" i="95"/>
  <c r="K63" i="95" s="1"/>
  <c r="J64" i="95"/>
  <c r="J65" i="95"/>
  <c r="J66" i="95"/>
  <c r="J67" i="95"/>
  <c r="K67" i="95" s="1"/>
  <c r="J68" i="95"/>
  <c r="J69" i="95"/>
  <c r="J70" i="95"/>
  <c r="J71" i="95"/>
  <c r="J72" i="95"/>
  <c r="J73" i="95"/>
  <c r="J74" i="95"/>
  <c r="K74" i="95" s="1"/>
  <c r="J75" i="95"/>
  <c r="K75" i="95" s="1"/>
  <c r="J76" i="95"/>
  <c r="K76" i="95" s="1"/>
  <c r="J77" i="95"/>
  <c r="K77" i="95" s="1"/>
  <c r="J78" i="95"/>
  <c r="J79" i="95"/>
  <c r="J80" i="95"/>
  <c r="K80" i="95" s="1"/>
  <c r="J81" i="95"/>
  <c r="K81" i="95" s="1"/>
  <c r="J82" i="95"/>
  <c r="J83" i="95"/>
  <c r="K83" i="95" s="1"/>
  <c r="J84" i="95"/>
  <c r="J85" i="95"/>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J99" i="95"/>
  <c r="J100" i="95"/>
  <c r="J101" i="95"/>
  <c r="J102" i="95"/>
  <c r="J103" i="95"/>
  <c r="K103" i="95" s="1"/>
  <c r="J104" i="95"/>
  <c r="K104" i="95" s="1"/>
  <c r="J105" i="95"/>
  <c r="K105" i="95" s="1"/>
  <c r="J106" i="95"/>
  <c r="K106" i="95" s="1"/>
  <c r="J107" i="95"/>
  <c r="K107" i="95" s="1"/>
  <c r="J108" i="95"/>
  <c r="K108" i="95" s="1"/>
  <c r="J109" i="95"/>
  <c r="K109" i="95" s="1"/>
  <c r="J110" i="95"/>
  <c r="J111" i="95"/>
  <c r="K111" i="95" s="1"/>
  <c r="J112" i="95"/>
  <c r="K112" i="95" s="1"/>
  <c r="J113" i="95"/>
  <c r="K113" i="95" s="1"/>
  <c r="J114" i="95"/>
  <c r="J115" i="95"/>
  <c r="K115" i="95" s="1"/>
  <c r="J116" i="95"/>
  <c r="J117" i="95"/>
  <c r="J118" i="95"/>
  <c r="J119" i="95"/>
  <c r="J120" i="95"/>
  <c r="J121" i="95"/>
  <c r="J122" i="95"/>
  <c r="K122" i="95" s="1"/>
  <c r="J123" i="95"/>
  <c r="J124" i="95"/>
  <c r="J125" i="95"/>
  <c r="J126" i="95"/>
  <c r="K126" i="95" s="1"/>
  <c r="J127" i="95"/>
  <c r="K127" i="95" s="1"/>
  <c r="J128" i="95"/>
  <c r="J129" i="95"/>
  <c r="J130" i="95"/>
  <c r="J131" i="95"/>
  <c r="K131" i="95" s="1"/>
  <c r="J132" i="95"/>
  <c r="K132" i="95" s="1"/>
  <c r="J133" i="95"/>
  <c r="K133" i="95" s="1"/>
  <c r="J134" i="95"/>
  <c r="K134" i="95" s="1"/>
  <c r="J135" i="95"/>
  <c r="J136" i="95"/>
  <c r="K136" i="95" s="1"/>
  <c r="J137" i="95"/>
  <c r="K137" i="95" s="1"/>
  <c r="J138" i="95"/>
  <c r="K138" i="95" s="1"/>
  <c r="J139" i="95"/>
  <c r="K139" i="95" s="1"/>
  <c r="J140" i="95"/>
  <c r="K140" i="95" s="1"/>
  <c r="J141" i="95"/>
  <c r="K141" i="95" s="1"/>
  <c r="J142" i="95"/>
  <c r="J143" i="95"/>
  <c r="J144" i="95"/>
  <c r="K144" i="95" s="1"/>
  <c r="J145" i="95"/>
  <c r="K145" i="95" s="1"/>
  <c r="J146" i="95"/>
  <c r="J147" i="95"/>
  <c r="K147" i="95" s="1"/>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J168" i="95"/>
  <c r="J169" i="95"/>
  <c r="J170" i="95"/>
  <c r="K170" i="95" s="1"/>
  <c r="J171" i="95"/>
  <c r="K171" i="95" s="1"/>
  <c r="J172" i="95"/>
  <c r="K172" i="95" s="1"/>
  <c r="J173" i="95"/>
  <c r="K173" i="95" s="1"/>
  <c r="J174" i="95"/>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J207" i="95"/>
  <c r="J208" i="95"/>
  <c r="K208" i="95" s="1"/>
  <c r="J209" i="95"/>
  <c r="K209" i="95" s="1"/>
  <c r="J210" i="95"/>
  <c r="J211" i="95"/>
  <c r="J212" i="95"/>
  <c r="J213" i="95"/>
  <c r="J214" i="95"/>
  <c r="J215" i="95"/>
  <c r="J216" i="95"/>
  <c r="J217" i="95"/>
  <c r="J218" i="95"/>
  <c r="K218" i="95" s="1"/>
  <c r="J219" i="95"/>
  <c r="J220" i="95"/>
  <c r="K220" i="95" s="1"/>
  <c r="J221" i="95"/>
  <c r="K221" i="95" s="1"/>
  <c r="J222" i="95"/>
  <c r="J223" i="95"/>
  <c r="K223" i="95" s="1"/>
  <c r="J224" i="95"/>
  <c r="K224" i="95" s="1"/>
  <c r="J225" i="95"/>
  <c r="J226" i="95"/>
  <c r="J227" i="95"/>
  <c r="J228" i="95"/>
  <c r="J229" i="95"/>
  <c r="J230" i="95"/>
  <c r="J231" i="95"/>
  <c r="J232" i="95"/>
  <c r="J233" i="95"/>
  <c r="J234" i="95"/>
  <c r="K234" i="95" s="1"/>
  <c r="J235" i="95"/>
  <c r="K235" i="95" s="1"/>
  <c r="J236" i="95"/>
  <c r="K236" i="95" s="1"/>
  <c r="J237" i="95"/>
  <c r="K237" i="95" s="1"/>
  <c r="J238" i="95"/>
  <c r="J239" i="95"/>
  <c r="K239" i="95" s="1"/>
  <c r="J240" i="95"/>
  <c r="K240" i="95" s="1"/>
  <c r="J241" i="95"/>
  <c r="K241" i="95" s="1"/>
  <c r="J242" i="95"/>
  <c r="J243" i="95"/>
  <c r="K243" i="95" s="1"/>
  <c r="J244" i="95"/>
  <c r="J245" i="95"/>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J264" i="95"/>
  <c r="K264" i="95" s="1"/>
  <c r="J265" i="95"/>
  <c r="K265" i="95" s="1"/>
  <c r="J266" i="95"/>
  <c r="K266" i="95" s="1"/>
  <c r="J267" i="95"/>
  <c r="K267" i="95" s="1"/>
  <c r="J268" i="95"/>
  <c r="K268" i="95" s="1"/>
  <c r="J269" i="95"/>
  <c r="K269" i="95" s="1"/>
  <c r="J270" i="95"/>
  <c r="J271" i="95"/>
  <c r="J272" i="95"/>
  <c r="K272" i="95" s="1"/>
  <c r="J273" i="95"/>
  <c r="K273" i="95" s="1"/>
  <c r="J274" i="95"/>
  <c r="J275" i="95"/>
  <c r="K275" i="95" s="1"/>
  <c r="J276" i="95"/>
  <c r="J277" i="95"/>
  <c r="K277" i="95" s="1"/>
  <c r="J278" i="95"/>
  <c r="J279" i="95"/>
  <c r="J280" i="95"/>
  <c r="J281" i="95"/>
  <c r="J282" i="95"/>
  <c r="K282" i="95" s="1"/>
  <c r="J283" i="95"/>
  <c r="J284" i="95"/>
  <c r="J285" i="95"/>
  <c r="K285" i="95" s="1"/>
  <c r="J286" i="95"/>
  <c r="K286" i="95" s="1"/>
  <c r="J287" i="95"/>
  <c r="K287" i="95" s="1"/>
  <c r="J288" i="95"/>
  <c r="J289" i="95"/>
  <c r="J290" i="95"/>
  <c r="J291" i="95"/>
  <c r="K291" i="95" s="1"/>
  <c r="J292" i="95"/>
  <c r="K292" i="95" s="1"/>
  <c r="J293" i="95"/>
  <c r="K293" i="95" s="1"/>
  <c r="J294" i="95"/>
  <c r="K294" i="95" s="1"/>
  <c r="J295" i="95"/>
  <c r="J296" i="95"/>
  <c r="K296" i="95" s="1"/>
  <c r="J297" i="95"/>
  <c r="J298" i="95"/>
  <c r="K298" i="95" s="1"/>
  <c r="J299" i="95"/>
  <c r="K299" i="95" s="1"/>
  <c r="J300" i="95"/>
  <c r="K300" i="95" s="1"/>
  <c r="J301" i="95"/>
  <c r="K301" i="95" s="1"/>
  <c r="J302" i="95"/>
  <c r="J303" i="95"/>
  <c r="J304" i="95"/>
  <c r="K304" i="95" s="1"/>
  <c r="J305" i="95"/>
  <c r="K305" i="95" s="1"/>
  <c r="J306" i="95"/>
  <c r="J307" i="95"/>
  <c r="K307" i="95" s="1"/>
  <c r="J308" i="95"/>
  <c r="J309" i="95"/>
  <c r="J310" i="95"/>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K330" i="95" s="1"/>
  <c r="J331" i="95"/>
  <c r="K331" i="95" s="1"/>
  <c r="J332" i="95"/>
  <c r="K332" i="95" s="1"/>
  <c r="J333" i="95"/>
  <c r="K333" i="95" s="1"/>
  <c r="J334" i="95"/>
  <c r="J335" i="95"/>
  <c r="J336" i="95"/>
  <c r="K336" i="95" s="1"/>
  <c r="J337" i="95"/>
  <c r="K337" i="95" s="1"/>
  <c r="J338" i="95"/>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J367" i="95"/>
  <c r="J368" i="95"/>
  <c r="K368" i="95" s="1"/>
  <c r="J369" i="95"/>
  <c r="K369" i="95" s="1"/>
  <c r="J370" i="95"/>
  <c r="J371" i="95"/>
  <c r="K371" i="95" s="1"/>
  <c r="J372" i="95"/>
  <c r="J373" i="95"/>
  <c r="J374" i="95"/>
  <c r="J375" i="95"/>
  <c r="J376" i="95"/>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J392" i="95"/>
  <c r="J393" i="95"/>
  <c r="J394" i="95"/>
  <c r="K394" i="95" s="1"/>
  <c r="J395" i="95"/>
  <c r="K395" i="95" s="1"/>
  <c r="J396" i="95"/>
  <c r="K396" i="95" s="1"/>
  <c r="J397" i="95"/>
  <c r="K397" i="95" s="1"/>
  <c r="J398" i="95"/>
  <c r="J399" i="95"/>
  <c r="J400" i="95"/>
  <c r="K400" i="95" s="1"/>
  <c r="J401" i="95"/>
  <c r="K401" i="95" s="1"/>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K2" i="95"/>
  <c r="K3" i="95"/>
  <c r="K4" i="95"/>
  <c r="K5" i="95"/>
  <c r="K6" i="95"/>
  <c r="K7" i="95"/>
  <c r="K8" i="95"/>
  <c r="K9" i="95"/>
  <c r="K14" i="95"/>
  <c r="K18" i="95"/>
  <c r="K20" i="95"/>
  <c r="K21" i="95"/>
  <c r="K32" i="95"/>
  <c r="K33" i="95"/>
  <c r="K34" i="95"/>
  <c r="K35" i="95"/>
  <c r="K36" i="95"/>
  <c r="K37" i="95"/>
  <c r="K38" i="95"/>
  <c r="K39" i="95"/>
  <c r="K46" i="95"/>
  <c r="K47" i="95"/>
  <c r="K50" i="95"/>
  <c r="K52" i="95"/>
  <c r="K53" i="95"/>
  <c r="K54" i="95"/>
  <c r="K55" i="95"/>
  <c r="K56" i="95"/>
  <c r="K57" i="95"/>
  <c r="K59" i="95"/>
  <c r="K64" i="95"/>
  <c r="K65" i="95"/>
  <c r="K66" i="95"/>
  <c r="K68" i="95"/>
  <c r="K69" i="95"/>
  <c r="K70" i="95"/>
  <c r="K71" i="95"/>
  <c r="K72" i="95"/>
  <c r="K73" i="95"/>
  <c r="K78" i="95"/>
  <c r="K79" i="95"/>
  <c r="K82" i="95"/>
  <c r="K84" i="95"/>
  <c r="K85" i="95"/>
  <c r="K96" i="95"/>
  <c r="K97" i="95"/>
  <c r="K98" i="95"/>
  <c r="K99" i="95"/>
  <c r="K100" i="95"/>
  <c r="K101" i="95"/>
  <c r="K102" i="95"/>
  <c r="K110" i="95"/>
  <c r="K114" i="95"/>
  <c r="K116" i="95"/>
  <c r="K117" i="95"/>
  <c r="K118" i="95"/>
  <c r="K119" i="95"/>
  <c r="K120" i="95"/>
  <c r="K121" i="95"/>
  <c r="K123" i="95"/>
  <c r="K124" i="95"/>
  <c r="K125" i="95"/>
  <c r="K128" i="95"/>
  <c r="K129" i="95"/>
  <c r="K130" i="95"/>
  <c r="K135" i="95"/>
  <c r="K142" i="95"/>
  <c r="K143" i="95"/>
  <c r="K146" i="95"/>
  <c r="K148" i="95"/>
  <c r="K149" i="95"/>
  <c r="K160" i="95"/>
  <c r="K161" i="95"/>
  <c r="K162" i="95"/>
  <c r="K163" i="95"/>
  <c r="K164" i="95"/>
  <c r="K165" i="95"/>
  <c r="K166" i="95"/>
  <c r="K167" i="95"/>
  <c r="K168" i="95"/>
  <c r="K169" i="95"/>
  <c r="K174" i="95"/>
  <c r="K192" i="95"/>
  <c r="K193" i="95"/>
  <c r="K194" i="95"/>
  <c r="K195" i="95"/>
  <c r="K196" i="95"/>
  <c r="K197" i="95"/>
  <c r="K206" i="95"/>
  <c r="K207" i="95"/>
  <c r="K212" i="95"/>
  <c r="K213" i="95"/>
  <c r="K214" i="95"/>
  <c r="K215" i="95"/>
  <c r="K216" i="95"/>
  <c r="K217" i="95"/>
  <c r="K219" i="95"/>
  <c r="K225" i="95"/>
  <c r="K226" i="95"/>
  <c r="K227" i="95"/>
  <c r="K228" i="95"/>
  <c r="K229" i="95"/>
  <c r="K230" i="95"/>
  <c r="K231" i="95"/>
  <c r="K232" i="95"/>
  <c r="K233" i="95"/>
  <c r="K238" i="95"/>
  <c r="K242" i="95"/>
  <c r="K244" i="95"/>
  <c r="K245" i="95"/>
  <c r="K257" i="95"/>
  <c r="K258" i="95"/>
  <c r="K259" i="95"/>
  <c r="K260" i="95"/>
  <c r="K261" i="95"/>
  <c r="K262" i="95"/>
  <c r="K263" i="95"/>
  <c r="K270" i="95"/>
  <c r="K271" i="95"/>
  <c r="K274" i="95"/>
  <c r="K276" i="95"/>
  <c r="K278" i="95"/>
  <c r="K279" i="95"/>
  <c r="K280" i="95"/>
  <c r="K281" i="95"/>
  <c r="K283" i="95"/>
  <c r="K284" i="95"/>
  <c r="K288" i="95"/>
  <c r="K289" i="95"/>
  <c r="K290" i="95"/>
  <c r="K295" i="95"/>
  <c r="K297" i="95"/>
  <c r="K302" i="95"/>
  <c r="K303" i="95"/>
  <c r="K306" i="95"/>
  <c r="K308" i="95"/>
  <c r="K309" i="95"/>
  <c r="K310" i="95"/>
  <c r="K322" i="95"/>
  <c r="K323" i="95"/>
  <c r="K324" i="95"/>
  <c r="K325" i="95"/>
  <c r="K326" i="95"/>
  <c r="K327" i="95"/>
  <c r="K328" i="95"/>
  <c r="K329" i="95"/>
  <c r="K334" i="95"/>
  <c r="K335" i="95"/>
  <c r="K338" i="95"/>
  <c r="K352" i="95"/>
  <c r="K353" i="95"/>
  <c r="K354" i="95"/>
  <c r="K355" i="95"/>
  <c r="K356" i="95"/>
  <c r="K366" i="95"/>
  <c r="K367" i="95"/>
  <c r="K370" i="95"/>
  <c r="K372" i="95"/>
  <c r="K373" i="95"/>
  <c r="K374" i="95"/>
  <c r="K375" i="95"/>
  <c r="K376" i="95"/>
  <c r="K385" i="95"/>
  <c r="K386" i="95"/>
  <c r="K387" i="95"/>
  <c r="K388" i="95"/>
  <c r="K389" i="95"/>
  <c r="K390" i="95"/>
  <c r="K391" i="95"/>
  <c r="K392" i="95"/>
  <c r="K393" i="95"/>
  <c r="K398" i="95"/>
  <c r="K399" i="95"/>
  <c r="K402" i="95"/>
  <c r="K416" i="95"/>
  <c r="K417" i="95"/>
  <c r="K418" i="95"/>
  <c r="K419" i="95"/>
  <c r="L2" i="95"/>
  <c r="M2" i="95" s="1"/>
  <c r="L3" i="95"/>
  <c r="L4" i="95"/>
  <c r="L5" i="95"/>
  <c r="M5" i="95" s="1"/>
  <c r="L6" i="95"/>
  <c r="M6" i="95" s="1"/>
  <c r="L7" i="95"/>
  <c r="M7" i="95" s="1"/>
  <c r="L8" i="95"/>
  <c r="M8" i="95" s="1"/>
  <c r="L9" i="95"/>
  <c r="M9" i="95" s="1"/>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L22" i="95"/>
  <c r="M22" i="95" s="1"/>
  <c r="L23" i="95"/>
  <c r="L24" i="95"/>
  <c r="L25" i="95"/>
  <c r="L26" i="95"/>
  <c r="M26" i="95" s="1"/>
  <c r="L27" i="95"/>
  <c r="M27" i="95" s="1"/>
  <c r="L28" i="95"/>
  <c r="M28" i="95" s="1"/>
  <c r="L29" i="95"/>
  <c r="M29" i="95" s="1"/>
  <c r="L30" i="95"/>
  <c r="M30" i="95" s="1"/>
  <c r="L31" i="95"/>
  <c r="M31" i="95" s="1"/>
  <c r="L32" i="95"/>
  <c r="M32" i="95" s="1"/>
  <c r="L33" i="95"/>
  <c r="M33" i="95" s="1"/>
  <c r="L34" i="95"/>
  <c r="M34" i="95" s="1"/>
  <c r="L35" i="95"/>
  <c r="L36" i="95"/>
  <c r="L37" i="95"/>
  <c r="L38" i="95"/>
  <c r="M38" i="95" s="1"/>
  <c r="L39" i="95"/>
  <c r="M39" i="95" s="1"/>
  <c r="L40" i="95"/>
  <c r="M40" i="95" s="1"/>
  <c r="L41" i="95"/>
  <c r="L42" i="95"/>
  <c r="L43" i="95"/>
  <c r="L44" i="95"/>
  <c r="M44" i="95" s="1"/>
  <c r="L45" i="95"/>
  <c r="M45" i="95" s="1"/>
  <c r="L46" i="95"/>
  <c r="L47" i="95"/>
  <c r="M47" i="95" s="1"/>
  <c r="L48" i="95"/>
  <c r="M48" i="95" s="1"/>
  <c r="L49" i="95"/>
  <c r="M49" i="95" s="1"/>
  <c r="L50" i="95"/>
  <c r="M50" i="95" s="1"/>
  <c r="L51" i="95"/>
  <c r="M51" i="95" s="1"/>
  <c r="L52" i="95"/>
  <c r="M52" i="95" s="1"/>
  <c r="L53" i="95"/>
  <c r="M53" i="95" s="1"/>
  <c r="L54" i="95"/>
  <c r="M54" i="95" s="1"/>
  <c r="L55" i="95"/>
  <c r="L56" i="95"/>
  <c r="L57" i="95"/>
  <c r="L58" i="95"/>
  <c r="M58" i="95" s="1"/>
  <c r="L59" i="95"/>
  <c r="M59" i="95" s="1"/>
  <c r="L60" i="95"/>
  <c r="L61" i="95"/>
  <c r="L62" i="95"/>
  <c r="L63" i="95"/>
  <c r="L64" i="95"/>
  <c r="L65" i="95"/>
  <c r="M65" i="95" s="1"/>
  <c r="L66" i="95"/>
  <c r="M66" i="95" s="1"/>
  <c r="L67" i="95"/>
  <c r="L68" i="95"/>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L86" i="95"/>
  <c r="M86" i="95" s="1"/>
  <c r="L87" i="95"/>
  <c r="L88" i="95"/>
  <c r="L89" i="95"/>
  <c r="L90" i="95"/>
  <c r="M90" i="95" s="1"/>
  <c r="L91" i="95"/>
  <c r="M91" i="95" s="1"/>
  <c r="L92" i="95"/>
  <c r="M92" i="95" s="1"/>
  <c r="L93" i="95"/>
  <c r="M93" i="95" s="1"/>
  <c r="L94" i="95"/>
  <c r="M94" i="95" s="1"/>
  <c r="L95" i="95"/>
  <c r="M95" i="95" s="1"/>
  <c r="L96" i="95"/>
  <c r="M96" i="95" s="1"/>
  <c r="L97" i="95"/>
  <c r="M97" i="95" s="1"/>
  <c r="L98" i="95"/>
  <c r="M98" i="95" s="1"/>
  <c r="L99" i="95"/>
  <c r="L100" i="95"/>
  <c r="L101" i="95"/>
  <c r="L102" i="95"/>
  <c r="M102" i="95" s="1"/>
  <c r="L103" i="95"/>
  <c r="M103" i="95" s="1"/>
  <c r="L104" i="95"/>
  <c r="M104" i="95" s="1"/>
  <c r="L105" i="95"/>
  <c r="L106" i="95"/>
  <c r="L107" i="95"/>
  <c r="L108" i="95"/>
  <c r="M108" i="95" s="1"/>
  <c r="L109" i="95"/>
  <c r="M109" i="95" s="1"/>
  <c r="L110" i="95"/>
  <c r="L111" i="95"/>
  <c r="M111" i="95" s="1"/>
  <c r="L112" i="95"/>
  <c r="L113" i="95"/>
  <c r="L114" i="95"/>
  <c r="M114" i="95" s="1"/>
  <c r="L115" i="95"/>
  <c r="L116" i="95"/>
  <c r="M116" i="95" s="1"/>
  <c r="L117" i="95"/>
  <c r="L118" i="95"/>
  <c r="M118" i="95" s="1"/>
  <c r="L119" i="95"/>
  <c r="L120" i="95"/>
  <c r="L121" i="95"/>
  <c r="L122" i="95"/>
  <c r="M122" i="95" s="1"/>
  <c r="L123" i="95"/>
  <c r="M123" i="95" s="1"/>
  <c r="L124" i="95"/>
  <c r="L125" i="95"/>
  <c r="M125" i="95" s="1"/>
  <c r="L126" i="95"/>
  <c r="M126" i="95" s="1"/>
  <c r="L127" i="95"/>
  <c r="M127" i="95" s="1"/>
  <c r="L128" i="95"/>
  <c r="M128" i="95" s="1"/>
  <c r="L129" i="95"/>
  <c r="M129" i="95" s="1"/>
  <c r="L130" i="95"/>
  <c r="M130" i="95" s="1"/>
  <c r="L131" i="95"/>
  <c r="L132" i="95"/>
  <c r="L133" i="95"/>
  <c r="M133" i="95" s="1"/>
  <c r="L134" i="95"/>
  <c r="M134" i="95" s="1"/>
  <c r="L135" i="95"/>
  <c r="M135" i="95" s="1"/>
  <c r="L136" i="95"/>
  <c r="M136" i="95" s="1"/>
  <c r="L137" i="95"/>
  <c r="M137" i="95" s="1"/>
  <c r="L138" i="95"/>
  <c r="L139" i="95"/>
  <c r="L140" i="95"/>
  <c r="M140" i="95" s="1"/>
  <c r="L141" i="95"/>
  <c r="M141" i="95" s="1"/>
  <c r="L142" i="95"/>
  <c r="M142" i="95" s="1"/>
  <c r="L143" i="95"/>
  <c r="M143" i="95" s="1"/>
  <c r="L144" i="95"/>
  <c r="M144" i="95" s="1"/>
  <c r="L145" i="95"/>
  <c r="M145" i="95" s="1"/>
  <c r="L146" i="95"/>
  <c r="M146" i="95" s="1"/>
  <c r="L147" i="95"/>
  <c r="M147" i="95" s="1"/>
  <c r="L148" i="95"/>
  <c r="M148" i="95" s="1"/>
  <c r="L149" i="95"/>
  <c r="L150" i="95"/>
  <c r="M150" i="95" s="1"/>
  <c r="L151" i="95"/>
  <c r="L152" i="95"/>
  <c r="L153" i="95"/>
  <c r="L154" i="95"/>
  <c r="M154" i="95" s="1"/>
  <c r="L155" i="95"/>
  <c r="M155" i="95" s="1"/>
  <c r="L156" i="95"/>
  <c r="L157" i="95"/>
  <c r="L158" i="95"/>
  <c r="L159" i="95"/>
  <c r="L160" i="95"/>
  <c r="M160" i="95" s="1"/>
  <c r="L161" i="95"/>
  <c r="M161" i="95" s="1"/>
  <c r="L162" i="95"/>
  <c r="M162" i="95" s="1"/>
  <c r="L163" i="95"/>
  <c r="L164" i="95"/>
  <c r="L165" i="95"/>
  <c r="M165" i="95" s="1"/>
  <c r="L166" i="95"/>
  <c r="M166" i="95" s="1"/>
  <c r="L167" i="95"/>
  <c r="M167" i="95" s="1"/>
  <c r="L168" i="95"/>
  <c r="M168" i="95" s="1"/>
  <c r="L169" i="95"/>
  <c r="L170" i="95"/>
  <c r="L171" i="95"/>
  <c r="L172" i="95"/>
  <c r="M172" i="95" s="1"/>
  <c r="L173" i="95"/>
  <c r="M173" i="95" s="1"/>
  <c r="L174" i="95"/>
  <c r="M174" i="95" s="1"/>
  <c r="L175" i="95"/>
  <c r="M175" i="95" s="1"/>
  <c r="L176" i="95"/>
  <c r="M176" i="95" s="1"/>
  <c r="L177" i="95"/>
  <c r="M177" i="95" s="1"/>
  <c r="L178" i="95"/>
  <c r="M178" i="95" s="1"/>
  <c r="L179" i="95"/>
  <c r="L180" i="95"/>
  <c r="M180" i="95" s="1"/>
  <c r="L181" i="95"/>
  <c r="M181" i="95" s="1"/>
  <c r="L182" i="95"/>
  <c r="L183" i="95"/>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L196" i="95"/>
  <c r="L197" i="95"/>
  <c r="L198" i="95"/>
  <c r="M198" i="95" s="1"/>
  <c r="L199" i="95"/>
  <c r="M199" i="95" s="1"/>
  <c r="L200" i="95"/>
  <c r="M200" i="95" s="1"/>
  <c r="L201" i="95"/>
  <c r="L202" i="95"/>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L215" i="95"/>
  <c r="L216" i="95"/>
  <c r="L217" i="95"/>
  <c r="L218" i="95"/>
  <c r="M218" i="95" s="1"/>
  <c r="L219" i="95"/>
  <c r="M219" i="95" s="1"/>
  <c r="L220" i="95"/>
  <c r="L221" i="95"/>
  <c r="L222" i="95"/>
  <c r="M222" i="95" s="1"/>
  <c r="L223" i="95"/>
  <c r="M223" i="95" s="1"/>
  <c r="L224" i="95"/>
  <c r="M224" i="95" s="1"/>
  <c r="L225" i="95"/>
  <c r="M225" i="95" s="1"/>
  <c r="L226" i="95"/>
  <c r="M226" i="95" s="1"/>
  <c r="L227" i="95"/>
  <c r="L228" i="95"/>
  <c r="L229" i="95"/>
  <c r="M229" i="95" s="1"/>
  <c r="L230" i="95"/>
  <c r="M230" i="95" s="1"/>
  <c r="L231" i="95"/>
  <c r="M231" i="95" s="1"/>
  <c r="L232" i="95"/>
  <c r="M232" i="95" s="1"/>
  <c r="L233" i="95"/>
  <c r="L234" i="95"/>
  <c r="L235" i="95"/>
  <c r="L236" i="95"/>
  <c r="M236" i="95" s="1"/>
  <c r="L237" i="95"/>
  <c r="M237" i="95" s="1"/>
  <c r="L238" i="95"/>
  <c r="L239" i="95"/>
  <c r="M239" i="95" s="1"/>
  <c r="L240" i="95"/>
  <c r="M240" i="95" s="1"/>
  <c r="L241" i="95"/>
  <c r="M241" i="95" s="1"/>
  <c r="L242" i="95"/>
  <c r="M242" i="95" s="1"/>
  <c r="L243" i="95"/>
  <c r="L244" i="95"/>
  <c r="L245" i="95"/>
  <c r="L246" i="95"/>
  <c r="L247" i="95"/>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L278" i="95"/>
  <c r="L279" i="95"/>
  <c r="L280" i="95"/>
  <c r="L281" i="95"/>
  <c r="L282" i="95"/>
  <c r="M282" i="95" s="1"/>
  <c r="L283" i="95"/>
  <c r="M283" i="95" s="1"/>
  <c r="L284" i="95"/>
  <c r="L285" i="95"/>
  <c r="L286" i="95"/>
  <c r="L287" i="95"/>
  <c r="L288" i="95"/>
  <c r="M288" i="95" s="1"/>
  <c r="L289" i="95"/>
  <c r="M289" i="95" s="1"/>
  <c r="L290" i="95"/>
  <c r="M290" i="95" s="1"/>
  <c r="L291" i="95"/>
  <c r="L292" i="95"/>
  <c r="L293" i="95"/>
  <c r="M293" i="95" s="1"/>
  <c r="L294" i="95"/>
  <c r="M294" i="95" s="1"/>
  <c r="L295" i="95"/>
  <c r="M295" i="95" s="1"/>
  <c r="L296" i="95"/>
  <c r="M296" i="95" s="1"/>
  <c r="L297" i="95"/>
  <c r="L298" i="95"/>
  <c r="L299" i="95"/>
  <c r="L300" i="95"/>
  <c r="M300" i="95" s="1"/>
  <c r="L301" i="95"/>
  <c r="M301" i="95" s="1"/>
  <c r="L302" i="95"/>
  <c r="M302" i="95" s="1"/>
  <c r="L303" i="95"/>
  <c r="M303" i="95" s="1"/>
  <c r="L304" i="95"/>
  <c r="M304" i="95" s="1"/>
  <c r="L305" i="95"/>
  <c r="M305" i="95" s="1"/>
  <c r="L306" i="95"/>
  <c r="M306" i="95" s="1"/>
  <c r="L307" i="95"/>
  <c r="L308" i="95"/>
  <c r="M308" i="95" s="1"/>
  <c r="L309" i="95"/>
  <c r="M309" i="95" s="1"/>
  <c r="L310" i="95"/>
  <c r="L311" i="95"/>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M326" i="95" s="1"/>
  <c r="L327" i="95"/>
  <c r="M327" i="95" s="1"/>
  <c r="L328" i="95"/>
  <c r="M328" i="95" s="1"/>
  <c r="L329" i="95"/>
  <c r="L330" i="95"/>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L342" i="95"/>
  <c r="L343" i="95"/>
  <c r="L344" i="95"/>
  <c r="L345" i="95"/>
  <c r="L346" i="95"/>
  <c r="M346" i="95" s="1"/>
  <c r="L347" i="95"/>
  <c r="M347" i="95" s="1"/>
  <c r="L348" i="95"/>
  <c r="L349" i="95"/>
  <c r="L350" i="95"/>
  <c r="M350" i="95" s="1"/>
  <c r="L351" i="95"/>
  <c r="M351" i="95" s="1"/>
  <c r="L352" i="95"/>
  <c r="M352" i="95" s="1"/>
  <c r="L353" i="95"/>
  <c r="M353" i="95" s="1"/>
  <c r="L354" i="95"/>
  <c r="M354" i="95" s="1"/>
  <c r="L355" i="95"/>
  <c r="L356" i="95"/>
  <c r="L357" i="95"/>
  <c r="M357" i="95" s="1"/>
  <c r="L358" i="95"/>
  <c r="M358" i="95" s="1"/>
  <c r="L359" i="95"/>
  <c r="M359" i="95" s="1"/>
  <c r="L360" i="95"/>
  <c r="M360" i="95" s="1"/>
  <c r="L361" i="95"/>
  <c r="L362" i="95"/>
  <c r="L363" i="95"/>
  <c r="L364" i="95"/>
  <c r="M364" i="95" s="1"/>
  <c r="L365" i="95"/>
  <c r="M365" i="95" s="1"/>
  <c r="L366" i="95"/>
  <c r="L367" i="95"/>
  <c r="M367" i="95" s="1"/>
  <c r="L368" i="95"/>
  <c r="L369" i="95"/>
  <c r="L370" i="95"/>
  <c r="L371" i="95"/>
  <c r="L372" i="95"/>
  <c r="L373" i="95"/>
  <c r="L374" i="95"/>
  <c r="L375" i="95"/>
  <c r="L376" i="95"/>
  <c r="L377" i="95"/>
  <c r="L378" i="95"/>
  <c r="M378" i="95" s="1"/>
  <c r="L379" i="95"/>
  <c r="M379" i="95" s="1"/>
  <c r="L380" i="95"/>
  <c r="L381" i="95"/>
  <c r="M381" i="95" s="1"/>
  <c r="L382" i="95"/>
  <c r="M382" i="95" s="1"/>
  <c r="L383" i="95"/>
  <c r="M383" i="95" s="1"/>
  <c r="L384" i="95"/>
  <c r="M384" i="95" s="1"/>
  <c r="L385" i="95"/>
  <c r="M385" i="95" s="1"/>
  <c r="L386" i="95"/>
  <c r="M386" i="95" s="1"/>
  <c r="L387" i="95"/>
  <c r="L388" i="95"/>
  <c r="L389" i="95"/>
  <c r="M389" i="95" s="1"/>
  <c r="L390" i="95"/>
  <c r="M390" i="95" s="1"/>
  <c r="L391" i="95"/>
  <c r="M391" i="95" s="1"/>
  <c r="L392" i="95"/>
  <c r="M392" i="95" s="1"/>
  <c r="L393" i="95"/>
  <c r="L394" i="95"/>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L406" i="95"/>
  <c r="L407" i="95"/>
  <c r="L408" i="95"/>
  <c r="L409" i="95"/>
  <c r="L410" i="95"/>
  <c r="M410" i="95" s="1"/>
  <c r="L411" i="95"/>
  <c r="M411" i="95" s="1"/>
  <c r="L412" i="95"/>
  <c r="L413" i="95"/>
  <c r="L414" i="95"/>
  <c r="M414" i="95" s="1"/>
  <c r="L415" i="95"/>
  <c r="M415" i="95" s="1"/>
  <c r="L416" i="95"/>
  <c r="M416" i="95" s="1"/>
  <c r="L417" i="95"/>
  <c r="M417" i="95" s="1"/>
  <c r="L418" i="95"/>
  <c r="M418" i="95" s="1"/>
  <c r="L419" i="95"/>
  <c r="M3" i="95"/>
  <c r="M4" i="95"/>
  <c r="M21" i="95"/>
  <c r="M23" i="95"/>
  <c r="M24" i="95"/>
  <c r="M25" i="95"/>
  <c r="M35" i="95"/>
  <c r="M36" i="95"/>
  <c r="M37" i="95"/>
  <c r="M41" i="95"/>
  <c r="M42" i="95"/>
  <c r="M43" i="95"/>
  <c r="M46" i="95"/>
  <c r="M55" i="95"/>
  <c r="M56" i="95"/>
  <c r="M57" i="95"/>
  <c r="M60" i="95"/>
  <c r="M61" i="95"/>
  <c r="M62" i="95"/>
  <c r="M63" i="95"/>
  <c r="M64" i="95"/>
  <c r="M67" i="95"/>
  <c r="M68" i="95"/>
  <c r="M85" i="95"/>
  <c r="M87" i="95"/>
  <c r="M88" i="95"/>
  <c r="M89" i="95"/>
  <c r="M99" i="95"/>
  <c r="M100" i="95"/>
  <c r="M101" i="95"/>
  <c r="M105" i="95"/>
  <c r="M106" i="95"/>
  <c r="M107" i="95"/>
  <c r="M110" i="95"/>
  <c r="M112" i="95"/>
  <c r="M113" i="95"/>
  <c r="M115" i="95"/>
  <c r="M117" i="95"/>
  <c r="M119" i="95"/>
  <c r="M120" i="95"/>
  <c r="M121" i="95"/>
  <c r="M124" i="95"/>
  <c r="M131" i="95"/>
  <c r="M132" i="95"/>
  <c r="M138" i="95"/>
  <c r="M139" i="95"/>
  <c r="M149" i="95"/>
  <c r="M151" i="95"/>
  <c r="M152" i="95"/>
  <c r="M153" i="95"/>
  <c r="M156" i="95"/>
  <c r="M157" i="95"/>
  <c r="M158" i="95"/>
  <c r="M159" i="95"/>
  <c r="M163" i="95"/>
  <c r="M164" i="95"/>
  <c r="M169" i="95"/>
  <c r="M170" i="95"/>
  <c r="M171" i="95"/>
  <c r="M179" i="95"/>
  <c r="M182" i="95"/>
  <c r="M183" i="95"/>
  <c r="M195" i="95"/>
  <c r="M196" i="95"/>
  <c r="M197" i="95"/>
  <c r="M201" i="95"/>
  <c r="M202" i="95"/>
  <c r="M213" i="95"/>
  <c r="M214" i="95"/>
  <c r="M215" i="95"/>
  <c r="M216" i="95"/>
  <c r="M217" i="95"/>
  <c r="M220" i="95"/>
  <c r="M221" i="95"/>
  <c r="M227" i="95"/>
  <c r="M228" i="95"/>
  <c r="M233" i="95"/>
  <c r="M234" i="95"/>
  <c r="M235" i="95"/>
  <c r="M238" i="95"/>
  <c r="M243" i="95"/>
  <c r="M244" i="95"/>
  <c r="M245" i="95"/>
  <c r="M246" i="95"/>
  <c r="M247" i="95"/>
  <c r="M259" i="95"/>
  <c r="M260" i="95"/>
  <c r="M261" i="95"/>
  <c r="M277" i="95"/>
  <c r="M278" i="95"/>
  <c r="M279" i="95"/>
  <c r="M280" i="95"/>
  <c r="M281" i="95"/>
  <c r="M284" i="95"/>
  <c r="M285" i="95"/>
  <c r="M286" i="95"/>
  <c r="M287" i="95"/>
  <c r="M291" i="95"/>
  <c r="M292" i="95"/>
  <c r="M297" i="95"/>
  <c r="M298" i="95"/>
  <c r="M299" i="95"/>
  <c r="M307" i="95"/>
  <c r="M310" i="95"/>
  <c r="M311" i="95"/>
  <c r="M323" i="95"/>
  <c r="M324" i="95"/>
  <c r="M325" i="95"/>
  <c r="M329" i="95"/>
  <c r="M330" i="95"/>
  <c r="M341" i="95"/>
  <c r="M342" i="95"/>
  <c r="M343" i="95"/>
  <c r="M344" i="95"/>
  <c r="M345" i="95"/>
  <c r="M348" i="95"/>
  <c r="M349" i="95"/>
  <c r="M355" i="95"/>
  <c r="M356" i="95"/>
  <c r="M361" i="95"/>
  <c r="M362" i="95"/>
  <c r="M363" i="95"/>
  <c r="M366" i="95"/>
  <c r="M368" i="95"/>
  <c r="M369" i="95"/>
  <c r="M370" i="95"/>
  <c r="M371" i="95"/>
  <c r="M372" i="95"/>
  <c r="M373" i="95"/>
  <c r="M374" i="95"/>
  <c r="M375" i="95"/>
  <c r="M376" i="95"/>
  <c r="M377" i="95"/>
  <c r="M380" i="95"/>
  <c r="M387" i="95"/>
  <c r="M388" i="95"/>
  <c r="M393" i="95"/>
  <c r="M394" i="95"/>
  <c r="M405" i="95"/>
  <c r="M406" i="95"/>
  <c r="M407" i="95"/>
  <c r="M408" i="95"/>
  <c r="M409" i="95"/>
  <c r="M412" i="95"/>
  <c r="M413" i="95"/>
  <c r="M419" i="95"/>
  <c r="M22" i="4" a="1"/>
  <c r="M22" i="4" s="1"/>
  <c r="J22" i="4" a="1"/>
  <c r="J22" i="4" s="1"/>
  <c r="G22" i="4" a="1"/>
  <c r="G22" i="4" s="1"/>
  <c r="D22" i="4" a="1"/>
  <c r="D22" i="4" s="1"/>
  <c r="M10" i="4" a="1"/>
  <c r="M10" i="4" s="1"/>
  <c r="J10" i="4" a="1"/>
  <c r="J10" i="4" s="1"/>
  <c r="G31" i="4"/>
  <c r="E19" i="4" a="1"/>
  <c r="E19" i="4" s="1"/>
  <c r="A38" i="8"/>
  <c r="O3" i="90"/>
  <c r="L3" i="90" s="1"/>
  <c r="O2" i="90"/>
  <c r="L2" i="90" s="1"/>
  <c r="A37" i="8"/>
  <c r="A39" i="8"/>
  <c r="A40" i="8"/>
  <c r="A41" i="8"/>
  <c r="A42" i="8"/>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K319" i="95" l="1"/>
  <c r="K318" i="95"/>
  <c r="K222" i="95"/>
  <c r="K211" i="95"/>
  <c r="P3" i="90"/>
  <c r="P2" i="90"/>
  <c r="V21" i="8"/>
  <c r="J19" i="8" s="1"/>
  <c r="M69" i="26"/>
  <c r="K69" i="26"/>
  <c r="I69" i="26"/>
  <c r="F69" i="26"/>
  <c r="U69" i="26" s="1"/>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I8" i="90"/>
  <c r="I5" i="90" a="1"/>
  <c r="I5" i="90" s="1"/>
  <c r="G19" i="4"/>
  <c r="J19" i="4"/>
  <c r="M19" i="4"/>
  <c r="D31" i="4"/>
  <c r="A43" i="8"/>
  <c r="J31" i="4" s="1"/>
  <c r="A44" i="8"/>
  <c r="M31" i="4" s="1"/>
  <c r="B11" i="26" a="1"/>
  <c r="B10" i="26" a="1"/>
  <c r="O2" i="95" l="1"/>
  <c r="AM2" i="77" a="1"/>
  <c r="E2" i="96" a="1"/>
  <c r="B10" i="26"/>
  <c r="B11" i="26"/>
  <c r="Q2" i="29"/>
  <c r="D5" i="8" s="1"/>
  <c r="G74" i="8" l="1"/>
  <c r="G75" i="8" s="1"/>
  <c r="D20" i="8" s="1"/>
  <c r="X2" i="95"/>
  <c r="F60" i="8" s="1"/>
  <c r="S6" i="95"/>
  <c r="M6" i="15" s="1"/>
  <c r="AM2" i="77"/>
  <c r="L9" i="26"/>
  <c r="B54" i="26"/>
  <c r="E2" i="96"/>
  <c r="D19" i="8"/>
  <c r="H15" i="26"/>
  <c r="H14" i="26"/>
  <c r="D36" i="8"/>
  <c r="I2" i="90"/>
  <c r="E36" i="8" l="1"/>
  <c r="F36" i="8" s="1"/>
  <c r="G36" i="8" s="1"/>
  <c r="E6" i="4"/>
  <c r="P6" i="95"/>
  <c r="P7" i="95"/>
  <c r="Q7" i="95"/>
  <c r="D30" i="26"/>
  <c r="L60" i="8"/>
  <c r="K61" i="8"/>
  <c r="Q6" i="95"/>
  <c r="M6" i="14"/>
  <c r="M6" i="13"/>
  <c r="E1" i="13"/>
  <c r="E1" i="15"/>
  <c r="C2" i="14"/>
  <c r="E2" i="15"/>
  <c r="C2" i="15"/>
  <c r="E2" i="13"/>
  <c r="E2" i="14"/>
  <c r="C2" i="13"/>
  <c r="I3" i="90"/>
  <c r="M26" i="26" s="1"/>
  <c r="I4" i="90" a="1"/>
  <c r="I4" i="90" s="1"/>
  <c r="I6" i="90" s="1"/>
  <c r="N43" i="90" a="1"/>
  <c r="N43" i="90" s="1"/>
  <c r="N42" i="90" a="1"/>
  <c r="N42" i="90" s="1"/>
  <c r="N41" i="90" a="1"/>
  <c r="N41" i="90" s="1"/>
  <c r="N40" i="90" a="1"/>
  <c r="N40" i="90" s="1"/>
  <c r="N39" i="90" a="1"/>
  <c r="N39" i="90" s="1"/>
  <c r="N38" i="90" a="1"/>
  <c r="N38" i="90" s="1"/>
  <c r="N37" i="90" a="1"/>
  <c r="N37" i="90" s="1"/>
  <c r="N36" i="90" a="1"/>
  <c r="N36" i="90" s="1"/>
  <c r="N35" i="90" a="1"/>
  <c r="N35" i="90" s="1"/>
  <c r="N34" i="90" a="1"/>
  <c r="N34" i="90" s="1"/>
  <c r="N33" i="90" a="1"/>
  <c r="N33" i="90" s="1"/>
  <c r="N32" i="90" a="1"/>
  <c r="N32" i="90" s="1"/>
  <c r="N31" i="90" a="1"/>
  <c r="N31" i="90" s="1"/>
  <c r="N30" i="90" a="1"/>
  <c r="N30" i="90" s="1"/>
  <c r="N29" i="90" a="1"/>
  <c r="N29" i="90" s="1"/>
  <c r="N28" i="90" a="1"/>
  <c r="N28" i="90" s="1"/>
  <c r="N27" i="90" a="1"/>
  <c r="N27" i="90" s="1"/>
  <c r="N26" i="90" a="1"/>
  <c r="N26" i="90" s="1"/>
  <c r="N25" i="90" a="1"/>
  <c r="N25" i="90" s="1"/>
  <c r="N24" i="90" a="1"/>
  <c r="N24" i="90" s="1"/>
  <c r="N23" i="90" a="1"/>
  <c r="N23" i="90" s="1"/>
  <c r="N22" i="90" a="1"/>
  <c r="N22" i="90" s="1"/>
  <c r="N21" i="90" a="1"/>
  <c r="N21" i="90" s="1"/>
  <c r="N20" i="90" a="1"/>
  <c r="N20" i="90" s="1"/>
  <c r="N19" i="90" a="1"/>
  <c r="N19" i="90" s="1"/>
  <c r="N18" i="90" a="1"/>
  <c r="N18" i="90" s="1"/>
  <c r="G14" i="8"/>
  <c r="G13" i="8"/>
  <c r="G12" i="8"/>
  <c r="B33" i="26"/>
  <c r="N5" i="90" l="1" a="1"/>
  <c r="N5" i="90" s="1"/>
  <c r="N6" i="90" a="1"/>
  <c r="N6" i="90" s="1"/>
  <c r="N9" i="90" a="1"/>
  <c r="N9" i="90" s="1"/>
  <c r="N10" i="90" a="1"/>
  <c r="N10" i="90" s="1"/>
  <c r="N4" i="90" a="1"/>
  <c r="N4" i="90" s="1"/>
  <c r="N7" i="90" a="1"/>
  <c r="N7" i="90" s="1"/>
  <c r="N8" i="90" a="1"/>
  <c r="N8" i="90" s="1"/>
  <c r="N12" i="90" a="1"/>
  <c r="N12" i="90" s="1"/>
  <c r="N13" i="90" a="1"/>
  <c r="N13" i="90" s="1"/>
  <c r="N11" i="90" a="1"/>
  <c r="N11" i="90" s="1"/>
  <c r="N17" i="90" a="1"/>
  <c r="N17" i="90" s="1"/>
  <c r="C1" i="13"/>
  <c r="C1" i="14"/>
  <c r="E1" i="14"/>
  <c r="C1" i="15"/>
  <c r="I7" i="90"/>
  <c r="I9" i="90" s="1"/>
  <c r="N26" i="26" s="1"/>
  <c r="M3" i="90"/>
  <c r="M2" i="90"/>
  <c r="N16" i="90" l="1" a="1"/>
  <c r="N16" i="90" s="1"/>
  <c r="N15" i="90" a="1"/>
  <c r="N15" i="90" s="1"/>
  <c r="N14" i="90" a="1"/>
  <c r="N14" i="90" s="1"/>
  <c r="N24" i="26"/>
  <c r="C25" i="5"/>
  <c r="L4" i="8"/>
  <c r="L5" i="8"/>
  <c r="S29" i="8" a="1"/>
  <c r="S29" i="8" l="1"/>
  <c r="L6" i="8"/>
  <c r="S39" i="8" a="1"/>
  <c r="S26" i="8" a="1"/>
  <c r="S20" i="8" a="1"/>
  <c r="S6" i="8" a="1"/>
  <c r="S27" i="8" a="1"/>
  <c r="R39" i="8" a="1"/>
  <c r="R42" i="8" a="1"/>
  <c r="S5" i="8" a="1"/>
  <c r="S28" i="8" a="1"/>
  <c r="S33" i="8" a="1"/>
  <c r="R31" i="8" a="1"/>
  <c r="S14" i="8" a="1"/>
  <c r="R10" i="8" a="1"/>
  <c r="R35" i="8" a="1"/>
  <c r="S40" i="8" a="1"/>
  <c r="S38" i="8" a="1"/>
  <c r="R26" i="8" a="1"/>
  <c r="R22" i="8" a="1"/>
  <c r="R17" i="8" a="1"/>
  <c r="R30" i="8" a="1"/>
  <c r="S44" i="8" a="1"/>
  <c r="S36" i="8" a="1"/>
  <c r="R27" i="8" a="1"/>
  <c r="S30" i="8" a="1"/>
  <c r="R25" i="8" a="1"/>
  <c r="S10" i="8" a="1"/>
  <c r="S11" i="8" a="1"/>
  <c r="S13" i="8" a="1"/>
  <c r="R40" i="8" a="1"/>
  <c r="R29" i="8" a="1"/>
  <c r="S23" i="8" a="1"/>
  <c r="S31" i="8" a="1"/>
  <c r="R19" i="8" a="1"/>
  <c r="R23" i="8" a="1"/>
  <c r="R16" i="8" a="1"/>
  <c r="R11" i="8" a="1"/>
  <c r="S17" i="8" a="1"/>
  <c r="R34" i="8" a="1"/>
  <c r="R7" i="8" a="1"/>
  <c r="S15" i="8" a="1"/>
  <c r="R36" i="8" a="1"/>
  <c r="R13" i="8" a="1"/>
  <c r="R8" i="8" a="1"/>
  <c r="R5" i="8" a="1"/>
  <c r="S37" i="8" a="1"/>
  <c r="R20" i="8" a="1"/>
  <c r="S19" i="8" a="1"/>
  <c r="R28" i="8" a="1"/>
  <c r="R44" i="8" a="1"/>
  <c r="R41" i="8" a="1"/>
  <c r="R15" i="8" a="1"/>
  <c r="S41" i="8" a="1"/>
  <c r="R38" i="8" a="1"/>
  <c r="S34" i="8" a="1"/>
  <c r="S12" i="8" a="1"/>
  <c r="R33" i="8" a="1"/>
  <c r="R21" i="8" a="1"/>
  <c r="S9" i="8" a="1"/>
  <c r="R9" i="8" a="1"/>
  <c r="S21" i="8" a="1"/>
  <c r="S25" i="8" a="1"/>
  <c r="S7" i="8" a="1"/>
  <c r="R18" i="8" a="1"/>
  <c r="R6" i="8" a="1"/>
  <c r="R37" i="8" a="1"/>
  <c r="R32" i="8" a="1"/>
  <c r="S8" i="8" a="1"/>
  <c r="S18" i="8" a="1"/>
  <c r="R24" i="8" a="1"/>
  <c r="S43" i="8" a="1"/>
  <c r="S32" i="8" a="1"/>
  <c r="S22" i="8" a="1"/>
  <c r="S16" i="8" a="1"/>
  <c r="S35" i="8" a="1"/>
  <c r="R14" i="8" a="1"/>
  <c r="R12" i="8" a="1"/>
  <c r="S42" i="8" a="1"/>
  <c r="R43" i="8" a="1"/>
  <c r="S2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A10" i="4" l="1"/>
  <c r="A22" i="4" a="1"/>
  <c r="G1" i="8"/>
  <c r="E6" i="26" s="1"/>
  <c r="A22" i="4" l="1"/>
  <c r="K10" i="4"/>
  <c r="K19" i="4" s="1"/>
  <c r="K15" i="4"/>
  <c r="K14" i="4"/>
  <c r="K11" i="4"/>
  <c r="K13" i="4"/>
  <c r="K17" i="4"/>
  <c r="K12" i="4"/>
  <c r="K18" i="4"/>
  <c r="K16" i="4"/>
  <c r="E18" i="4"/>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E22" i="4" l="1"/>
  <c r="E27" i="4"/>
  <c r="E30" i="4"/>
  <c r="E23" i="4"/>
  <c r="E24" i="4"/>
  <c r="E26" i="4"/>
  <c r="E25" i="4"/>
  <c r="E28" i="4"/>
  <c r="E29" i="4"/>
  <c r="K22" i="4"/>
  <c r="K24" i="4"/>
  <c r="K25" i="4"/>
  <c r="K26" i="4"/>
  <c r="K27" i="4"/>
  <c r="K28" i="4"/>
  <c r="K29" i="4"/>
  <c r="K23" i="4"/>
  <c r="K30" i="4"/>
  <c r="N22" i="4"/>
  <c r="N25" i="4"/>
  <c r="N26" i="4"/>
  <c r="N23" i="4"/>
  <c r="N28" i="4"/>
  <c r="N29" i="4"/>
  <c r="N27" i="4"/>
  <c r="N30" i="4"/>
  <c r="N24" i="4"/>
  <c r="H22" i="4"/>
  <c r="H30" i="4"/>
  <c r="H25" i="4"/>
  <c r="H28" i="4"/>
  <c r="H23" i="4"/>
  <c r="H26" i="4"/>
  <c r="H29" i="4"/>
  <c r="H27" i="4"/>
  <c r="H24"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E11" i="4" l="1"/>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<sst xmlns="http://schemas.openxmlformats.org/spreadsheetml/2006/main" count="1938" uniqueCount="971">
  <si>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</si>
  <si>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</si>
  <si>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</si>
  <si>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</si>
  <si>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</si>
  <si>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</si>
  <si>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</si>
  <si>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</si>
  <si>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</si>
  <si>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</si>
  <si>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</si>
  <si>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</si>
  <si>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</si>
  <si>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</si>
  <si>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</si>
  <si>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</si>
  <si>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</si>
  <si>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</si>
  <si>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</si>
  <si>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</si>
  <si>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</si>
  <si>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</si>
  <si>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</si>
  <si>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</si>
  <si>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</si>
  <si>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</si>
  <si>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</si>
  <si>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</si>
  <si>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</si>
  <si>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</si>
  <si>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</si>
  <si>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</si>
  <si>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</si>
  <si>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</si>
  <si>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</si>
  <si>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</si>
  <si>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</si>
  <si>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</si>
  <si>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</si>
  <si>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</si>
  <si>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</si>
  <si>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</si>
  <si>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</si>
  <si>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</si>
  <si>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</si>
  <si>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</si>
  <si>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</si>
  <si>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</si>
  <si>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</si>
  <si>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</si>
  <si>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</si>
  <si>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</si>
  <si>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</si>
  <si>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</si>
  <si>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</si>
  <si>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</si>
  <si>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</si>
  <si>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</si>
  <si>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</si>
  <si>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</si>
  <si>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</si>
  <si>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</si>
  <si>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</si>
  <si>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</si>
  <si>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</si>
  <si>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</si>
  <si>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</si>
  <si>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</si>
  <si>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</si>
  <si>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</si>
  <si>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</si>
  <si>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</si>
  <si>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</si>
  <si>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</si>
  <si>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</si>
  <si>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</si>
  <si>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</si>
  <si>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</si>
  <si>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</si>
  <si>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</si>
  <si>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</si>
  <si>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</si>
  <si>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</si>
  <si>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</si>
  <si>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</si>
  <si>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</si>
  <si>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</si>
  <si>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</si>
  <si>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</si>
  <si>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</si>
  <si>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</si>
  <si>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</si>
  <si>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</si>
  <si>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</si>
  <si>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</si>
  <si>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</si>
  <si>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</si>
  <si>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</si>
  <si>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</si>
  <si>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</si>
  <si>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</si>
  <si>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</si>
  <si>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</si>
  <si>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</si>
  <si>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</si>
  <si>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</si>
  <si>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</si>
  <si>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</si>
  <si>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</si>
  <si>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</si>
  <si>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</si>
  <si>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</si>
  <si>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</si>
  <si>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</si>
  <si>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</si>
  <si>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</si>
  <si>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</si>
  <si>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</si>
  <si>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</si>
  <si>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</si>
  <si>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</si>
  <si>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</si>
  <si>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</si>
  <si>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</si>
  <si>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</si>
  <si>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</si>
  <si>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</si>
  <si>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</si>
  <si>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</si>
  <si>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</si>
  <si>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</si>
  <si>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</si>
  <si>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</si>
  <si>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</si>
  <si>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</si>
  <si>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</si>
  <si>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</si>
  <si>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</si>
  <si>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</si>
  <si>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</si>
  <si>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</si>
  <si>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</si>
  <si>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</si>
  <si>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</si>
  <si>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</si>
  <si>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</si>
  <si>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</si>
  <si>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</si>
  <si>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</si>
  <si>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</si>
  <si>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</si>
  <si>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</si>
  <si>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</si>
  <si>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</si>
  <si>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</si>
  <si>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</si>
  <si>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</si>
  <si>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</si>
  <si>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</si>
  <si>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</si>
  <si>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</si>
  <si>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</si>
  <si>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</si>
  <si>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</si>
  <si>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</si>
  <si>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</si>
  <si>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</si>
  <si>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</si>
  <si>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</si>
  <si>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</si>
  <si>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</si>
  <si>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</si>
  <si>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</si>
  <si>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</si>
  <si>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</si>
  <si>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</si>
  <si>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</si>
  <si>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</si>
  <si>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</si>
  <si>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</si>
  <si>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</si>
  <si>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</si>
  <si>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</si>
  <si>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</si>
  <si>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</si>
  <si>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</si>
  <si>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</si>
  <si>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</si>
  <si>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</si>
  <si>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</si>
  <si>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</si>
  <si>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</si>
  <si>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</si>
  <si>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</si>
  <si>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</si>
  <si>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</si>
  <si>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</si>
  <si>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</si>
  <si>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</si>
  <si>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</si>
  <si>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</si>
  <si>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</si>
  <si>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</si>
  <si>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</si>
  <si>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</si>
  <si>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</si>
  <si>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</si>
  <si>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</si>
  <si>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</si>
  <si>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</si>
  <si>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</si>
  <si>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</si>
  <si>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</si>
  <si>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</si>
  <si>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</si>
  <si>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</si>
  <si>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</si>
  <si>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</si>
  <si>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</si>
  <si>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</si>
  <si>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</si>
  <si>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</si>
  <si>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</si>
  <si>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</si>
  <si>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</si>
  <si>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</si>
  <si>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</si>
  <si>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</si>
  <si>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</si>
  <si>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</si>
  <si>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</si>
  <si>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</si>
  <si>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</si>
  <si>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</si>
  <si>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</si>
  <si>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</si>
  <si>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</si>
  <si>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</si>
  <si>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</si>
  <si>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</si>
  <si>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</si>
  <si>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</si>
  <si>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</si>
  <si>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</si>
  <si>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</si>
  <si>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</si>
  <si>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</si>
  <si>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</si>
  <si>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</si>
  <si>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</si>
  <si>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</si>
  <si>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</si>
  <si>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</si>
  <si>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</si>
  <si>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</si>
  <si>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</si>
  <si>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</si>
  <si>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</si>
  <si>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</si>
  <si>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</si>
  <si>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</si>
  <si>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</si>
  <si>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</si>
  <si>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</si>
  <si>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</si>
  <si>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</si>
  <si>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</si>
  <si>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</si>
  <si>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</si>
  <si>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</si>
  <si>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</si>
  <si>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</si>
  <si>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</si>
  <si>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</si>
  <si>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</si>
  <si>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</si>
  <si>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</si>
  <si>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</si>
  <si>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</si>
  <si>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</si>
  <si>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</si>
  <si>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</si>
  <si>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</si>
  <si>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</si>
  <si>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</si>
  <si>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</si>
  <si>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</si>
  <si>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</si>
  <si>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</si>
  <si>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</si>
  <si>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</si>
  <si>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</si>
  <si>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</si>
  <si>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</si>
  <si>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</si>
  <si>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</si>
  <si>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</si>
  <si>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</si>
  <si>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</si>
  <si>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</si>
  <si>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</si>
  <si>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</si>
  <si>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</si>
  <si>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</si>
  <si>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</si>
  <si>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</si>
  <si>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</si>
  <si>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</si>
  <si>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</si>
  <si>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</si>
  <si>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</si>
  <si>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</si>
  <si>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</si>
  <si>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</si>
  <si>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</si>
  <si>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</si>
  <si>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</si>
  <si>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</si>
  <si>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</si>
  <si>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</si>
  <si>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</si>
  <si>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</si>
  <si>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</si>
  <si>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</si>
  <si>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</si>
  <si>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</si>
  <si>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</si>
  <si>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</si>
  <si>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</si>
  <si>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</si>
  <si>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</si>
  <si>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</si>
  <si>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</si>
  <si>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</si>
  <si>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</si>
  <si>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</si>
  <si>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</si>
  <si>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</si>
  <si>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</si>
  <si>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</si>
  <si>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</si>
  <si>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</si>
  <si>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</si>
  <si>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</si>
  <si>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</si>
  <si>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</si>
  <si>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</si>
  <si>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</si>
  <si>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</si>
  <si>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</si>
  <si>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</si>
  <si>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</si>
  <si>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</si>
  <si>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</si>
  <si>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</si>
  <si>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</si>
  <si>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</si>
  <si>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</si>
  <si>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</si>
  <si>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</si>
  <si>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</si>
  <si>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</si>
  <si>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</si>
  <si>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</si>
  <si>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</si>
  <si>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</si>
  <si>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</si>
  <si>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</si>
  <si>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</si>
  <si>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</si>
  <si>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</si>
  <si>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</si>
  <si>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</si>
  <si>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</si>
  <si>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</si>
  <si>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</si>
  <si>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</si>
  <si>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</si>
  <si>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</si>
  <si>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</si>
  <si>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</si>
  <si>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</si>
  <si>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</si>
  <si>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</si>
  <si>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</si>
  <si>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</si>
  <si>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</si>
  <si>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</si>
  <si>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</si>
  <si>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</si>
  <si>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</si>
  <si>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</si>
  <si>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</si>
  <si>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</si>
  <si>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</si>
  <si>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</si>
  <si>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</si>
  <si>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</si>
  <si>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</si>
  <si>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</si>
  <si>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</si>
  <si>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</si>
  <si>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</si>
  <si>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</si>
  <si>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</si>
  <si>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</si>
  <si>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</si>
  <si>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</si>
  <si>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</si>
  <si>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</si>
  <si>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</si>
  <si>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</si>
  <si>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</si>
  <si>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</si>
  <si>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</si>
  <si>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</si>
  <si>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</si>
  <si>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</si>
  <si>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</si>
  <si>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</si>
  <si>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</si>
  <si>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</si>
  <si>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</si>
  <si>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</si>
  <si>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</si>
  <si>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</si>
  <si>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</si>
  <si>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</si>
  <si>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</si>
  <si>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</si>
  <si>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</si>
  <si>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</si>
  <si>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</si>
  <si>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</si>
  <si>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</si>
  <si>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</si>
  <si>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</si>
  <si>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</si>
  <si>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</si>
  <si>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</si>
  <si>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</si>
  <si>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</si>
  <si>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</si>
  <si>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</si>
  <si>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</si>
  <si>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</si>
  <si>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</si>
  <si>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</si>
  <si>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</si>
  <si>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</si>
  <si>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</si>
  <si>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</si>
  <si>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</si>
  <si>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</si>
  <si>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</si>
  <si>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</si>
  <si>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</si>
  <si>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</si>
  <si>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</si>
  <si>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</si>
  <si>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</si>
  <si>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</si>
  <si>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</si>
  <si>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</si>
  <si>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</si>
  <si>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</si>
  <si>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</si>
  <si>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</si>
  <si>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</si>
  <si>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</si>
  <si>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</si>
  <si>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</si>
  <si>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</si>
  <si>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</si>
  <si>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</si>
  <si>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</si>
  <si>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</si>
  <si>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</si>
  <si>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</si>
  <si>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</si>
  <si>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</si>
  <si>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</si>
  <si>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</si>
  <si>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</si>
  <si>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</si>
  <si>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</si>
  <si>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</si>
  <si>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</si>
  <si>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</si>
  <si>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</si>
  <si>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</si>
  <si>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</si>
  <si>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</si>
  <si>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</si>
  <si>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</si>
  <si>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</si>
  <si>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</si>
  <si>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</si>
  <si>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</si>
  <si>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</si>
  <si>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</si>
  <si>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</si>
  <si>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</si>
  <si>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</si>
  <si>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</si>
  <si>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</si>
  <si>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</si>
  <si>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</si>
  <si>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</si>
  <si>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</si>
  <si>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</si>
  <si>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</si>
  <si>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</si>
  <si>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</si>
  <si>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</si>
  <si>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</si>
  <si>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</si>
  <si>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</si>
  <si>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</si>
  <si>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</si>
  <si>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</si>
  <si>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</si>
  <si>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</si>
  <si>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</si>
  <si>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</si>
  <si>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</si>
  <si>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</si>
  <si>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</si>
  <si>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</si>
  <si>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</si>
  <si>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</si>
  <si>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</si>
  <si>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</si>
  <si>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</si>
  <si>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</si>
  <si>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</si>
  <si>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</si>
  <si>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</si>
  <si>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</si>
  <si>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</si>
  <si>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</si>
  <si>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</si>
  <si>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</si>
  <si>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</si>
  <si>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</si>
  <si>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</si>
  <si>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</si>
  <si>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</si>
  <si>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</si>
  <si>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</si>
  <si>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</si>
  <si>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</si>
  <si>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</si>
  <si>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</si>
  <si>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</si>
  <si>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</si>
  <si>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</si>
  <si>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</si>
  <si>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</si>
  <si>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</si>
  <si>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</si>
  <si>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</si>
  <si>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</si>
  <si>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</si>
  <si>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</si>
  <si>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</si>
  <si>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</si>
  <si>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</si>
  <si>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</si>
  <si>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</si>
  <si>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</si>
  <si>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</si>
  <si>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</si>
  <si>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</si>
  <si>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</si>
  <si>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</si>
  <si>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</si>
  <si>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</si>
  <si>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</si>
  <si>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</si>
  <si>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</si>
  <si>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</si>
  <si>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</si>
  <si>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</si>
  <si>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</si>
  <si>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</si>
  <si>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</si>
  <si>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</si>
  <si>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</si>
  <si>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</si>
  <si>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</si>
  <si>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</si>
  <si>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</si>
  <si>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</si>
  <si>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</si>
  <si>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</si>
  <si>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</si>
  <si>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</si>
  <si>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</si>
  <si>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</si>
  <si>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</si>
  <si>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</si>
  <si>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</si>
  <si>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</si>
  <si>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</si>
  <si>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</si>
  <si>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</si>
  <si>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</si>
  <si>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</si>
  <si>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</si>
  <si>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</si>
  <si>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</si>
  <si>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</si>
  <si>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</si>
  <si>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</si>
  <si>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</si>
  <si>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</si>
  <si>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</si>
  <si>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</si>
  <si>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</si>
  <si>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</si>
  <si>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</si>
  <si>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</si>
  <si>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</si>
  <si>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</si>
  <si>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</si>
  <si>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</si>
  <si>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</si>
  <si>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</si>
  <si>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</si>
  <si>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</si>
  <si>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</si>
  <si>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</si>
  <si>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</si>
  <si>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</si>
  <si>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</si>
  <si>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</si>
  <si>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</si>
  <si>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</si>
  <si>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</si>
  <si>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</si>
  <si>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</si>
  <si>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</si>
  <si>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</si>
  <si>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</si>
  <si>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</si>
  <si>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</si>
  <si>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</si>
  <si>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</si>
  <si>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</si>
  <si>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</si>
  <si>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</si>
  <si>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</si>
  <si>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</si>
  <si>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</si>
  <si>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</si>
  <si>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</si>
  <si>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</si>
  <si>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</si>
  <si>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</si>
  <si>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</si>
  <si>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</si>
  <si>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</si>
  <si>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</si>
  <si>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</si>
  <si>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</si>
  <si>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</si>
  <si>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</si>
  <si>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</si>
  <si>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</si>
  <si>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</si>
  <si>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</si>
  <si>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</si>
  <si>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</si>
  <si>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</si>
  <si>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</si>
  <si>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</si>
  <si>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</si>
  <si>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</si>
  <si>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</si>
  <si>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</si>
  <si>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</si>
  <si>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</si>
  <si>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</si>
  <si>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</si>
  <si>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</si>
  <si>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</si>
  <si>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</si>
  <si>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</si>
  <si>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</si>
  <si>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</si>
  <si>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</si>
  <si>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</si>
  <si>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</si>
  <si>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</si>
  <si>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</si>
  <si>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</si>
  <si>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</si>
  <si>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</si>
  <si>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</si>
  <si>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</si>
  <si>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</si>
  <si>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</si>
  <si>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</si>
  <si>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</si>
  <si>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</si>
  <si>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</si>
  <si>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</si>
  <si>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</si>
  <si>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</si>
  <si>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</si>
  <si>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</si>
  <si>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</si>
  <si>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</si>
  <si>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</si>
  <si>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</si>
  <si>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</si>
  <si>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</si>
  <si>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</si>
  <si>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</si>
  <si>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</si>
  <si>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</si>
  <si>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</si>
  <si>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</si>
  <si>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</si>
  <si>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</si>
  <si>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</si>
  <si>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</si>
  <si>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</si>
  <si>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</si>
  <si>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</si>
  <si>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</si>
  <si>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</si>
  <si>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</si>
  <si>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</si>
  <si>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</si>
  <si>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</si>
  <si>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</si>
  <si>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</si>
  <si>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</si>
  <si>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</si>
  <si>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</si>
  <si>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</si>
  <si>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</si>
  <si>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</si>
  <si>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</si>
  <si>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</si>
  <si>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</si>
  <si>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</si>
  <si>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</si>
  <si>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</si>
  <si>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</si>
  <si>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</si>
  <si>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</si>
  <si>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</si>
  <si>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</si>
  <si>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</si>
  <si>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</si>
  <si>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</si>
  <si>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</si>
  <si>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</si>
  <si>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</si>
  <si>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</si>
  <si>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</si>
  <si>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</si>
  <si>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</si>
  <si>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</si>
  <si>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</si>
  <si>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</si>
  <si>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</si>
  <si>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</si>
  <si>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</si>
  <si>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</si>
  <si>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</si>
  <si>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</si>
  <si>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</si>
  <si>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</si>
  <si>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</si>
  <si>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</si>
  <si>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</si>
  <si>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</si>
  <si>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</si>
  <si>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</si>
  <si>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</si>
  <si>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</si>
  <si>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</si>
  <si>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</si>
  <si>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</si>
  <si>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</si>
  <si>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</si>
  <si>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</si>
  <si>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</si>
  <si>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</si>
  <si>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</si>
  <si>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</si>
  <si>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</si>
  <si>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</si>
  <si>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</si>
  <si>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</si>
  <si>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</si>
  <si>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</si>
  <si>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</si>
  <si>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</si>
  <si>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</si>
  <si>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</si>
  <si>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</si>
  <si>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</si>
  <si>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</si>
  <si>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</si>
  <si>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</si>
  <si>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</si>
  <si>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</si>
  <si>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</si>
  <si>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</si>
  <si>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</si>
  <si>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</si>
  <si>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</si>
  <si>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</si>
  <si>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</si>
  <si>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</si>
  <si>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</si>
  <si>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</si>
  <si>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</si>
  <si>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</si>
  <si>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</si>
  <si>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</si>
  <si>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</si>
  <si>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</si>
  <si>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</si>
  <si>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</si>
  <si>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</si>
  <si>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</si>
  <si>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</si>
  <si>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</si>
  <si>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</si>
  <si>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</si>
  <si>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</si>
  <si>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</si>
  <si>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</si>
  <si>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</si>
  <si>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</si>
  <si>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</si>
  <si>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</si>
  <si>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</si>
  <si>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</si>
  <si>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</si>
  <si>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</si>
  <si>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</si>
  <si>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</si>
  <si>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</si>
  <si>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</si>
  <si>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</si>
  <si>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</si>
  <si>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</si>
  <si>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</si>
  <si>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</si>
  <si>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</si>
  <si>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</si>
  <si>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</si>
  <si>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</si>
  <si>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</si>
  <si>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</si>
  <si>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</si>
  <si>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</si>
  <si>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</si>
  <si>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</si>
  <si>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</si>
  <si>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</si>
  <si>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</si>
  <si>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</si>
  <si>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</si>
  <si>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</si>
  <si>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</si>
  <si>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</si>
  <si>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</si>
  <si>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</si>
  <si>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</si>
  <si>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</si>
  <si>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</si>
  <si>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</si>
  <si>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</si>
  <si>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</si>
  <si>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</si>
  <si>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</si>
  <si>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</si>
  <si>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</si>
  <si>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</si>
  <si>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</si>
  <si>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</si>
  <si>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</si>
  <si>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</si>
  <si>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</si>
  <si>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</si>
  <si>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</si>
  <si>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</si>
  <si>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</si>
  <si>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</si>
  <si>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</si>
  <si>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</si>
  <si>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</si>
  <si>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</si>
  <si>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</si>
  <si>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</si>
  <si>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</si>
  <si>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</si>
  <si>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</si>
  <si>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</si>
  <si>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</si>
  <si>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</si>
  <si>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</si>
  <si>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</si>
  <si>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</si>
  <si>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</si>
  <si>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</si>
  <si>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</si>
  <si>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</si>
  <si>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</si>
  <si>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</si>
  <si>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</si>
  <si>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</si>
  <si>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</si>
  <si>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</si>
  <si>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</si>
  <si>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</si>
  <si>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</si>
  <si>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</si>
  <si>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</si>
  <si>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</si>
  <si>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</si>
  <si>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</si>
  <si>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</si>
  <si>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</si>
  <si>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</si>
  <si>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</si>
  <si>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</si>
  <si>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</si>
  <si>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</si>
  <si>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</si>
  <si>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</si>
  <si>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</si>
  <si>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</si>
  <si>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</si>
  <si>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</si>
  <si>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</si>
  <si>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</si>
  <si>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</si>
  <si>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</si>
  <si>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</si>
  <si>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</si>
  <si>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</si>
  <si>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</si>
  <si>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</si>
  <si>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</si>
  <si>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</si>
  <si>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</si>
  <si>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</si>
  <si>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</si>
  <si>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</si>
  <si>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</si>
  <si>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</si>
  <si>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</si>
  <si>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</si>
  <si>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</si>
  <si>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</si>
  <si>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</si>
  <si>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</si>
  <si>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</si>
  <si>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</si>
  <si>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</si>
  <si>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</si>
  <si>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11.05.25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</si>
</sst>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vertical="top"/>
      <protection locked="0"/>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vertical="top"/>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vertical="top"/>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130" fillId="0" borderId="1" xfId="1" applyNumberFormat="1" applyFont="1"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7">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2" formatCode="0.00"/>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7</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6">
      <queryTableField id="1" name="Time" tableColumnId="1"/>
      <queryTableField id="2" name="TestPoint" tableColumnId="2"/>
      <queryTableField id="6" name="RawTemp" tableColumnId="6"/>
      <queryTableField id="9" name="CummulativeOffset" tableColumnId="3"/>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6"/>
    <tableColumn id="2" xr3:uid="{D07D770F-21F7-425E-8CCA-AA85FFD513A3}" uniqueName="2" name="serial_number" queryTableFieldId="2" dataDxfId="185"/>
    <tableColumn id="3" xr3:uid="{D963BD5C-EE98-4CDD-ABAE-5315BBDA1135}" uniqueName="3" name="asset_tag" queryTableFieldId="3" dataDxfId="184"/>
    <tableColumn id="4" xr3:uid="{44F03B5B-6C09-4D5C-B2E2-D809B4EDF2B0}" uniqueName="4" name="custom_order_number" queryTableFieldId="4" dataDxfId="183"/>
    <tableColumn id="5" xr3:uid="{412A70E1-7452-417E-A3A9-BD3499EBD33C}" uniqueName="5" name="service_date" queryTableFieldId="5" dataDxfId="68"/>
    <tableColumn id="7" xr3:uid="{297A4F29-F6E9-4BD3-A7A2-5F1039480BAE}" uniqueName="7" name="certificate_number" queryTableFieldId="7" dataDxfId="182"/>
    <tableColumn id="6" xr3:uid="{7231074C-78F5-4F41-8E96-7068B6555E6F}" uniqueName="6" name="traceability_number" queryTableFieldId="61"/>
    <tableColumn id="8" xr3:uid="{7C740CB9-37DA-435E-A87E-AF050E31623C}" uniqueName="8" name="wire_roll_cert_number" queryTableFieldId="8" dataDxfId="181"/>
    <tableColumn id="9" xr3:uid="{5B17E9FC-0D68-4EA9-9145-B5DC8FAF5A93}" uniqueName="9" name="type" queryTableFieldId="9"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6"/>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9"/>
    <tableColumn id="3" xr3:uid="{5A7694DA-28F6-45C3-AA3A-8F5C42BC36CB}" uniqueName="3" name="login_email" queryTableFieldId="12"/>
    <tableColumn id="4" xr3:uid="{E8A7333A-3221-4D58-96FF-11D069828831}" uniqueName="4" name="IsPyro" queryTableFieldId="13" dataDxfId="17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7">
  <autoFilter ref="A1:C9" xr:uid="{8AF992F3-27EF-4265-960D-70EC6F74FAFA}"/>
  <sortState xmlns:xlrd2="http://schemas.microsoft.com/office/spreadsheetml/2017/richdata2" ref="A2:C9">
    <sortCondition ref="B1:B9"/>
  </sortState>
  <tableColumns count="3">
    <tableColumn id="1" xr3:uid="{1F7D0D09-7152-4679-B25C-65CF0E0AB2D4}" name="Type" dataDxfId="176"/>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F2" tableType="queryTable" insertRow="1" totalsRowShown="0">
  <autoFilter ref="A1:F2" xr:uid="{815A4F80-4DF3-448B-9397-686FCFDDED64}">
    <filterColumn colId="0" hiddenButton="1"/>
    <filterColumn colId="1" hiddenButton="1"/>
    <filterColumn colId="2" hiddenButton="1"/>
    <filterColumn colId="3" hiddenButton="1"/>
    <filterColumn colId="4" hiddenButton="1"/>
    <filterColumn colId="5" hiddenButton="1"/>
  </autoFilter>
  <tableColumns count="6">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8" xr3:uid="{3284379C-A926-4928-8067-765D6F5AC114}" uniqueName="8" name="OutOfTolerance" queryTableFieldId="8">
      <calculatedColumnFormula array="1">OR(Survey[RawTemp]&lt;TolMin,Survey[RawTemp]&gt;TolMax)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L1:P43" totalsRowShown="0" headerRowDxfId="175">
  <autoFilter ref="L1:P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4">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3"/>
    <tableColumn id="3" xr3:uid="{2724CA85-C781-4E38-A0DA-097BFEEFE8B1}" uniqueName="3" name="Temp" queryTableFieldId="3" dataDxfId="172"/>
    <tableColumn id="6" xr3:uid="{12D5EB84-2052-49F7-A25B-127266D7FB89}" uniqueName="6" name="traceability_no" queryTableFieldId="6" dataDxfId="171"/>
    <tableColumn id="5" xr3:uid="{D8FBA668-C3CE-41DC-B112-B2663A4558F7}" uniqueName="5" name="Offset" queryTableFieldId="5" dataDxfId="17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5"/>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8"/>
    <tableColumn id="2" xr3:uid="{18C84E6F-0395-44B7-82E8-3E3C3338D295}" name="TUS Tol" dataDxfId="137" totalsRowDxfId="136"/>
    <tableColumn id="5" xr3:uid="{DB50C328-B2A6-44C5-853C-318053CB9F8D}" name="SAT Multiplier" dataDxfId="135" totalsRowDxfId="13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2" dataDxfId="81">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7" dataDxfId="76">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5"/>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dataDxfId="7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81"/>
      <c r="F2"/>
      <c r="G2"/>
      <c r="H2"/>
      <c r="I2" s="73"/>
    </row>
    <row r="3" spans="1:9" x14ac:dyDescent="0.2">
      <c r="A3"/>
      <c r="B3"/>
      <c r="C3"/>
      <c r="D3"/>
      <c r="E3" s="481"/>
      <c r="F3"/>
      <c r="G3"/>
      <c r="H3"/>
      <c r="I3" s="73"/>
    </row>
    <row r="4" spans="1:9" x14ac:dyDescent="0.2">
      <c r="A4"/>
      <c r="B4"/>
      <c r="C4"/>
      <c r="D4"/>
      <c r="E4" s="481"/>
      <c r="F4"/>
      <c r="G4"/>
      <c r="H4"/>
      <c r="I4" s="73"/>
    </row>
    <row r="5" spans="1:9" x14ac:dyDescent="0.2">
      <c r="A5"/>
      <c r="B5"/>
      <c r="C5"/>
      <c r="D5"/>
      <c r="E5" s="481"/>
      <c r="F5"/>
      <c r="G5"/>
      <c r="H5"/>
      <c r="I5" s="73"/>
    </row>
    <row r="6" spans="1:9" x14ac:dyDescent="0.2">
      <c r="A6"/>
      <c r="B6"/>
      <c r="C6"/>
      <c r="D6"/>
      <c r="E6" s="481"/>
      <c r="F6"/>
      <c r="G6"/>
      <c r="H6"/>
      <c r="I6" s="73"/>
    </row>
    <row r="7" spans="1:9" x14ac:dyDescent="0.2">
      <c r="A7"/>
      <c r="B7"/>
      <c r="C7"/>
      <c r="D7"/>
      <c r="E7" s="481"/>
      <c r="F7"/>
      <c r="G7"/>
      <c r="H7"/>
      <c r="I7" s="73"/>
    </row>
    <row r="8" spans="1:9" x14ac:dyDescent="0.2">
      <c r="A8"/>
      <c r="B8"/>
      <c r="C8"/>
      <c r="D8"/>
      <c r="E8" s="481"/>
      <c r="F8"/>
      <c r="G8"/>
      <c r="H8"/>
      <c r="I8" s="73"/>
    </row>
    <row r="9" spans="1:9" x14ac:dyDescent="0.2">
      <c r="A9"/>
      <c r="B9"/>
      <c r="C9"/>
      <c r="D9"/>
      <c r="E9" s="481"/>
      <c r="F9"/>
      <c r="G9"/>
      <c r="H9"/>
      <c r="I9" s="73"/>
    </row>
    <row r="10" spans="1:9" x14ac:dyDescent="0.2">
      <c r="A10"/>
      <c r="B10"/>
      <c r="C10"/>
      <c r="D10"/>
      <c r="E10" s="481"/>
      <c r="F10"/>
      <c r="G10"/>
      <c r="H10"/>
      <c r="I10" s="73"/>
    </row>
    <row r="11" spans="1:9" x14ac:dyDescent="0.2">
      <c r="A11"/>
      <c r="B11"/>
      <c r="C11"/>
      <c r="D11"/>
      <c r="E11" s="481"/>
      <c r="F11"/>
      <c r="G11"/>
      <c r="H11"/>
      <c r="I11" s="73"/>
    </row>
    <row r="12" spans="1:9" x14ac:dyDescent="0.2">
      <c r="A12"/>
      <c r="B12"/>
      <c r="C12"/>
      <c r="D12"/>
      <c r="E12" s="481"/>
      <c r="F12"/>
      <c r="G12"/>
      <c r="H12"/>
      <c r="I12" s="73"/>
    </row>
    <row r="13" spans="1:9" x14ac:dyDescent="0.2">
      <c r="A13"/>
      <c r="B13"/>
      <c r="C13"/>
      <c r="D13"/>
      <c r="E13" s="481"/>
      <c r="F13"/>
      <c r="G13"/>
      <c r="H13"/>
      <c r="I13" s="73"/>
    </row>
    <row r="14" spans="1:9" x14ac:dyDescent="0.2">
      <c r="A14"/>
      <c r="B14"/>
      <c r="C14"/>
      <c r="D14"/>
      <c r="E14" s="481"/>
      <c r="F14"/>
      <c r="G14"/>
      <c r="H14"/>
      <c r="I14" s="73"/>
    </row>
    <row r="15" spans="1:9" x14ac:dyDescent="0.2">
      <c r="A15"/>
      <c r="B15"/>
      <c r="C15"/>
      <c r="D15"/>
      <c r="E15" s="481"/>
      <c r="F15"/>
      <c r="G15"/>
      <c r="H15"/>
      <c r="I15" s="73"/>
    </row>
    <row r="16" spans="1:9" x14ac:dyDescent="0.2">
      <c r="A16"/>
      <c r="B16"/>
      <c r="C16"/>
      <c r="D16"/>
      <c r="E16" s="481"/>
      <c r="F16"/>
      <c r="G16"/>
      <c r="H16"/>
      <c r="I16" s="73"/>
    </row>
    <row r="17" spans="1:9" x14ac:dyDescent="0.2">
      <c r="A17"/>
      <c r="B17"/>
      <c r="C17"/>
      <c r="D17"/>
      <c r="E17" s="481"/>
      <c r="F17"/>
      <c r="G17"/>
      <c r="H17"/>
      <c r="I17" s="73"/>
    </row>
    <row r="18" spans="1:9" x14ac:dyDescent="0.2">
      <c r="A18"/>
      <c r="B18"/>
      <c r="C18"/>
      <c r="D18"/>
      <c r="E18" s="481"/>
      <c r="F18"/>
      <c r="G18"/>
      <c r="H18"/>
      <c r="I18" s="73"/>
    </row>
    <row r="19" spans="1:9" x14ac:dyDescent="0.2">
      <c r="A19"/>
      <c r="B19"/>
      <c r="C19"/>
      <c r="D19"/>
      <c r="E19" s="481"/>
      <c r="F19"/>
      <c r="G19"/>
      <c r="H19"/>
      <c r="I19" s="73"/>
    </row>
    <row r="20" spans="1:9" x14ac:dyDescent="0.2">
      <c r="A20"/>
      <c r="B20"/>
      <c r="C20"/>
      <c r="D20"/>
      <c r="E20" s="481"/>
      <c r="F20"/>
      <c r="G20"/>
      <c r="H20"/>
      <c r="I20" s="73"/>
    </row>
    <row r="21" spans="1:9" x14ac:dyDescent="0.2">
      <c r="A21"/>
      <c r="B21"/>
      <c r="C21"/>
      <c r="D21"/>
      <c r="E21" s="481"/>
      <c r="F21"/>
      <c r="G21"/>
      <c r="H21"/>
      <c r="I21" s="73"/>
    </row>
    <row r="22" spans="1:9" x14ac:dyDescent="0.2">
      <c r="A22"/>
      <c r="B22"/>
      <c r="C22"/>
      <c r="D22"/>
      <c r="E22" s="481"/>
      <c r="F22"/>
      <c r="G22"/>
      <c r="H22"/>
      <c r="I22" s="73"/>
    </row>
    <row r="23" spans="1:9" x14ac:dyDescent="0.2">
      <c r="A23"/>
      <c r="B23"/>
      <c r="C23"/>
      <c r="D23"/>
      <c r="E23" s="481"/>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Kr4O5nlYrZmH+v1jZpQcYzridAzanGL/VVPiamfEksxf5PHGM17UqWXwQJhKMsoUJC1iDTN6nPkSo8xXzMJmJg==" saltValue="t6shJSe3PYm7g1CvWlVqG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4tTGpZWiz/nqV/Ky1Q2VRU3oy6juVaN/voaH5tdYVko0pzLNA+lKWEMGjb+aUaItF43KLMamHM8xp+sdORdiyw==" saltValue="Av9y2h2SS7sK7JDVOoVFS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P43"/>
  <sheetViews>
    <sheetView workbookViewId="0">
      <selection activeCell="H18" sqref="H18"/>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15.42578125" bestFit="1" customWidth="1"/>
    <col min="7" max="7" width="1.85546875" customWidth="1"/>
    <col min="8" max="8" width="19.28515625" bestFit="1" customWidth="1"/>
    <col min="9" max="9" width="4.42578125" customWidth="1"/>
    <col min="10" max="10" width="1.42578125" customWidth="1"/>
    <col min="11" max="12" width="16" bestFit="1" customWidth="1"/>
    <col min="13" max="13" width="9.42578125" bestFit="1" customWidth="1"/>
    <col min="14" max="14" width="9.5703125" bestFit="1" customWidth="1"/>
    <col min="15" max="15" width="7.42578125" bestFit="1" customWidth="1"/>
    <col min="16" max="16" width="11.5703125" bestFit="1" customWidth="1"/>
    <col min="17" max="17" width="11.5703125" customWidth="1"/>
    <col min="18" max="20" width="9.140625" customWidth="1"/>
  </cols>
  <sheetData>
    <row r="1" spans="1:16" ht="13.5" thickBot="1" x14ac:dyDescent="0.25">
      <c r="A1" s="37"/>
      <c r="B1" s="37"/>
      <c r="C1" s="37"/>
      <c r="D1" s="37"/>
      <c r="E1" s="37" t="s">
        <v>910</v>
      </c>
      <c r="F1" s="37" t="s">
        <v>913</v>
      </c>
      <c r="H1" s="496" t="s">
        <v>907</v>
      </c>
      <c r="I1" s="497"/>
      <c r="K1" s="35"/>
      <c r="L1" s="432" t="s">
        <v>902</v>
      </c>
      <c r="M1" s="433" t="s">
        <v>15</v>
      </c>
      <c r="N1" s="433" t="s">
        <v>906</v>
      </c>
      <c r="O1" s="433" t="s">
        <v>897</v>
      </c>
      <c r="P1" s="433" t="s">
        <v>14</v>
      </c>
    </row>
    <row r="2" spans="1:16" ht="13.5" thickTop="1" x14ac:dyDescent="0.2">
      <c r="A2" s="420"/>
      <c r="H2" s="443" t="s">
        <v>903</v>
      </c>
      <c r="I2" s="444">
        <f>COUNTIF(Survey[TestPoint],"&lt;=5")-1</f>
        <v>-1</v>
      </c>
      <c r="K2" s="455" t="s">
        <v>1</v>
      </c>
      <c r="L2" s="439" t="e">
        <f>_xlfn.XLOOKUP(O2,Survey[RawTemp],Survey[TestPoint])</f>
        <v>#N/A</v>
      </c>
      <c r="M2" s="434">
        <f>O2-NominalTemp</f>
        <v>0</v>
      </c>
      <c r="N2" s="435" t="s">
        <v>266</v>
      </c>
      <c r="O2" s="434">
        <f>MAX(Survey[RawTemp])</f>
        <v>0</v>
      </c>
      <c r="P2" s="436" t="e">
        <f>_xlfn.XLOOKUP(O2,Survey[RawTemp],Survey[Time])</f>
        <v>#N/A</v>
      </c>
    </row>
    <row r="3" spans="1:16" x14ac:dyDescent="0.2">
      <c r="H3" s="449" t="s">
        <v>911</v>
      </c>
      <c r="I3" s="450" t="e">
        <f>_xlfn.T.INV.2T(1-0.9545, DoF)</f>
        <v>#NUM!</v>
      </c>
      <c r="K3" s="455" t="s">
        <v>2</v>
      </c>
      <c r="L3" s="440" t="e">
        <f>_xlfn.XLOOKUP(O3,Survey[RawTemp],Survey[TestPoint])</f>
        <v>#N/A</v>
      </c>
      <c r="M3" s="437">
        <f>O3-NominalTemp</f>
        <v>0</v>
      </c>
      <c r="N3" s="427" t="s">
        <v>267</v>
      </c>
      <c r="O3" s="437">
        <f>MIN(Survey[RawTemp])</f>
        <v>0</v>
      </c>
      <c r="P3" s="438" t="e">
        <f>_xlfn.XLOOKUP(O3,Survey[RawTemp],Survey[Time])</f>
        <v>#N/A</v>
      </c>
    </row>
    <row r="4" spans="1:16" x14ac:dyDescent="0.2">
      <c r="H4" s="445" t="s">
        <v>915</v>
      </c>
      <c r="I4" s="446" cm="1">
        <f t="array" ref="I4">SUM(_xlfn._xlws.FILTER(Survey[Deviations],Survey[TestPoint]&lt;=5)^2)/DoF</f>
        <v>0</v>
      </c>
      <c r="K4" s="498" t="s">
        <v>908</v>
      </c>
      <c r="L4" s="137">
        <v>1</v>
      </c>
      <c r="N4" t="str" cm="1">
        <f t="array" ref="N4">IF(
  Main!O5 = "",
  "",
  IF(
    COUNTIF(Survey[TestPoint], Alerts[[#This Row],[TestPoint]]) = 0,
    "DROPPED",
    IF(
      OR(
        _xlfn._xlws.FILTER(
          Survey[OutOfTolerance],
          Survey[TestPoint] = Alerts[[#This Row],[TestPoint]]
        )
      ),
      "Out of Tol",
      ""
    )
  )
)</f>
        <v/>
      </c>
    </row>
    <row r="5" spans="1:16" x14ac:dyDescent="0.2">
      <c r="H5" s="449" t="s">
        <v>916</v>
      </c>
      <c r="I5" s="451" cm="1">
        <f t="array" ref="I5">VLOOKUP(NominalTemp,_xlfn._xlws.FILTER(MUG[],MUG[Meas Units]="°F"),8,TRUE)</f>
        <v>0.66776102980616914</v>
      </c>
      <c r="K5" s="498"/>
      <c r="L5" s="137">
        <v>2</v>
      </c>
      <c r="N5" t="str" cm="1">
        <f t="array" ref="N5">IF(
  Main!O6 = "",
  "",
  IF(
    COUNTIF(Survey[TestPoint], Alerts[[#This Row],[TestPoint]]) = 0,
    "DROPPED",
    IF(
      OR(
        _xlfn._xlws.FILTER(
          Survey[OutOfTolerance],
          Survey[TestPoint] = Alerts[[#This Row],[TestPoint]]
        )
      ),
      "Out of Tol",
      ""
    )
  )
)</f>
        <v/>
      </c>
    </row>
    <row r="6" spans="1:16" x14ac:dyDescent="0.2">
      <c r="H6" s="445" t="s">
        <v>914</v>
      </c>
      <c r="I6" s="446">
        <f>SQRT(Base₂^2+sp²)</f>
        <v>0.66776102980616914</v>
      </c>
      <c r="K6" s="498"/>
      <c r="L6" s="137">
        <v>3</v>
      </c>
      <c r="N6" t="str" cm="1">
        <f t="array" ref="N6">IF(
  Main!O7 = "",
  "",
  IF(
    COUNTIF(Survey[TestPoint], Alerts[[#This Row],[TestPoint]]) = 0,
    "DROPPED",
    IF(
      OR(
        _xlfn._xlws.FILTER(
          Survey[OutOfTolerance],
          Survey[TestPoint] = Alerts[[#This Row],[TestPoint]]
        )
      ),
      "Out of Tol",
      ""
    )
  )
)</f>
        <v/>
      </c>
    </row>
    <row r="7" spans="1:16" x14ac:dyDescent="0.2">
      <c r="H7" s="449" t="s">
        <v>904</v>
      </c>
      <c r="I7" s="452" t="e">
        <f>I6*k</f>
        <v>#NUM!</v>
      </c>
      <c r="K7" s="498"/>
      <c r="L7" s="137">
        <v>4</v>
      </c>
      <c r="N7" t="str" cm="1">
        <f t="array" ref="N7">IF(
  Main!O8 = "",
  "",
  IF(
    COUNTIF(Survey[TestPoint], Alerts[[#This Row],[TestPoint]]) = 0,
    "DROPPED",
    IF(
      OR(
        _xlfn._xlws.FILTER(
          Survey[OutOfTolerance],
          Survey[TestPoint] = Alerts[[#This Row],[TestPoint]]
        )
      ),
      "Out of Tol",
      ""
    )
  )
)</f>
        <v/>
      </c>
    </row>
    <row r="8" spans="1:16" ht="13.5" thickBot="1" x14ac:dyDescent="0.25">
      <c r="H8" s="447" t="s">
        <v>905</v>
      </c>
      <c r="I8" s="448">
        <f>VLOOKUP(NominalTemp,CMCs[],3,TRUE)</f>
        <v>1.6</v>
      </c>
      <c r="K8" s="498"/>
      <c r="L8" s="137">
        <v>5</v>
      </c>
      <c r="N8" t="str" cm="1">
        <f t="array" ref="N8">IF(
  Main!O9 = "",
  "",
  IF(
    COUNTIF(Survey[TestPoint], Alerts[[#This Row],[TestPoint]]) = 0,
    "DROPPED",
    IF(
      OR(
        _xlfn._xlws.FILTER(
          Survey[OutOfTolerance],
          Survey[TestPoint] = Alerts[[#This Row],[TestPoint]]
        )
      ),
      "Out of Tol",
      ""
    )
  )
)</f>
        <v/>
      </c>
    </row>
    <row r="9" spans="1:16" ht="13.5" thickTop="1" x14ac:dyDescent="0.2">
      <c r="H9" s="453" t="s">
        <v>912</v>
      </c>
      <c r="I9" s="454" t="e">
        <f>MAX(I7,I8)</f>
        <v>#NUM!</v>
      </c>
      <c r="K9" s="498"/>
      <c r="L9" s="137">
        <v>6</v>
      </c>
      <c r="N9" t="str" cm="1">
        <f t="array" ref="N9">IF(
  Main!O10 = "",
  "",
  IF(
    COUNTIF(Survey[TestPoint], Alerts[[#This Row],[TestPoint]]) = 0,
    "DROPPED",
    IF(
      OR(
        _xlfn._xlws.FILTER(
          Survey[OutOfTolerance],
          Survey[TestPoint] = Alerts[[#This Row],[TestPoint]]
        )
      ),
      "Out of Tol",
      ""
    )
  )
)</f>
        <v/>
      </c>
    </row>
    <row r="10" spans="1:16" x14ac:dyDescent="0.2">
      <c r="K10" s="498"/>
      <c r="L10" s="137">
        <v>7</v>
      </c>
      <c r="N10" t="str" cm="1">
        <f t="array" ref="N10">IF(
  Main!O11 = "",
  "",
  IF(
    COUNTIF(Survey[TestPoint], Alerts[[#This Row],[TestPoint]]) = 0,
    "DROPPED",
    IF(
      OR(
        _xlfn._xlws.FILTER(
          Survey[OutOfTolerance],
          Survey[TestPoint] = Alerts[[#This Row],[TestPoint]]
        )
      ),
      "Out of Tol",
      ""
    )
  )
)</f>
        <v/>
      </c>
    </row>
    <row r="11" spans="1:16" x14ac:dyDescent="0.2">
      <c r="K11" s="498"/>
      <c r="L11" s="137">
        <v>8</v>
      </c>
      <c r="N11" t="str" cm="1">
        <f t="array" ref="N11">IF(
  Main!O12 = "",
  "",
  IF(
    COUNTIF(Survey[TestPoint], Alerts[[#This Row],[TestPoint]]) = 0,
    "DROPPED",
    IF(
      OR(
        _xlfn._xlws.FILTER(
          Survey[OutOfTolerance],
          Survey[TestPoint] = Alerts[[#This Row],[TestPoint]]
        )
      ),
      "Out of Tol",
      ""
    )
  )
)</f>
        <v/>
      </c>
    </row>
    <row r="12" spans="1:16" x14ac:dyDescent="0.2">
      <c r="K12" s="498"/>
      <c r="L12" s="137">
        <v>9</v>
      </c>
      <c r="N12" t="str" cm="1">
        <f t="array" ref="N12">IF(
  Main!O13 = "",
  "",
  IF(
    COUNTIF(Survey[TestPoint], Alerts[[#This Row],[TestPoint]]) = 0,
    "DROPPED",
    IF(
      OR(
        _xlfn._xlws.FILTER(
          Survey[OutOfTolerance],
          Survey[TestPoint] = Alerts[[#This Row],[TestPoint]]
        )
      ),
      "Out of Tol",
      ""
    )
  )
)</f>
        <v/>
      </c>
    </row>
    <row r="13" spans="1:16" x14ac:dyDescent="0.2">
      <c r="K13" s="498"/>
      <c r="L13" s="137">
        <v>10</v>
      </c>
      <c r="N13" t="str" cm="1">
        <f t="array" ref="N13">IF(
  Main!O14 = "",
  "",
  IF(
    COUNTIF(Survey[TestPoint], Alerts[[#This Row],[TestPoint]]) = 0,
    "DROPPED",
    IF(
      OR(
        _xlfn._xlws.FILTER(
          Survey[OutOfTolerance],
          Survey[TestPoint] = Alerts[[#This Row],[TestPoint]]
        )
      ),
      "Out of Tol",
      ""
    )
  )
)</f>
        <v/>
      </c>
    </row>
    <row r="14" spans="1:16" x14ac:dyDescent="0.2">
      <c r="K14" s="498"/>
      <c r="L14" s="137">
        <v>11</v>
      </c>
      <c r="N14" t="str" cm="1">
        <f t="array" ref="N14">IF(
  Main!O15 = "",
  "",
  IF(
    COUNTIF(Survey[TestPoint], Alerts[[#This Row],[TestPoint]]) = 0,
    "DROPPED",
    IF(
      OR(
        _xlfn._xlws.FILTER(
          Survey[OutOfTolerance],
          Survey[TestPoint] = Alerts[[#This Row],[TestPoint]]
        )
      ),
      "Out of Tol",
      ""
    )
  )
)</f>
        <v/>
      </c>
    </row>
    <row r="15" spans="1:16" x14ac:dyDescent="0.2">
      <c r="K15" s="498"/>
      <c r="L15" s="137">
        <v>12</v>
      </c>
      <c r="N15" t="str" cm="1">
        <f t="array" ref="N15">IF(
  Main!O16 = "",
  "",
  IF(
    COUNTIF(Survey[TestPoint], Alerts[[#This Row],[TestPoint]]) = 0,
    "DROPPED",
    IF(
      OR(
        _xlfn._xlws.FILTER(
          Survey[OutOfTolerance],
          Survey[TestPoint] = Alerts[[#This Row],[TestPoint]]
        )
      ),
      "Out of Tol",
      ""
    )
  )
)</f>
        <v/>
      </c>
    </row>
    <row r="16" spans="1:16" x14ac:dyDescent="0.2">
      <c r="K16" s="498"/>
      <c r="L16" s="137">
        <v>13</v>
      </c>
      <c r="N16" t="str" cm="1">
        <f t="array" ref="N16">IF(
  Main!O17 = "",
  "",
  IF(
    COUNTIF(Survey[TestPoint], Alerts[[#This Row],[TestPoint]]) = 0,
    "DROPPED",
    IF(
      OR(
        _xlfn._xlws.FILTER(
          Survey[OutOfTolerance],
          Survey[TestPoint] = Alerts[[#This Row],[TestPoint]]
        )
      ),
      "Out of Tol",
      ""
    )
  )
)</f>
        <v/>
      </c>
    </row>
    <row r="17" spans="11:14" x14ac:dyDescent="0.2">
      <c r="K17" s="498"/>
      <c r="L17" s="137">
        <v>14</v>
      </c>
      <c r="N17" t="str" cm="1">
        <f t="array" ref="N17">IF(
  Main!O18 = "",
  "",
  IF(
    COUNTIF(Survey[TestPoint], Alerts[[#This Row],[TestPoint]]) = 0,
    "DROPPED",
    IF(
      OR(
        _xlfn._xlws.FILTER(
          Survey[OutOfTolerance],
          Survey[TestPoint] = Alerts[[#This Row],[TestPoint]]
        )
      ),
      "Out of Tol",
      ""
    )
  )
)</f>
        <v/>
      </c>
    </row>
    <row r="18" spans="11:14" x14ac:dyDescent="0.2">
      <c r="K18" s="498"/>
      <c r="L18" s="137">
        <v>15</v>
      </c>
      <c r="N18" t="str" cm="1">
        <f t="array" ref="N18">IF(
  Main!O19 = "",
  "",
  IF(
    COUNTIF(Survey[TestPoint], Alerts[[#This Row],[TestPoint]]) = 0,
    "DROPPED",
    IF(
      OR(
        _xlfn._xlws.FILTER(
          Survey[OutOfTolerance],
          Survey[TestPoint] = Alerts[[#This Row],[TestPoint]]
        )
      ),
      "Out of Tol",
      ""
    )
  )
)</f>
        <v/>
      </c>
    </row>
    <row r="19" spans="11:14" x14ac:dyDescent="0.2">
      <c r="K19" s="498"/>
      <c r="L19" s="137">
        <v>16</v>
      </c>
      <c r="N19" t="str" cm="1">
        <f t="array" ref="N19">IF(
  Main!O20 = "",
  "",
  IF(
    COUNTIF(Survey[TestPoint], Alerts[[#This Row],[TestPoint]]) = 0,
    "DROPPED",
    IF(
      OR(
        _xlfn._xlws.FILTER(
          Survey[OutOfTolerance],
          Survey[TestPoint] = Alerts[[#This Row],[TestPoint]]
        )
      ),
      "Out of Tol",
      ""
    )
  )
)</f>
        <v/>
      </c>
    </row>
    <row r="20" spans="11:14" x14ac:dyDescent="0.2">
      <c r="K20" s="498"/>
      <c r="L20" s="137">
        <v>17</v>
      </c>
      <c r="N20" t="str" cm="1">
        <f t="array" ref="N20">IF(
  Main!O21 = "",
  "",
  IF(
    COUNTIF(Survey[TestPoint], Alerts[[#This Row],[TestPoint]]) = 0,
    "DROPPED",
    IF(
      OR(
        _xlfn._xlws.FILTER(
          Survey[OutOfTolerance],
          Survey[TestPoint] = Alerts[[#This Row],[TestPoint]]
        )
      ),
      "Out of Tol",
      ""
    )
  )
)</f>
        <v/>
      </c>
    </row>
    <row r="21" spans="11:14" x14ac:dyDescent="0.2">
      <c r="K21" s="498"/>
      <c r="L21" s="137">
        <v>18</v>
      </c>
      <c r="N21" t="str" cm="1">
        <f t="array" ref="N21">IF(
  Main!O22 = "",
  "",
  IF(
    COUNTIF(Survey[TestPoint], Alerts[[#This Row],[TestPoint]]) = 0,
    "DROPPED",
    IF(
      OR(
        _xlfn._xlws.FILTER(
          Survey[OutOfTolerance],
          Survey[TestPoint] = Alerts[[#This Row],[TestPoint]]
        )
      ),
      "Out of Tol",
      ""
    )
  )
)</f>
        <v/>
      </c>
    </row>
    <row r="22" spans="11:14" x14ac:dyDescent="0.2">
      <c r="K22" s="498"/>
      <c r="L22" s="137">
        <v>19</v>
      </c>
      <c r="N22" t="str" cm="1">
        <f t="array" ref="N22">IF(
  Main!O23 = "",
  "",
  IF(
    COUNTIF(Survey[TestPoint], Alerts[[#This Row],[TestPoint]]) = 0,
    "DROPPED",
    IF(
      OR(
        _xlfn._xlws.FILTER(
          Survey[OutOfTolerance],
          Survey[TestPoint] = Alerts[[#This Row],[TestPoint]]
        )
      ),
      "Out of Tol",
      ""
    )
  )
)</f>
        <v/>
      </c>
    </row>
    <row r="23" spans="11:14" x14ac:dyDescent="0.2">
      <c r="K23" s="498"/>
      <c r="L23" s="137">
        <v>20</v>
      </c>
      <c r="N23" t="str" cm="1">
        <f t="array" ref="N23">IF(
  Main!O24 = "",
  "",
  IF(
    COUNTIF(Survey[TestPoint], Alerts[[#This Row],[TestPoint]]) = 0,
    "DROPPED",
    IF(
      OR(
        _xlfn._xlws.FILTER(
          Survey[OutOfTolerance],
          Survey[TestPoint] = Alerts[[#This Row],[TestPoint]]
        )
      ),
      "Out of Tol",
      ""
    )
  )
)</f>
        <v/>
      </c>
    </row>
    <row r="24" spans="11:14" x14ac:dyDescent="0.2">
      <c r="K24" s="498"/>
      <c r="L24" s="137">
        <v>21</v>
      </c>
      <c r="N24" t="str" cm="1">
        <f t="array" ref="N24">IF(
  Main!O25 = "",
  "",
  IF(
    COUNTIF(Survey[TestPoint], Alerts[[#This Row],[TestPoint]]) = 0,
    "DROPPED",
    IF(
      OR(
        _xlfn._xlws.FILTER(
          Survey[OutOfTolerance],
          Survey[TestPoint] = Alerts[[#This Row],[TestPoint]]
        )
      ),
      "Out of Tol",
      ""
    )
  )
)</f>
        <v/>
      </c>
    </row>
    <row r="25" spans="11:14" x14ac:dyDescent="0.2">
      <c r="K25" s="498"/>
      <c r="L25" s="137">
        <v>22</v>
      </c>
      <c r="N25" t="str" cm="1">
        <f t="array" ref="N25">IF(
  Main!O26 = "",
  "",
  IF(
    COUNTIF(Survey[TestPoint], Alerts[[#This Row],[TestPoint]]) = 0,
    "DROPPED",
    IF(
      OR(
        _xlfn._xlws.FILTER(
          Survey[OutOfTolerance],
          Survey[TestPoint] = Alerts[[#This Row],[TestPoint]]
        )
      ),
      "Out of Tol",
      ""
    )
  )
)</f>
        <v/>
      </c>
    </row>
    <row r="26" spans="11:14" x14ac:dyDescent="0.2">
      <c r="K26" s="498"/>
      <c r="L26" s="137">
        <v>23</v>
      </c>
      <c r="N26" t="str" cm="1">
        <f t="array" ref="N26">IF(
  Main!O27 = "",
  "",
  IF(
    COUNTIF(Survey[TestPoint], Alerts[[#This Row],[TestPoint]]) = 0,
    "DROPPED",
    IF(
      OR(
        _xlfn._xlws.FILTER(
          Survey[OutOfTolerance],
          Survey[TestPoint] = Alerts[[#This Row],[TestPoint]]
        )
      ),
      "Out of Tol",
      ""
    )
  )
)</f>
        <v/>
      </c>
    </row>
    <row r="27" spans="11:14" x14ac:dyDescent="0.2">
      <c r="K27" s="498"/>
      <c r="L27" s="137">
        <v>24</v>
      </c>
      <c r="N27" t="str" cm="1">
        <f t="array" ref="N27">IF(
  Main!O28 = "",
  "",
  IF(
    COUNTIF(Survey[TestPoint], Alerts[[#This Row],[TestPoint]]) = 0,
    "DROPPED",
    IF(
      OR(
        _xlfn._xlws.FILTER(
          Survey[OutOfTolerance],
          Survey[TestPoint] = Alerts[[#This Row],[TestPoint]]
        )
      ),
      "Out of Tol",
      ""
    )
  )
)</f>
        <v/>
      </c>
    </row>
    <row r="28" spans="11:14" x14ac:dyDescent="0.2">
      <c r="K28" s="498"/>
      <c r="L28" s="137">
        <v>25</v>
      </c>
      <c r="N28" t="str" cm="1">
        <f t="array" ref="N28">IF(
  Main!O29 = "",
  "",
  IF(
    COUNTIF(Survey[TestPoint], Alerts[[#This Row],[TestPoint]]) = 0,
    "DROPPED",
    IF(
      OR(
        _xlfn._xlws.FILTER(
          Survey[OutOfTolerance],
          Survey[TestPoint] = Alerts[[#This Row],[TestPoint]]
        )
      ),
      "Out of Tol",
      ""
    )
  )
)</f>
        <v/>
      </c>
    </row>
    <row r="29" spans="11:14" x14ac:dyDescent="0.2">
      <c r="K29" s="498"/>
      <c r="L29" s="137">
        <v>26</v>
      </c>
      <c r="N29" t="str" cm="1">
        <f t="array" ref="N29">IF(
  Main!O30 = "",
  "",
  IF(
    COUNTIF(Survey[TestPoint], Alerts[[#This Row],[TestPoint]]) = 0,
    "DROPPED",
    IF(
      OR(
        _xlfn._xlws.FILTER(
          Survey[OutOfTolerance],
          Survey[TestPoint] = Alerts[[#This Row],[TestPoint]]
        )
      ),
      "Out of Tol",
      ""
    )
  )
)</f>
        <v/>
      </c>
    </row>
    <row r="30" spans="11:14" x14ac:dyDescent="0.2">
      <c r="K30" s="498"/>
      <c r="L30" s="137">
        <v>27</v>
      </c>
      <c r="N30" t="str" cm="1">
        <f t="array" ref="N30">IF(
  Main!O31 = "",
  "",
  IF(
    COUNTIF(Survey[TestPoint], Alerts[[#This Row],[TestPoint]]) = 0,
    "DROPPED",
    IF(
      OR(
        _xlfn._xlws.FILTER(
          Survey[OutOfTolerance],
          Survey[TestPoint] = Alerts[[#This Row],[TestPoint]]
        )
      ),
      "Out of Tol",
      ""
    )
  )
)</f>
        <v/>
      </c>
    </row>
    <row r="31" spans="11:14" x14ac:dyDescent="0.2">
      <c r="K31" s="498"/>
      <c r="L31" s="137">
        <v>28</v>
      </c>
      <c r="N31" t="str" cm="1">
        <f t="array" ref="N31">IF(
  Main!O32 = "",
  "",
  IF(
    COUNTIF(Survey[TestPoint], Alerts[[#This Row],[TestPoint]]) = 0,
    "DROPPED",
    IF(
      OR(
        _xlfn._xlws.FILTER(
          Survey[OutOfTolerance],
          Survey[TestPoint] = Alerts[[#This Row],[TestPoint]]
        )
      ),
      "Out of Tol",
      ""
    )
  )
)</f>
        <v/>
      </c>
    </row>
    <row r="32" spans="11:14" x14ac:dyDescent="0.2">
      <c r="K32" s="498"/>
      <c r="L32" s="137">
        <v>29</v>
      </c>
      <c r="N32" t="str" cm="1">
        <f t="array" ref="N32">IF(
  Main!O33 = "",
  "",
  IF(
    COUNTIF(Survey[TestPoint], Alerts[[#This Row],[TestPoint]]) = 0,
    "DROPPED",
    IF(
      OR(
        _xlfn._xlws.FILTER(
          Survey[OutOfTolerance],
          Survey[TestPoint] = Alerts[[#This Row],[TestPoint]]
        )
      ),
      "Out of Tol",
      ""
    )
  )
)</f>
        <v/>
      </c>
    </row>
    <row r="33" spans="11:14" x14ac:dyDescent="0.2">
      <c r="K33" s="498"/>
      <c r="L33" s="137">
        <v>30</v>
      </c>
      <c r="N33" t="str" cm="1">
        <f t="array" ref="N33">IF(
  Main!O34 = "",
  "",
  IF(
    COUNTIF(Survey[TestPoint], Alerts[[#This Row],[TestPoint]]) = 0,
    "DROPPED",
    IF(
      OR(
        _xlfn._xlws.FILTER(
          Survey[OutOfTolerance],
          Survey[TestPoint] = Alerts[[#This Row],[TestPoint]]
        )
      ),
      "Out of Tol",
      ""
    )
  )
)</f>
        <v/>
      </c>
    </row>
    <row r="34" spans="11:14" x14ac:dyDescent="0.2">
      <c r="K34" s="498"/>
      <c r="L34" s="137">
        <v>31</v>
      </c>
      <c r="N34" t="str" cm="1">
        <f t="array" ref="N34">IF(
  Main!O35 = "",
  "",
  IF(
    COUNTIF(Survey[TestPoint], Alerts[[#This Row],[TestPoint]]) = 0,
    "DROPPED",
    IF(
      OR(
        _xlfn._xlws.FILTER(
          Survey[OutOfTolerance],
          Survey[TestPoint] = Alerts[[#This Row],[TestPoint]]
        )
      ),
      "Out of Tol",
      ""
    )
  )
)</f>
        <v/>
      </c>
    </row>
    <row r="35" spans="11:14" x14ac:dyDescent="0.2">
      <c r="K35" s="498"/>
      <c r="L35" s="137">
        <v>32</v>
      </c>
      <c r="N35" t="str" cm="1">
        <f t="array" ref="N35">IF(
  Main!O36 = "",
  "",
  IF(
    COUNTIF(Survey[TestPoint], Alerts[[#This Row],[TestPoint]]) = 0,
    "DROPPED",
    IF(
      OR(
        _xlfn._xlws.FILTER(
          Survey[OutOfTolerance],
          Survey[TestPoint] = Alerts[[#This Row],[TestPoint]]
        )
      ),
      "Out of Tol",
      ""
    )
  )
)</f>
        <v/>
      </c>
    </row>
    <row r="36" spans="11:14" x14ac:dyDescent="0.2">
      <c r="K36" s="498"/>
      <c r="L36" s="137">
        <v>33</v>
      </c>
      <c r="N36" t="str" cm="1">
        <f t="array" ref="N36">IF(
  Main!O37 = "",
  "",
  IF(
    COUNTIF(Survey[TestPoint], Alerts[[#This Row],[TestPoint]]) = 0,
    "DROPPED",
    IF(
      OR(
        _xlfn._xlws.FILTER(
          Survey[OutOfTolerance],
          Survey[TestPoint] = Alerts[[#This Row],[TestPoint]]
        )
      ),
      "Out of Tol",
      ""
    )
  )
)</f>
        <v/>
      </c>
    </row>
    <row r="37" spans="11:14" x14ac:dyDescent="0.2">
      <c r="K37" s="498"/>
      <c r="L37" s="137">
        <v>34</v>
      </c>
      <c r="N37" t="str" cm="1">
        <f t="array" ref="N37">IF(
  Main!O38 = "",
  "",
  IF(
    COUNTIF(Survey[TestPoint], Alerts[[#This Row],[TestPoint]]) = 0,
    "DROPPED",
    IF(
      OR(
        _xlfn._xlws.FILTER(
          Survey[OutOfTolerance],
          Survey[TestPoint] = Alerts[[#This Row],[TestPoint]]
        )
      ),
      "Out of Tol",
      ""
    )
  )
)</f>
        <v/>
      </c>
    </row>
    <row r="38" spans="11:14" x14ac:dyDescent="0.2">
      <c r="K38" s="498"/>
      <c r="L38" s="137">
        <v>35</v>
      </c>
      <c r="N38" t="str" cm="1">
        <f t="array" ref="N38">IF(
  Main!O39 = "",
  "",
  IF(
    COUNTIF(Survey[TestPoint], Alerts[[#This Row],[TestPoint]]) = 0,
    "DROPPED",
    IF(
      OR(
        _xlfn._xlws.FILTER(
          Survey[OutOfTolerance],
          Survey[TestPoint] = Alerts[[#This Row],[TestPoint]]
        )
      ),
      "Out of Tol",
      ""
    )
  )
)</f>
        <v/>
      </c>
    </row>
    <row r="39" spans="11:14" x14ac:dyDescent="0.2">
      <c r="K39" s="498"/>
      <c r="L39" s="137">
        <v>36</v>
      </c>
      <c r="N39" t="str" cm="1">
        <f t="array" ref="N39">IF(
  Main!O40 = "",
  "",
  IF(
    COUNTIF(Survey[TestPoint], Alerts[[#This Row],[TestPoint]]) = 0,
    "DROPPED",
    IF(
      OR(
        _xlfn._xlws.FILTER(
          Survey[OutOfTolerance],
          Survey[TestPoint] = Alerts[[#This Row],[TestPoint]]
        )
      ),
      "Out of Tol",
      ""
    )
  )
)</f>
        <v/>
      </c>
    </row>
    <row r="40" spans="11:14" x14ac:dyDescent="0.2">
      <c r="K40" s="498"/>
      <c r="L40" s="137">
        <v>37</v>
      </c>
      <c r="N40" t="str" cm="1">
        <f t="array" ref="N40">IF(
  Main!O41 = "",
  "",
  IF(
    COUNTIF(Survey[TestPoint], Alerts[[#This Row],[TestPoint]]) = 0,
    "DROPPED",
    IF(
      OR(
        _xlfn._xlws.FILTER(
          Survey[OutOfTolerance],
          Survey[TestPoint] = Alerts[[#This Row],[TestPoint]]
        )
      ),
      "Out of Tol",
      ""
    )
  )
)</f>
        <v/>
      </c>
    </row>
    <row r="41" spans="11:14" x14ac:dyDescent="0.2">
      <c r="K41" s="498"/>
      <c r="L41" s="137">
        <v>38</v>
      </c>
      <c r="N41" t="str" cm="1">
        <f t="array" ref="N41">IF(
  Main!O42 = "",
  "",
  IF(
    COUNTIF(Survey[TestPoint], Alerts[[#This Row],[TestPoint]]) = 0,
    "DROPPED",
    IF(
      OR(
        _xlfn._xlws.FILTER(
          Survey[OutOfTolerance],
          Survey[TestPoint] = Alerts[[#This Row],[TestPoint]]
        )
      ),
      "Out of Tol",
      ""
    )
  )
)</f>
        <v/>
      </c>
    </row>
    <row r="42" spans="11:14" x14ac:dyDescent="0.2">
      <c r="K42" s="498"/>
      <c r="L42" s="137">
        <v>39</v>
      </c>
      <c r="N42" t="str" cm="1">
        <f t="array" ref="N42">IF(
  Main!O43 = "",
  "",
  IF(
    COUNTIF(Survey[TestPoint], Alerts[[#This Row],[TestPoint]]) = 0,
    "DROPPED",
    IF(
      OR(
        _xlfn._xlws.FILTER(
          Survey[OutOfTolerance],
          Survey[TestPoint] = Alerts[[#This Row],[TestPoint]]
        )
      ),
      "Out of Tol",
      ""
    )
  )
)</f>
        <v/>
      </c>
    </row>
    <row r="43" spans="11:14" x14ac:dyDescent="0.2">
      <c r="K43" s="498"/>
      <c r="L43" s="137">
        <v>40</v>
      </c>
      <c r="N43" t="str" cm="1">
        <f t="array" ref="N43">IF(
  Main!O44 = "",
  "",
  IF(
    COUNTIF(Survey[TestPoint], Alerts[[#This Row],[TestPoint]]) = 0,
    "DROPPED",
    IF(
      OR(
        _xlfn._xlws.FILTER(
          Survey[OutOfTolerance],
          Survey[TestPoint] = Alerts[[#This Row],[TestPoint]]
        )
      ),
      "Out of Tol",
      ""
    )
  )
)</f>
        <v/>
      </c>
    </row>
  </sheetData>
  <mergeCells count="2">
    <mergeCell ref="H1:I1"/>
    <mergeCell ref="K4:K43"/>
  </mergeCells>
  <phoneticPr fontId="20" type="noConversion"/>
  <pageMargins left="0.7" right="0.7" top="0.75" bottom="0.75" header="0.3" footer="0.3"/>
  <ignoredErrors>
    <ignoredError sqref="L4:L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9"/>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1" t="s">
        <v>856</v>
      </c>
    </row>
    <row r="2" spans="1:3" x14ac:dyDescent="0.2">
      <c r="A2" s="37"/>
      <c r="B2" s="37"/>
    </row>
    <row r="3" spans="1:3" x14ac:dyDescent="0.2">
      <c r="A3" s="37" t="s">
        <v>562</v>
      </c>
      <c r="B3" s="37" t="s">
        <v>563</v>
      </c>
      <c r="C3" s="37" t="s">
        <v>857</v>
      </c>
    </row>
    <row r="4" spans="1:3" x14ac:dyDescent="0.2">
      <c r="A4" s="390">
        <v>-100</v>
      </c>
      <c r="B4" s="390">
        <v>392</v>
      </c>
      <c r="C4" s="389">
        <v>1.6</v>
      </c>
    </row>
    <row r="5" spans="1:3" x14ac:dyDescent="0.2">
      <c r="A5" s="390">
        <v>392</v>
      </c>
      <c r="B5" s="390">
        <v>752</v>
      </c>
      <c r="C5" s="389">
        <v>4</v>
      </c>
    </row>
    <row r="6" spans="1:3" x14ac:dyDescent="0.2">
      <c r="A6" s="390">
        <v>752</v>
      </c>
      <c r="B6" s="390">
        <v>1200</v>
      </c>
      <c r="C6" s="389">
        <v>3</v>
      </c>
    </row>
    <row r="7" spans="1:3" x14ac:dyDescent="0.2">
      <c r="A7" s="390">
        <v>1200</v>
      </c>
      <c r="B7" s="390">
        <v>2000</v>
      </c>
      <c r="C7" s="389">
        <v>4.0999999999999996</v>
      </c>
    </row>
    <row r="8" spans="1:3" x14ac:dyDescent="0.2">
      <c r="A8" s="390">
        <v>1800</v>
      </c>
      <c r="B8" s="390">
        <v>2200</v>
      </c>
      <c r="C8" s="389">
        <v>4.0999999999999996</v>
      </c>
    </row>
  </sheetData>
  <sheetProtection algorithmName="SHA-512" hashValue="NnLSP3T4pRUThgRF93llpVKxeORXaZZcm5qBuKwvyhLEiY0a5lMee+FUEtxFbKo+9N4Z6poB0m2NnUhYfW0s3Q==" saltValue="5HSFtdiB+vZFj9A7sygE7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958</v>
      </c>
      <c r="G1" t="s">
        <v>959</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7" t="s">
        <v>396</v>
      </c>
      <c r="P1" t="s">
        <v>947</v>
      </c>
      <c r="Q1" t="s">
        <v>948</v>
      </c>
      <c r="R1" t="s">
        <v>949</v>
      </c>
      <c r="S1" t="s">
        <v>950</v>
      </c>
      <c r="T1" t="s">
        <v>951</v>
      </c>
      <c r="U1" t="s">
        <v>952</v>
      </c>
      <c r="X1" t="s">
        <v>952</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961</v>
      </c>
      <c r="Q5" s="37" t="s">
        <v>962</v>
      </c>
      <c r="S5" s="37"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80">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76" t="s">
        <v>970</v>
      </c>
      <c r="B1" s="321"/>
      <c r="C1" s="529" t="s">
        <v>50</v>
      </c>
      <c r="D1" s="530"/>
      <c r="E1" s="530"/>
      <c r="F1" s="530"/>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31" t="s">
        <v>102</v>
      </c>
      <c r="K3" s="532"/>
      <c r="L3" s="533"/>
      <c r="M3" s="304"/>
      <c r="N3" s="547" t="s">
        <v>91</v>
      </c>
      <c r="O3" s="547"/>
      <c r="P3" s="547"/>
      <c r="Q3" s="547"/>
      <c r="R3" s="547"/>
      <c r="S3" s="547"/>
      <c r="T3" s="472"/>
    </row>
    <row r="4" spans="1:22" s="279" customFormat="1" x14ac:dyDescent="0.2">
      <c r="A4" s="322"/>
      <c r="B4" s="141"/>
      <c r="C4" s="142" t="s">
        <v>228</v>
      </c>
      <c r="D4" s="286" t="str">
        <f>IF(Condition="","",Condition)</f>
        <v/>
      </c>
      <c r="E4" s="304"/>
      <c r="F4" s="304"/>
      <c r="G4" s="304"/>
      <c r="H4" s="304"/>
      <c r="I4" s="304"/>
      <c r="J4" s="536" t="s">
        <v>1</v>
      </c>
      <c r="K4" s="537"/>
      <c r="L4" s="143">
        <f>IFERROR(Survey!M2,0)</f>
        <v>0</v>
      </c>
      <c r="M4" s="304"/>
      <c r="N4" s="144" t="s">
        <v>90</v>
      </c>
      <c r="O4" s="145" t="s">
        <v>89</v>
      </c>
      <c r="P4" s="534" t="s">
        <v>100</v>
      </c>
      <c r="Q4" s="535"/>
      <c r="R4" s="144" t="s">
        <v>137</v>
      </c>
      <c r="S4" s="144" t="s">
        <v>141</v>
      </c>
      <c r="T4" s="472"/>
    </row>
    <row r="5" spans="1:22" s="279" customFormat="1" x14ac:dyDescent="0.2">
      <c r="A5" s="322"/>
      <c r="B5" s="141"/>
      <c r="C5" s="142" t="s">
        <v>41</v>
      </c>
      <c r="D5" s="551" t="e">
        <f>companyName</f>
        <v>#N/A</v>
      </c>
      <c r="E5" s="552"/>
      <c r="F5" s="552"/>
      <c r="G5" s="552"/>
      <c r="H5" s="553"/>
      <c r="I5" s="287"/>
      <c r="J5" s="536" t="s">
        <v>2</v>
      </c>
      <c r="K5" s="537"/>
      <c r="L5" s="143">
        <f>IFERROR(Survey!M3,0)</f>
        <v>0</v>
      </c>
      <c r="M5" s="304"/>
      <c r="N5" s="441">
        <v>1</v>
      </c>
      <c r="O5" s="146"/>
      <c r="P5" s="564" t="str">
        <f>VLOOKUP(N5,Alerts[],3,FALSE)</f>
        <v/>
      </c>
      <c r="Q5" s="565"/>
      <c r="R5" s="442" t="str" cm="1">
        <f t="array" ref="R5">IFZERO(VLOOKUP(N5,Alerts[],4,FALSE),"")</f>
        <v/>
      </c>
      <c r="S5" s="147" t="str" cm="1">
        <f t="array" ref="S5">IFZERO(VLOOKUP(N5,Alerts[],5,FALSE),"")</f>
        <v/>
      </c>
      <c r="T5" s="472"/>
    </row>
    <row r="6" spans="1:22" s="279" customFormat="1" x14ac:dyDescent="0.2">
      <c r="A6" s="322"/>
      <c r="B6" s="141"/>
      <c r="C6" s="142" t="s">
        <v>40</v>
      </c>
      <c r="D6" s="548" t="e">
        <f>VLOOKUP("assetName",WorkItemDetails[],2,FALSE)</f>
        <v>#N/A</v>
      </c>
      <c r="E6" s="549"/>
      <c r="F6" s="549"/>
      <c r="G6" s="549"/>
      <c r="H6" s="550"/>
      <c r="J6" s="536" t="s">
        <v>101</v>
      </c>
      <c r="K6" s="537"/>
      <c r="L6" s="143">
        <f>L4-L5</f>
        <v>0</v>
      </c>
      <c r="M6" s="304"/>
      <c r="N6" s="441">
        <v>2</v>
      </c>
      <c r="O6" s="146"/>
      <c r="P6" s="564" t="str">
        <f>VLOOKUP(N6,Alerts[],3,FALSE)</f>
        <v/>
      </c>
      <c r="Q6" s="565"/>
      <c r="R6" s="442" t="str" cm="1">
        <f t="array" ref="R6">IFZERO(VLOOKUP(N6,Alerts[],4,FALSE),"")</f>
        <v/>
      </c>
      <c r="S6" s="147" t="str" cm="1">
        <f t="array" ref="S6">IFZERO(VLOOKUP(N6,Alerts[],5,FALSE),"")</f>
        <v/>
      </c>
      <c r="T6" s="472"/>
    </row>
    <row r="7" spans="1:22" s="279" customFormat="1" x14ac:dyDescent="0.2">
      <c r="A7" s="322"/>
      <c r="B7" s="148"/>
      <c r="C7" s="149" t="s">
        <v>27</v>
      </c>
      <c r="D7" s="393" t="str" cm="1">
        <f t="array" ref="D7">Employee[Name]</f>
        <v>Jeff Hall</v>
      </c>
      <c r="E7" s="304"/>
      <c r="F7" s="304"/>
      <c r="G7" s="304"/>
      <c r="H7" s="304"/>
      <c r="I7" s="304"/>
      <c r="J7" s="325"/>
      <c r="K7" s="325"/>
      <c r="L7" s="325"/>
      <c r="M7" s="304"/>
      <c r="N7" s="441">
        <v>3</v>
      </c>
      <c r="O7" s="146"/>
      <c r="P7" s="564" t="str">
        <f>VLOOKUP(N7,Alerts[],3,FALSE)</f>
        <v/>
      </c>
      <c r="Q7" s="565"/>
      <c r="R7" s="442" t="str" cm="1">
        <f t="array" ref="R7">IFZERO(VLOOKUP(N7,Alerts[],4,FALSE),"")</f>
        <v/>
      </c>
      <c r="S7" s="147" t="str" cm="1">
        <f t="array" ref="S7">IFZERO(VLOOKUP(N7,Alerts[],5,FALSE),"")</f>
        <v/>
      </c>
      <c r="T7" s="472"/>
    </row>
    <row r="8" spans="1:22" s="279" customFormat="1" x14ac:dyDescent="0.2">
      <c r="A8" s="322"/>
      <c r="B8" s="319"/>
      <c r="C8" s="326"/>
      <c r="D8" s="327"/>
      <c r="E8" s="304"/>
      <c r="F8" s="328" t="str">
        <f>IF(N49="","CHECK TUNING CONSTANTS","")</f>
        <v>CHECK TUNING CONSTANTS</v>
      </c>
      <c r="G8" s="304"/>
      <c r="H8" s="304"/>
      <c r="I8" s="304"/>
      <c r="J8" s="304"/>
      <c r="K8" s="304"/>
      <c r="L8" s="304"/>
      <c r="M8" s="304"/>
      <c r="N8" s="441">
        <v>4</v>
      </c>
      <c r="O8" s="146"/>
      <c r="P8" s="564" t="str">
        <f>VLOOKUP(N8,Alerts[],3,FALSE)</f>
        <v/>
      </c>
      <c r="Q8" s="565"/>
      <c r="R8" s="442" t="str" cm="1">
        <f t="array" ref="R8">IFZERO(VLOOKUP(N8,Alerts[],4,FALSE),"")</f>
        <v/>
      </c>
      <c r="S8" s="147" t="str" cm="1">
        <f t="array" ref="S8">IFZERO(VLOOKUP(N8,Alerts[],5,FALSE),"")</f>
        <v/>
      </c>
      <c r="T8" s="472"/>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41">
        <v>5</v>
      </c>
      <c r="O9" s="146"/>
      <c r="P9" s="564" t="str">
        <f>VLOOKUP(N9,Alerts[],3,FALSE)</f>
        <v/>
      </c>
      <c r="Q9" s="565"/>
      <c r="R9" s="442" t="str" cm="1">
        <f t="array" ref="R9">IFZERO(VLOOKUP(N9,Alerts[],4,FALSE),"")</f>
        <v/>
      </c>
      <c r="S9" s="147" t="str" cm="1">
        <f t="array" ref="S9">IFZERO(VLOOKUP(N9,Alerts[],5,FALSE),"")</f>
        <v/>
      </c>
      <c r="T9" s="472"/>
    </row>
    <row r="10" spans="1:22" s="279" customFormat="1" x14ac:dyDescent="0.2">
      <c r="A10" s="322"/>
      <c r="B10" s="319"/>
      <c r="C10" s="320"/>
      <c r="D10" s="304"/>
      <c r="E10" s="304"/>
      <c r="F10" s="304"/>
      <c r="G10" s="305" t="str">
        <f>IFERROR(IF(OR(Survey[OutOfTolerance]),"!!!!! OVEN IS OOT !!!!!",""),"")</f>
        <v/>
      </c>
      <c r="H10" s="304"/>
      <c r="I10" s="304"/>
      <c r="J10" s="304"/>
      <c r="K10" s="304"/>
      <c r="L10" s="304"/>
      <c r="M10" s="304"/>
      <c r="N10" s="441">
        <v>6</v>
      </c>
      <c r="O10" s="146"/>
      <c r="P10" s="564" t="str">
        <f>VLOOKUP(N10,Alerts[],3,FALSE)</f>
        <v/>
      </c>
      <c r="Q10" s="565"/>
      <c r="R10" s="442" t="str" cm="1">
        <f t="array" ref="R10">IFZERO(VLOOKUP(N10,Alerts[],4,FALSE),"")</f>
        <v/>
      </c>
      <c r="S10" s="147" t="str" cm="1">
        <f t="array" ref="S10">IFZERO(VLOOKUP(N10,Alerts[],5,FALSE),"")</f>
        <v/>
      </c>
      <c r="T10" s="472"/>
    </row>
    <row r="11" spans="1:22" s="279" customFormat="1" x14ac:dyDescent="0.2">
      <c r="A11" s="322"/>
      <c r="B11" s="141"/>
      <c r="C11" s="150" t="s">
        <v>53</v>
      </c>
      <c r="D11" s="471" t="e">
        <f>VLOOKUP("serial_number",DaqbookServiceRecord[], 2, FALSE)</f>
        <v>#N/A</v>
      </c>
      <c r="E11" s="304"/>
      <c r="F11" s="304"/>
      <c r="G11" s="305" t="str">
        <f>IF(OR(ISBLANK(D3),ISBLANK(D13)),"",IF(D13&lt;D3,"!!!!! DAQBOOK IS OUT OF CERTIFICATION !!!!!",""))</f>
        <v/>
      </c>
      <c r="H11" s="304"/>
      <c r="I11" s="304"/>
      <c r="J11" s="304"/>
      <c r="K11" s="304"/>
      <c r="L11" s="304"/>
      <c r="M11" s="304"/>
      <c r="N11" s="441">
        <v>7</v>
      </c>
      <c r="O11" s="146"/>
      <c r="P11" s="564" t="str">
        <f>VLOOKUP(N11,Alerts[],3,FALSE)</f>
        <v/>
      </c>
      <c r="Q11" s="565"/>
      <c r="R11" s="442" t="str" cm="1">
        <f t="array" ref="R11">IFZERO(VLOOKUP(N11,Alerts[],4,FALSE),"")</f>
        <v/>
      </c>
      <c r="S11" s="147" t="str" cm="1">
        <f t="array" ref="S11">IFZERO(VLOOKUP(N11,Alerts[],5,FALSE),"")</f>
        <v/>
      </c>
      <c r="T11" s="472"/>
    </row>
    <row r="12" spans="1:22" s="279" customFormat="1" x14ac:dyDescent="0.2">
      <c r="A12" s="322"/>
      <c r="B12" s="141"/>
      <c r="C12" s="150" t="s">
        <v>87</v>
      </c>
      <c r="D12" s="280" t="e">
        <f>VLOOKUP("service_date",DaqbookServiceRecord[], 2, FALSE)</f>
        <v>#N/A</v>
      </c>
      <c r="E12" s="304"/>
      <c r="F12" s="304"/>
      <c r="G12" s="305" t="str">
        <f>IF(IF(COUNTIFS(DataForChannels1to14[],"&gt;"&amp;B2,DataForChannels1to14[],"&lt;"&amp;(B2+200))&gt;0,1,0)=1,"!!!!! OVEN OVERSHOT IN POINTS 1-14 !!!!!","")</f>
        <v/>
      </c>
      <c r="H12" s="304"/>
      <c r="I12" s="304"/>
      <c r="J12" s="325"/>
      <c r="K12" s="308"/>
      <c r="L12" s="325"/>
      <c r="M12" s="308"/>
      <c r="N12" s="441">
        <v>8</v>
      </c>
      <c r="O12" s="146"/>
      <c r="P12" s="564" t="str">
        <f>VLOOKUP(N12,Alerts[],3,FALSE)</f>
        <v/>
      </c>
      <c r="Q12" s="565"/>
      <c r="R12" s="442" t="str" cm="1">
        <f t="array" ref="R12">IFZERO(VLOOKUP(N12,Alerts[],4,FALSE),"")</f>
        <v/>
      </c>
      <c r="S12" s="147" t="str" cm="1">
        <f t="array" ref="S12">IFZERO(VLOOKUP(N12,Alerts[],5,FALSE),"")</f>
        <v/>
      </c>
      <c r="T12" s="472"/>
    </row>
    <row r="13" spans="1:22" s="279" customFormat="1" x14ac:dyDescent="0.2">
      <c r="A13" s="322"/>
      <c r="B13" s="151"/>
      <c r="C13" s="152" t="s">
        <v>86</v>
      </c>
      <c r="D13" s="280" t="e">
        <f>VLOOKUP("next_service_date",DaqbookServiceRecord[], 2, FALSE)</f>
        <v>#N/A</v>
      </c>
      <c r="E13" s="304"/>
      <c r="F13" s="329"/>
      <c r="G13" s="320" t="str">
        <f>IF(IF(COUNTIFS(DataForChannels15to28[],"&gt;"&amp;B2,DataForChannels15to28[],"&lt;"&amp;(B2+200))&gt;0,1,0)=1,"!!!!! OVEN OVERSHOT IN POINTS 15-28 !!!!!","")</f>
        <v/>
      </c>
      <c r="H13" s="304"/>
      <c r="I13" s="304"/>
      <c r="J13" s="240" t="s">
        <v>321</v>
      </c>
      <c r="K13" s="545" t="str">
        <f>IFERROR(VLOOKUP("PoNumber",WorkItemDetails[],2,FALSE),"")</f>
        <v/>
      </c>
      <c r="L13" s="546"/>
      <c r="M13" s="304"/>
      <c r="N13" s="441">
        <v>9</v>
      </c>
      <c r="O13" s="146"/>
      <c r="P13" s="564" t="str">
        <f>VLOOKUP(N13,Alerts[],3,FALSE)</f>
        <v/>
      </c>
      <c r="Q13" s="565"/>
      <c r="R13" s="442" t="str" cm="1">
        <f t="array" ref="R13">IFZERO(VLOOKUP(N13,Alerts[],4,FALSE),"")</f>
        <v/>
      </c>
      <c r="S13" s="147" t="str" cm="1">
        <f t="array" ref="S13">IFZERO(VLOOKUP(N13,Alerts[],5,FALSE),"")</f>
        <v/>
      </c>
      <c r="T13" s="472"/>
    </row>
    <row r="14" spans="1:22" s="279" customFormat="1" x14ac:dyDescent="0.2">
      <c r="A14" s="322"/>
      <c r="B14" s="141"/>
      <c r="C14" s="150" t="s">
        <v>88</v>
      </c>
      <c r="D14" s="471" t="e">
        <f>VLOOKUP("certificate_number",DaqbookServiceRecord[], 2, FALSE)</f>
        <v>#N/A</v>
      </c>
      <c r="E14" s="304"/>
      <c r="F14" s="304"/>
      <c r="G14" s="305" t="str">
        <f>IF(IF(COUNTIFS(DataForChannels29to40[],"&gt;"&amp;B2,DataForChannels29to40[],"&lt;"&amp;(B2+200))&gt;0,1,0)=1,"!!!!! OVEN OVERSHOT IN POINTS 29-40 !!!!!","")</f>
        <v/>
      </c>
      <c r="H14" s="304"/>
      <c r="I14" s="304"/>
      <c r="J14" s="153" t="s">
        <v>136</v>
      </c>
      <c r="K14" s="554"/>
      <c r="L14" s="555"/>
      <c r="M14" s="304"/>
      <c r="N14" s="441">
        <v>10</v>
      </c>
      <c r="O14" s="146"/>
      <c r="P14" s="564" t="str">
        <f>VLOOKUP(N14,Alerts[],3,FALSE)</f>
        <v/>
      </c>
      <c r="Q14" s="565"/>
      <c r="R14" s="442" t="str" cm="1">
        <f t="array" ref="R14">IFZERO(VLOOKUP(N14,Alerts[],4,FALSE),"")</f>
        <v/>
      </c>
      <c r="S14" s="147" t="str" cm="1">
        <f t="array" ref="S14">IFZERO(VLOOKUP(N14,Alerts[],5,FALSE),"")</f>
        <v/>
      </c>
      <c r="T14" s="472"/>
    </row>
    <row r="15" spans="1:22" s="279" customFormat="1" x14ac:dyDescent="0.2">
      <c r="A15" s="322"/>
      <c r="B15" s="188"/>
      <c r="C15" s="186" t="s">
        <v>65</v>
      </c>
      <c r="D15" s="297"/>
      <c r="E15" s="304"/>
      <c r="F15" s="304"/>
      <c r="G15" s="304"/>
      <c r="H15" s="458" t="b">
        <v>1</v>
      </c>
      <c r="I15" s="304"/>
      <c r="J15" s="154" t="s">
        <v>131</v>
      </c>
      <c r="K15" s="540"/>
      <c r="L15" s="541"/>
      <c r="M15" s="304"/>
      <c r="N15" s="441">
        <v>11</v>
      </c>
      <c r="O15" s="146"/>
      <c r="P15" s="564" t="str">
        <f>VLOOKUP(N15,Alerts[],3,FALSE)</f>
        <v/>
      </c>
      <c r="Q15" s="565"/>
      <c r="R15" s="442" t="str" cm="1">
        <f t="array" ref="R15">IFZERO(VLOOKUP(N15,Alerts[],4,FALSE),"")</f>
        <v/>
      </c>
      <c r="S15" s="147" t="str" cm="1">
        <f t="array" ref="S15">IFZERO(VLOOKUP(N15,Alerts[],5,FALSE),"")</f>
        <v/>
      </c>
      <c r="T15" s="472"/>
    </row>
    <row r="16" spans="1:22" s="279" customFormat="1" x14ac:dyDescent="0.2">
      <c r="A16" s="322"/>
      <c r="B16" s="155"/>
      <c r="C16" s="187" t="s">
        <v>262</v>
      </c>
      <c r="D16" s="297"/>
      <c r="E16" s="304"/>
      <c r="F16" s="153" t="s">
        <v>77</v>
      </c>
      <c r="G16" s="421" t="s">
        <v>265</v>
      </c>
      <c r="H16" s="422"/>
      <c r="I16" s="304"/>
      <c r="J16" s="502" t="s">
        <v>161</v>
      </c>
      <c r="K16" s="503"/>
      <c r="L16" s="285"/>
      <c r="M16" s="304"/>
      <c r="N16" s="441">
        <v>12</v>
      </c>
      <c r="O16" s="146"/>
      <c r="P16" s="564" t="str">
        <f>VLOOKUP(N16,Alerts[],3,FALSE)</f>
        <v/>
      </c>
      <c r="Q16" s="565"/>
      <c r="R16" s="442" t="str" cm="1">
        <f t="array" ref="R16">IFZERO(VLOOKUP(N16,Alerts[],4,FALSE),"")</f>
        <v/>
      </c>
      <c r="S16" s="147" t="str" cm="1">
        <f t="array" ref="S16">IFZERO(VLOOKUP(N16,Alerts[],5,FALSE),"")</f>
        <v/>
      </c>
      <c r="T16" s="472"/>
    </row>
    <row r="17" spans="1:22" s="279" customFormat="1" x14ac:dyDescent="0.2">
      <c r="A17" s="322"/>
      <c r="B17" s="141"/>
      <c r="C17" s="142" t="s">
        <v>64</v>
      </c>
      <c r="D17" s="298"/>
      <c r="E17" s="304"/>
      <c r="F17" s="154" t="s">
        <v>96</v>
      </c>
      <c r="G17" s="394" t="str">
        <f>IF(ISBLANK(Load),"",Load)</f>
        <v/>
      </c>
      <c r="H17" s="304"/>
      <c r="I17" s="305"/>
      <c r="J17" s="502" t="s">
        <v>162</v>
      </c>
      <c r="K17" s="503"/>
      <c r="L17" s="157" t="str">
        <f>IF(K15="SIM Load Hot",TEXT(D26,"hh:mm"),"")</f>
        <v/>
      </c>
      <c r="M17" s="304"/>
      <c r="N17" s="441">
        <v>13</v>
      </c>
      <c r="O17" s="146"/>
      <c r="P17" s="564" t="str">
        <f>VLOOKUP(N17,Alerts[],3,FALSE)</f>
        <v/>
      </c>
      <c r="Q17" s="565"/>
      <c r="R17" s="442" t="str" cm="1">
        <f t="array" ref="R17">IFZERO(VLOOKUP(N17,Alerts[],4,FALSE),"")</f>
        <v/>
      </c>
      <c r="S17" s="147" t="str" cm="1">
        <f t="array" ref="S17">IFZERO(VLOOKUP(N17,Alerts[],5,FALSE),"")</f>
        <v/>
      </c>
      <c r="T17" s="472"/>
    </row>
    <row r="18" spans="1:22" s="279" customFormat="1" x14ac:dyDescent="0.2">
      <c r="A18" s="322"/>
      <c r="B18" s="151"/>
      <c r="C18" s="158" t="s">
        <v>67</v>
      </c>
      <c r="D18" s="283"/>
      <c r="E18" s="304"/>
      <c r="F18" s="159" t="s">
        <v>78</v>
      </c>
      <c r="G18" s="556" t="s">
        <v>19</v>
      </c>
      <c r="H18" s="557"/>
      <c r="I18" s="305"/>
      <c r="J18" s="330"/>
      <c r="K18" s="304"/>
      <c r="L18" s="305"/>
      <c r="M18" s="304"/>
      <c r="N18" s="441">
        <v>14</v>
      </c>
      <c r="O18" s="146"/>
      <c r="P18" s="564" t="str">
        <f>VLOOKUP(N18,Alerts[],3,FALSE)</f>
        <v/>
      </c>
      <c r="Q18" s="565"/>
      <c r="R18" s="442" t="str" cm="1">
        <f t="array" ref="R18">IFZERO(VLOOKUP(N18,Alerts[],4,FALSE),"")</f>
        <v/>
      </c>
      <c r="S18" s="147" t="str" cm="1">
        <f t="array" ref="S18">IFZERO(VLOOKUP(N18,Alerts[],5,FALSE),"")</f>
        <v/>
      </c>
      <c r="T18" s="472"/>
    </row>
    <row r="19" spans="1:22" s="279" customFormat="1" x14ac:dyDescent="0.2">
      <c r="A19" s="322"/>
      <c r="B19" s="141"/>
      <c r="C19" s="142" t="s">
        <v>10</v>
      </c>
      <c r="D19" s="479">
        <f>Tolerances</f>
        <v>0</v>
      </c>
      <c r="E19" s="304"/>
      <c r="F19" s="154" t="s">
        <v>79</v>
      </c>
      <c r="G19" s="538" t="str">
        <f>IF(K15="Salt",0, IF(OR(K15="Hot",K15="SIM Load Hot"),IF(OR(D26="",D28=""),"N/A",IF(ISBLANK(D26),"N/A",D28-D26)),"N/A"))</f>
        <v>N/A</v>
      </c>
      <c r="H19" s="539"/>
      <c r="I19" s="331" t="str">
        <f>IF(G19="N/A","N/A",IF(G19=0,"&lt;2",ROUND(IF(LEN(G19)&gt;3,G19*1440,RIGHT(TEXT(G19,"hh:mm"),2)),0))&amp;" MINUTES")</f>
        <v>N/A</v>
      </c>
      <c r="J19" s="474">
        <f>V21</f>
        <v>40</v>
      </c>
      <c r="K19" s="304"/>
      <c r="L19" s="305"/>
      <c r="M19" s="304"/>
      <c r="N19" s="441">
        <v>15</v>
      </c>
      <c r="O19" s="146"/>
      <c r="P19" s="564" t="str">
        <f>VLOOKUP(N19,Alerts[],3,FALSE)</f>
        <v/>
      </c>
      <c r="Q19" s="565"/>
      <c r="R19" s="442" t="str" cm="1">
        <f t="array" ref="R19">IFZERO(VLOOKUP(N19,Alerts[],4,FALSE),"")</f>
        <v/>
      </c>
      <c r="S19" s="147" t="str" cm="1">
        <f t="array" ref="S19">IFZERO(VLOOKUP(N19,Alerts[],5,FALSE),"")</f>
        <v/>
      </c>
      <c r="T19" s="472"/>
      <c r="U19" s="287" t="s">
        <v>946</v>
      </c>
      <c r="V19" s="287">
        <f>L20</f>
        <v>1</v>
      </c>
    </row>
    <row r="20" spans="1:22" s="279" customFormat="1" ht="13.7" customHeight="1" x14ac:dyDescent="0.2">
      <c r="A20" s="185"/>
      <c r="B20" s="542" t="s">
        <v>966</v>
      </c>
      <c r="C20" s="543"/>
      <c r="D20" s="392" t="str">
        <f>"±"&amp;SAT_Tolerance&amp;"°F"</f>
        <v>±0°F</v>
      </c>
      <c r="E20" s="456"/>
      <c r="F20" s="304"/>
      <c r="G20" s="304"/>
      <c r="H20" s="304"/>
      <c r="I20" s="305"/>
      <c r="J20" s="304"/>
      <c r="K20" s="304"/>
      <c r="L20" s="457">
        <v>1</v>
      </c>
      <c r="M20" s="304"/>
      <c r="N20" s="441">
        <v>16</v>
      </c>
      <c r="O20" s="146"/>
      <c r="P20" s="564" t="str">
        <f>VLOOKUP(N20,Alerts[],3,FALSE)</f>
        <v/>
      </c>
      <c r="Q20" s="565"/>
      <c r="R20" s="442" t="str" cm="1">
        <f t="array" ref="R20">IFZERO(VLOOKUP(N20,Alerts[],4,FALSE),"")</f>
        <v/>
      </c>
      <c r="S20" s="147" t="str" cm="1">
        <f t="array" ref="S20">IFZERO(VLOOKUP(N20,Alerts[],5,FALSE),"")</f>
        <v/>
      </c>
      <c r="T20" s="472"/>
      <c r="U20" s="287" t="s">
        <v>945</v>
      </c>
      <c r="V20" s="287">
        <f>(V19-1)*14</f>
        <v>0</v>
      </c>
    </row>
    <row r="21" spans="1:22" s="279" customFormat="1" x14ac:dyDescent="0.2">
      <c r="A21" s="322"/>
      <c r="B21" s="319"/>
      <c r="C21" s="332"/>
      <c r="D21" s="327"/>
      <c r="E21" s="304"/>
      <c r="F21" s="304"/>
      <c r="G21" s="304"/>
      <c r="H21" s="304"/>
      <c r="I21" s="305"/>
      <c r="J21" s="304"/>
      <c r="K21" s="304"/>
      <c r="L21" s="305"/>
      <c r="M21" s="304"/>
      <c r="N21" s="441">
        <v>17</v>
      </c>
      <c r="O21" s="146"/>
      <c r="P21" s="564" t="str">
        <f>VLOOKUP(N21,Alerts[],3,FALSE)</f>
        <v/>
      </c>
      <c r="Q21" s="565"/>
      <c r="R21" s="442" t="str" cm="1">
        <f t="array" ref="R21">IFZERO(VLOOKUP(N21,Alerts[],4,FALSE),"")</f>
        <v/>
      </c>
      <c r="S21" s="147" t="str" cm="1">
        <f t="array" ref="S21">IFZERO(VLOOKUP(N21,Alerts[],5,FALSE),"")</f>
        <v/>
      </c>
      <c r="T21" s="472"/>
      <c r="U21" s="287" t="s">
        <v>944</v>
      </c>
      <c r="V21" s="475">
        <f>IF(D17=0,40,D17)</f>
        <v>40</v>
      </c>
    </row>
    <row r="22" spans="1:22" s="279" customFormat="1" x14ac:dyDescent="0.2">
      <c r="A22" s="322"/>
      <c r="B22" s="155"/>
      <c r="C22" s="156" t="s">
        <v>42</v>
      </c>
      <c r="D22" s="282"/>
      <c r="E22" s="304"/>
      <c r="F22" s="333"/>
      <c r="G22" s="304"/>
      <c r="H22" s="304"/>
      <c r="I22" s="305"/>
      <c r="J22" s="304"/>
      <c r="K22" s="304"/>
      <c r="L22" s="305"/>
      <c r="M22" s="304"/>
      <c r="N22" s="441">
        <v>18</v>
      </c>
      <c r="O22" s="146"/>
      <c r="P22" s="564" t="str">
        <f>VLOOKUP(N22,Alerts[],3,FALSE)</f>
        <v/>
      </c>
      <c r="Q22" s="565"/>
      <c r="R22" s="442" t="str" cm="1">
        <f t="array" ref="R22">IFZERO(VLOOKUP(N22,Alerts[],4,FALSE),"")</f>
        <v/>
      </c>
      <c r="S22" s="147" t="str" cm="1">
        <f t="array" ref="S22">IFZERO(VLOOKUP(N22,Alerts[],5,FALSE),"")</f>
        <v/>
      </c>
      <c r="T22" s="472"/>
      <c r="U22" s="287" t="s">
        <v>943</v>
      </c>
      <c r="V22" s="287">
        <f>V20+1</f>
        <v>1</v>
      </c>
    </row>
    <row r="23" spans="1:22" s="279" customFormat="1" x14ac:dyDescent="0.2">
      <c r="A23" s="322"/>
      <c r="B23" s="141"/>
      <c r="C23" s="424" t="s">
        <v>909</v>
      </c>
      <c r="D23" s="283"/>
      <c r="E23" s="304"/>
      <c r="F23" s="160" t="s">
        <v>97</v>
      </c>
      <c r="G23" s="519" t="s">
        <v>368</v>
      </c>
      <c r="H23" s="520"/>
      <c r="I23" s="520"/>
      <c r="J23" s="520"/>
      <c r="K23" s="521"/>
      <c r="L23" s="305"/>
      <c r="M23" s="304"/>
      <c r="N23" s="441">
        <v>19</v>
      </c>
      <c r="O23" s="146"/>
      <c r="P23" s="564" t="str">
        <f>VLOOKUP(N23,Alerts[],3,FALSE)</f>
        <v/>
      </c>
      <c r="Q23" s="565"/>
      <c r="R23" s="442" t="str" cm="1">
        <f t="array" ref="R23">IFZERO(VLOOKUP(N23,Alerts[],4,FALSE),"")</f>
        <v/>
      </c>
      <c r="S23" s="147" t="str" cm="1">
        <f t="array" ref="S23">IFZERO(VLOOKUP(N23,Alerts[],5,FALSE),"")</f>
        <v/>
      </c>
      <c r="T23" s="472"/>
      <c r="U23" s="287" t="s">
        <v>942</v>
      </c>
      <c r="V23" s="287">
        <f>V20+V21</f>
        <v>40</v>
      </c>
    </row>
    <row r="24" spans="1:22" s="279" customFormat="1" x14ac:dyDescent="0.2">
      <c r="A24" s="322"/>
      <c r="B24" s="542" t="s">
        <v>549</v>
      </c>
      <c r="C24" s="544"/>
      <c r="D24" s="283">
        <v>1</v>
      </c>
      <c r="E24" s="304"/>
      <c r="F24" s="160" t="s">
        <v>98</v>
      </c>
      <c r="G24" s="522"/>
      <c r="H24" s="523"/>
      <c r="I24" s="523"/>
      <c r="J24" s="523"/>
      <c r="K24" s="524"/>
      <c r="L24" s="305"/>
      <c r="M24" s="304"/>
      <c r="N24" s="441">
        <v>20</v>
      </c>
      <c r="O24" s="146"/>
      <c r="P24" s="564" t="str">
        <f>VLOOKUP(N24,Alerts[],3,FALSE)</f>
        <v/>
      </c>
      <c r="Q24" s="565"/>
      <c r="R24" s="442" t="str" cm="1">
        <f t="array" ref="R24">IFZERO(VLOOKUP(N24,Alerts[],4,FALSE),"")</f>
        <v/>
      </c>
      <c r="S24" s="147" t="str" cm="1">
        <f t="array" ref="S24">IFZERO(VLOOKUP(N24,Alerts[],5,FALSE),"")</f>
        <v/>
      </c>
      <c r="T24" s="472"/>
      <c r="U24" s="287" t="s">
        <v>941</v>
      </c>
      <c r="V24" s="287" t="str">
        <f>IF(V19=1,"","DaqBook points "&amp;V22&amp;"-"&amp;V23&amp;" used.")</f>
        <v/>
      </c>
    </row>
    <row r="25" spans="1:22" s="279" customFormat="1" x14ac:dyDescent="0.2">
      <c r="A25" s="322"/>
      <c r="B25" s="319"/>
      <c r="C25" s="320"/>
      <c r="D25" s="327"/>
      <c r="E25" s="304"/>
      <c r="F25" s="160" t="s">
        <v>99</v>
      </c>
      <c r="G25" s="522"/>
      <c r="H25" s="523"/>
      <c r="I25" s="523"/>
      <c r="J25" s="523"/>
      <c r="K25" s="524"/>
      <c r="L25" s="305"/>
      <c r="M25" s="304"/>
      <c r="N25" s="441">
        <v>21</v>
      </c>
      <c r="O25" s="146"/>
      <c r="P25" s="564" t="str">
        <f>VLOOKUP(N25,Alerts[],3,FALSE)</f>
        <v/>
      </c>
      <c r="Q25" s="565"/>
      <c r="R25" s="442" t="str" cm="1">
        <f t="array" ref="R25">IFZERO(VLOOKUP(N25,Alerts[],4,FALSE),"")</f>
        <v/>
      </c>
      <c r="S25" s="147" t="str" cm="1">
        <f t="array" ref="S25">IFZERO(VLOOKUP(N25,Alerts[],5,FALSE),"")</f>
        <v/>
      </c>
      <c r="T25" s="472"/>
    </row>
    <row r="26" spans="1:22" s="279" customFormat="1" x14ac:dyDescent="0.2">
      <c r="A26" s="322"/>
      <c r="B26" s="155"/>
      <c r="C26" s="156" t="s">
        <v>60</v>
      </c>
      <c r="D26" s="293"/>
      <c r="E26" s="306" t="str">
        <f>TEXT(D26,"hh:mm")</f>
        <v>00:00</v>
      </c>
      <c r="F26" s="305"/>
      <c r="G26" s="305"/>
      <c r="H26" s="305"/>
      <c r="I26" s="305"/>
      <c r="J26" s="305"/>
      <c r="K26" s="305"/>
      <c r="L26" s="305"/>
      <c r="M26" s="304"/>
      <c r="N26" s="441">
        <v>22</v>
      </c>
      <c r="O26" s="146"/>
      <c r="P26" s="564" t="str">
        <f>VLOOKUP(N26,Alerts[],3,FALSE)</f>
        <v/>
      </c>
      <c r="Q26" s="565"/>
      <c r="R26" s="442" t="str" cm="1">
        <f t="array" ref="R26">IFZERO(VLOOKUP(N26,Alerts[],4,FALSE),"")</f>
        <v/>
      </c>
      <c r="S26" s="147" t="str" cm="1">
        <f t="array" ref="S26">IFZERO(VLOOKUP(N26,Alerts[],5,FALSE),"")</f>
        <v/>
      </c>
      <c r="T26" s="472"/>
    </row>
    <row r="27" spans="1:22" s="279" customFormat="1" x14ac:dyDescent="0.2">
      <c r="A27" s="322"/>
      <c r="B27" s="161">
        <v>10</v>
      </c>
      <c r="C27" s="142" t="s">
        <v>61</v>
      </c>
      <c r="D27" s="293"/>
      <c r="E27" s="306"/>
      <c r="F27" s="240" t="s">
        <v>268</v>
      </c>
      <c r="G27" s="239" t="str">
        <f>G28</f>
        <v/>
      </c>
      <c r="H27" s="517" t="str">
        <f>IF(ISBLANK(D6),"",IF(CheckRec="x","CHECK INSTRUMENT CAL DATES!!!!             CHECK INSTRUMENT CAL DATES!!!!",""))</f>
        <v/>
      </c>
      <c r="I27" s="518"/>
      <c r="J27" s="518"/>
      <c r="K27" s="518"/>
      <c r="L27" s="305"/>
      <c r="M27" s="304"/>
      <c r="N27" s="441">
        <v>23</v>
      </c>
      <c r="O27" s="146"/>
      <c r="P27" s="564" t="str">
        <f>VLOOKUP(N27,Alerts[],3,FALSE)</f>
        <v/>
      </c>
      <c r="Q27" s="565"/>
      <c r="R27" s="442" t="str" cm="1">
        <f t="array" ref="R27">IFZERO(VLOOKUP(N27,Alerts[],4,FALSE),"")</f>
        <v/>
      </c>
      <c r="S27" s="147" t="str" cm="1">
        <f t="array" ref="S27">IFZERO(VLOOKUP(N27,Alerts[],5,FALSE),"")</f>
        <v/>
      </c>
      <c r="T27" s="472"/>
    </row>
    <row r="28" spans="1:22" s="279" customFormat="1" x14ac:dyDescent="0.2">
      <c r="A28" s="322"/>
      <c r="B28" s="162">
        <v>30</v>
      </c>
      <c r="C28" s="158" t="s">
        <v>62</v>
      </c>
      <c r="D28" s="293"/>
      <c r="E28" s="306"/>
      <c r="F28" s="240" t="s">
        <v>269</v>
      </c>
      <c r="G28" s="239" t="str">
        <f>IF(CheckRec="y","Cal by Customer",IF(D$3,D$3,""))</f>
        <v/>
      </c>
      <c r="H28" s="517"/>
      <c r="I28" s="518"/>
      <c r="J28" s="518"/>
      <c r="K28" s="518"/>
      <c r="L28" s="305"/>
      <c r="M28" s="304"/>
      <c r="N28" s="441">
        <v>24</v>
      </c>
      <c r="O28" s="146"/>
      <c r="P28" s="564" t="str">
        <f>VLOOKUP(N28,Alerts[],3,FALSE)</f>
        <v/>
      </c>
      <c r="Q28" s="565"/>
      <c r="R28" s="442" t="str" cm="1">
        <f t="array" ref="R28">IFZERO(VLOOKUP(N28,Alerts[],4,FALSE),"")</f>
        <v/>
      </c>
      <c r="S28" s="147" t="str" cm="1">
        <f t="array" ref="S28">IFZERO(VLOOKUP(N28,Alerts[],5,FALSE),"")</f>
        <v/>
      </c>
      <c r="T28" s="472"/>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41">
        <v>25</v>
      </c>
      <c r="O29" s="146"/>
      <c r="P29" s="564" t="str">
        <f>VLOOKUP(N29,Alerts[],3,FALSE)</f>
        <v/>
      </c>
      <c r="Q29" s="565"/>
      <c r="R29" s="442" t="str" cm="1">
        <f t="array" ref="R29">IFZERO(VLOOKUP(N29,Alerts[],4,FALSE),"")</f>
        <v/>
      </c>
      <c r="S29" s="147" t="str" cm="1">
        <f t="array" ref="S29">IFZERO(VLOOKUP(N29,Alerts[],5,FALSE),"")</f>
        <v/>
      </c>
      <c r="T29" s="472"/>
    </row>
    <row r="30" spans="1:22" s="279" customFormat="1" x14ac:dyDescent="0.2">
      <c r="A30" s="322"/>
      <c r="B30" s="247">
        <v>45</v>
      </c>
      <c r="C30" s="158" t="s">
        <v>63</v>
      </c>
      <c r="D30" s="388"/>
      <c r="E30" s="335" t="str">
        <f>IF(ISBLANK(D30), "", TEXT(D30, "H:mm"))</f>
        <v/>
      </c>
      <c r="F30" s="304"/>
      <c r="G30" s="307">
        <f>IF(D29="",0,D29)</f>
        <v>0</v>
      </c>
      <c r="H30" s="336">
        <f>D28-D26</f>
        <v>0</v>
      </c>
      <c r="I30" s="305"/>
      <c r="J30" s="305"/>
      <c r="K30" s="305"/>
      <c r="L30" s="337"/>
      <c r="M30" s="304"/>
      <c r="N30" s="441">
        <v>26</v>
      </c>
      <c r="O30" s="146"/>
      <c r="P30" s="564" t="str">
        <f>VLOOKUP(N30,Alerts[],3,FALSE)</f>
        <v/>
      </c>
      <c r="Q30" s="565"/>
      <c r="R30" s="442" t="str" cm="1">
        <f t="array" ref="R30">IFZERO(VLOOKUP(N30,Alerts[],4,FALSE),"")</f>
        <v/>
      </c>
      <c r="S30" s="147" t="str" cm="1">
        <f t="array" ref="S30">IFZERO(VLOOKUP(N30,Alerts[],5,FALSE),"")</f>
        <v/>
      </c>
      <c r="T30" s="472"/>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41">
        <v>27</v>
      </c>
      <c r="O31" s="146"/>
      <c r="P31" s="564" t="str">
        <f>VLOOKUP(N31,Alerts[],3,FALSE)</f>
        <v/>
      </c>
      <c r="Q31" s="565"/>
      <c r="R31" s="442" t="str" cm="1">
        <f t="array" ref="R31">IFZERO(VLOOKUP(N31,Alerts[],4,FALSE),"")</f>
        <v/>
      </c>
      <c r="S31" s="147" t="str" cm="1">
        <f t="array" ref="S31">IFZERO(VLOOKUP(N31,Alerts[],5,FALSE),"")</f>
        <v/>
      </c>
      <c r="T31" s="472"/>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41">
        <v>28</v>
      </c>
      <c r="O32" s="146"/>
      <c r="P32" s="564" t="str">
        <f>VLOOKUP(N32,Alerts[],3,FALSE)</f>
        <v/>
      </c>
      <c r="Q32" s="565"/>
      <c r="R32" s="442" t="str" cm="1">
        <f t="array" ref="R32">IFZERO(VLOOKUP(N32,Alerts[],4,FALSE),"")</f>
        <v/>
      </c>
      <c r="S32" s="147" t="str" cm="1">
        <f t="array" ref="S32">IFZERO(VLOOKUP(N32,Alerts[],5,FALSE),"")</f>
        <v/>
      </c>
      <c r="T32" s="472"/>
    </row>
    <row r="33" spans="1:23" s="279" customFormat="1" x14ac:dyDescent="0.2">
      <c r="A33" s="322"/>
      <c r="B33" s="319"/>
      <c r="C33" s="341"/>
      <c r="D33" s="140"/>
      <c r="E33" s="140"/>
      <c r="F33" s="140"/>
      <c r="G33" s="140"/>
      <c r="H33" s="140"/>
      <c r="I33" s="140"/>
      <c r="J33" s="140"/>
      <c r="K33" s="140"/>
      <c r="L33" s="140"/>
      <c r="M33" s="304"/>
      <c r="N33" s="441">
        <v>29</v>
      </c>
      <c r="O33" s="146"/>
      <c r="P33" s="564" t="str">
        <f>VLOOKUP(N33,Alerts[],3,FALSE)</f>
        <v/>
      </c>
      <c r="Q33" s="565"/>
      <c r="R33" s="442" t="str" cm="1">
        <f t="array" ref="R33">IFZERO(VLOOKUP(N33,Alerts[],4,FALSE),"")</f>
        <v/>
      </c>
      <c r="S33" s="147" t="str" cm="1">
        <f t="array" ref="S33">IFZERO(VLOOKUP(N33,Alerts[],5,FALSE),"")</f>
        <v/>
      </c>
      <c r="T33" s="472"/>
    </row>
    <row r="34" spans="1:23" s="279" customFormat="1" ht="12.75" customHeight="1" x14ac:dyDescent="0.2">
      <c r="A34" s="322"/>
      <c r="B34" s="531" t="s">
        <v>49</v>
      </c>
      <c r="C34" s="532"/>
      <c r="D34" s="532"/>
      <c r="E34" s="532"/>
      <c r="F34" s="532"/>
      <c r="G34" s="532"/>
      <c r="H34" s="532"/>
      <c r="I34" s="532"/>
      <c r="J34" s="532"/>
      <c r="K34" s="532"/>
      <c r="L34" s="533"/>
      <c r="M34" s="304"/>
      <c r="N34" s="441">
        <v>30</v>
      </c>
      <c r="O34" s="146"/>
      <c r="P34" s="564" t="str">
        <f>VLOOKUP(N34,Alerts[],3,FALSE)</f>
        <v/>
      </c>
      <c r="Q34" s="565"/>
      <c r="R34" s="442" t="str" cm="1">
        <f t="array" ref="R34">IFZERO(VLOOKUP(N34,Alerts[],4,FALSE),"")</f>
        <v/>
      </c>
      <c r="S34" s="147" t="str" cm="1">
        <f t="array" ref="S34">IFZERO(VLOOKUP(N34,Alerts[],5,FALSE),"")</f>
        <v/>
      </c>
      <c r="T34" s="473"/>
    </row>
    <row r="35" spans="1:23" s="279" customFormat="1" ht="12.75" customHeight="1" thickBot="1" x14ac:dyDescent="0.25">
      <c r="A35" s="47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41">
        <v>31</v>
      </c>
      <c r="O35" s="146"/>
      <c r="P35" s="564" t="str">
        <f>VLOOKUP(N35,Alerts[],3,FALSE)</f>
        <v/>
      </c>
      <c r="Q35" s="565"/>
      <c r="R35" s="442" t="str" cm="1">
        <f t="array" ref="R35">IFZERO(VLOOKUP(N35,Alerts[],4,FALSE),"")</f>
        <v/>
      </c>
      <c r="S35" s="147" t="str" cm="1">
        <f t="array" ref="S35">IFZERO(VLOOKUP(N35,Alerts[],5,FALSE),"")</f>
        <v/>
      </c>
      <c r="T35" s="473"/>
    </row>
    <row r="36" spans="1:23" s="279" customFormat="1" ht="13.5" thickBot="1" x14ac:dyDescent="0.25">
      <c r="A36" s="478" t="s">
        <v>917</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41">
        <v>32</v>
      </c>
      <c r="O36" s="146"/>
      <c r="P36" s="564" t="str">
        <f>VLOOKUP(N36,Alerts[],3,FALSE)</f>
        <v/>
      </c>
      <c r="Q36" s="565"/>
      <c r="R36" s="442" t="str" cm="1">
        <f t="array" ref="R36">IFZERO(VLOOKUP(N36,Alerts[],4,FALSE),"")</f>
        <v/>
      </c>
      <c r="S36" s="147" t="str" cm="1">
        <f t="array" ref="S36">IFZERO(VLOOKUP(N36,Alerts[],5,FALSE),"")</f>
        <v/>
      </c>
      <c r="T36" s="473"/>
    </row>
    <row r="37" spans="1:23" s="279" customFormat="1" x14ac:dyDescent="0.2">
      <c r="A37" s="485" t="str">
        <f t="shared" ref="A37:A44" si="0">IF(B37,1,"")</f>
        <v/>
      </c>
      <c r="B37" s="485"/>
      <c r="C37" s="486"/>
      <c r="D37" s="487"/>
      <c r="E37" s="487"/>
      <c r="F37" s="487"/>
      <c r="G37" s="487"/>
      <c r="H37" s="487"/>
      <c r="I37" s="488"/>
      <c r="J37" s="488"/>
      <c r="K37" s="488"/>
      <c r="L37" s="488"/>
      <c r="M37" s="304"/>
      <c r="N37" s="441">
        <v>33</v>
      </c>
      <c r="O37" s="146"/>
      <c r="P37" s="564" t="str">
        <f>VLOOKUP(N37,Alerts[],3,FALSE)</f>
        <v/>
      </c>
      <c r="Q37" s="565"/>
      <c r="R37" s="442" t="str" cm="1">
        <f t="array" ref="R37">IFZERO(VLOOKUP(N37,Alerts[],4,FALSE),"")</f>
        <v/>
      </c>
      <c r="S37" s="147" t="str" cm="1">
        <f t="array" ref="S37">IFZERO(VLOOKUP(N37,Alerts[],5,FALSE),"")</f>
        <v/>
      </c>
      <c r="T37" s="473"/>
    </row>
    <row r="38" spans="1:23" s="279" customFormat="1" x14ac:dyDescent="0.2">
      <c r="A38" s="485" t="str">
        <f t="shared" si="0"/>
        <v/>
      </c>
      <c r="B38" s="489"/>
      <c r="C38" s="490"/>
      <c r="D38" s="487"/>
      <c r="E38" s="487"/>
      <c r="F38" s="487"/>
      <c r="G38" s="487"/>
      <c r="H38" s="487"/>
      <c r="I38" s="488"/>
      <c r="J38" s="488"/>
      <c r="K38" s="488"/>
      <c r="L38" s="488"/>
      <c r="M38" s="304"/>
      <c r="N38" s="441">
        <v>34</v>
      </c>
      <c r="O38" s="146"/>
      <c r="P38" s="564" t="str">
        <f>VLOOKUP(N38,Alerts[],3,FALSE)</f>
        <v/>
      </c>
      <c r="Q38" s="565"/>
      <c r="R38" s="442" t="str" cm="1">
        <f t="array" ref="R38">IFZERO(VLOOKUP(N38,Alerts[],4,FALSE),"")</f>
        <v/>
      </c>
      <c r="S38" s="147" t="str" cm="1">
        <f t="array" ref="S38">IFZERO(VLOOKUP(N38,Alerts[],5,FALSE),"")</f>
        <v/>
      </c>
      <c r="T38" s="473"/>
    </row>
    <row r="39" spans="1:23" s="279" customFormat="1" x14ac:dyDescent="0.2">
      <c r="A39" s="485" t="str">
        <f t="shared" si="0"/>
        <v/>
      </c>
      <c r="B39" s="489"/>
      <c r="C39" s="490"/>
      <c r="D39" s="487"/>
      <c r="E39" s="487"/>
      <c r="F39" s="487"/>
      <c r="G39" s="487"/>
      <c r="H39" s="488"/>
      <c r="I39" s="488"/>
      <c r="J39" s="488"/>
      <c r="K39" s="488"/>
      <c r="L39" s="488"/>
      <c r="M39" s="304"/>
      <c r="N39" s="441">
        <v>35</v>
      </c>
      <c r="O39" s="146"/>
      <c r="P39" s="564" t="str">
        <f>VLOOKUP(N39,Alerts[],3,FALSE)</f>
        <v/>
      </c>
      <c r="Q39" s="565"/>
      <c r="R39" s="442" t="str" cm="1">
        <f t="array" ref="R39">IFZERO(VLOOKUP(N39,Alerts[],4,FALSE),"")</f>
        <v/>
      </c>
      <c r="S39" s="147" t="str" cm="1">
        <f t="array" ref="S39">IFZERO(VLOOKUP(N39,Alerts[],5,FALSE),"")</f>
        <v/>
      </c>
      <c r="T39" s="473"/>
    </row>
    <row r="40" spans="1:23" s="279" customFormat="1" x14ac:dyDescent="0.2">
      <c r="A40" s="485" t="str">
        <f t="shared" si="0"/>
        <v/>
      </c>
      <c r="B40" s="489"/>
      <c r="C40" s="490"/>
      <c r="D40" s="487"/>
      <c r="E40" s="487"/>
      <c r="F40" s="487"/>
      <c r="G40" s="487"/>
      <c r="H40" s="488"/>
      <c r="I40" s="488"/>
      <c r="J40" s="488"/>
      <c r="K40" s="488"/>
      <c r="L40" s="488"/>
      <c r="M40" s="304"/>
      <c r="N40" s="441">
        <v>36</v>
      </c>
      <c r="O40" s="146"/>
      <c r="P40" s="564" t="str">
        <f>VLOOKUP(N40,Alerts[],3,FALSE)</f>
        <v/>
      </c>
      <c r="Q40" s="565"/>
      <c r="R40" s="442" t="str" cm="1">
        <f t="array" ref="R40">IFZERO(VLOOKUP(N40,Alerts[],4,FALSE),"")</f>
        <v/>
      </c>
      <c r="S40" s="147" t="str" cm="1">
        <f t="array" ref="S40">IFZERO(VLOOKUP(N40,Alerts[],5,FALSE),"")</f>
        <v/>
      </c>
      <c r="T40" s="473"/>
    </row>
    <row r="41" spans="1:23" s="279" customFormat="1" x14ac:dyDescent="0.2">
      <c r="A41" s="485" t="str">
        <f t="shared" si="0"/>
        <v/>
      </c>
      <c r="B41" s="491"/>
      <c r="C41" s="492"/>
      <c r="D41" s="493"/>
      <c r="E41" s="493"/>
      <c r="F41" s="493"/>
      <c r="G41" s="493"/>
      <c r="H41" s="493"/>
      <c r="I41" s="493"/>
      <c r="J41" s="493"/>
      <c r="K41" s="493"/>
      <c r="L41" s="493"/>
      <c r="M41" s="304"/>
      <c r="N41" s="441">
        <v>37</v>
      </c>
      <c r="O41" s="146"/>
      <c r="P41" s="564" t="str">
        <f>VLOOKUP(N41,Alerts[],3,FALSE)</f>
        <v/>
      </c>
      <c r="Q41" s="565"/>
      <c r="R41" s="442" t="str" cm="1">
        <f t="array" ref="R41">IFZERO(VLOOKUP(N41,Alerts[],4,FALSE),"")</f>
        <v/>
      </c>
      <c r="S41" s="147" t="str" cm="1">
        <f t="array" ref="S41">IFZERO(VLOOKUP(N41,Alerts[],5,FALSE),"")</f>
        <v/>
      </c>
      <c r="T41" s="473"/>
    </row>
    <row r="42" spans="1:23" s="279" customFormat="1" x14ac:dyDescent="0.2">
      <c r="A42" s="485" t="str">
        <f t="shared" si="0"/>
        <v/>
      </c>
      <c r="B42" s="491"/>
      <c r="C42" s="492"/>
      <c r="D42" s="493"/>
      <c r="E42" s="493"/>
      <c r="F42" s="493"/>
      <c r="G42" s="493"/>
      <c r="H42" s="493"/>
      <c r="I42" s="493"/>
      <c r="J42" s="493"/>
      <c r="K42" s="493"/>
      <c r="L42" s="493"/>
      <c r="M42" s="304"/>
      <c r="N42" s="441">
        <v>38</v>
      </c>
      <c r="O42" s="146"/>
      <c r="P42" s="564" t="str">
        <f>VLOOKUP(N42,Alerts[],3,FALSE)</f>
        <v/>
      </c>
      <c r="Q42" s="565"/>
      <c r="R42" s="442" t="str" cm="1">
        <f t="array" ref="R42">IFZERO(VLOOKUP(N42,Alerts[],4,FALSE),"")</f>
        <v/>
      </c>
      <c r="S42" s="147" t="str" cm="1">
        <f t="array" ref="S42">IFZERO(VLOOKUP(N42,Alerts[],5,FALSE),"")</f>
        <v/>
      </c>
      <c r="T42" s="473"/>
    </row>
    <row r="43" spans="1:23" s="279" customFormat="1" x14ac:dyDescent="0.2">
      <c r="A43" s="485" t="str">
        <f t="shared" si="0"/>
        <v/>
      </c>
      <c r="B43" s="491"/>
      <c r="C43" s="492"/>
      <c r="D43" s="493"/>
      <c r="E43" s="493"/>
      <c r="F43" s="493"/>
      <c r="G43" s="493"/>
      <c r="H43" s="493"/>
      <c r="I43" s="493"/>
      <c r="J43" s="493"/>
      <c r="K43" s="493"/>
      <c r="L43" s="493"/>
      <c r="M43" s="304"/>
      <c r="N43" s="441">
        <v>39</v>
      </c>
      <c r="O43" s="146"/>
      <c r="P43" s="564" t="str">
        <f>VLOOKUP(N43,Alerts[],3,FALSE)</f>
        <v/>
      </c>
      <c r="Q43" s="565"/>
      <c r="R43" s="442" t="str" cm="1">
        <f t="array" ref="R43">IFZERO(VLOOKUP(N43,Alerts[],4,FALSE),"")</f>
        <v/>
      </c>
      <c r="S43" s="147" t="str" cm="1">
        <f t="array" ref="S43">IFZERO(VLOOKUP(N43,Alerts[],5,FALSE),"")</f>
        <v/>
      </c>
      <c r="T43" s="473"/>
    </row>
    <row r="44" spans="1:23" s="279" customFormat="1" x14ac:dyDescent="0.2">
      <c r="A44" s="485" t="str">
        <f t="shared" si="0"/>
        <v/>
      </c>
      <c r="B44" s="491"/>
      <c r="C44" s="492"/>
      <c r="D44" s="493"/>
      <c r="E44" s="493"/>
      <c r="F44" s="493"/>
      <c r="G44" s="493"/>
      <c r="H44" s="493"/>
      <c r="I44" s="493"/>
      <c r="J44" s="493"/>
      <c r="K44" s="493"/>
      <c r="L44" s="493"/>
      <c r="M44" s="304"/>
      <c r="N44" s="441">
        <v>40</v>
      </c>
      <c r="O44" s="146"/>
      <c r="P44" s="564" t="str">
        <f>VLOOKUP(N44,Alerts[],3,FALSE)</f>
        <v/>
      </c>
      <c r="Q44" s="565"/>
      <c r="R44" s="442" t="str" cm="1">
        <f t="array" ref="R44">IFZERO(VLOOKUP(N44,Alerts[],4,FALSE),"")</f>
        <v/>
      </c>
      <c r="S44" s="147" t="str" cm="1">
        <f t="array" ref="S44">IFZERO(VLOOKUP(N44,Alerts[],5,FALSE),"")</f>
        <v/>
      </c>
      <c r="T44" s="473"/>
    </row>
    <row r="45" spans="1:23" s="308" customFormat="1" x14ac:dyDescent="0.2">
      <c r="A45" s="322"/>
      <c r="B45" s="343"/>
      <c r="C45" s="344"/>
      <c r="D45" s="304"/>
      <c r="E45" s="304"/>
      <c r="F45" s="304"/>
      <c r="G45" s="304"/>
      <c r="H45" s="304"/>
      <c r="I45" s="304"/>
      <c r="J45" s="304"/>
      <c r="K45" s="345"/>
      <c r="L45" s="304"/>
      <c r="M45" s="304"/>
      <c r="N45" s="306"/>
      <c r="P45" s="306"/>
      <c r="Q45" s="306"/>
      <c r="R45" s="306"/>
      <c r="S45" s="306"/>
      <c r="T45" s="306"/>
    </row>
    <row r="46" spans="1:23" x14ac:dyDescent="0.2">
      <c r="A46" s="326"/>
      <c r="B46" s="346"/>
      <c r="C46" s="347"/>
      <c r="D46" s="499" t="s">
        <v>33</v>
      </c>
      <c r="E46" s="500"/>
      <c r="F46" s="500"/>
      <c r="G46" s="500"/>
      <c r="H46" s="500"/>
      <c r="I46" s="501"/>
      <c r="J46" s="348"/>
      <c r="K46" s="348"/>
      <c r="L46" s="348"/>
      <c r="M46" s="525" t="s">
        <v>326</v>
      </c>
      <c r="N46" s="526"/>
      <c r="O46" s="527"/>
      <c r="P46" s="528"/>
      <c r="Q46" s="308"/>
      <c r="R46" s="308"/>
      <c r="S46" s="308"/>
      <c r="T46" s="308"/>
      <c r="U46" s="308"/>
    </row>
    <row r="47" spans="1:23" x14ac:dyDescent="0.2">
      <c r="A47" s="326"/>
      <c r="B47" s="346"/>
      <c r="C47" s="409"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06" t="s">
        <v>329</v>
      </c>
      <c r="Q47" s="506"/>
      <c r="R47" s="412" t="s">
        <v>330</v>
      </c>
      <c r="S47" s="308"/>
      <c r="T47" s="308"/>
      <c r="U47" s="308"/>
    </row>
    <row r="48" spans="1:23" x14ac:dyDescent="0.2">
      <c r="A48" s="322"/>
      <c r="B48" s="346"/>
      <c r="C48" s="410" t="s">
        <v>34</v>
      </c>
      <c r="D48" s="291"/>
      <c r="E48" s="291"/>
      <c r="F48" s="291"/>
      <c r="G48" s="291"/>
      <c r="H48" s="291"/>
      <c r="I48" s="291"/>
      <c r="J48" s="348"/>
      <c r="K48" s="348"/>
      <c r="L48" s="348"/>
      <c r="M48" s="507" t="s">
        <v>331</v>
      </c>
      <c r="N48" s="507"/>
      <c r="O48" s="350"/>
      <c r="P48" s="508" t="s">
        <v>377</v>
      </c>
      <c r="Q48" s="509"/>
      <c r="R48" s="510"/>
      <c r="S48" s="351"/>
      <c r="T48" s="309"/>
      <c r="U48" s="508" t="s">
        <v>380</v>
      </c>
      <c r="V48" s="509"/>
      <c r="W48" s="510"/>
    </row>
    <row r="49" spans="1:24" x14ac:dyDescent="0.2">
      <c r="A49" s="322"/>
      <c r="B49" s="352"/>
      <c r="C49" s="409"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
      </c>
      <c r="O49" s="318"/>
      <c r="P49" s="511" t="s">
        <v>382</v>
      </c>
      <c r="Q49" s="512"/>
      <c r="R49" s="513"/>
      <c r="S49" s="413"/>
      <c r="T49" s="310"/>
      <c r="U49" s="511" t="s">
        <v>381</v>
      </c>
      <c r="V49" s="512"/>
      <c r="W49" s="513"/>
      <c r="X49" s="292"/>
    </row>
    <row r="50" spans="1:24" x14ac:dyDescent="0.2">
      <c r="A50" s="322"/>
      <c r="B50" s="353"/>
      <c r="C50" s="409"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514" t="s">
        <v>334</v>
      </c>
      <c r="Q50" s="515"/>
      <c r="R50" s="516"/>
      <c r="S50" s="354"/>
      <c r="T50" s="311"/>
      <c r="U50" s="514" t="s">
        <v>334</v>
      </c>
      <c r="V50" s="515"/>
      <c r="W50" s="516"/>
      <c r="X50" s="308"/>
    </row>
    <row r="51" spans="1:24" x14ac:dyDescent="0.2">
      <c r="A51" s="322"/>
      <c r="B51" s="355"/>
      <c r="C51" s="409" t="s">
        <v>57</v>
      </c>
      <c r="D51" s="291"/>
      <c r="E51" s="291"/>
      <c r="F51" s="291"/>
      <c r="G51" s="291"/>
      <c r="H51" s="291"/>
      <c r="I51" s="291"/>
      <c r="J51" s="348"/>
      <c r="K51" s="356"/>
      <c r="L51" s="348"/>
      <c r="M51" s="396" t="s">
        <v>335</v>
      </c>
      <c r="N51" s="301" t="str">
        <f>IF(Derivative="","",Derivative)</f>
        <v/>
      </c>
      <c r="O51" s="304"/>
      <c r="P51" s="511" t="s">
        <v>378</v>
      </c>
      <c r="Q51" s="512"/>
      <c r="R51" s="513"/>
      <c r="S51" s="413"/>
      <c r="T51" s="312"/>
      <c r="U51" s="511" t="s">
        <v>383</v>
      </c>
      <c r="V51" s="512"/>
      <c r="W51" s="513"/>
      <c r="X51" s="292"/>
    </row>
    <row r="52" spans="1:24" x14ac:dyDescent="0.2">
      <c r="A52" s="322"/>
      <c r="B52" s="346"/>
      <c r="C52" s="409" t="s">
        <v>341</v>
      </c>
      <c r="D52" s="291"/>
      <c r="E52" s="291"/>
      <c r="F52" s="291"/>
      <c r="G52" s="291"/>
      <c r="H52" s="291"/>
      <c r="I52" s="291"/>
      <c r="J52" s="348"/>
      <c r="K52" s="356"/>
      <c r="L52" s="348"/>
      <c r="M52" s="396" t="s">
        <v>336</v>
      </c>
      <c r="N52" s="301" t="str">
        <f>IF(Other1="","",Other1)</f>
        <v/>
      </c>
      <c r="O52" s="318"/>
      <c r="P52" s="514" t="s">
        <v>334</v>
      </c>
      <c r="Q52" s="515"/>
      <c r="R52" s="516"/>
      <c r="S52" s="354"/>
      <c r="T52" s="313"/>
      <c r="U52" s="514" t="s">
        <v>334</v>
      </c>
      <c r="V52" s="515"/>
      <c r="W52" s="516"/>
      <c r="X52" s="308"/>
    </row>
    <row r="53" spans="1:24" ht="12.75" customHeight="1" x14ac:dyDescent="0.2">
      <c r="A53" s="322"/>
      <c r="B53" s="346"/>
      <c r="C53" s="409" t="s">
        <v>58</v>
      </c>
      <c r="D53" s="296"/>
      <c r="E53" s="296"/>
      <c r="F53" s="296"/>
      <c r="G53" s="296"/>
      <c r="H53" s="296"/>
      <c r="I53" s="296"/>
      <c r="J53" s="348"/>
      <c r="K53" s="357"/>
      <c r="L53" s="357"/>
      <c r="M53" s="397" t="s">
        <v>336</v>
      </c>
      <c r="N53" s="301" t="str">
        <f>IF(Other2="","",Other2)</f>
        <v/>
      </c>
      <c r="O53" s="318"/>
      <c r="P53" s="558" t="s">
        <v>379</v>
      </c>
      <c r="Q53" s="559"/>
      <c r="R53" s="560"/>
      <c r="S53" s="414"/>
      <c r="T53" s="314"/>
      <c r="U53" s="558" t="s">
        <v>384</v>
      </c>
      <c r="V53" s="559"/>
      <c r="W53" s="560"/>
      <c r="X53" s="395"/>
    </row>
    <row r="54" spans="1:24" x14ac:dyDescent="0.2">
      <c r="A54" s="322"/>
      <c r="B54" s="346"/>
      <c r="C54" s="411" t="s">
        <v>82</v>
      </c>
      <c r="D54" s="465" t="str">
        <f>_xlfn.XLOOKUP(D$48,WireSets[serial_number],WireSets[traceability_number],"",0)</f>
        <v/>
      </c>
      <c r="E54" s="465" t="str">
        <f>_xlfn.XLOOKUP(E$48,WireSets[serial_number],WireSets[traceability_number],"",0)</f>
        <v/>
      </c>
      <c r="F54" s="465" t="str">
        <f>_xlfn.XLOOKUP(F$48,WireSets[serial_number],WireSets[traceability_number],"",0)</f>
        <v/>
      </c>
      <c r="G54" s="465" t="str">
        <f>_xlfn.XLOOKUP(G$48,WireSets[serial_number],WireSets[traceability_number],"",0)</f>
        <v/>
      </c>
      <c r="H54" s="465" t="str">
        <f>_xlfn.XLOOKUP(H$48,WireSets[serial_number],WireSets[traceability_number],"",0)</f>
        <v/>
      </c>
      <c r="I54" s="465" t="str">
        <f>_xlfn.XLOOKUP(I$48,WireSets[serial_number],WireSets[traceability_number],"",0)</f>
        <v/>
      </c>
      <c r="J54" s="358"/>
      <c r="K54" s="398"/>
      <c r="L54" s="399"/>
      <c r="M54" s="400" t="s">
        <v>363</v>
      </c>
      <c r="N54" s="300">
        <v>0</v>
      </c>
      <c r="O54" s="306"/>
      <c r="P54" s="561"/>
      <c r="Q54" s="562"/>
      <c r="R54" s="563"/>
      <c r="S54" s="359"/>
      <c r="T54" s="315"/>
      <c r="U54" s="561"/>
      <c r="V54" s="562"/>
      <c r="W54" s="563"/>
    </row>
    <row r="55" spans="1:24" x14ac:dyDescent="0.2">
      <c r="A55" s="322"/>
      <c r="B55" s="346"/>
      <c r="C55" s="411" t="s">
        <v>150</v>
      </c>
      <c r="D55" s="466" t="str">
        <f>_xlfn.XLOOKUP(D$48,WireSets[serial_number],WireSets[wire_roll_cert_number],"",0)</f>
        <v/>
      </c>
      <c r="E55" s="466" t="str">
        <f>_xlfn.XLOOKUP(E$48,WireSets[serial_number],WireSets[wire_roll_cert_number],"",0)</f>
        <v/>
      </c>
      <c r="F55" s="466" t="str">
        <f>_xlfn.XLOOKUP(F$48,WireSets[serial_number],WireSets[wire_roll_cert_number],"",0)</f>
        <v/>
      </c>
      <c r="G55" s="466" t="str">
        <f>_xlfn.XLOOKUP(G$48,WireSets[serial_number],WireSets[wire_roll_cert_number],"",0)</f>
        <v/>
      </c>
      <c r="H55" s="466" t="str">
        <f>_xlfn.XLOOKUP(H$48,WireSets[serial_number],WireSets[wire_roll_cert_number],"",0)</f>
        <v/>
      </c>
      <c r="I55" s="466" t="str">
        <f>_xlfn.XLOOKUP(I$48,WireSets[serial_number],WireSets[wire_roll_cert_number],"",0)</f>
        <v/>
      </c>
      <c r="J55" s="360"/>
      <c r="K55" s="401"/>
      <c r="L55" s="402"/>
      <c r="M55" s="403" t="s">
        <v>364</v>
      </c>
      <c r="N55" s="300">
        <v>0</v>
      </c>
      <c r="O55" s="306"/>
      <c r="P55" s="243" t="s">
        <v>337</v>
      </c>
      <c r="Q55" s="243" t="s">
        <v>14</v>
      </c>
      <c r="R55" s="251" t="s">
        <v>338</v>
      </c>
      <c r="S55" s="361"/>
      <c r="T55" s="316"/>
      <c r="U55" s="303" t="s">
        <v>339</v>
      </c>
      <c r="V55" s="243" t="s">
        <v>14</v>
      </c>
      <c r="W55" s="243" t="s">
        <v>340</v>
      </c>
    </row>
    <row r="56" spans="1:24" x14ac:dyDescent="0.2">
      <c r="A56" s="322"/>
      <c r="B56" s="362"/>
      <c r="C56" s="411" t="s">
        <v>151</v>
      </c>
      <c r="D56" s="291"/>
      <c r="E56" s="291"/>
      <c r="F56" s="291"/>
      <c r="G56" s="291"/>
      <c r="H56" s="291"/>
      <c r="I56" s="291"/>
      <c r="J56" s="363"/>
      <c r="K56" s="404"/>
      <c r="L56" s="405"/>
      <c r="M56" s="403" t="s">
        <v>365</v>
      </c>
      <c r="N56" s="300">
        <v>0</v>
      </c>
      <c r="O56" s="306"/>
      <c r="P56" s="415"/>
      <c r="Q56" s="416"/>
      <c r="R56" s="417"/>
      <c r="S56" s="364"/>
      <c r="T56" s="317"/>
      <c r="U56" s="418"/>
      <c r="V56" s="416"/>
      <c r="W56" s="415"/>
    </row>
    <row r="57" spans="1:24" x14ac:dyDescent="0.2">
      <c r="A57" s="322"/>
      <c r="B57" s="343"/>
      <c r="C57" s="240" t="s">
        <v>342</v>
      </c>
      <c r="D57" s="292"/>
      <c r="E57" s="292"/>
      <c r="F57" s="292"/>
      <c r="G57" s="292"/>
      <c r="H57" s="292"/>
      <c r="I57" s="292"/>
      <c r="J57" s="304"/>
      <c r="K57" s="406"/>
      <c r="L57" s="407"/>
      <c r="M57" s="408" t="s">
        <v>366</v>
      </c>
      <c r="N57" s="300">
        <v>0</v>
      </c>
      <c r="O57" s="306"/>
      <c r="P57" s="304"/>
      <c r="Q57" s="304"/>
      <c r="R57" s="304"/>
      <c r="S57" s="304"/>
    </row>
    <row r="58" spans="1:24" x14ac:dyDescent="0.2">
      <c r="A58" s="322"/>
      <c r="B58" s="343"/>
      <c r="C58" s="499" t="s">
        <v>156</v>
      </c>
      <c r="D58" s="500"/>
      <c r="E58" s="500"/>
      <c r="F58" s="500"/>
      <c r="G58" s="500"/>
      <c r="H58" s="500"/>
      <c r="I58" s="500"/>
      <c r="J58" s="500"/>
      <c r="K58" s="504"/>
      <c r="L58" s="505"/>
      <c r="M58" s="308"/>
      <c r="N58" s="308"/>
      <c r="O58" s="308"/>
      <c r="P58" s="308"/>
      <c r="Q58" s="308"/>
      <c r="R58" s="308"/>
      <c r="S58" s="308"/>
      <c r="T58" s="308"/>
      <c r="U58" s="308"/>
    </row>
    <row r="59" spans="1:24" x14ac:dyDescent="0.2">
      <c r="A59" s="322"/>
      <c r="B59" s="343"/>
      <c r="C59" s="499" t="s">
        <v>159</v>
      </c>
      <c r="D59" s="500"/>
      <c r="E59" s="500"/>
      <c r="F59" s="500"/>
      <c r="G59" s="500"/>
      <c r="H59" s="500"/>
      <c r="I59" s="500"/>
      <c r="J59" s="500"/>
      <c r="K59" s="500"/>
      <c r="L59" s="501"/>
      <c r="M59" s="308"/>
      <c r="N59" s="318" t="str">
        <f>"DOORS OPENED FOR " &amp;L16&amp; " SECONDS TO SIMULATE LOAD ENTRY AT " &amp;L17&amp; "."</f>
        <v>DOORS OPENED FOR  SECONDS TO SIMULATE LOAD ENTRY AT .</v>
      </c>
      <c r="O59" s="318"/>
      <c r="P59" s="318"/>
      <c r="Q59" s="318"/>
      <c r="R59" s="318"/>
      <c r="S59" s="318"/>
      <c r="T59" s="318"/>
      <c r="U59" s="318"/>
      <c r="V59" s="318"/>
    </row>
    <row r="60" spans="1:24" x14ac:dyDescent="0.2">
      <c r="A60" s="365"/>
      <c r="B60" s="352"/>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6" t="str">
        <f>"AFTER TUS, HIGH LIMIT SET AT " &amp;E60&amp; "°F AND OVEN SETPOINT RAISED UNTIL HIGH LIMIT SYSTEM ACTIVATED AT " &amp;K60&amp; "°F."</f>
        <v>AFTER TUS, HIGH LIMIT SET AT °F AND OVEN SETPOINT RAISED UNTIL HIGH LIMIT SYSTEM ACTIVATED AT °F.</v>
      </c>
      <c r="O60" s="366"/>
      <c r="P60" s="318"/>
      <c r="Q60" s="318"/>
      <c r="R60" s="318"/>
      <c r="S60" s="318"/>
      <c r="T60" s="318"/>
      <c r="U60" s="318"/>
      <c r="V60" s="318"/>
    </row>
    <row r="61" spans="1:24" x14ac:dyDescent="0.2">
      <c r="A61" s="326"/>
      <c r="B61" s="319"/>
      <c r="C61" s="174"/>
      <c r="D61" s="174" t="s">
        <v>158</v>
      </c>
      <c r="E61" s="299"/>
      <c r="F61" s="180" t="s">
        <v>160</v>
      </c>
      <c r="G61" s="181"/>
      <c r="H61" s="181"/>
      <c r="I61" s="182"/>
      <c r="J61" s="299"/>
      <c r="K61" s="183" t="str">
        <f>Unit&amp;"."</f>
        <v>°F.</v>
      </c>
      <c r="L61" s="304"/>
      <c r="M61" s="308"/>
      <c r="N61" s="366" t="str">
        <f>"AFTER TUS, HIGH LIMIT READING " &amp;E61&amp; "°F AND HIGH LIMIT SETPOINT LOWERED UNTIL ACTIVATION AT " &amp;J61&amp; "°F."</f>
        <v>AFTER TUS, HIGH LIMIT READING °F AND HIGH LIMIT SETPOINT LOWERED UNTIL ACTIVATION AT °F.</v>
      </c>
      <c r="O61" s="367"/>
      <c r="P61" s="318"/>
      <c r="Q61" s="318"/>
      <c r="R61" s="318"/>
      <c r="S61" s="318"/>
      <c r="T61" s="318"/>
      <c r="U61" s="318"/>
      <c r="V61" s="318"/>
    </row>
    <row r="62" spans="1:24" x14ac:dyDescent="0.2">
      <c r="A62" s="326"/>
      <c r="B62" s="319"/>
      <c r="C62" s="320"/>
      <c r="D62" s="304"/>
      <c r="E62" s="304"/>
      <c r="F62" s="308" t="s">
        <v>361</v>
      </c>
      <c r="G62" s="342"/>
      <c r="H62" s="342"/>
      <c r="I62" s="342"/>
      <c r="J62" s="304"/>
      <c r="K62" s="304"/>
      <c r="L62" s="304"/>
      <c r="M62" s="368"/>
      <c r="N62" s="367"/>
      <c r="O62" s="367"/>
      <c r="P62" s="318"/>
      <c r="Q62" s="318"/>
      <c r="R62" s="318"/>
      <c r="S62" s="318"/>
      <c r="T62" s="318"/>
      <c r="U62" s="318"/>
      <c r="V62" s="318"/>
    </row>
    <row r="63" spans="1:24" x14ac:dyDescent="0.2">
      <c r="A63" s="326"/>
      <c r="B63" s="319"/>
      <c r="C63" s="341"/>
      <c r="D63" s="342"/>
      <c r="E63" s="342"/>
      <c r="F63" s="342"/>
      <c r="G63" s="342"/>
      <c r="H63" s="342"/>
      <c r="I63" s="342"/>
      <c r="J63" s="304"/>
      <c r="K63" s="304"/>
      <c r="L63" s="304"/>
      <c r="M63" s="308"/>
      <c r="N63" s="348"/>
      <c r="O63" s="348"/>
      <c r="P63" s="308"/>
      <c r="Q63" s="308"/>
      <c r="R63" s="308"/>
      <c r="S63" s="308"/>
      <c r="T63" s="308"/>
      <c r="U63" s="308"/>
    </row>
    <row r="64" spans="1:24" x14ac:dyDescent="0.2">
      <c r="A64" s="369"/>
      <c r="B64" s="370"/>
      <c r="C64" s="371"/>
      <c r="D64" s="372"/>
      <c r="E64" s="378"/>
      <c r="F64" s="379"/>
      <c r="G64" s="380"/>
      <c r="H64" s="381"/>
      <c r="I64" s="382"/>
      <c r="J64" s="375"/>
      <c r="K64" s="376"/>
      <c r="L64" s="377"/>
      <c r="M64" s="372"/>
      <c r="N64" s="373"/>
      <c r="O64" s="373"/>
      <c r="P64" s="373"/>
      <c r="Q64" s="372"/>
      <c r="R64" s="304"/>
      <c r="S64" s="304"/>
    </row>
    <row r="65" spans="1:26" x14ac:dyDescent="0.2">
      <c r="A65" s="369"/>
      <c r="B65" s="370"/>
      <c r="C65" s="371"/>
      <c r="D65" s="372"/>
      <c r="E65" s="68" t="s">
        <v>900</v>
      </c>
      <c r="F65" t="s">
        <v>149</v>
      </c>
      <c r="G65" s="37" t="s">
        <v>901</v>
      </c>
      <c r="I65" s="376"/>
      <c r="J65" s="377"/>
      <c r="K65" s="372"/>
      <c r="L65" s="373"/>
      <c r="M65" s="373"/>
      <c r="N65" s="373"/>
      <c r="O65" s="372"/>
      <c r="P65" s="304"/>
      <c r="Q65" s="304"/>
      <c r="R65" s="304"/>
      <c r="S65" s="304"/>
    </row>
    <row r="66" spans="1:26" x14ac:dyDescent="0.2">
      <c r="A66" s="369"/>
      <c r="B66" s="370"/>
      <c r="C66" s="371"/>
      <c r="D66" s="372"/>
      <c r="E66">
        <v>1</v>
      </c>
      <c r="F66" s="390">
        <v>5</v>
      </c>
      <c r="G66" s="390">
        <v>2</v>
      </c>
      <c r="I66" s="376"/>
      <c r="J66" s="377"/>
      <c r="K66" s="372"/>
      <c r="L66" s="373"/>
      <c r="M66" s="373"/>
      <c r="N66" s="373"/>
      <c r="O66" s="372"/>
      <c r="P66" s="304"/>
      <c r="Q66" s="304"/>
      <c r="R66" s="304"/>
      <c r="S66" s="304"/>
    </row>
    <row r="67" spans="1:26" x14ac:dyDescent="0.2">
      <c r="A67" s="369"/>
      <c r="B67" s="370"/>
      <c r="C67" s="371"/>
      <c r="D67" s="372"/>
      <c r="E67">
        <v>2</v>
      </c>
      <c r="F67" s="390">
        <v>10</v>
      </c>
      <c r="G67" s="390">
        <v>3</v>
      </c>
      <c r="I67" s="376"/>
      <c r="J67" s="377"/>
      <c r="K67" s="372"/>
      <c r="L67" s="373"/>
      <c r="M67" s="373"/>
      <c r="N67" s="373"/>
      <c r="O67" s="372"/>
      <c r="P67" s="304"/>
      <c r="Q67" s="304"/>
      <c r="R67" s="304"/>
      <c r="S67" s="304"/>
    </row>
    <row r="68" spans="1:26" x14ac:dyDescent="0.2">
      <c r="A68" s="369"/>
      <c r="B68" s="370"/>
      <c r="C68" s="371"/>
      <c r="D68" s="372"/>
      <c r="E68">
        <v>3</v>
      </c>
      <c r="F68" s="390">
        <v>15</v>
      </c>
      <c r="G68" s="390">
        <v>4</v>
      </c>
      <c r="I68" s="376"/>
      <c r="J68" s="377"/>
      <c r="K68" s="372"/>
      <c r="L68" s="373"/>
      <c r="M68" s="373"/>
      <c r="N68" s="373"/>
      <c r="O68" s="372"/>
      <c r="P68" s="304"/>
      <c r="Q68" s="304"/>
      <c r="R68" s="304"/>
      <c r="S68" s="304"/>
    </row>
    <row r="69" spans="1:26" x14ac:dyDescent="0.2">
      <c r="A69" s="369"/>
      <c r="B69" s="370"/>
      <c r="C69" s="371"/>
      <c r="D69" s="372"/>
      <c r="E69">
        <v>4</v>
      </c>
      <c r="F69" s="390">
        <v>20</v>
      </c>
      <c r="G69" s="390">
        <v>4</v>
      </c>
      <c r="I69" s="376"/>
      <c r="J69" s="377"/>
      <c r="K69" s="372"/>
      <c r="L69" s="373"/>
      <c r="M69" s="373"/>
      <c r="N69" s="373"/>
      <c r="O69" s="372"/>
      <c r="P69" s="304"/>
      <c r="Q69" s="304"/>
      <c r="R69" s="304"/>
      <c r="S69" s="304"/>
    </row>
    <row r="70" spans="1:26" x14ac:dyDescent="0.2">
      <c r="A70" s="369"/>
      <c r="B70" s="370"/>
      <c r="C70" s="371"/>
      <c r="D70" s="372"/>
      <c r="E70">
        <v>5</v>
      </c>
      <c r="F70" s="390">
        <v>25</v>
      </c>
      <c r="G70" s="390">
        <v>5</v>
      </c>
      <c r="I70" s="376"/>
      <c r="J70" s="377"/>
      <c r="K70" s="372"/>
      <c r="L70" s="373"/>
      <c r="M70" s="373"/>
      <c r="N70" s="373"/>
      <c r="O70" s="372"/>
      <c r="P70" s="304"/>
      <c r="Q70" s="304"/>
      <c r="R70" s="304"/>
      <c r="S70" s="304"/>
    </row>
    <row r="71" spans="1:26" x14ac:dyDescent="0.2">
      <c r="A71" s="369"/>
      <c r="B71" s="370"/>
      <c r="C71" s="371"/>
      <c r="D71" s="372"/>
      <c r="E71">
        <v>6</v>
      </c>
      <c r="F71" s="390">
        <v>50</v>
      </c>
      <c r="G71" s="390">
        <v>10</v>
      </c>
      <c r="I71" s="376"/>
      <c r="J71" s="377"/>
      <c r="K71" s="372"/>
      <c r="L71" s="373"/>
      <c r="M71" s="373"/>
      <c r="N71" s="373"/>
      <c r="O71" s="372"/>
      <c r="P71" s="304"/>
      <c r="Q71" s="304"/>
      <c r="R71" s="304"/>
      <c r="S71" s="304"/>
    </row>
    <row r="72" spans="1:26" x14ac:dyDescent="0.2">
      <c r="A72" s="369"/>
      <c r="B72" s="370"/>
      <c r="C72" s="371"/>
      <c r="D72" s="372"/>
      <c r="E72" s="378"/>
      <c r="F72" s="379"/>
      <c r="H72" s="381"/>
      <c r="I72" s="382"/>
      <c r="J72" s="375"/>
      <c r="K72" s="376"/>
      <c r="L72" s="377"/>
      <c r="M72" s="372"/>
      <c r="N72" s="373"/>
      <c r="O72" s="373"/>
      <c r="P72" s="373"/>
      <c r="Q72" s="372"/>
      <c r="R72" s="304"/>
      <c r="S72" s="304"/>
    </row>
    <row r="73" spans="1:26" x14ac:dyDescent="0.2">
      <c r="A73" s="369"/>
      <c r="B73" s="370"/>
      <c r="C73" s="371"/>
      <c r="D73" s="372"/>
      <c r="E73" s="378"/>
      <c r="F73" s="409" t="s">
        <v>967</v>
      </c>
      <c r="G73" s="483" t="b">
        <f>AND(UUTRangeTol!R2+UUTRangeTol!S2=0,UUTRangeTol!S2&gt;0)</f>
        <v>0</v>
      </c>
      <c r="H73" s="383"/>
      <c r="I73" s="382"/>
      <c r="J73" s="375"/>
      <c r="K73" s="376"/>
      <c r="L73" s="377"/>
      <c r="M73" s="372"/>
      <c r="N73" s="373"/>
      <c r="O73" s="373"/>
      <c r="P73" s="373"/>
      <c r="Q73" s="372"/>
      <c r="R73" s="304"/>
      <c r="S73" s="304"/>
    </row>
    <row r="74" spans="1:26" x14ac:dyDescent="0.2">
      <c r="A74" s="369"/>
      <c r="B74" s="370"/>
      <c r="C74" s="371"/>
      <c r="D74" s="372"/>
      <c r="E74" s="378"/>
      <c r="F74" s="409" t="s">
        <v>968</v>
      </c>
      <c r="G74" s="482">
        <f>IF(Symmetric_Tol,VLOOKUP(UUTRangeTol!S2,SAT_Tolerance_Lookup[[TUS Tol]:[SAT Multiplier]],2,FALSE),SAT_Tol)</f>
        <v>0</v>
      </c>
      <c r="H74" s="377"/>
      <c r="J74" s="375"/>
      <c r="K74" s="376"/>
      <c r="L74" s="377"/>
      <c r="M74" s="372"/>
      <c r="N74" s="373"/>
      <c r="O74" s="373"/>
      <c r="P74" s="373"/>
      <c r="Q74" s="372"/>
      <c r="R74" s="304"/>
      <c r="S74" s="304"/>
    </row>
    <row r="75" spans="1:26" x14ac:dyDescent="0.2">
      <c r="A75" s="369"/>
      <c r="B75" s="370"/>
      <c r="C75" s="371"/>
      <c r="D75" s="372"/>
      <c r="E75" s="374"/>
      <c r="F75" s="409" t="s">
        <v>969</v>
      </c>
      <c r="G75" s="484">
        <f>G74*MAX(NominalTemp/1000,1)</f>
        <v>0</v>
      </c>
      <c r="H75" s="372"/>
      <c r="I75" s="374"/>
      <c r="J75" s="375"/>
      <c r="K75" s="376"/>
      <c r="L75" s="377"/>
      <c r="M75" s="372"/>
      <c r="N75" s="373"/>
      <c r="O75" s="373"/>
      <c r="P75" s="373"/>
      <c r="Q75" s="372"/>
      <c r="R75" s="304"/>
      <c r="S75" s="304"/>
    </row>
    <row r="76" spans="1:26" x14ac:dyDescent="0.2">
      <c r="A76" s="369"/>
      <c r="B76" s="370"/>
      <c r="C76" s="371"/>
      <c r="D76" s="372"/>
      <c r="E76" s="369"/>
      <c r="H76" s="372"/>
      <c r="I76" s="369"/>
      <c r="J76" s="370"/>
      <c r="K76" s="371"/>
      <c r="L76" s="372"/>
      <c r="M76" s="372"/>
      <c r="N76" s="373"/>
      <c r="O76" s="373"/>
      <c r="P76" s="373"/>
      <c r="Q76" s="372"/>
      <c r="R76" s="304"/>
      <c r="S76" s="304"/>
    </row>
    <row r="77" spans="1:26" x14ac:dyDescent="0.2">
      <c r="A77" s="369"/>
      <c r="B77" s="370"/>
      <c r="C77" s="371"/>
      <c r="D77" s="372"/>
      <c r="E77" s="369"/>
      <c r="H77" s="372"/>
      <c r="I77" s="369"/>
      <c r="J77" s="370"/>
      <c r="K77" s="371"/>
      <c r="L77" s="372"/>
      <c r="M77" s="372"/>
      <c r="N77" s="373"/>
      <c r="O77" s="373"/>
      <c r="P77" s="373"/>
      <c r="Q77" s="372"/>
      <c r="R77" s="304"/>
      <c r="S77" s="304"/>
    </row>
    <row r="78" spans="1:26" x14ac:dyDescent="0.2">
      <c r="A78" s="369"/>
      <c r="B78" s="370"/>
      <c r="C78" s="371"/>
      <c r="D78" s="372"/>
      <c r="E78" s="372"/>
      <c r="F78" s="372"/>
      <c r="G78" s="372"/>
      <c r="H78" s="372"/>
      <c r="I78" s="372"/>
      <c r="J78" s="372"/>
      <c r="K78" s="372"/>
      <c r="L78" s="372"/>
      <c r="M78" s="372"/>
      <c r="N78" s="373"/>
      <c r="O78" s="373"/>
      <c r="P78" s="373"/>
      <c r="Q78" s="372"/>
      <c r="R78" s="304"/>
      <c r="S78" s="304"/>
    </row>
    <row r="79" spans="1:26" x14ac:dyDescent="0.2">
      <c r="A79" s="369"/>
      <c r="B79" s="370"/>
      <c r="C79" s="371"/>
      <c r="D79" s="372"/>
      <c r="E79" s="372"/>
      <c r="F79" s="372"/>
      <c r="G79" s="372"/>
      <c r="H79" s="372"/>
      <c r="I79" s="372"/>
      <c r="J79" s="372"/>
      <c r="K79" s="372"/>
      <c r="L79" s="372"/>
      <c r="M79" s="372"/>
      <c r="N79" s="373"/>
      <c r="O79" s="373"/>
      <c r="P79" s="373"/>
      <c r="Q79" s="372"/>
      <c r="R79" s="304"/>
      <c r="S79" s="304"/>
    </row>
    <row r="80" spans="1:26" x14ac:dyDescent="0.2">
      <c r="A80" s="369"/>
      <c r="B80" s="370"/>
      <c r="C80" s="371"/>
      <c r="D80" s="372"/>
      <c r="E80" s="372"/>
      <c r="F80" s="372"/>
      <c r="G80" s="372"/>
      <c r="H80" s="372"/>
      <c r="I80" s="372"/>
      <c r="J80" s="372"/>
      <c r="K80" s="372"/>
      <c r="L80" s="372"/>
      <c r="M80" s="372"/>
      <c r="N80" s="373"/>
      <c r="O80" s="373"/>
      <c r="P80" s="373"/>
      <c r="Q80" s="372"/>
      <c r="R80" s="304"/>
      <c r="S80" s="304"/>
      <c r="Z80" s="463"/>
    </row>
    <row r="81" spans="1:19" x14ac:dyDescent="0.2">
      <c r="A81" s="369"/>
      <c r="B81" s="370"/>
      <c r="C81" s="371"/>
      <c r="D81" s="372"/>
      <c r="E81" s="372"/>
      <c r="F81" s="372"/>
      <c r="G81" s="372"/>
      <c r="H81" s="372"/>
      <c r="I81" s="372"/>
      <c r="J81" s="372"/>
      <c r="K81" s="372"/>
      <c r="L81" s="372"/>
      <c r="M81" s="372"/>
      <c r="N81" s="373"/>
      <c r="O81" s="373"/>
      <c r="P81" s="373"/>
      <c r="Q81" s="372"/>
      <c r="R81" s="304"/>
      <c r="S81" s="304"/>
    </row>
    <row r="82" spans="1:19" x14ac:dyDescent="0.2">
      <c r="A82" s="369"/>
      <c r="B82" s="370"/>
      <c r="C82" s="371"/>
      <c r="D82" s="372"/>
      <c r="E82" s="372"/>
      <c r="F82" s="372"/>
      <c r="G82" s="372"/>
      <c r="H82" s="372"/>
      <c r="I82" s="372"/>
      <c r="J82" s="372"/>
      <c r="K82" s="372"/>
      <c r="L82" s="372"/>
      <c r="M82" s="372"/>
      <c r="N82" s="373"/>
      <c r="O82" s="373"/>
      <c r="P82" s="373"/>
      <c r="Q82" s="372"/>
      <c r="R82" s="304"/>
      <c r="S82" s="304"/>
    </row>
    <row r="83" spans="1:19" x14ac:dyDescent="0.2">
      <c r="A83" s="369"/>
      <c r="B83" s="370"/>
      <c r="C83" s="371"/>
      <c r="D83" s="372"/>
      <c r="E83" s="372"/>
      <c r="F83" s="372"/>
      <c r="G83" s="372"/>
      <c r="H83" s="372"/>
      <c r="I83" s="372"/>
      <c r="J83" s="372"/>
      <c r="K83" s="372"/>
      <c r="L83" s="372"/>
      <c r="M83" s="372"/>
      <c r="N83" s="373"/>
      <c r="O83" s="373"/>
      <c r="P83" s="373"/>
      <c r="Q83" s="372"/>
      <c r="R83" s="304"/>
      <c r="S83" s="304"/>
    </row>
    <row r="84" spans="1:19" x14ac:dyDescent="0.2">
      <c r="A84" s="369"/>
      <c r="B84" s="370"/>
      <c r="C84" s="371"/>
      <c r="D84" s="372"/>
      <c r="E84" s="372"/>
      <c r="F84" s="372"/>
      <c r="G84" s="372"/>
      <c r="H84" s="372"/>
      <c r="I84" s="372"/>
      <c r="J84" s="372"/>
      <c r="K84" s="372"/>
      <c r="L84" s="372"/>
      <c r="M84" s="372"/>
      <c r="N84" s="373"/>
      <c r="O84" s="373"/>
      <c r="P84" s="373"/>
      <c r="Q84" s="372"/>
      <c r="R84" s="304"/>
      <c r="S84" s="304"/>
    </row>
    <row r="85" spans="1:19" x14ac:dyDescent="0.2">
      <c r="A85" s="369"/>
      <c r="B85" s="370"/>
      <c r="C85" s="371"/>
      <c r="D85" s="372"/>
      <c r="E85" s="372"/>
      <c r="F85" s="372"/>
      <c r="G85" s="462"/>
      <c r="H85" s="372"/>
      <c r="I85" s="372"/>
      <c r="J85" s="372"/>
      <c r="K85" s="372"/>
      <c r="L85" s="372"/>
      <c r="M85" s="372"/>
      <c r="N85" s="373"/>
      <c r="O85" s="373"/>
      <c r="P85" s="373"/>
      <c r="Q85" s="372"/>
      <c r="R85" s="304"/>
      <c r="S85" s="304"/>
    </row>
    <row r="86" spans="1:19" x14ac:dyDescent="0.2">
      <c r="A86" s="369"/>
      <c r="B86" s="370"/>
      <c r="C86" s="371"/>
      <c r="D86" s="372"/>
      <c r="E86" s="372"/>
      <c r="F86" s="372"/>
      <c r="G86" s="372"/>
      <c r="H86" s="372"/>
      <c r="I86" s="372"/>
      <c r="J86" s="372"/>
      <c r="K86" s="372"/>
      <c r="L86" s="372"/>
      <c r="M86" s="372"/>
      <c r="N86" s="373"/>
      <c r="O86" s="373"/>
      <c r="P86" s="373"/>
      <c r="Q86" s="372"/>
      <c r="R86" s="304"/>
      <c r="S86" s="304"/>
    </row>
    <row r="87" spans="1:19" x14ac:dyDescent="0.2">
      <c r="A87" s="369"/>
      <c r="B87" s="370"/>
      <c r="C87" s="371"/>
      <c r="D87" s="372"/>
      <c r="E87" s="372"/>
      <c r="F87" s="372"/>
      <c r="G87" s="372"/>
      <c r="H87" s="372"/>
      <c r="I87" s="372"/>
      <c r="J87" s="372"/>
      <c r="K87" s="372"/>
      <c r="L87" s="372"/>
      <c r="M87" s="372"/>
      <c r="N87" s="373"/>
      <c r="O87" s="373"/>
      <c r="P87" s="373"/>
      <c r="Q87" s="372"/>
      <c r="R87" s="304"/>
      <c r="S87" s="304"/>
    </row>
    <row r="88" spans="1:19" x14ac:dyDescent="0.2">
      <c r="A88" s="369"/>
      <c r="B88" s="370"/>
      <c r="C88" s="371"/>
      <c r="D88" s="372"/>
      <c r="E88" s="372"/>
      <c r="F88" s="372"/>
      <c r="G88" s="372"/>
      <c r="H88" s="372"/>
      <c r="I88" s="372"/>
      <c r="J88" s="372"/>
      <c r="K88" s="372"/>
      <c r="L88" s="372"/>
      <c r="M88" s="372"/>
      <c r="N88" s="373"/>
      <c r="O88" s="373"/>
      <c r="P88" s="373"/>
      <c r="Q88" s="372"/>
      <c r="R88" s="304"/>
      <c r="S88" s="304"/>
    </row>
    <row r="89" spans="1:19" x14ac:dyDescent="0.2">
      <c r="A89" s="369"/>
      <c r="B89" s="370"/>
      <c r="C89" s="371"/>
      <c r="D89" s="372"/>
      <c r="E89" s="372"/>
      <c r="F89" s="372"/>
      <c r="G89" s="372"/>
      <c r="H89" s="372"/>
      <c r="I89" s="372"/>
      <c r="J89" s="372"/>
      <c r="K89" s="372"/>
      <c r="L89" s="372"/>
      <c r="M89" s="372"/>
      <c r="N89" s="373"/>
      <c r="O89" s="373"/>
      <c r="P89" s="373"/>
      <c r="Q89" s="372"/>
      <c r="R89" s="304"/>
      <c r="S89" s="304"/>
    </row>
    <row r="90" spans="1:19" x14ac:dyDescent="0.2">
      <c r="A90" s="369"/>
      <c r="B90" s="370"/>
      <c r="C90" s="371"/>
      <c r="D90" s="372"/>
      <c r="E90" s="372"/>
      <c r="F90" s="372"/>
      <c r="G90" s="372"/>
      <c r="H90" s="372"/>
      <c r="I90" s="372"/>
      <c r="J90" s="372"/>
      <c r="K90" s="372"/>
      <c r="L90" s="372"/>
      <c r="M90" s="372"/>
      <c r="N90" s="373"/>
      <c r="O90" s="373"/>
      <c r="P90" s="373"/>
      <c r="Q90" s="372"/>
      <c r="R90" s="304"/>
      <c r="S90" s="304"/>
    </row>
    <row r="91" spans="1:19" x14ac:dyDescent="0.2">
      <c r="A91" s="369"/>
      <c r="B91" s="370"/>
      <c r="C91" s="371"/>
      <c r="D91" s="372"/>
      <c r="E91" s="372"/>
      <c r="F91" s="372"/>
      <c r="G91" s="372"/>
      <c r="H91" s="372"/>
      <c r="I91" s="372"/>
      <c r="J91" s="372"/>
      <c r="K91" s="372"/>
      <c r="L91" s="372"/>
      <c r="M91" s="372"/>
      <c r="N91" s="373"/>
      <c r="O91" s="373"/>
      <c r="P91" s="373"/>
      <c r="Q91" s="372"/>
      <c r="R91" s="304"/>
      <c r="S91" s="304"/>
    </row>
    <row r="92" spans="1:19" x14ac:dyDescent="0.2">
      <c r="A92" s="369"/>
      <c r="B92" s="370"/>
      <c r="C92" s="371"/>
      <c r="D92" s="372"/>
      <c r="E92" s="372"/>
      <c r="F92" s="372"/>
      <c r="G92" s="372"/>
      <c r="H92" s="372"/>
      <c r="I92" s="372"/>
      <c r="J92" s="372"/>
      <c r="K92" s="372"/>
      <c r="L92" s="372"/>
      <c r="M92" s="372"/>
      <c r="N92" s="384"/>
      <c r="O92" s="384"/>
      <c r="P92" s="384"/>
      <c r="Q92" s="372"/>
      <c r="R92" s="304"/>
      <c r="S92" s="304"/>
    </row>
    <row r="93" spans="1:19" x14ac:dyDescent="0.2">
      <c r="A93" s="369"/>
      <c r="B93" s="370"/>
      <c r="C93" s="371"/>
      <c r="D93" s="372"/>
      <c r="E93" s="372"/>
      <c r="F93" s="372"/>
      <c r="G93" s="372"/>
      <c r="H93" s="372"/>
      <c r="I93" s="372"/>
      <c r="J93" s="372"/>
      <c r="K93" s="372"/>
      <c r="L93" s="372"/>
      <c r="M93" s="372"/>
      <c r="N93" s="384"/>
      <c r="O93" s="384"/>
      <c r="P93" s="384"/>
      <c r="Q93" s="372"/>
      <c r="R93" s="304"/>
      <c r="S93" s="304"/>
    </row>
    <row r="94" spans="1:19" x14ac:dyDescent="0.2">
      <c r="A94" s="369"/>
      <c r="B94" s="370"/>
      <c r="C94" s="371"/>
      <c r="D94" s="372"/>
      <c r="E94" s="372"/>
      <c r="F94" s="372"/>
      <c r="G94" s="372"/>
      <c r="H94" s="372"/>
      <c r="I94" s="372"/>
      <c r="J94" s="372"/>
      <c r="K94" s="372"/>
      <c r="L94" s="372"/>
      <c r="M94" s="372"/>
      <c r="N94" s="384"/>
      <c r="O94" s="384"/>
      <c r="P94" s="384"/>
      <c r="Q94" s="372"/>
      <c r="R94" s="304"/>
      <c r="S94" s="304"/>
    </row>
    <row r="95" spans="1:19" x14ac:dyDescent="0.2">
      <c r="A95" s="369"/>
      <c r="B95" s="370"/>
      <c r="C95" s="371"/>
      <c r="D95" s="372"/>
      <c r="E95" s="372"/>
      <c r="F95" s="372"/>
      <c r="G95" s="372"/>
      <c r="H95" s="372"/>
      <c r="I95" s="372"/>
      <c r="J95" s="372"/>
      <c r="K95" s="372"/>
      <c r="L95" s="372"/>
      <c r="M95" s="372"/>
      <c r="N95" s="384"/>
      <c r="O95" s="384"/>
      <c r="P95" s="384"/>
      <c r="Q95" s="372"/>
      <c r="R95" s="304"/>
      <c r="S95" s="304"/>
    </row>
    <row r="96" spans="1:19" x14ac:dyDescent="0.2">
      <c r="A96" s="369"/>
      <c r="B96" s="370"/>
      <c r="C96" s="371"/>
      <c r="D96" s="372"/>
      <c r="E96" s="372"/>
      <c r="F96" s="306"/>
      <c r="G96" s="306"/>
      <c r="H96" s="306"/>
      <c r="I96" s="372"/>
      <c r="J96" s="372"/>
      <c r="K96" s="372"/>
      <c r="L96" s="372"/>
      <c r="M96" s="372"/>
      <c r="N96" s="372"/>
      <c r="O96" s="372"/>
      <c r="P96" s="372"/>
      <c r="Q96" s="372"/>
      <c r="R96" s="304"/>
      <c r="S96" s="304"/>
    </row>
    <row r="97" spans="1:19" x14ac:dyDescent="0.2">
      <c r="A97" s="385"/>
      <c r="B97" s="386"/>
      <c r="C97" s="387"/>
      <c r="D97" s="306"/>
      <c r="E97" s="306"/>
      <c r="F97" s="306"/>
      <c r="G97" s="306"/>
      <c r="H97" s="306"/>
      <c r="I97" s="306"/>
      <c r="J97" s="304"/>
      <c r="K97" s="304"/>
      <c r="L97" s="304"/>
      <c r="M97" s="304"/>
      <c r="N97" s="304"/>
      <c r="O97" s="304"/>
      <c r="P97" s="304"/>
      <c r="Q97" s="304"/>
      <c r="R97" s="304"/>
      <c r="S97" s="304"/>
    </row>
    <row r="98" spans="1:19" x14ac:dyDescent="0.2">
      <c r="A98" s="385"/>
      <c r="B98" s="386"/>
      <c r="C98" s="387"/>
      <c r="D98" s="306"/>
      <c r="E98" s="306"/>
      <c r="F98" s="306"/>
      <c r="G98" s="306"/>
      <c r="H98" s="306"/>
      <c r="I98" s="306"/>
      <c r="J98" s="304"/>
      <c r="K98" s="304"/>
      <c r="L98" s="304"/>
      <c r="M98" s="304"/>
      <c r="N98" s="304"/>
      <c r="O98" s="304"/>
      <c r="P98" s="304"/>
      <c r="Q98" s="304"/>
      <c r="R98" s="304"/>
      <c r="S98" s="304"/>
    </row>
    <row r="99" spans="1:19" x14ac:dyDescent="0.2">
      <c r="A99" s="385"/>
      <c r="B99" s="386"/>
      <c r="C99" s="387"/>
      <c r="D99" s="306"/>
      <c r="E99" s="306"/>
      <c r="I99" s="306"/>
      <c r="J99" s="304"/>
      <c r="K99" s="304"/>
      <c r="L99" s="304"/>
      <c r="M99" s="304"/>
      <c r="N99" s="304"/>
      <c r="O99" s="304"/>
      <c r="P99" s="304"/>
      <c r="Q99" s="304"/>
      <c r="R99" s="304"/>
      <c r="S99" s="304"/>
    </row>
  </sheetData>
  <sheetProtection algorithmName="SHA-512" hashValue="GAqI5icuP7Jp4cj5wcjape5Wbx7Sn+0i+BTf/JF4Uabaw6j27jYZeMkJSIq85gKeH7+OpY1gpw0OFjo71S6ZIg==" saltValue="sug+Z4E+3dQsjIzbD2+NWw=="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4" priority="1">
      <formula>OR(N5&gt;$V$23,N5&lt;$V$22)</formula>
    </cfRule>
  </conditionalFormatting>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Mdxs0sKvOed9f97jZRFeuIJhfyddAXwP1aVVgBERA9QVZjGgmzgqpo2TcZ0FTkIto6gNJ+W+798zkOXawCCdag==" saltValue="gnMtEA2BzoG3rXeA/JOHd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67" bestFit="1" customWidth="1"/>
    <col min="2" max="15" width="6" style="50" customWidth="1"/>
    <col min="16" max="16" width="2.140625" style="50" customWidth="1"/>
    <col min="17" max="17" width="9" style="423" bestFit="1" customWidth="1"/>
    <col min="18" max="31" width="6" style="50" customWidth="1"/>
    <col min="32" max="32" width="2.140625" style="50" customWidth="1"/>
    <col min="33" max="33" width="9" style="423" bestFit="1" customWidth="1"/>
    <col min="34" max="45" width="6" style="50" customWidth="1"/>
    <col min="46" max="16384" width="9.140625" style="50"/>
  </cols>
  <sheetData>
    <row r="1" spans="1:45" s="425" customFormat="1" ht="24.75" customHeight="1" x14ac:dyDescent="0.25"/>
    <row r="2" spans="1:45" s="426" customFormat="1" x14ac:dyDescent="0.2">
      <c r="A2" s="423"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3"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3"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68"/>
      <c r="C3" s="468"/>
      <c r="D3" s="468"/>
      <c r="E3" s="468"/>
      <c r="F3" s="468"/>
      <c r="G3" s="468"/>
      <c r="H3" s="468"/>
      <c r="I3" s="468"/>
      <c r="J3" s="468"/>
      <c r="K3" s="468"/>
      <c r="L3" s="469"/>
      <c r="M3" s="469"/>
      <c r="N3" s="469"/>
      <c r="O3" s="464"/>
      <c r="Q3" s="467"/>
      <c r="R3" s="468"/>
      <c r="S3" s="468"/>
      <c r="T3" s="468"/>
      <c r="U3" s="468"/>
      <c r="V3" s="468"/>
      <c r="W3" s="468"/>
      <c r="X3" s="468"/>
      <c r="Y3" s="468"/>
      <c r="Z3" s="468"/>
      <c r="AA3" s="468"/>
      <c r="AD3" s="470"/>
      <c r="AE3" s="464"/>
      <c r="AG3" s="467"/>
      <c r="AH3" s="468"/>
      <c r="AI3" s="468"/>
      <c r="AJ3" s="468"/>
      <c r="AK3" s="468"/>
      <c r="AL3" s="468"/>
      <c r="AM3" s="468"/>
      <c r="AN3" s="468"/>
      <c r="AO3" s="468"/>
      <c r="AP3" s="468"/>
      <c r="AQ3" s="468"/>
    </row>
    <row r="4" spans="1:45" x14ac:dyDescent="0.2">
      <c r="Q4" s="467"/>
      <c r="AG4" s="467"/>
    </row>
    <row r="5" spans="1:45" x14ac:dyDescent="0.2">
      <c r="Q5" s="467"/>
      <c r="AG5" s="467"/>
    </row>
    <row r="6" spans="1:45" x14ac:dyDescent="0.2">
      <c r="Q6" s="467"/>
      <c r="AG6" s="467"/>
    </row>
    <row r="7" spans="1:45" x14ac:dyDescent="0.2">
      <c r="Q7" s="467"/>
      <c r="AG7" s="467"/>
    </row>
    <row r="8" spans="1:45" x14ac:dyDescent="0.2">
      <c r="Q8" s="467"/>
      <c r="AG8" s="467"/>
    </row>
    <row r="9" spans="1:45" x14ac:dyDescent="0.2">
      <c r="Q9" s="467"/>
      <c r="AG9" s="467"/>
    </row>
    <row r="10" spans="1:45" x14ac:dyDescent="0.2">
      <c r="Q10" s="467"/>
      <c r="AG10" s="467"/>
    </row>
    <row r="11" spans="1:45" x14ac:dyDescent="0.2">
      <c r="Q11" s="467"/>
      <c r="AG11" s="467"/>
    </row>
    <row r="12" spans="1:45" x14ac:dyDescent="0.2">
      <c r="Q12" s="467"/>
      <c r="AG12" s="467"/>
    </row>
    <row r="13" spans="1:45" x14ac:dyDescent="0.2">
      <c r="Q13" s="467"/>
      <c r="AG13" s="467"/>
    </row>
    <row r="14" spans="1:45" x14ac:dyDescent="0.2">
      <c r="Q14" s="467"/>
      <c r="AG14" s="467"/>
    </row>
    <row r="15" spans="1:45" x14ac:dyDescent="0.2">
      <c r="Q15" s="467"/>
      <c r="AG15" s="467"/>
    </row>
    <row r="16" spans="1:45" x14ac:dyDescent="0.2">
      <c r="Q16" s="467"/>
      <c r="AG16" s="467"/>
    </row>
    <row r="17" spans="17:33" x14ac:dyDescent="0.2">
      <c r="Q17" s="467"/>
      <c r="AG17" s="467"/>
    </row>
    <row r="18" spans="17:33" x14ac:dyDescent="0.2">
      <c r="Q18" s="467"/>
      <c r="AG18" s="467"/>
    </row>
    <row r="19" spans="17:33" x14ac:dyDescent="0.2">
      <c r="Q19" s="467"/>
      <c r="AG19" s="467"/>
    </row>
    <row r="20" spans="17:33" x14ac:dyDescent="0.2">
      <c r="Q20" s="467"/>
      <c r="AG20" s="467"/>
    </row>
    <row r="21" spans="17:33" x14ac:dyDescent="0.2">
      <c r="Q21" s="467"/>
      <c r="AG21" s="467"/>
    </row>
    <row r="22" spans="17:33" x14ac:dyDescent="0.2">
      <c r="Q22" s="467"/>
      <c r="AG22" s="467"/>
    </row>
    <row r="23" spans="17:33" x14ac:dyDescent="0.2">
      <c r="Q23" s="467"/>
      <c r="AG23" s="467"/>
    </row>
    <row r="24" spans="17:33" x14ac:dyDescent="0.2">
      <c r="Q24" s="467"/>
      <c r="AG24" s="467"/>
    </row>
    <row r="25" spans="17:33" x14ac:dyDescent="0.2">
      <c r="Q25" s="467"/>
      <c r="AG25" s="467"/>
    </row>
    <row r="26" spans="17:33" x14ac:dyDescent="0.2">
      <c r="Q26" s="467"/>
      <c r="AG26" s="467"/>
    </row>
    <row r="27" spans="17:33" x14ac:dyDescent="0.2">
      <c r="Q27" s="467"/>
      <c r="AG27" s="467"/>
    </row>
    <row r="28" spans="17:33" x14ac:dyDescent="0.2">
      <c r="Q28" s="467"/>
      <c r="AG28" s="467"/>
    </row>
    <row r="29" spans="17:33" x14ac:dyDescent="0.2">
      <c r="Q29" s="467"/>
      <c r="AG29" s="467"/>
    </row>
    <row r="30" spans="17:33" x14ac:dyDescent="0.2">
      <c r="Q30" s="467"/>
      <c r="AG30" s="467"/>
    </row>
    <row r="31" spans="17:33" x14ac:dyDescent="0.2">
      <c r="Q31" s="467"/>
      <c r="AG31" s="467"/>
    </row>
    <row r="32" spans="17:33" x14ac:dyDescent="0.2">
      <c r="Q32" s="467"/>
      <c r="AG32" s="467"/>
    </row>
    <row r="33" spans="17:33" x14ac:dyDescent="0.2">
      <c r="Q33" s="467"/>
      <c r="AG33" s="467"/>
    </row>
    <row r="34" spans="17:33" x14ac:dyDescent="0.2">
      <c r="Q34" s="467"/>
      <c r="AG34" s="467"/>
    </row>
    <row r="35" spans="17:33" x14ac:dyDescent="0.2">
      <c r="Q35" s="467"/>
      <c r="AG35" s="467"/>
    </row>
    <row r="36" spans="17:33" x14ac:dyDescent="0.2">
      <c r="Q36" s="467"/>
      <c r="AG36" s="467"/>
    </row>
    <row r="37" spans="17:33" x14ac:dyDescent="0.2">
      <c r="Q37" s="467"/>
      <c r="AG37" s="467"/>
    </row>
    <row r="38" spans="17:33" x14ac:dyDescent="0.2">
      <c r="Q38" s="467"/>
      <c r="AG38" s="467"/>
    </row>
    <row r="39" spans="17:33" x14ac:dyDescent="0.2">
      <c r="Q39" s="467"/>
      <c r="AG39" s="467"/>
    </row>
    <row r="40" spans="17:33" x14ac:dyDescent="0.2">
      <c r="Q40" s="467"/>
      <c r="AG40" s="467"/>
    </row>
    <row r="41" spans="17:33" x14ac:dyDescent="0.2">
      <c r="Q41" s="467"/>
      <c r="AG41" s="467"/>
    </row>
    <row r="42" spans="17:33" x14ac:dyDescent="0.2">
      <c r="Q42" s="467"/>
      <c r="AG42" s="467"/>
    </row>
    <row r="43" spans="17:33" x14ac:dyDescent="0.2">
      <c r="Q43" s="467"/>
      <c r="AG43" s="467"/>
    </row>
    <row r="44" spans="17:33" x14ac:dyDescent="0.2">
      <c r="Q44" s="467"/>
      <c r="AG44" s="467"/>
    </row>
    <row r="45" spans="17:33" x14ac:dyDescent="0.2">
      <c r="Q45" s="467"/>
      <c r="AG45" s="467"/>
    </row>
    <row r="46" spans="17:33" x14ac:dyDescent="0.2">
      <c r="Q46" s="467"/>
      <c r="AG46" s="467"/>
    </row>
    <row r="47" spans="17:33" x14ac:dyDescent="0.2">
      <c r="Q47" s="467"/>
      <c r="AG47" s="467"/>
    </row>
    <row r="48" spans="17:33" x14ac:dyDescent="0.2">
      <c r="Q48" s="467"/>
      <c r="AG48" s="467"/>
    </row>
    <row r="49" spans="17:33" x14ac:dyDescent="0.2">
      <c r="Q49" s="467"/>
      <c r="AG49" s="467"/>
    </row>
    <row r="50" spans="17:33" x14ac:dyDescent="0.2">
      <c r="Q50" s="467"/>
      <c r="AG50" s="467"/>
    </row>
    <row r="51" spans="17:33" x14ac:dyDescent="0.2">
      <c r="Q51" s="467"/>
      <c r="AG51" s="467"/>
    </row>
    <row r="52" spans="17:33" x14ac:dyDescent="0.2">
      <c r="Q52" s="467"/>
      <c r="AG52" s="467"/>
    </row>
    <row r="53" spans="17:33" x14ac:dyDescent="0.2">
      <c r="Q53" s="467"/>
      <c r="AG53" s="467"/>
    </row>
    <row r="54" spans="17:33" x14ac:dyDescent="0.2">
      <c r="Q54" s="467"/>
      <c r="AG54" s="467"/>
    </row>
    <row r="55" spans="17:33" x14ac:dyDescent="0.2">
      <c r="Q55" s="467"/>
      <c r="AG55" s="467"/>
    </row>
    <row r="56" spans="17:33" x14ac:dyDescent="0.2">
      <c r="Q56" s="467"/>
      <c r="AG56" s="467"/>
    </row>
    <row r="57" spans="17:33" x14ac:dyDescent="0.2">
      <c r="Q57" s="467"/>
      <c r="AG57" s="467"/>
    </row>
    <row r="58" spans="17:33" x14ac:dyDescent="0.2">
      <c r="Q58" s="467"/>
      <c r="AG58" s="467"/>
    </row>
    <row r="59" spans="17:33" x14ac:dyDescent="0.2">
      <c r="Q59" s="467"/>
      <c r="AG59" s="467"/>
    </row>
    <row r="60" spans="17:33" x14ac:dyDescent="0.2">
      <c r="Q60" s="467"/>
      <c r="AG60" s="467"/>
    </row>
    <row r="61" spans="17:33" x14ac:dyDescent="0.2">
      <c r="Q61" s="467"/>
      <c r="AG61" s="467"/>
    </row>
    <row r="62" spans="17:33" x14ac:dyDescent="0.2">
      <c r="Q62" s="467"/>
      <c r="AG62" s="467"/>
    </row>
    <row r="63" spans="17:33" x14ac:dyDescent="0.2">
      <c r="Q63" s="467"/>
      <c r="AG63" s="467"/>
    </row>
    <row r="64" spans="17:33" x14ac:dyDescent="0.2">
      <c r="Q64" s="467"/>
      <c r="AG64" s="467"/>
    </row>
    <row r="65" spans="17:33" x14ac:dyDescent="0.2">
      <c r="Q65" s="467"/>
      <c r="AG65" s="467"/>
    </row>
    <row r="66" spans="17:33" x14ac:dyDescent="0.2">
      <c r="Q66" s="467"/>
      <c r="AG66" s="467"/>
    </row>
    <row r="67" spans="17:33" x14ac:dyDescent="0.2">
      <c r="Q67" s="467"/>
      <c r="AG67" s="467"/>
    </row>
    <row r="68" spans="17:33" x14ac:dyDescent="0.2">
      <c r="Q68" s="467"/>
      <c r="AG68" s="467"/>
    </row>
    <row r="69" spans="17:33" x14ac:dyDescent="0.2">
      <c r="Q69" s="467"/>
      <c r="AG69" s="467"/>
    </row>
    <row r="70" spans="17:33" x14ac:dyDescent="0.2">
      <c r="Q70" s="467"/>
      <c r="AG70" s="467"/>
    </row>
    <row r="71" spans="17:33" x14ac:dyDescent="0.2">
      <c r="Q71" s="467"/>
      <c r="AG71" s="467"/>
    </row>
    <row r="72" spans="17:33" x14ac:dyDescent="0.2">
      <c r="Q72" s="467"/>
      <c r="AG72" s="467"/>
    </row>
    <row r="73" spans="17:33" x14ac:dyDescent="0.2">
      <c r="Q73" s="467"/>
      <c r="AG73" s="467"/>
    </row>
    <row r="74" spans="17:33" x14ac:dyDescent="0.2">
      <c r="Q74" s="467"/>
      <c r="AG74" s="467"/>
    </row>
    <row r="75" spans="17:33" x14ac:dyDescent="0.2">
      <c r="Q75" s="467"/>
      <c r="AG75" s="467"/>
    </row>
    <row r="76" spans="17:33" x14ac:dyDescent="0.2">
      <c r="Q76" s="467"/>
      <c r="AG76" s="467"/>
    </row>
    <row r="77" spans="17:33" x14ac:dyDescent="0.2">
      <c r="Q77" s="467"/>
      <c r="AG77" s="467"/>
    </row>
    <row r="78" spans="17:33" x14ac:dyDescent="0.2">
      <c r="Q78" s="467"/>
      <c r="AG78" s="467"/>
    </row>
    <row r="79" spans="17:33" x14ac:dyDescent="0.2">
      <c r="Q79" s="467"/>
      <c r="AG79" s="467"/>
    </row>
    <row r="80" spans="17:33" x14ac:dyDescent="0.2">
      <c r="Q80" s="467"/>
      <c r="AG80" s="467"/>
    </row>
    <row r="81" spans="17:33" x14ac:dyDescent="0.2">
      <c r="Q81" s="467"/>
      <c r="AG81" s="467"/>
    </row>
    <row r="82" spans="17:33" x14ac:dyDescent="0.2">
      <c r="Q82" s="467"/>
      <c r="AG82" s="467"/>
    </row>
    <row r="83" spans="17:33" x14ac:dyDescent="0.2">
      <c r="Q83" s="467"/>
      <c r="AG83" s="467"/>
    </row>
    <row r="84" spans="17:33" x14ac:dyDescent="0.2">
      <c r="Q84" s="467"/>
      <c r="AG84" s="467"/>
    </row>
    <row r="85" spans="17:33" x14ac:dyDescent="0.2">
      <c r="Q85" s="467"/>
      <c r="AG85" s="467"/>
    </row>
    <row r="86" spans="17:33" x14ac:dyDescent="0.2">
      <c r="Q86" s="467"/>
      <c r="AG86" s="467"/>
    </row>
    <row r="87" spans="17:33" x14ac:dyDescent="0.2">
      <c r="Q87" s="467"/>
      <c r="AG87" s="467"/>
    </row>
    <row r="88" spans="17:33" x14ac:dyDescent="0.2">
      <c r="Q88" s="467"/>
      <c r="AG88" s="467"/>
    </row>
    <row r="89" spans="17:33" x14ac:dyDescent="0.2">
      <c r="Q89" s="467"/>
      <c r="AG89" s="467"/>
    </row>
    <row r="90" spans="17:33" x14ac:dyDescent="0.2">
      <c r="Q90" s="467"/>
      <c r="AG90" s="467"/>
    </row>
    <row r="91" spans="17:33" x14ac:dyDescent="0.2">
      <c r="Q91" s="467"/>
      <c r="AG91" s="467"/>
    </row>
    <row r="92" spans="17:33" x14ac:dyDescent="0.2">
      <c r="Q92" s="467"/>
      <c r="AG92" s="467"/>
    </row>
    <row r="93" spans="17:33" x14ac:dyDescent="0.2">
      <c r="Q93" s="467"/>
      <c r="AG93" s="467"/>
    </row>
    <row r="94" spans="17:33" x14ac:dyDescent="0.2">
      <c r="Q94" s="467"/>
      <c r="AG94" s="467"/>
    </row>
    <row r="95" spans="17:33" x14ac:dyDescent="0.2">
      <c r="Q95" s="467"/>
      <c r="AG95" s="467"/>
    </row>
    <row r="96" spans="17:33" x14ac:dyDescent="0.2">
      <c r="Q96" s="467"/>
      <c r="AG96" s="467"/>
    </row>
    <row r="97" spans="17:33" x14ac:dyDescent="0.2">
      <c r="Q97" s="467"/>
      <c r="AG97" s="467"/>
    </row>
    <row r="98" spans="17:33" x14ac:dyDescent="0.2">
      <c r="Q98" s="467"/>
      <c r="AG98" s="467"/>
    </row>
    <row r="99" spans="17:33" x14ac:dyDescent="0.2">
      <c r="Q99" s="467"/>
      <c r="AG99" s="467"/>
    </row>
    <row r="100" spans="17:33" x14ac:dyDescent="0.2">
      <c r="Q100" s="467"/>
      <c r="AG100" s="467"/>
    </row>
    <row r="101" spans="17:33" x14ac:dyDescent="0.2">
      <c r="Q101" s="467"/>
      <c r="AG101" s="467"/>
    </row>
    <row r="102" spans="17:33" x14ac:dyDescent="0.2">
      <c r="Q102" s="467"/>
      <c r="AG102" s="467"/>
    </row>
    <row r="103" spans="17:33" x14ac:dyDescent="0.2">
      <c r="Q103" s="467"/>
      <c r="AG103" s="467"/>
    </row>
    <row r="104" spans="17:33" x14ac:dyDescent="0.2">
      <c r="Q104" s="467"/>
      <c r="AG104" s="467"/>
    </row>
    <row r="105" spans="17:33" x14ac:dyDescent="0.2">
      <c r="Q105" s="467"/>
      <c r="AG105" s="467"/>
    </row>
    <row r="106" spans="17:33" x14ac:dyDescent="0.2">
      <c r="Q106" s="467"/>
      <c r="AG106" s="467"/>
    </row>
    <row r="107" spans="17:33" x14ac:dyDescent="0.2">
      <c r="Q107" s="467"/>
      <c r="AG107" s="467"/>
    </row>
    <row r="108" spans="17:33" x14ac:dyDescent="0.2">
      <c r="Q108" s="467"/>
      <c r="AG108" s="467"/>
    </row>
    <row r="109" spans="17:33" x14ac:dyDescent="0.2">
      <c r="Q109" s="467"/>
      <c r="AG109" s="467"/>
    </row>
    <row r="110" spans="17:33" x14ac:dyDescent="0.2">
      <c r="Q110" s="467"/>
      <c r="AG110" s="467"/>
    </row>
    <row r="111" spans="17:33" x14ac:dyDescent="0.2">
      <c r="Q111" s="467"/>
      <c r="AG111" s="467"/>
    </row>
    <row r="112" spans="17:33" x14ac:dyDescent="0.2">
      <c r="Q112" s="467"/>
      <c r="AG112" s="467"/>
    </row>
    <row r="113" spans="17:33" x14ac:dyDescent="0.2">
      <c r="Q113" s="467"/>
      <c r="AG113" s="467"/>
    </row>
    <row r="114" spans="17:33" x14ac:dyDescent="0.2">
      <c r="Q114" s="467"/>
      <c r="AG114" s="467"/>
    </row>
    <row r="115" spans="17:33" x14ac:dyDescent="0.2">
      <c r="Q115" s="467"/>
      <c r="AG115" s="467"/>
    </row>
    <row r="116" spans="17:33" x14ac:dyDescent="0.2">
      <c r="Q116" s="467"/>
      <c r="AG116" s="467"/>
    </row>
    <row r="117" spans="17:33" x14ac:dyDescent="0.2">
      <c r="Q117" s="467"/>
      <c r="AG117" s="467"/>
    </row>
    <row r="118" spans="17:33" x14ac:dyDescent="0.2">
      <c r="Q118" s="467"/>
      <c r="AG118" s="467"/>
    </row>
    <row r="119" spans="17:33" x14ac:dyDescent="0.2">
      <c r="Q119" s="467"/>
      <c r="AG119" s="467"/>
    </row>
    <row r="120" spans="17:33" x14ac:dyDescent="0.2">
      <c r="Q120" s="467"/>
      <c r="AG120" s="467"/>
    </row>
    <row r="121" spans="17:33" x14ac:dyDescent="0.2">
      <c r="Q121" s="467"/>
      <c r="AG121" s="467"/>
    </row>
    <row r="122" spans="17:33" x14ac:dyDescent="0.2">
      <c r="Q122" s="467"/>
      <c r="AG122" s="467"/>
    </row>
    <row r="123" spans="17:33" x14ac:dyDescent="0.2">
      <c r="Q123" s="467"/>
      <c r="AG123" s="467"/>
    </row>
    <row r="124" spans="17:33" x14ac:dyDescent="0.2">
      <c r="Q124" s="467"/>
      <c r="AG124" s="467"/>
    </row>
    <row r="125" spans="17:33" x14ac:dyDescent="0.2">
      <c r="Q125" s="467"/>
      <c r="AG125" s="467"/>
    </row>
    <row r="126" spans="17:33" x14ac:dyDescent="0.2">
      <c r="Q126" s="467"/>
      <c r="AG126" s="467"/>
    </row>
    <row r="127" spans="17:33" x14ac:dyDescent="0.2">
      <c r="Q127" s="467"/>
      <c r="AG127" s="467"/>
    </row>
    <row r="128" spans="17:33" x14ac:dyDescent="0.2">
      <c r="Q128" s="467"/>
      <c r="AG128" s="467"/>
    </row>
    <row r="129" spans="17:33" x14ac:dyDescent="0.2">
      <c r="Q129" s="467"/>
      <c r="AG129" s="467"/>
    </row>
    <row r="130" spans="17:33" x14ac:dyDescent="0.2">
      <c r="Q130" s="467"/>
      <c r="AG130" s="467"/>
    </row>
    <row r="131" spans="17:33" x14ac:dyDescent="0.2">
      <c r="Q131" s="467"/>
      <c r="AG131" s="467"/>
    </row>
    <row r="132" spans="17:33" x14ac:dyDescent="0.2">
      <c r="Q132" s="467"/>
      <c r="AG132" s="467"/>
    </row>
    <row r="133" spans="17:33" x14ac:dyDescent="0.2">
      <c r="Q133" s="467"/>
      <c r="AG133" s="467"/>
    </row>
    <row r="134" spans="17:33" x14ac:dyDescent="0.2">
      <c r="Q134" s="467"/>
      <c r="AG134" s="467"/>
    </row>
    <row r="135" spans="17:33" x14ac:dyDescent="0.2">
      <c r="Q135" s="467"/>
      <c r="AG135" s="467"/>
    </row>
    <row r="136" spans="17:33" x14ac:dyDescent="0.2">
      <c r="Q136" s="467"/>
      <c r="AG136" s="467"/>
    </row>
    <row r="137" spans="17:33" x14ac:dyDescent="0.2">
      <c r="Q137" s="467"/>
      <c r="AG137" s="467"/>
    </row>
    <row r="138" spans="17:33" x14ac:dyDescent="0.2">
      <c r="Q138" s="467"/>
      <c r="AG138" s="467"/>
    </row>
    <row r="139" spans="17:33" x14ac:dyDescent="0.2">
      <c r="Q139" s="467"/>
      <c r="AG139" s="467"/>
    </row>
    <row r="140" spans="17:33" x14ac:dyDescent="0.2">
      <c r="Q140" s="467"/>
      <c r="AG140" s="467"/>
    </row>
    <row r="141" spans="17:33" x14ac:dyDescent="0.2">
      <c r="Q141" s="467"/>
      <c r="AG141" s="467"/>
    </row>
    <row r="142" spans="17:33" x14ac:dyDescent="0.2">
      <c r="Q142" s="467"/>
      <c r="AG142" s="467"/>
    </row>
    <row r="143" spans="17:33" x14ac:dyDescent="0.2">
      <c r="Q143" s="467"/>
      <c r="AG143" s="467"/>
    </row>
    <row r="144" spans="17:33" x14ac:dyDescent="0.2">
      <c r="Q144" s="467"/>
      <c r="AG144" s="467"/>
    </row>
    <row r="145" spans="17:33" x14ac:dyDescent="0.2">
      <c r="Q145" s="467"/>
      <c r="AG145" s="467"/>
    </row>
    <row r="146" spans="17:33" x14ac:dyDescent="0.2">
      <c r="Q146" s="467"/>
      <c r="AG146" s="467"/>
    </row>
    <row r="147" spans="17:33" x14ac:dyDescent="0.2">
      <c r="Q147" s="467"/>
      <c r="AG147" s="467"/>
    </row>
    <row r="148" spans="17:33" x14ac:dyDescent="0.2">
      <c r="Q148" s="467"/>
      <c r="AG148" s="467"/>
    </row>
    <row r="149" spans="17:33" x14ac:dyDescent="0.2">
      <c r="Q149" s="467"/>
      <c r="AG149" s="467"/>
    </row>
    <row r="150" spans="17:33" x14ac:dyDescent="0.2">
      <c r="Q150" s="467"/>
      <c r="AG150" s="467"/>
    </row>
    <row r="151" spans="17:33" x14ac:dyDescent="0.2">
      <c r="Q151" s="467"/>
      <c r="AG151" s="467"/>
    </row>
    <row r="152" spans="17:33" x14ac:dyDescent="0.2">
      <c r="Q152" s="467"/>
      <c r="AG152" s="467"/>
    </row>
    <row r="153" spans="17:33" x14ac:dyDescent="0.2">
      <c r="Q153" s="467"/>
      <c r="AG153" s="467"/>
    </row>
    <row r="154" spans="17:33" x14ac:dyDescent="0.2">
      <c r="Q154" s="467"/>
      <c r="AG154" s="467"/>
    </row>
    <row r="155" spans="17:33" x14ac:dyDescent="0.2">
      <c r="Q155" s="467"/>
      <c r="AG155" s="467"/>
    </row>
    <row r="156" spans="17:33" x14ac:dyDescent="0.2">
      <c r="Q156" s="467"/>
      <c r="AG156" s="467"/>
    </row>
    <row r="157" spans="17:33" x14ac:dyDescent="0.2">
      <c r="Q157" s="467"/>
      <c r="AG157" s="467"/>
    </row>
    <row r="158" spans="17:33" x14ac:dyDescent="0.2">
      <c r="Q158" s="467"/>
      <c r="AG158" s="467"/>
    </row>
    <row r="159" spans="17:33" x14ac:dyDescent="0.2">
      <c r="Q159" s="467"/>
      <c r="AG159" s="467"/>
    </row>
    <row r="160" spans="17:33" x14ac:dyDescent="0.2">
      <c r="Q160" s="467"/>
      <c r="AG160" s="467"/>
    </row>
    <row r="161" spans="17:33" x14ac:dyDescent="0.2">
      <c r="Q161" s="467"/>
      <c r="AG161" s="467"/>
    </row>
    <row r="162" spans="17:33" x14ac:dyDescent="0.2">
      <c r="Q162" s="467"/>
      <c r="AG162" s="467"/>
    </row>
    <row r="163" spans="17:33" x14ac:dyDescent="0.2">
      <c r="Q163" s="467"/>
      <c r="AG163" s="467"/>
    </row>
    <row r="164" spans="17:33" x14ac:dyDescent="0.2">
      <c r="Q164" s="467"/>
      <c r="AG164" s="467"/>
    </row>
    <row r="165" spans="17:33" x14ac:dyDescent="0.2">
      <c r="Q165" s="467"/>
      <c r="AG165" s="467"/>
    </row>
    <row r="166" spans="17:33" x14ac:dyDescent="0.2">
      <c r="Q166" s="467"/>
      <c r="AG166" s="467"/>
    </row>
    <row r="167" spans="17:33" x14ac:dyDescent="0.2">
      <c r="Q167" s="467"/>
      <c r="AG167" s="467"/>
    </row>
    <row r="168" spans="17:33" x14ac:dyDescent="0.2">
      <c r="Q168" s="467"/>
      <c r="AG168" s="467"/>
    </row>
    <row r="169" spans="17:33" x14ac:dyDescent="0.2">
      <c r="Q169" s="467"/>
      <c r="AG169" s="467"/>
    </row>
    <row r="170" spans="17:33" x14ac:dyDescent="0.2">
      <c r="Q170" s="467"/>
      <c r="AG170" s="467"/>
    </row>
    <row r="171" spans="17:33" x14ac:dyDescent="0.2">
      <c r="Q171" s="467"/>
      <c r="AG171" s="467"/>
    </row>
    <row r="172" spans="17:33" x14ac:dyDescent="0.2">
      <c r="Q172" s="467"/>
      <c r="AG172" s="467"/>
    </row>
    <row r="173" spans="17:33" x14ac:dyDescent="0.2">
      <c r="Q173" s="467"/>
      <c r="AG173" s="467"/>
    </row>
    <row r="174" spans="17:33" x14ac:dyDescent="0.2">
      <c r="Q174" s="467"/>
      <c r="AG174" s="467"/>
    </row>
    <row r="175" spans="17:33" x14ac:dyDescent="0.2">
      <c r="Q175" s="467"/>
      <c r="AG175" s="467"/>
    </row>
    <row r="176" spans="17:33" x14ac:dyDescent="0.2">
      <c r="Q176" s="467"/>
      <c r="AG176" s="467"/>
    </row>
    <row r="177" spans="17:33" x14ac:dyDescent="0.2">
      <c r="Q177" s="467"/>
      <c r="AG177" s="467"/>
    </row>
    <row r="178" spans="17:33" x14ac:dyDescent="0.2">
      <c r="Q178" s="467"/>
      <c r="AG178" s="467"/>
    </row>
    <row r="179" spans="17:33" x14ac:dyDescent="0.2">
      <c r="Q179" s="467"/>
      <c r="AG179" s="467"/>
    </row>
    <row r="180" spans="17:33" x14ac:dyDescent="0.2">
      <c r="Q180" s="467"/>
      <c r="AG180" s="467"/>
    </row>
    <row r="181" spans="17:33" x14ac:dyDescent="0.2">
      <c r="Q181" s="467"/>
      <c r="AG181" s="467"/>
    </row>
    <row r="182" spans="17:33" x14ac:dyDescent="0.2">
      <c r="Q182" s="467"/>
      <c r="AG182" s="467"/>
    </row>
    <row r="183" spans="17:33" x14ac:dyDescent="0.2">
      <c r="Q183" s="467"/>
      <c r="AG183" s="467"/>
    </row>
    <row r="184" spans="17:33" x14ac:dyDescent="0.2">
      <c r="Q184" s="467"/>
      <c r="AG184" s="467"/>
    </row>
    <row r="185" spans="17:33" x14ac:dyDescent="0.2">
      <c r="Q185" s="467"/>
      <c r="AG185" s="467"/>
    </row>
    <row r="186" spans="17:33" x14ac:dyDescent="0.2">
      <c r="Q186" s="467"/>
      <c r="AG186" s="467"/>
    </row>
    <row r="187" spans="17:33" x14ac:dyDescent="0.2">
      <c r="Q187" s="467"/>
      <c r="AG187" s="467"/>
    </row>
    <row r="188" spans="17:33" x14ac:dyDescent="0.2">
      <c r="Q188" s="467"/>
      <c r="AG188" s="467"/>
    </row>
    <row r="189" spans="17:33" x14ac:dyDescent="0.2">
      <c r="Q189" s="467"/>
      <c r="AG189" s="467"/>
    </row>
    <row r="190" spans="17:33" x14ac:dyDescent="0.2">
      <c r="Q190" s="467"/>
      <c r="AG190" s="467"/>
    </row>
    <row r="191" spans="17:33" x14ac:dyDescent="0.2">
      <c r="Q191" s="467"/>
      <c r="AG191" s="467"/>
    </row>
    <row r="192" spans="17:33" x14ac:dyDescent="0.2">
      <c r="Q192" s="467"/>
      <c r="AG192" s="467"/>
    </row>
    <row r="193" spans="17:33" x14ac:dyDescent="0.2">
      <c r="Q193" s="467"/>
      <c r="AG193" s="467"/>
    </row>
    <row r="194" spans="17:33" x14ac:dyDescent="0.2">
      <c r="Q194" s="467"/>
      <c r="AG194" s="467"/>
    </row>
    <row r="195" spans="17:33" x14ac:dyDescent="0.2">
      <c r="Q195" s="467"/>
      <c r="AG195" s="467"/>
    </row>
    <row r="196" spans="17:33" x14ac:dyDescent="0.2">
      <c r="Q196" s="467"/>
      <c r="AG196" s="467"/>
    </row>
    <row r="197" spans="17:33" x14ac:dyDescent="0.2">
      <c r="Q197" s="467"/>
      <c r="AG197" s="467"/>
    </row>
    <row r="198" spans="17:33" x14ac:dyDescent="0.2">
      <c r="Q198" s="467"/>
      <c r="AG198" s="467"/>
    </row>
    <row r="199" spans="17:33" x14ac:dyDescent="0.2">
      <c r="Q199" s="467"/>
      <c r="AG199" s="467"/>
    </row>
    <row r="200" spans="17:33" x14ac:dyDescent="0.2">
      <c r="Q200" s="467"/>
      <c r="AG200" s="467"/>
    </row>
    <row r="201" spans="17:33" x14ac:dyDescent="0.2">
      <c r="Q201" s="467"/>
      <c r="AG201" s="467"/>
    </row>
    <row r="202" spans="17:33" x14ac:dyDescent="0.2">
      <c r="Q202" s="467"/>
      <c r="AG202" s="467"/>
    </row>
    <row r="203" spans="17:33" x14ac:dyDescent="0.2">
      <c r="Q203" s="467"/>
      <c r="AG203" s="467"/>
    </row>
    <row r="204" spans="17:33" x14ac:dyDescent="0.2">
      <c r="Q204" s="467"/>
      <c r="AG204" s="467"/>
    </row>
    <row r="205" spans="17:33" x14ac:dyDescent="0.2">
      <c r="Q205" s="467"/>
      <c r="AG205" s="467"/>
    </row>
    <row r="206" spans="17:33" x14ac:dyDescent="0.2">
      <c r="Q206" s="467"/>
      <c r="AG206" s="467"/>
    </row>
    <row r="207" spans="17:33" x14ac:dyDescent="0.2">
      <c r="Q207" s="467"/>
      <c r="AG207" s="467"/>
    </row>
    <row r="208" spans="17:33" x14ac:dyDescent="0.2">
      <c r="Q208" s="467"/>
      <c r="AG208" s="467"/>
    </row>
    <row r="209" spans="17:33" x14ac:dyDescent="0.2">
      <c r="Q209" s="467"/>
      <c r="AG209" s="467"/>
    </row>
    <row r="210" spans="17:33" x14ac:dyDescent="0.2">
      <c r="Q210" s="467"/>
      <c r="AG210" s="467"/>
    </row>
    <row r="211" spans="17:33" x14ac:dyDescent="0.2">
      <c r="Q211" s="467"/>
      <c r="AG211" s="467"/>
    </row>
    <row r="212" spans="17:33" x14ac:dyDescent="0.2">
      <c r="Q212" s="467"/>
      <c r="AG212" s="467"/>
    </row>
    <row r="213" spans="17:33" x14ac:dyDescent="0.2">
      <c r="Q213" s="467"/>
      <c r="AG213" s="467"/>
    </row>
    <row r="214" spans="17:33" x14ac:dyDescent="0.2">
      <c r="Q214" s="467"/>
      <c r="AG214" s="467"/>
    </row>
    <row r="215" spans="17:33" x14ac:dyDescent="0.2">
      <c r="Q215" s="467"/>
      <c r="AG215" s="467"/>
    </row>
    <row r="216" spans="17:33" x14ac:dyDescent="0.2">
      <c r="Q216" s="467"/>
      <c r="AG216" s="467"/>
    </row>
    <row r="217" spans="17:33" x14ac:dyDescent="0.2">
      <c r="Q217" s="467"/>
      <c r="AG217" s="467"/>
    </row>
    <row r="218" spans="17:33" x14ac:dyDescent="0.2">
      <c r="Q218" s="467"/>
      <c r="AG218" s="467"/>
    </row>
    <row r="219" spans="17:33" x14ac:dyDescent="0.2">
      <c r="Q219" s="467"/>
      <c r="AG219" s="467"/>
    </row>
    <row r="220" spans="17:33" x14ac:dyDescent="0.2">
      <c r="Q220" s="467"/>
      <c r="AG220" s="467"/>
    </row>
    <row r="221" spans="17:33" x14ac:dyDescent="0.2">
      <c r="Q221" s="467"/>
      <c r="AG221" s="467"/>
    </row>
    <row r="222" spans="17:33" x14ac:dyDescent="0.2">
      <c r="Q222" s="467"/>
      <c r="AG222" s="467"/>
    </row>
    <row r="223" spans="17:33" x14ac:dyDescent="0.2">
      <c r="Q223" s="467"/>
      <c r="AG223" s="467"/>
    </row>
    <row r="224" spans="17:33" x14ac:dyDescent="0.2">
      <c r="Q224" s="467"/>
      <c r="AG224" s="467"/>
    </row>
    <row r="225" spans="17:33" x14ac:dyDescent="0.2">
      <c r="Q225" s="467"/>
      <c r="AG225" s="467"/>
    </row>
    <row r="226" spans="17:33" x14ac:dyDescent="0.2">
      <c r="Q226" s="467"/>
      <c r="AG226" s="467"/>
    </row>
    <row r="227" spans="17:33" x14ac:dyDescent="0.2">
      <c r="Q227" s="467"/>
      <c r="AG227" s="467"/>
    </row>
    <row r="228" spans="17:33" x14ac:dyDescent="0.2">
      <c r="Q228" s="467"/>
      <c r="AG228" s="467"/>
    </row>
    <row r="229" spans="17:33" x14ac:dyDescent="0.2">
      <c r="Q229" s="467"/>
      <c r="AG229" s="467"/>
    </row>
    <row r="230" spans="17:33" x14ac:dyDescent="0.2">
      <c r="Q230" s="467"/>
      <c r="AG230" s="467"/>
    </row>
    <row r="231" spans="17:33" x14ac:dyDescent="0.2">
      <c r="Q231" s="467"/>
      <c r="AG231" s="467"/>
    </row>
    <row r="232" spans="17:33" x14ac:dyDescent="0.2">
      <c r="Q232" s="467"/>
      <c r="AG232" s="467"/>
    </row>
    <row r="233" spans="17:33" x14ac:dyDescent="0.2">
      <c r="Q233" s="467"/>
      <c r="AG233" s="467"/>
    </row>
    <row r="234" spans="17:33" x14ac:dyDescent="0.2">
      <c r="Q234" s="467"/>
      <c r="AG234" s="467"/>
    </row>
    <row r="235" spans="17:33" x14ac:dyDescent="0.2">
      <c r="Q235" s="467"/>
      <c r="AG235" s="467"/>
    </row>
    <row r="236" spans="17:33" x14ac:dyDescent="0.2">
      <c r="Q236" s="467"/>
      <c r="AG236" s="467"/>
    </row>
    <row r="237" spans="17:33" x14ac:dyDescent="0.2">
      <c r="Q237" s="467"/>
      <c r="AG237" s="467"/>
    </row>
    <row r="238" spans="17:33" x14ac:dyDescent="0.2">
      <c r="Q238" s="467"/>
      <c r="AG238" s="467"/>
    </row>
    <row r="239" spans="17:33" x14ac:dyDescent="0.2">
      <c r="Q239" s="467"/>
      <c r="AG239" s="467"/>
    </row>
    <row r="240" spans="17:33" x14ac:dyDescent="0.2">
      <c r="Q240" s="467"/>
      <c r="AG240" s="467"/>
    </row>
    <row r="241" spans="17:33" x14ac:dyDescent="0.2">
      <c r="Q241" s="467"/>
      <c r="AG241" s="467"/>
    </row>
    <row r="242" spans="17:33" x14ac:dyDescent="0.2">
      <c r="Q242" s="467"/>
      <c r="AG242" s="467"/>
    </row>
    <row r="243" spans="17:33" x14ac:dyDescent="0.2">
      <c r="Q243" s="467"/>
      <c r="AG243" s="467"/>
    </row>
    <row r="244" spans="17:33" x14ac:dyDescent="0.2">
      <c r="Q244" s="467"/>
      <c r="AG244" s="467"/>
    </row>
    <row r="245" spans="17:33" x14ac:dyDescent="0.2">
      <c r="Q245" s="467"/>
      <c r="AG245" s="467"/>
    </row>
    <row r="246" spans="17:33" x14ac:dyDescent="0.2">
      <c r="Q246" s="467"/>
      <c r="AG246" s="467"/>
    </row>
    <row r="247" spans="17:33" x14ac:dyDescent="0.2">
      <c r="Q247" s="467"/>
      <c r="AG247" s="467"/>
    </row>
    <row r="248" spans="17:33" x14ac:dyDescent="0.2">
      <c r="Q248" s="467"/>
      <c r="AG248" s="467"/>
    </row>
    <row r="249" spans="17:33" x14ac:dyDescent="0.2">
      <c r="Q249" s="467"/>
      <c r="AG249" s="467"/>
    </row>
    <row r="250" spans="17:33" x14ac:dyDescent="0.2">
      <c r="Q250" s="467"/>
      <c r="AG250" s="467"/>
    </row>
    <row r="251" spans="17:33" x14ac:dyDescent="0.2">
      <c r="Q251" s="467"/>
      <c r="AG251" s="467"/>
    </row>
    <row r="252" spans="17:33" x14ac:dyDescent="0.2">
      <c r="Q252" s="467"/>
      <c r="AG252" s="467"/>
    </row>
    <row r="253" spans="17:33" x14ac:dyDescent="0.2">
      <c r="Q253" s="467"/>
      <c r="AG253" s="467"/>
    </row>
    <row r="254" spans="17:33" x14ac:dyDescent="0.2">
      <c r="Q254" s="467"/>
      <c r="AG254" s="467"/>
    </row>
    <row r="255" spans="17:33" x14ac:dyDescent="0.2">
      <c r="Q255" s="467"/>
      <c r="AG255" s="467"/>
    </row>
    <row r="256" spans="17:33" x14ac:dyDescent="0.2">
      <c r="Q256" s="467"/>
      <c r="AG256" s="467"/>
    </row>
    <row r="257" spans="17:33" x14ac:dyDescent="0.2">
      <c r="Q257" s="467"/>
      <c r="AG257" s="467"/>
    </row>
    <row r="258" spans="17:33" x14ac:dyDescent="0.2">
      <c r="Q258" s="467"/>
      <c r="AG258" s="467"/>
    </row>
    <row r="259" spans="17:33" x14ac:dyDescent="0.2">
      <c r="Q259" s="467"/>
      <c r="AG259" s="467"/>
    </row>
    <row r="260" spans="17:33" x14ac:dyDescent="0.2">
      <c r="Q260" s="467"/>
      <c r="AG260" s="467"/>
    </row>
    <row r="261" spans="17:33" x14ac:dyDescent="0.2">
      <c r="Q261" s="467"/>
      <c r="AG261" s="467"/>
    </row>
    <row r="262" spans="17:33" x14ac:dyDescent="0.2">
      <c r="Q262" s="467"/>
      <c r="AG262" s="467"/>
    </row>
    <row r="263" spans="17:33" x14ac:dyDescent="0.2">
      <c r="Q263" s="467"/>
      <c r="AG263" s="467"/>
    </row>
    <row r="264" spans="17:33" x14ac:dyDescent="0.2">
      <c r="Q264" s="467"/>
      <c r="AG264" s="467"/>
    </row>
    <row r="265" spans="17:33" x14ac:dyDescent="0.2">
      <c r="Q265" s="467"/>
      <c r="AG265" s="467"/>
    </row>
    <row r="266" spans="17:33" x14ac:dyDescent="0.2">
      <c r="Q266" s="467"/>
      <c r="AG266" s="467"/>
    </row>
    <row r="267" spans="17:33" x14ac:dyDescent="0.2">
      <c r="Q267" s="467"/>
      <c r="AG267" s="467"/>
    </row>
    <row r="268" spans="17:33" x14ac:dyDescent="0.2">
      <c r="Q268" s="467"/>
      <c r="AG268" s="467"/>
    </row>
    <row r="269" spans="17:33" x14ac:dyDescent="0.2">
      <c r="Q269" s="467"/>
      <c r="AG269" s="467"/>
    </row>
    <row r="270" spans="17:33" x14ac:dyDescent="0.2">
      <c r="Q270" s="467"/>
      <c r="AG270" s="467"/>
    </row>
    <row r="271" spans="17:33" x14ac:dyDescent="0.2">
      <c r="Q271" s="467"/>
      <c r="AG271" s="467"/>
    </row>
    <row r="272" spans="17:33" x14ac:dyDescent="0.2">
      <c r="Q272" s="467"/>
      <c r="AG272" s="467"/>
    </row>
    <row r="273" spans="17:33" x14ac:dyDescent="0.2">
      <c r="Q273" s="467"/>
      <c r="AG273" s="467"/>
    </row>
    <row r="274" spans="17:33" x14ac:dyDescent="0.2">
      <c r="Q274" s="467"/>
      <c r="AG274" s="467"/>
    </row>
    <row r="275" spans="17:33" x14ac:dyDescent="0.2">
      <c r="Q275" s="467"/>
      <c r="AG275" s="467"/>
    </row>
    <row r="276" spans="17:33" x14ac:dyDescent="0.2">
      <c r="Q276" s="467"/>
      <c r="AG276" s="467"/>
    </row>
    <row r="277" spans="17:33" x14ac:dyDescent="0.2">
      <c r="Q277" s="467"/>
      <c r="AG277" s="467"/>
    </row>
    <row r="278" spans="17:33" x14ac:dyDescent="0.2">
      <c r="Q278" s="467"/>
      <c r="AG278" s="467"/>
    </row>
    <row r="279" spans="17:33" x14ac:dyDescent="0.2">
      <c r="Q279" s="467"/>
      <c r="AG279" s="467"/>
    </row>
    <row r="280" spans="17:33" x14ac:dyDescent="0.2">
      <c r="Q280" s="467"/>
      <c r="AG280" s="467"/>
    </row>
    <row r="281" spans="17:33" x14ac:dyDescent="0.2">
      <c r="Q281" s="467"/>
      <c r="AG281" s="467"/>
    </row>
    <row r="282" spans="17:33" x14ac:dyDescent="0.2">
      <c r="Q282" s="467"/>
      <c r="AG282" s="467"/>
    </row>
    <row r="283" spans="17:33" x14ac:dyDescent="0.2">
      <c r="Q283" s="467"/>
      <c r="AG283" s="467"/>
    </row>
    <row r="284" spans="17:33" x14ac:dyDescent="0.2">
      <c r="Q284" s="467"/>
      <c r="AG284" s="467"/>
    </row>
    <row r="285" spans="17:33" x14ac:dyDescent="0.2">
      <c r="Q285" s="467"/>
      <c r="AG285" s="467"/>
    </row>
    <row r="286" spans="17:33" x14ac:dyDescent="0.2">
      <c r="Q286" s="467"/>
      <c r="AG286" s="467"/>
    </row>
    <row r="287" spans="17:33" x14ac:dyDescent="0.2">
      <c r="Q287" s="467"/>
      <c r="AG287" s="467"/>
    </row>
    <row r="288" spans="17:33" x14ac:dyDescent="0.2">
      <c r="Q288" s="467"/>
      <c r="AG288" s="467"/>
    </row>
    <row r="289" spans="17:33" x14ac:dyDescent="0.2">
      <c r="Q289" s="467"/>
      <c r="AG289" s="467"/>
    </row>
    <row r="290" spans="17:33" x14ac:dyDescent="0.2">
      <c r="Q290" s="467"/>
      <c r="AG290" s="467"/>
    </row>
    <row r="291" spans="17:33" x14ac:dyDescent="0.2">
      <c r="Q291" s="467"/>
      <c r="AG291" s="467"/>
    </row>
    <row r="292" spans="17:33" x14ac:dyDescent="0.2">
      <c r="Q292" s="467"/>
      <c r="AG292" s="467"/>
    </row>
    <row r="293" spans="17:33" x14ac:dyDescent="0.2">
      <c r="Q293" s="467"/>
      <c r="AG293" s="467"/>
    </row>
    <row r="294" spans="17:33" x14ac:dyDescent="0.2">
      <c r="Q294" s="467"/>
      <c r="AG294" s="467"/>
    </row>
    <row r="295" spans="17:33" x14ac:dyDescent="0.2">
      <c r="Q295" s="467"/>
      <c r="AG295" s="467"/>
    </row>
    <row r="296" spans="17:33" x14ac:dyDescent="0.2">
      <c r="Q296" s="467"/>
      <c r="AG296" s="467"/>
    </row>
    <row r="297" spans="17:33" x14ac:dyDescent="0.2">
      <c r="Q297" s="467"/>
      <c r="AG297" s="467"/>
    </row>
    <row r="298" spans="17:33" x14ac:dyDescent="0.2">
      <c r="Q298" s="467"/>
      <c r="AG298" s="467"/>
    </row>
    <row r="299" spans="17:33" x14ac:dyDescent="0.2">
      <c r="Q299" s="467"/>
      <c r="AG299" s="467"/>
    </row>
    <row r="300" spans="17:33" x14ac:dyDescent="0.2">
      <c r="Q300" s="467"/>
      <c r="AG300" s="467"/>
    </row>
    <row r="301" spans="17:33" x14ac:dyDescent="0.2">
      <c r="Q301" s="467"/>
      <c r="AG301" s="467"/>
    </row>
    <row r="302" spans="17:33" x14ac:dyDescent="0.2">
      <c r="Q302" s="467"/>
      <c r="AG302" s="467"/>
    </row>
    <row r="303" spans="17:33" x14ac:dyDescent="0.2">
      <c r="Q303" s="467"/>
      <c r="AG303" s="467"/>
    </row>
    <row r="304" spans="17:33" x14ac:dyDescent="0.2">
      <c r="Q304" s="467"/>
      <c r="AG304" s="467"/>
    </row>
    <row r="305" spans="17:33" x14ac:dyDescent="0.2">
      <c r="Q305" s="467"/>
      <c r="AG305" s="467"/>
    </row>
    <row r="306" spans="17:33" x14ac:dyDescent="0.2">
      <c r="Q306" s="467"/>
      <c r="AG306" s="467"/>
    </row>
    <row r="307" spans="17:33" x14ac:dyDescent="0.2">
      <c r="Q307" s="467"/>
      <c r="AG307" s="467"/>
    </row>
    <row r="308" spans="17:33" x14ac:dyDescent="0.2">
      <c r="Q308" s="467"/>
      <c r="AG308" s="467"/>
    </row>
    <row r="309" spans="17:33" x14ac:dyDescent="0.2">
      <c r="Q309" s="467"/>
      <c r="AG309" s="467"/>
    </row>
    <row r="310" spans="17:33" x14ac:dyDescent="0.2">
      <c r="Q310" s="467"/>
      <c r="AG310" s="467"/>
    </row>
    <row r="311" spans="17:33" x14ac:dyDescent="0.2">
      <c r="Q311" s="467"/>
      <c r="AG311" s="467"/>
    </row>
    <row r="312" spans="17:33" x14ac:dyDescent="0.2">
      <c r="Q312" s="467"/>
      <c r="AG312" s="467"/>
    </row>
    <row r="313" spans="17:33" x14ac:dyDescent="0.2">
      <c r="Q313" s="467"/>
      <c r="AG313" s="467"/>
    </row>
    <row r="314" spans="17:33" x14ac:dyDescent="0.2">
      <c r="Q314" s="467"/>
      <c r="AG314" s="467"/>
    </row>
    <row r="315" spans="17:33" x14ac:dyDescent="0.2">
      <c r="Q315" s="467"/>
      <c r="AG315" s="467"/>
    </row>
    <row r="316" spans="17:33" x14ac:dyDescent="0.2">
      <c r="Q316" s="467"/>
      <c r="AG316" s="467"/>
    </row>
    <row r="317" spans="17:33" x14ac:dyDescent="0.2">
      <c r="Q317" s="467"/>
      <c r="AG317" s="467"/>
    </row>
    <row r="318" spans="17:33" x14ac:dyDescent="0.2">
      <c r="Q318" s="467"/>
      <c r="AG318" s="467"/>
    </row>
    <row r="319" spans="17:33" x14ac:dyDescent="0.2">
      <c r="Q319" s="467"/>
      <c r="AG319" s="467"/>
    </row>
    <row r="320" spans="17:33" x14ac:dyDescent="0.2">
      <c r="Q320" s="467"/>
      <c r="AG320" s="467"/>
    </row>
    <row r="321" spans="17:33" x14ac:dyDescent="0.2">
      <c r="Q321" s="467"/>
      <c r="AG321" s="467"/>
    </row>
    <row r="322" spans="17:33" x14ac:dyDescent="0.2">
      <c r="Q322" s="467"/>
      <c r="AG322" s="467"/>
    </row>
    <row r="323" spans="17:33" x14ac:dyDescent="0.2">
      <c r="Q323" s="467"/>
      <c r="AG323" s="467"/>
    </row>
    <row r="324" spans="17:33" x14ac:dyDescent="0.2">
      <c r="Q324" s="467"/>
      <c r="AG324" s="467"/>
    </row>
    <row r="325" spans="17:33" x14ac:dyDescent="0.2">
      <c r="Q325" s="467"/>
      <c r="AG325" s="467"/>
    </row>
    <row r="326" spans="17:33" x14ac:dyDescent="0.2">
      <c r="Q326" s="467"/>
      <c r="AG326" s="467"/>
    </row>
    <row r="327" spans="17:33" x14ac:dyDescent="0.2">
      <c r="Q327" s="467"/>
      <c r="AG327" s="467"/>
    </row>
    <row r="328" spans="17:33" x14ac:dyDescent="0.2">
      <c r="Q328" s="467"/>
      <c r="AG328" s="467"/>
    </row>
    <row r="329" spans="17:33" x14ac:dyDescent="0.2">
      <c r="Q329" s="467"/>
      <c r="AG329" s="467"/>
    </row>
    <row r="330" spans="17:33" x14ac:dyDescent="0.2">
      <c r="Q330" s="467"/>
      <c r="AG330" s="467"/>
    </row>
    <row r="331" spans="17:33" x14ac:dyDescent="0.2">
      <c r="Q331" s="467"/>
      <c r="AG331" s="467"/>
    </row>
    <row r="332" spans="17:33" x14ac:dyDescent="0.2">
      <c r="Q332" s="467"/>
      <c r="AG332" s="467"/>
    </row>
    <row r="333" spans="17:33" x14ac:dyDescent="0.2">
      <c r="Q333" s="467"/>
      <c r="AG333" s="467"/>
    </row>
    <row r="334" spans="17:33" x14ac:dyDescent="0.2">
      <c r="Q334" s="467"/>
      <c r="AG334" s="467"/>
    </row>
    <row r="335" spans="17:33" x14ac:dyDescent="0.2">
      <c r="Q335" s="467"/>
      <c r="AG335" s="467"/>
    </row>
    <row r="336" spans="17:33" x14ac:dyDescent="0.2">
      <c r="Q336" s="467"/>
      <c r="AG336" s="467"/>
    </row>
    <row r="337" spans="17:33" x14ac:dyDescent="0.2">
      <c r="Q337" s="467"/>
      <c r="AG337" s="467"/>
    </row>
    <row r="338" spans="17:33" x14ac:dyDescent="0.2">
      <c r="Q338" s="467"/>
      <c r="AG338" s="467"/>
    </row>
    <row r="339" spans="17:33" x14ac:dyDescent="0.2">
      <c r="Q339" s="467"/>
      <c r="AG339" s="467"/>
    </row>
    <row r="340" spans="17:33" x14ac:dyDescent="0.2">
      <c r="Q340" s="467"/>
      <c r="AG340" s="467"/>
    </row>
    <row r="341" spans="17:33" x14ac:dyDescent="0.2">
      <c r="Q341" s="467"/>
      <c r="AG341" s="467"/>
    </row>
    <row r="342" spans="17:33" x14ac:dyDescent="0.2">
      <c r="Q342" s="467"/>
      <c r="AG342" s="467"/>
    </row>
    <row r="343" spans="17:33" x14ac:dyDescent="0.2">
      <c r="Q343" s="467"/>
      <c r="AG343" s="467"/>
    </row>
    <row r="344" spans="17:33" x14ac:dyDescent="0.2">
      <c r="Q344" s="467"/>
      <c r="AG344" s="467"/>
    </row>
    <row r="345" spans="17:33" x14ac:dyDescent="0.2">
      <c r="Q345" s="467"/>
      <c r="AG345" s="467"/>
    </row>
    <row r="346" spans="17:33" x14ac:dyDescent="0.2">
      <c r="Q346" s="467"/>
      <c r="AG346" s="467"/>
    </row>
    <row r="347" spans="17:33" x14ac:dyDescent="0.2">
      <c r="Q347" s="467"/>
      <c r="AG347" s="467"/>
    </row>
    <row r="348" spans="17:33" x14ac:dyDescent="0.2">
      <c r="Q348" s="467"/>
      <c r="AG348" s="467"/>
    </row>
    <row r="349" spans="17:33" x14ac:dyDescent="0.2">
      <c r="Q349" s="467"/>
      <c r="AG349" s="467"/>
    </row>
    <row r="350" spans="17:33" x14ac:dyDescent="0.2">
      <c r="Q350" s="467"/>
      <c r="AG350" s="467"/>
    </row>
    <row r="351" spans="17:33" x14ac:dyDescent="0.2">
      <c r="Q351" s="467"/>
      <c r="AG351" s="467"/>
    </row>
    <row r="352" spans="17:33" x14ac:dyDescent="0.2">
      <c r="Q352" s="467"/>
      <c r="AG352" s="467"/>
    </row>
    <row r="353" spans="17:33" x14ac:dyDescent="0.2">
      <c r="Q353" s="467"/>
      <c r="AG353" s="467"/>
    </row>
    <row r="354" spans="17:33" x14ac:dyDescent="0.2">
      <c r="Q354" s="467"/>
      <c r="AG354" s="467"/>
    </row>
    <row r="355" spans="17:33" x14ac:dyDescent="0.2">
      <c r="Q355" s="467"/>
      <c r="AG355" s="467"/>
    </row>
    <row r="356" spans="17:33" x14ac:dyDescent="0.2">
      <c r="Q356" s="467"/>
      <c r="AG356" s="467"/>
    </row>
    <row r="357" spans="17:33" x14ac:dyDescent="0.2">
      <c r="Q357" s="467"/>
      <c r="AG357" s="467"/>
    </row>
    <row r="358" spans="17:33" x14ac:dyDescent="0.2">
      <c r="Q358" s="467"/>
      <c r="AG358" s="467"/>
    </row>
    <row r="359" spans="17:33" x14ac:dyDescent="0.2">
      <c r="Q359" s="467"/>
      <c r="AG359" s="467"/>
    </row>
    <row r="360" spans="17:33" x14ac:dyDescent="0.2">
      <c r="Q360" s="467"/>
      <c r="AG360" s="467"/>
    </row>
    <row r="361" spans="17:33" x14ac:dyDescent="0.2">
      <c r="Q361" s="467"/>
      <c r="AG361" s="467"/>
    </row>
    <row r="362" spans="17:33" x14ac:dyDescent="0.2">
      <c r="Q362" s="467"/>
      <c r="AG362" s="467"/>
    </row>
    <row r="363" spans="17:33" x14ac:dyDescent="0.2">
      <c r="Q363" s="467"/>
      <c r="AG363" s="467"/>
    </row>
    <row r="364" spans="17:33" x14ac:dyDescent="0.2">
      <c r="Q364" s="467"/>
      <c r="AG364" s="467"/>
    </row>
    <row r="365" spans="17:33" x14ac:dyDescent="0.2">
      <c r="Q365" s="467"/>
      <c r="AG365" s="467"/>
    </row>
    <row r="366" spans="17:33" x14ac:dyDescent="0.2">
      <c r="Q366" s="467"/>
      <c r="AG366" s="467"/>
    </row>
    <row r="367" spans="17:33" x14ac:dyDescent="0.2">
      <c r="Q367" s="467"/>
      <c r="AG367" s="467"/>
    </row>
    <row r="368" spans="17:33" x14ac:dyDescent="0.2">
      <c r="Q368" s="467"/>
      <c r="AG368" s="467"/>
    </row>
    <row r="369" spans="17:33" x14ac:dyDescent="0.2">
      <c r="Q369" s="467"/>
      <c r="AG369" s="467"/>
    </row>
    <row r="370" spans="17:33" x14ac:dyDescent="0.2">
      <c r="Q370" s="467"/>
      <c r="AG370" s="467"/>
    </row>
    <row r="371" spans="17:33" x14ac:dyDescent="0.2">
      <c r="Q371" s="467"/>
      <c r="AG371" s="467"/>
    </row>
    <row r="372" spans="17:33" x14ac:dyDescent="0.2">
      <c r="Q372" s="467"/>
      <c r="AG372" s="467"/>
    </row>
    <row r="373" spans="17:33" x14ac:dyDescent="0.2">
      <c r="Q373" s="467"/>
      <c r="AG373" s="467"/>
    </row>
    <row r="374" spans="17:33" x14ac:dyDescent="0.2">
      <c r="Q374" s="467"/>
      <c r="AG374" s="467"/>
    </row>
    <row r="375" spans="17:33" x14ac:dyDescent="0.2">
      <c r="Q375" s="467"/>
      <c r="AG375" s="467"/>
    </row>
    <row r="376" spans="17:33" x14ac:dyDescent="0.2">
      <c r="Q376" s="467"/>
      <c r="AG376" s="467"/>
    </row>
    <row r="377" spans="17:33" x14ac:dyDescent="0.2">
      <c r="Q377" s="467"/>
      <c r="AG377" s="467"/>
    </row>
    <row r="378" spans="17:33" x14ac:dyDescent="0.2">
      <c r="Q378" s="467"/>
      <c r="AG378" s="467"/>
    </row>
    <row r="379" spans="17:33" x14ac:dyDescent="0.2">
      <c r="Q379" s="467"/>
      <c r="AG379" s="467"/>
    </row>
    <row r="380" spans="17:33" x14ac:dyDescent="0.2">
      <c r="Q380" s="467"/>
      <c r="AG380" s="467"/>
    </row>
    <row r="381" spans="17:33" x14ac:dyDescent="0.2">
      <c r="Q381" s="467"/>
      <c r="AG381" s="467"/>
    </row>
    <row r="382" spans="17:33" x14ac:dyDescent="0.2">
      <c r="Q382" s="467"/>
      <c r="AG382" s="467"/>
    </row>
    <row r="383" spans="17:33" x14ac:dyDescent="0.2">
      <c r="Q383" s="467"/>
      <c r="AG383" s="467"/>
    </row>
    <row r="384" spans="17:33" x14ac:dyDescent="0.2">
      <c r="Q384" s="467"/>
      <c r="AG384" s="467"/>
    </row>
    <row r="385" spans="17:33" x14ac:dyDescent="0.2">
      <c r="Q385" s="467"/>
      <c r="AG385" s="467"/>
    </row>
    <row r="386" spans="17:33" x14ac:dyDescent="0.2">
      <c r="Q386" s="467"/>
      <c r="AG386" s="467"/>
    </row>
    <row r="387" spans="17:33" x14ac:dyDescent="0.2">
      <c r="Q387" s="467"/>
      <c r="AG387" s="467"/>
    </row>
    <row r="388" spans="17:33" x14ac:dyDescent="0.2">
      <c r="Q388" s="467"/>
      <c r="AG388" s="467"/>
    </row>
    <row r="389" spans="17:33" x14ac:dyDescent="0.2">
      <c r="Q389" s="467"/>
      <c r="AG389" s="467"/>
    </row>
    <row r="390" spans="17:33" x14ac:dyDescent="0.2">
      <c r="Q390" s="467"/>
      <c r="AG390" s="467"/>
    </row>
    <row r="391" spans="17:33" x14ac:dyDescent="0.2">
      <c r="Q391" s="467"/>
      <c r="AG391" s="467"/>
    </row>
    <row r="392" spans="17:33" x14ac:dyDescent="0.2">
      <c r="Q392" s="467"/>
      <c r="AG392" s="467"/>
    </row>
    <row r="393" spans="17:33" x14ac:dyDescent="0.2">
      <c r="Q393" s="467"/>
      <c r="AG393" s="467"/>
    </row>
    <row r="394" spans="17:33" x14ac:dyDescent="0.2">
      <c r="Q394" s="467"/>
      <c r="AG394" s="467"/>
    </row>
    <row r="395" spans="17:33" x14ac:dyDescent="0.2">
      <c r="Q395" s="467"/>
      <c r="AG395" s="467"/>
    </row>
    <row r="396" spans="17:33" x14ac:dyDescent="0.2">
      <c r="Q396" s="467"/>
      <c r="AG396" s="467"/>
    </row>
    <row r="397" spans="17:33" x14ac:dyDescent="0.2">
      <c r="Q397" s="467"/>
      <c r="AG397" s="467"/>
    </row>
    <row r="398" spans="17:33" x14ac:dyDescent="0.2">
      <c r="Q398" s="467"/>
      <c r="AG398" s="467"/>
    </row>
    <row r="399" spans="17:33" x14ac:dyDescent="0.2">
      <c r="Q399" s="467"/>
      <c r="AG399" s="467"/>
    </row>
    <row r="400" spans="17:33" x14ac:dyDescent="0.2">
      <c r="Q400" s="467"/>
      <c r="AG400" s="467"/>
    </row>
    <row r="401" spans="17:33" x14ac:dyDescent="0.2">
      <c r="Q401" s="467"/>
      <c r="AG401" s="467"/>
    </row>
    <row r="402" spans="17:33" x14ac:dyDescent="0.2">
      <c r="Q402" s="467"/>
      <c r="AG402" s="467"/>
    </row>
    <row r="403" spans="17:33" x14ac:dyDescent="0.2">
      <c r="Q403" s="467"/>
      <c r="AG403" s="467"/>
    </row>
    <row r="404" spans="17:33" x14ac:dyDescent="0.2">
      <c r="Q404" s="467"/>
      <c r="AG404" s="467"/>
    </row>
    <row r="405" spans="17:33" x14ac:dyDescent="0.2">
      <c r="Q405" s="467"/>
      <c r="AG405" s="467"/>
    </row>
    <row r="406" spans="17:33" x14ac:dyDescent="0.2">
      <c r="Q406" s="467"/>
      <c r="AG406" s="467"/>
    </row>
    <row r="407" spans="17:33" x14ac:dyDescent="0.2">
      <c r="Q407" s="467"/>
      <c r="AG407" s="467"/>
    </row>
    <row r="408" spans="17:33" x14ac:dyDescent="0.2">
      <c r="Q408" s="467"/>
      <c r="AG408" s="467"/>
    </row>
    <row r="409" spans="17:33" x14ac:dyDescent="0.2">
      <c r="Q409" s="467"/>
      <c r="AG409" s="467"/>
    </row>
    <row r="410" spans="17:33" x14ac:dyDescent="0.2">
      <c r="Q410" s="467"/>
      <c r="AG410" s="467"/>
    </row>
    <row r="411" spans="17:33" x14ac:dyDescent="0.2">
      <c r="Q411" s="467"/>
      <c r="AG411" s="467"/>
    </row>
    <row r="412" spans="17:33" x14ac:dyDescent="0.2">
      <c r="Q412" s="467"/>
      <c r="AG412" s="467"/>
    </row>
    <row r="413" spans="17:33" x14ac:dyDescent="0.2">
      <c r="Q413" s="467"/>
      <c r="AG413" s="467"/>
    </row>
    <row r="414" spans="17:33" x14ac:dyDescent="0.2">
      <c r="Q414" s="467"/>
      <c r="AG414" s="467"/>
    </row>
    <row r="415" spans="17:33" x14ac:dyDescent="0.2">
      <c r="Q415" s="467"/>
      <c r="AG415" s="467"/>
    </row>
    <row r="416" spans="17:33" x14ac:dyDescent="0.2">
      <c r="Q416" s="467"/>
      <c r="AG416" s="467"/>
    </row>
    <row r="417" spans="17:33" x14ac:dyDescent="0.2">
      <c r="Q417" s="467"/>
      <c r="AG417" s="467"/>
    </row>
    <row r="418" spans="17:33" x14ac:dyDescent="0.2">
      <c r="Q418" s="467"/>
      <c r="AG418" s="467"/>
    </row>
    <row r="419" spans="17:33" x14ac:dyDescent="0.2">
      <c r="Q419" s="467"/>
      <c r="AG419" s="467"/>
    </row>
    <row r="420" spans="17:33" x14ac:dyDescent="0.2">
      <c r="Q420" s="467"/>
      <c r="AG420" s="467"/>
    </row>
    <row r="421" spans="17:33" x14ac:dyDescent="0.2">
      <c r="Q421" s="467"/>
      <c r="AG421" s="467"/>
    </row>
    <row r="422" spans="17:33" x14ac:dyDescent="0.2">
      <c r="Q422" s="467"/>
      <c r="AG422" s="467"/>
    </row>
    <row r="423" spans="17:33" x14ac:dyDescent="0.2">
      <c r="Q423" s="467"/>
      <c r="AG423" s="467"/>
    </row>
    <row r="424" spans="17:33" x14ac:dyDescent="0.2">
      <c r="Q424" s="467"/>
      <c r="AG424" s="467"/>
    </row>
    <row r="425" spans="17:33" x14ac:dyDescent="0.2">
      <c r="Q425" s="467"/>
      <c r="AG425" s="467"/>
    </row>
    <row r="426" spans="17:33" x14ac:dyDescent="0.2">
      <c r="Q426" s="467"/>
      <c r="AG426" s="467"/>
    </row>
    <row r="427" spans="17:33" x14ac:dyDescent="0.2">
      <c r="Q427" s="467"/>
      <c r="AG427" s="467"/>
    </row>
    <row r="428" spans="17:33" x14ac:dyDescent="0.2">
      <c r="Q428" s="467"/>
      <c r="AG428" s="467"/>
    </row>
    <row r="429" spans="17:33" x14ac:dyDescent="0.2">
      <c r="Q429" s="467"/>
      <c r="AG429" s="467"/>
    </row>
    <row r="430" spans="17:33" x14ac:dyDescent="0.2">
      <c r="Q430" s="467"/>
      <c r="AG430" s="467"/>
    </row>
    <row r="431" spans="17:33" x14ac:dyDescent="0.2">
      <c r="Q431" s="467"/>
      <c r="AG431" s="467"/>
    </row>
    <row r="432" spans="17:33" x14ac:dyDescent="0.2">
      <c r="Q432" s="467"/>
      <c r="AG432" s="467"/>
    </row>
    <row r="433" spans="17:33" x14ac:dyDescent="0.2">
      <c r="Q433" s="467"/>
      <c r="AG433" s="467"/>
    </row>
    <row r="434" spans="17:33" x14ac:dyDescent="0.2">
      <c r="Q434" s="467"/>
      <c r="AG434" s="467"/>
    </row>
    <row r="435" spans="17:33" x14ac:dyDescent="0.2">
      <c r="Q435" s="467"/>
      <c r="AG435" s="467"/>
    </row>
    <row r="436" spans="17:33" x14ac:dyDescent="0.2">
      <c r="Q436" s="467"/>
      <c r="AG436" s="467"/>
    </row>
    <row r="437" spans="17:33" x14ac:dyDescent="0.2">
      <c r="Q437" s="467"/>
      <c r="AG437" s="467"/>
    </row>
    <row r="438" spans="17:33" x14ac:dyDescent="0.2">
      <c r="Q438" s="467"/>
      <c r="AG438" s="467"/>
    </row>
    <row r="439" spans="17:33" x14ac:dyDescent="0.2">
      <c r="Q439" s="467"/>
      <c r="AG439" s="467"/>
    </row>
    <row r="440" spans="17:33" x14ac:dyDescent="0.2">
      <c r="Q440" s="467"/>
      <c r="AG440" s="467"/>
    </row>
    <row r="441" spans="17:33" x14ac:dyDescent="0.2">
      <c r="Q441" s="467"/>
      <c r="AG441" s="467"/>
    </row>
    <row r="442" spans="17:33" x14ac:dyDescent="0.2">
      <c r="Q442" s="467"/>
      <c r="AG442" s="467"/>
    </row>
    <row r="443" spans="17:33" x14ac:dyDescent="0.2">
      <c r="Q443" s="467"/>
      <c r="AG443" s="467"/>
    </row>
    <row r="444" spans="17:33" x14ac:dyDescent="0.2">
      <c r="Q444" s="467"/>
      <c r="AG444" s="467"/>
    </row>
    <row r="445" spans="17:33" x14ac:dyDescent="0.2">
      <c r="Q445" s="467"/>
      <c r="AG445" s="467"/>
    </row>
    <row r="446" spans="17:33" x14ac:dyDescent="0.2">
      <c r="Q446" s="467"/>
      <c r="AG446" s="467"/>
    </row>
    <row r="447" spans="17:33" x14ac:dyDescent="0.2">
      <c r="Q447" s="467"/>
      <c r="AG447" s="467"/>
    </row>
    <row r="448" spans="17:33" x14ac:dyDescent="0.2">
      <c r="Q448" s="467"/>
      <c r="AG448" s="467"/>
    </row>
    <row r="449" spans="17:33" x14ac:dyDescent="0.2">
      <c r="Q449" s="467"/>
      <c r="AG449" s="467"/>
    </row>
    <row r="450" spans="17:33" x14ac:dyDescent="0.2">
      <c r="Q450" s="467"/>
      <c r="AG450" s="467"/>
    </row>
    <row r="451" spans="17:33" x14ac:dyDescent="0.2">
      <c r="Q451" s="467"/>
      <c r="AG451" s="467"/>
    </row>
    <row r="452" spans="17:33" x14ac:dyDescent="0.2">
      <c r="Q452" s="467"/>
      <c r="AG452" s="467"/>
    </row>
    <row r="453" spans="17:33" x14ac:dyDescent="0.2">
      <c r="Q453" s="467"/>
      <c r="AG453" s="467"/>
    </row>
    <row r="454" spans="17:33" x14ac:dyDescent="0.2">
      <c r="Q454" s="467"/>
      <c r="AG454" s="467"/>
    </row>
    <row r="455" spans="17:33" x14ac:dyDescent="0.2">
      <c r="Q455" s="467"/>
      <c r="AG455" s="467"/>
    </row>
    <row r="456" spans="17:33" x14ac:dyDescent="0.2">
      <c r="Q456" s="467"/>
      <c r="AG456" s="467"/>
    </row>
    <row r="457" spans="17:33" x14ac:dyDescent="0.2">
      <c r="Q457" s="467"/>
      <c r="AG457" s="467"/>
    </row>
    <row r="458" spans="17:33" x14ac:dyDescent="0.2">
      <c r="Q458" s="467"/>
      <c r="AG458" s="467"/>
    </row>
    <row r="459" spans="17:33" x14ac:dyDescent="0.2">
      <c r="Q459" s="467"/>
      <c r="AG459" s="467"/>
    </row>
    <row r="460" spans="17:33" x14ac:dyDescent="0.2">
      <c r="Q460" s="467"/>
      <c r="AG460" s="467"/>
    </row>
    <row r="461" spans="17:33" x14ac:dyDescent="0.2">
      <c r="Q461" s="467"/>
      <c r="AG461" s="467"/>
    </row>
    <row r="462" spans="17:33" x14ac:dyDescent="0.2">
      <c r="Q462" s="467"/>
      <c r="AG462" s="467"/>
    </row>
    <row r="463" spans="17:33" x14ac:dyDescent="0.2">
      <c r="Q463" s="467"/>
      <c r="AG463" s="467"/>
    </row>
    <row r="464" spans="17:33" x14ac:dyDescent="0.2">
      <c r="Q464" s="467"/>
      <c r="AG464" s="467"/>
    </row>
    <row r="465" spans="17:33" x14ac:dyDescent="0.2">
      <c r="Q465" s="467"/>
      <c r="AG465" s="467"/>
    </row>
    <row r="466" spans="17:33" x14ac:dyDescent="0.2">
      <c r="Q466" s="467"/>
      <c r="AG466" s="467"/>
    </row>
    <row r="467" spans="17:33" x14ac:dyDescent="0.2">
      <c r="Q467" s="467"/>
      <c r="AG467" s="467"/>
    </row>
    <row r="468" spans="17:33" x14ac:dyDescent="0.2">
      <c r="Q468" s="467"/>
      <c r="AG468" s="467"/>
    </row>
    <row r="469" spans="17:33" x14ac:dyDescent="0.2">
      <c r="Q469" s="467"/>
      <c r="AG469" s="467"/>
    </row>
    <row r="470" spans="17:33" x14ac:dyDescent="0.2">
      <c r="Q470" s="467"/>
      <c r="AG470" s="467"/>
    </row>
    <row r="471" spans="17:33" x14ac:dyDescent="0.2">
      <c r="Q471" s="467"/>
      <c r="AG471" s="467"/>
    </row>
    <row r="472" spans="17:33" x14ac:dyDescent="0.2">
      <c r="Q472" s="467"/>
      <c r="AG472" s="467"/>
    </row>
    <row r="473" spans="17:33" x14ac:dyDescent="0.2">
      <c r="Q473" s="467"/>
      <c r="AG473" s="467"/>
    </row>
    <row r="474" spans="17:33" x14ac:dyDescent="0.2">
      <c r="Q474" s="467"/>
      <c r="AG474" s="467"/>
    </row>
    <row r="475" spans="17:33" x14ac:dyDescent="0.2">
      <c r="Q475" s="467"/>
      <c r="AG475" s="467"/>
    </row>
    <row r="476" spans="17:33" x14ac:dyDescent="0.2">
      <c r="Q476" s="467"/>
      <c r="AG476" s="467"/>
    </row>
    <row r="477" spans="17:33" x14ac:dyDescent="0.2">
      <c r="Q477" s="467"/>
      <c r="AG477" s="467"/>
    </row>
    <row r="478" spans="17:33" x14ac:dyDescent="0.2">
      <c r="Q478" s="467"/>
      <c r="AG478" s="467"/>
    </row>
    <row r="479" spans="17:33" x14ac:dyDescent="0.2">
      <c r="Q479" s="467"/>
      <c r="AG479" s="467"/>
    </row>
    <row r="480" spans="17:33" x14ac:dyDescent="0.2">
      <c r="Q480" s="467"/>
      <c r="AG480" s="467"/>
    </row>
    <row r="481" spans="17:33" x14ac:dyDescent="0.2">
      <c r="Q481" s="467"/>
      <c r="AG481" s="467"/>
    </row>
    <row r="482" spans="17:33" x14ac:dyDescent="0.2">
      <c r="Q482" s="467"/>
      <c r="AG482" s="467"/>
    </row>
    <row r="483" spans="17:33" x14ac:dyDescent="0.2">
      <c r="Q483" s="467"/>
      <c r="AG483" s="467"/>
    </row>
    <row r="484" spans="17:33" x14ac:dyDescent="0.2">
      <c r="Q484" s="467"/>
      <c r="AG484" s="467"/>
    </row>
    <row r="485" spans="17:33" x14ac:dyDescent="0.2">
      <c r="Q485" s="467"/>
      <c r="AG485" s="467"/>
    </row>
    <row r="486" spans="17:33" x14ac:dyDescent="0.2">
      <c r="Q486" s="467"/>
      <c r="AG486" s="467"/>
    </row>
    <row r="487" spans="17:33" x14ac:dyDescent="0.2">
      <c r="Q487" s="467"/>
      <c r="AG487" s="467"/>
    </row>
    <row r="488" spans="17:33" x14ac:dyDescent="0.2">
      <c r="Q488" s="467"/>
      <c r="AG488" s="467"/>
    </row>
    <row r="489" spans="17:33" x14ac:dyDescent="0.2">
      <c r="Q489" s="467"/>
      <c r="AG489" s="467"/>
    </row>
    <row r="490" spans="17:33" x14ac:dyDescent="0.2">
      <c r="Q490" s="467"/>
      <c r="AG490" s="467"/>
    </row>
    <row r="491" spans="17:33" x14ac:dyDescent="0.2">
      <c r="Q491" s="467"/>
      <c r="AG491" s="467"/>
    </row>
    <row r="492" spans="17:33" x14ac:dyDescent="0.2">
      <c r="Q492" s="467"/>
      <c r="AG492" s="467"/>
    </row>
    <row r="493" spans="17:33" x14ac:dyDescent="0.2">
      <c r="Q493" s="467"/>
      <c r="AG493" s="467"/>
    </row>
    <row r="494" spans="17:33" x14ac:dyDescent="0.2">
      <c r="Q494" s="467"/>
      <c r="AG494" s="467"/>
    </row>
    <row r="495" spans="17:33" x14ac:dyDescent="0.2">
      <c r="Q495" s="467"/>
      <c r="AG495" s="467"/>
    </row>
    <row r="496" spans="17:33" x14ac:dyDescent="0.2">
      <c r="Q496" s="467"/>
      <c r="AG496" s="467"/>
    </row>
    <row r="497" spans="17:33" x14ac:dyDescent="0.2">
      <c r="Q497" s="467"/>
      <c r="AG497" s="467"/>
    </row>
    <row r="498" spans="17:33" x14ac:dyDescent="0.2">
      <c r="Q498" s="467"/>
      <c r="AG498" s="467"/>
    </row>
    <row r="499" spans="17:33" x14ac:dyDescent="0.2">
      <c r="Q499" s="467"/>
      <c r="AG499" s="467"/>
    </row>
    <row r="500" spans="17:33" x14ac:dyDescent="0.2">
      <c r="Q500" s="467"/>
      <c r="AG500" s="467"/>
    </row>
    <row r="501" spans="17:33" x14ac:dyDescent="0.2">
      <c r="Q501" s="467"/>
      <c r="AG501" s="467"/>
    </row>
    <row r="502" spans="17:33" x14ac:dyDescent="0.2">
      <c r="Q502" s="467"/>
      <c r="AG502" s="467"/>
    </row>
    <row r="503" spans="17:33" x14ac:dyDescent="0.2">
      <c r="Q503" s="467"/>
      <c r="AG503" s="467"/>
    </row>
    <row r="504" spans="17:33" x14ac:dyDescent="0.2">
      <c r="Q504" s="467"/>
      <c r="AG504" s="467"/>
    </row>
    <row r="505" spans="17:33" x14ac:dyDescent="0.2">
      <c r="Q505" s="467"/>
      <c r="AG505" s="467"/>
    </row>
    <row r="506" spans="17:33" x14ac:dyDescent="0.2">
      <c r="Q506" s="467"/>
      <c r="AG506" s="467"/>
    </row>
    <row r="507" spans="17:33" x14ac:dyDescent="0.2">
      <c r="Q507" s="467"/>
      <c r="AG507" s="467"/>
    </row>
    <row r="508" spans="17:33" x14ac:dyDescent="0.2">
      <c r="Q508" s="467"/>
      <c r="AG508" s="467"/>
    </row>
    <row r="509" spans="17:33" x14ac:dyDescent="0.2">
      <c r="Q509" s="467"/>
      <c r="AG509" s="467"/>
    </row>
    <row r="510" spans="17:33" x14ac:dyDescent="0.2">
      <c r="Q510" s="467"/>
      <c r="AG510" s="467"/>
    </row>
    <row r="511" spans="17:33" x14ac:dyDescent="0.2">
      <c r="Q511" s="467"/>
      <c r="AG511" s="467"/>
    </row>
    <row r="512" spans="17:33" x14ac:dyDescent="0.2">
      <c r="Q512" s="467"/>
      <c r="AG512" s="467"/>
    </row>
    <row r="513" spans="17:33" x14ac:dyDescent="0.2">
      <c r="Q513" s="467"/>
      <c r="AG513" s="467"/>
    </row>
    <row r="514" spans="17:33" x14ac:dyDescent="0.2">
      <c r="Q514" s="467"/>
      <c r="AG514" s="467"/>
    </row>
    <row r="515" spans="17:33" x14ac:dyDescent="0.2">
      <c r="Q515" s="467"/>
      <c r="AG515" s="467"/>
    </row>
    <row r="516" spans="17:33" x14ac:dyDescent="0.2">
      <c r="Q516" s="467"/>
      <c r="AG516" s="467"/>
    </row>
    <row r="517" spans="17:33" x14ac:dyDescent="0.2">
      <c r="Q517" s="467"/>
      <c r="AG517" s="467"/>
    </row>
    <row r="518" spans="17:33" x14ac:dyDescent="0.2">
      <c r="Q518" s="467"/>
      <c r="AG518" s="467"/>
    </row>
    <row r="519" spans="17:33" x14ac:dyDescent="0.2">
      <c r="Q519" s="467"/>
      <c r="AG519" s="467"/>
    </row>
    <row r="520" spans="17:33" x14ac:dyDescent="0.2">
      <c r="Q520" s="467"/>
      <c r="AG520" s="467"/>
    </row>
    <row r="521" spans="17:33" x14ac:dyDescent="0.2">
      <c r="Q521" s="467"/>
      <c r="AG521" s="467"/>
    </row>
    <row r="522" spans="17:33" x14ac:dyDescent="0.2">
      <c r="Q522" s="467"/>
      <c r="AG522" s="467"/>
    </row>
    <row r="523" spans="17:33" x14ac:dyDescent="0.2">
      <c r="Q523" s="467"/>
      <c r="AG523" s="467"/>
    </row>
    <row r="524" spans="17:33" x14ac:dyDescent="0.2">
      <c r="Q524" s="467"/>
      <c r="AG524" s="467"/>
    </row>
    <row r="525" spans="17:33" x14ac:dyDescent="0.2">
      <c r="Q525" s="467"/>
      <c r="AG525" s="467"/>
    </row>
    <row r="526" spans="17:33" x14ac:dyDescent="0.2">
      <c r="Q526" s="467"/>
      <c r="AG526" s="467"/>
    </row>
    <row r="527" spans="17:33" x14ac:dyDescent="0.2">
      <c r="Q527" s="467"/>
      <c r="AG527" s="467"/>
    </row>
    <row r="528" spans="17:33" x14ac:dyDescent="0.2">
      <c r="Q528" s="467"/>
      <c r="AG528" s="467"/>
    </row>
    <row r="529" spans="17:33" x14ac:dyDescent="0.2">
      <c r="Q529" s="467"/>
      <c r="AG529" s="467"/>
    </row>
    <row r="530" spans="17:33" x14ac:dyDescent="0.2">
      <c r="Q530" s="467"/>
      <c r="AG530" s="467"/>
    </row>
    <row r="531" spans="17:33" x14ac:dyDescent="0.2">
      <c r="Q531" s="467"/>
      <c r="AG531" s="467"/>
    </row>
    <row r="532" spans="17:33" x14ac:dyDescent="0.2">
      <c r="Q532" s="467"/>
      <c r="AG532" s="467"/>
    </row>
    <row r="533" spans="17:33" x14ac:dyDescent="0.2">
      <c r="Q533" s="467"/>
      <c r="AG533" s="467"/>
    </row>
    <row r="534" spans="17:33" x14ac:dyDescent="0.2">
      <c r="Q534" s="467"/>
      <c r="AG534" s="467"/>
    </row>
    <row r="535" spans="17:33" x14ac:dyDescent="0.2">
      <c r="AG535" s="467"/>
    </row>
    <row r="536" spans="17:33" x14ac:dyDescent="0.2">
      <c r="AG536" s="467"/>
    </row>
    <row r="537" spans="17:33" x14ac:dyDescent="0.2">
      <c r="AG537" s="467"/>
    </row>
    <row r="538" spans="17:33" x14ac:dyDescent="0.2">
      <c r="AG538" s="467"/>
    </row>
    <row r="539" spans="17:33" x14ac:dyDescent="0.2">
      <c r="AG539" s="467"/>
    </row>
    <row r="540" spans="17:33" x14ac:dyDescent="0.2">
      <c r="AG540" s="467"/>
    </row>
    <row r="541" spans="17:33" x14ac:dyDescent="0.2">
      <c r="AG541" s="467"/>
    </row>
    <row r="542" spans="17:33" x14ac:dyDescent="0.2">
      <c r="AG542" s="467"/>
    </row>
    <row r="543" spans="17:33" x14ac:dyDescent="0.2">
      <c r="AG543" s="467"/>
    </row>
    <row r="544" spans="17:33" x14ac:dyDescent="0.2">
      <c r="AG544" s="467"/>
    </row>
    <row r="545" spans="33:33" x14ac:dyDescent="0.2">
      <c r="AG545" s="467"/>
    </row>
    <row r="546" spans="33:33" x14ac:dyDescent="0.2">
      <c r="AG546" s="467"/>
    </row>
    <row r="547" spans="33:33" x14ac:dyDescent="0.2">
      <c r="AG547" s="467"/>
    </row>
    <row r="548" spans="33:33" x14ac:dyDescent="0.2">
      <c r="AG548" s="467"/>
    </row>
    <row r="549" spans="33:33" x14ac:dyDescent="0.2">
      <c r="AG549" s="467"/>
    </row>
    <row r="550" spans="33:33" x14ac:dyDescent="0.2">
      <c r="AG550" s="467"/>
    </row>
    <row r="551" spans="33:33" x14ac:dyDescent="0.2">
      <c r="AG551" s="467"/>
    </row>
    <row r="552" spans="33:33" x14ac:dyDescent="0.2">
      <c r="AG552" s="467"/>
    </row>
    <row r="553" spans="33:33" x14ac:dyDescent="0.2">
      <c r="AG553" s="467"/>
    </row>
    <row r="554" spans="33:33" x14ac:dyDescent="0.2">
      <c r="AG554" s="467"/>
    </row>
    <row r="555" spans="33:33" x14ac:dyDescent="0.2">
      <c r="AG555" s="467"/>
    </row>
    <row r="556" spans="33:33" x14ac:dyDescent="0.2">
      <c r="AG556" s="467"/>
    </row>
    <row r="557" spans="33:33" x14ac:dyDescent="0.2">
      <c r="AG557" s="467"/>
    </row>
    <row r="558" spans="33:33" x14ac:dyDescent="0.2">
      <c r="AG558" s="467"/>
    </row>
    <row r="559" spans="33:33" x14ac:dyDescent="0.2">
      <c r="AG559" s="467"/>
    </row>
    <row r="560" spans="33:33" x14ac:dyDescent="0.2">
      <c r="AG560" s="467"/>
    </row>
    <row r="561" spans="33:33" x14ac:dyDescent="0.2">
      <c r="AG561" s="467"/>
    </row>
    <row r="562" spans="33:33" x14ac:dyDescent="0.2">
      <c r="AG562" s="467"/>
    </row>
    <row r="563" spans="33:33" x14ac:dyDescent="0.2">
      <c r="AG563" s="467"/>
    </row>
    <row r="564" spans="33:33" x14ac:dyDescent="0.2">
      <c r="AG564" s="467"/>
    </row>
    <row r="565" spans="33:33" x14ac:dyDescent="0.2">
      <c r="AG565" s="467"/>
    </row>
    <row r="566" spans="33:33" x14ac:dyDescent="0.2">
      <c r="AG566" s="467"/>
    </row>
    <row r="567" spans="33:33" x14ac:dyDescent="0.2">
      <c r="AG567" s="467"/>
    </row>
    <row r="568" spans="33:33" x14ac:dyDescent="0.2">
      <c r="AG568" s="467"/>
    </row>
    <row r="569" spans="33:33" x14ac:dyDescent="0.2">
      <c r="AG569" s="467"/>
    </row>
    <row r="570" spans="33:33" x14ac:dyDescent="0.2">
      <c r="AG570" s="467"/>
    </row>
    <row r="571" spans="33:33" x14ac:dyDescent="0.2">
      <c r="AG571" s="467"/>
    </row>
    <row r="572" spans="33:33" x14ac:dyDescent="0.2">
      <c r="AG572" s="467"/>
    </row>
    <row r="573" spans="33:33" x14ac:dyDescent="0.2">
      <c r="AG573" s="467"/>
    </row>
    <row r="574" spans="33:33" x14ac:dyDescent="0.2">
      <c r="AG574" s="467"/>
    </row>
    <row r="575" spans="33:33" x14ac:dyDescent="0.2">
      <c r="AG575" s="467"/>
    </row>
    <row r="576" spans="33:33" x14ac:dyDescent="0.2">
      <c r="AG576" s="467"/>
    </row>
    <row r="577" spans="33:33" x14ac:dyDescent="0.2">
      <c r="AG577" s="467"/>
    </row>
    <row r="578" spans="33:33" x14ac:dyDescent="0.2">
      <c r="AG578" s="467"/>
    </row>
    <row r="579" spans="33:33" x14ac:dyDescent="0.2">
      <c r="AG579" s="467"/>
    </row>
    <row r="580" spans="33:33" x14ac:dyDescent="0.2">
      <c r="AG580" s="467"/>
    </row>
    <row r="581" spans="33:33" x14ac:dyDescent="0.2">
      <c r="AG581" s="467"/>
    </row>
    <row r="582" spans="33:33" x14ac:dyDescent="0.2">
      <c r="AG582" s="467"/>
    </row>
    <row r="583" spans="33:33" x14ac:dyDescent="0.2">
      <c r="AG583" s="467"/>
    </row>
    <row r="584" spans="33:33" x14ac:dyDescent="0.2">
      <c r="AG584" s="467"/>
    </row>
    <row r="585" spans="33:33" x14ac:dyDescent="0.2">
      <c r="AG585" s="467"/>
    </row>
    <row r="586" spans="33:33" x14ac:dyDescent="0.2">
      <c r="AG586" s="467"/>
    </row>
    <row r="587" spans="33:33" x14ac:dyDescent="0.2">
      <c r="AG587" s="467"/>
    </row>
    <row r="588" spans="33:33" x14ac:dyDescent="0.2">
      <c r="AG588" s="467"/>
    </row>
    <row r="589" spans="33:33" x14ac:dyDescent="0.2">
      <c r="AG589" s="467"/>
    </row>
    <row r="590" spans="33:33" x14ac:dyDescent="0.2">
      <c r="AG590" s="467"/>
    </row>
    <row r="591" spans="33:33" x14ac:dyDescent="0.2">
      <c r="AG591" s="467"/>
    </row>
    <row r="592" spans="33:33" x14ac:dyDescent="0.2">
      <c r="AG592" s="467"/>
    </row>
    <row r="593" spans="33:33" x14ac:dyDescent="0.2">
      <c r="AG593" s="467"/>
    </row>
    <row r="594" spans="33:33" x14ac:dyDescent="0.2">
      <c r="AG594" s="467"/>
    </row>
    <row r="595" spans="33:33" x14ac:dyDescent="0.2">
      <c r="AG595" s="467"/>
    </row>
    <row r="596" spans="33:33" x14ac:dyDescent="0.2">
      <c r="AG596" s="467"/>
    </row>
    <row r="597" spans="33:33" x14ac:dyDescent="0.2">
      <c r="AG597" s="467"/>
    </row>
    <row r="598" spans="33:33" x14ac:dyDescent="0.2">
      <c r="AG598" s="467"/>
    </row>
    <row r="599" spans="33:33" x14ac:dyDescent="0.2">
      <c r="AG599" s="467"/>
    </row>
    <row r="600" spans="33:33" x14ac:dyDescent="0.2">
      <c r="AG600" s="467"/>
    </row>
    <row r="601" spans="33:33" x14ac:dyDescent="0.2">
      <c r="AG601" s="467"/>
    </row>
    <row r="602" spans="33:33" x14ac:dyDescent="0.2">
      <c r="AG602" s="467"/>
    </row>
    <row r="603" spans="33:33" x14ac:dyDescent="0.2">
      <c r="AG603" s="467"/>
    </row>
    <row r="604" spans="33:33" x14ac:dyDescent="0.2">
      <c r="AG604" s="467"/>
    </row>
    <row r="605" spans="33:33" x14ac:dyDescent="0.2">
      <c r="AG605" s="467"/>
    </row>
    <row r="606" spans="33:33" x14ac:dyDescent="0.2">
      <c r="AG606" s="467"/>
    </row>
    <row r="607" spans="33:33" x14ac:dyDescent="0.2">
      <c r="AG607" s="467"/>
    </row>
    <row r="608" spans="33:33" x14ac:dyDescent="0.2">
      <c r="AG608" s="467"/>
    </row>
    <row r="609" spans="33:33" x14ac:dyDescent="0.2">
      <c r="AG609" s="467"/>
    </row>
    <row r="610" spans="33:33" x14ac:dyDescent="0.2">
      <c r="AG610" s="467"/>
    </row>
    <row r="611" spans="33:33" x14ac:dyDescent="0.2">
      <c r="AG611" s="467"/>
    </row>
    <row r="612" spans="33:33" x14ac:dyDescent="0.2">
      <c r="AG612" s="467"/>
    </row>
    <row r="613" spans="33:33" x14ac:dyDescent="0.2">
      <c r="AG613" s="467"/>
    </row>
    <row r="614" spans="33:33" x14ac:dyDescent="0.2">
      <c r="AG614" s="467"/>
    </row>
    <row r="615" spans="33:33" x14ac:dyDescent="0.2">
      <c r="AG615" s="467"/>
    </row>
    <row r="616" spans="33:33" x14ac:dyDescent="0.2">
      <c r="AG616" s="467"/>
    </row>
    <row r="617" spans="33:33" x14ac:dyDescent="0.2">
      <c r="AG617" s="467"/>
    </row>
    <row r="618" spans="33:33" x14ac:dyDescent="0.2">
      <c r="AG618" s="467"/>
    </row>
    <row r="619" spans="33:33" x14ac:dyDescent="0.2">
      <c r="AG619" s="467"/>
    </row>
    <row r="620" spans="33:33" x14ac:dyDescent="0.2">
      <c r="AG620" s="467"/>
    </row>
    <row r="621" spans="33:33" x14ac:dyDescent="0.2">
      <c r="AG621" s="467"/>
    </row>
    <row r="622" spans="33:33" x14ac:dyDescent="0.2">
      <c r="AG622" s="467"/>
    </row>
    <row r="623" spans="33:33" x14ac:dyDescent="0.2">
      <c r="AG623" s="467"/>
    </row>
    <row r="624" spans="33:33" x14ac:dyDescent="0.2">
      <c r="AG624" s="467"/>
    </row>
    <row r="625" spans="33:33" x14ac:dyDescent="0.2">
      <c r="AG625" s="467"/>
    </row>
    <row r="626" spans="33:33" x14ac:dyDescent="0.2">
      <c r="AG626" s="467"/>
    </row>
    <row r="627" spans="33:33" x14ac:dyDescent="0.2">
      <c r="AG627" s="467"/>
    </row>
    <row r="628" spans="33:33" x14ac:dyDescent="0.2">
      <c r="AG628" s="467"/>
    </row>
    <row r="629" spans="33:33" x14ac:dyDescent="0.2">
      <c r="AG629" s="467"/>
    </row>
    <row r="630" spans="33:33" x14ac:dyDescent="0.2">
      <c r="AG630" s="467"/>
    </row>
    <row r="631" spans="33:33" x14ac:dyDescent="0.2">
      <c r="AG631" s="467"/>
    </row>
    <row r="632" spans="33:33" x14ac:dyDescent="0.2">
      <c r="AG632" s="467"/>
    </row>
    <row r="633" spans="33:33" x14ac:dyDescent="0.2">
      <c r="AG633" s="467"/>
    </row>
    <row r="634" spans="33:33" x14ac:dyDescent="0.2">
      <c r="AG634" s="467"/>
    </row>
    <row r="635" spans="33:33" x14ac:dyDescent="0.2">
      <c r="AG635" s="467"/>
    </row>
    <row r="636" spans="33:33" x14ac:dyDescent="0.2">
      <c r="AG636" s="467"/>
    </row>
    <row r="637" spans="33:33" x14ac:dyDescent="0.2">
      <c r="AG637" s="467"/>
    </row>
    <row r="638" spans="33:33" x14ac:dyDescent="0.2">
      <c r="AG638" s="467"/>
    </row>
    <row r="639" spans="33:33" x14ac:dyDescent="0.2">
      <c r="AG639" s="467"/>
    </row>
    <row r="640" spans="33:33" x14ac:dyDescent="0.2">
      <c r="AG640" s="467"/>
    </row>
    <row r="641" spans="33:33" x14ac:dyDescent="0.2">
      <c r="AG641" s="467"/>
    </row>
    <row r="642" spans="33:33" x14ac:dyDescent="0.2">
      <c r="AG642" s="467"/>
    </row>
    <row r="643" spans="33:33" x14ac:dyDescent="0.2">
      <c r="AG643" s="467"/>
    </row>
    <row r="644" spans="33:33" x14ac:dyDescent="0.2">
      <c r="AG644" s="467"/>
    </row>
    <row r="645" spans="33:33" x14ac:dyDescent="0.2">
      <c r="AG645" s="467"/>
    </row>
    <row r="646" spans="33:33" x14ac:dyDescent="0.2">
      <c r="AG646" s="467"/>
    </row>
    <row r="647" spans="33:33" x14ac:dyDescent="0.2">
      <c r="AG647" s="467"/>
    </row>
    <row r="648" spans="33:33" x14ac:dyDescent="0.2">
      <c r="AG648" s="467"/>
    </row>
    <row r="649" spans="33:33" x14ac:dyDescent="0.2">
      <c r="AG649" s="467"/>
    </row>
    <row r="650" spans="33:33" x14ac:dyDescent="0.2">
      <c r="AG650" s="467"/>
    </row>
    <row r="651" spans="33:33" x14ac:dyDescent="0.2">
      <c r="AG651" s="467"/>
    </row>
    <row r="652" spans="33:33" x14ac:dyDescent="0.2">
      <c r="AG652" s="467"/>
    </row>
    <row r="653" spans="33:33" x14ac:dyDescent="0.2">
      <c r="AG653" s="467"/>
    </row>
    <row r="654" spans="33:33" x14ac:dyDescent="0.2">
      <c r="AG654" s="467"/>
    </row>
    <row r="655" spans="33:33" x14ac:dyDescent="0.2">
      <c r="AG655" s="467"/>
    </row>
    <row r="656" spans="33:33" x14ac:dyDescent="0.2">
      <c r="AG656" s="467"/>
    </row>
    <row r="657" spans="33:33" x14ac:dyDescent="0.2">
      <c r="AG657" s="467"/>
    </row>
    <row r="658" spans="33:33" x14ac:dyDescent="0.2">
      <c r="AG658" s="467"/>
    </row>
    <row r="659" spans="33:33" x14ac:dyDescent="0.2">
      <c r="AG659" s="467"/>
    </row>
    <row r="660" spans="33:33" x14ac:dyDescent="0.2">
      <c r="AG660" s="467"/>
    </row>
    <row r="661" spans="33:33" x14ac:dyDescent="0.2">
      <c r="AG661" s="467"/>
    </row>
    <row r="662" spans="33:33" x14ac:dyDescent="0.2">
      <c r="AG662" s="467"/>
    </row>
    <row r="663" spans="33:33" x14ac:dyDescent="0.2">
      <c r="AG663" s="467"/>
    </row>
    <row r="664" spans="33:33" x14ac:dyDescent="0.2">
      <c r="AG664" s="467"/>
    </row>
    <row r="665" spans="33:33" x14ac:dyDescent="0.2">
      <c r="AG665" s="467"/>
    </row>
    <row r="666" spans="33:33" x14ac:dyDescent="0.2">
      <c r="AG666" s="467"/>
    </row>
    <row r="667" spans="33:33" x14ac:dyDescent="0.2">
      <c r="AG667" s="467"/>
    </row>
    <row r="668" spans="33:33" x14ac:dyDescent="0.2">
      <c r="AG668" s="467"/>
    </row>
    <row r="669" spans="33:33" x14ac:dyDescent="0.2">
      <c r="AG669" s="467"/>
    </row>
    <row r="670" spans="33:33" x14ac:dyDescent="0.2">
      <c r="AG670" s="467"/>
    </row>
    <row r="671" spans="33:33" x14ac:dyDescent="0.2">
      <c r="AG671" s="467"/>
    </row>
    <row r="672" spans="33:33" x14ac:dyDescent="0.2">
      <c r="AG672" s="467"/>
    </row>
    <row r="673" spans="33:33" x14ac:dyDescent="0.2">
      <c r="AG673" s="467"/>
    </row>
    <row r="674" spans="33:33" x14ac:dyDescent="0.2">
      <c r="AG674" s="467"/>
    </row>
    <row r="675" spans="33:33" x14ac:dyDescent="0.2">
      <c r="AG675" s="467"/>
    </row>
    <row r="676" spans="33:33" x14ac:dyDescent="0.2">
      <c r="AG676" s="467"/>
    </row>
    <row r="677" spans="33:33" x14ac:dyDescent="0.2">
      <c r="AG677" s="467"/>
    </row>
    <row r="678" spans="33:33" x14ac:dyDescent="0.2">
      <c r="AG678" s="467"/>
    </row>
    <row r="679" spans="33:33" x14ac:dyDescent="0.2">
      <c r="AG679" s="467"/>
    </row>
    <row r="680" spans="33:33" x14ac:dyDescent="0.2">
      <c r="AG680" s="467"/>
    </row>
    <row r="681" spans="33:33" x14ac:dyDescent="0.2">
      <c r="AG681" s="467"/>
    </row>
    <row r="682" spans="33:33" x14ac:dyDescent="0.2">
      <c r="AG682" s="467"/>
    </row>
    <row r="683" spans="33:33" x14ac:dyDescent="0.2">
      <c r="AG683" s="467"/>
    </row>
    <row r="684" spans="33:33" x14ac:dyDescent="0.2">
      <c r="AG684" s="467"/>
    </row>
    <row r="685" spans="33:33" x14ac:dyDescent="0.2">
      <c r="AG685" s="467"/>
    </row>
    <row r="686" spans="33:33" x14ac:dyDescent="0.2">
      <c r="AG686" s="467"/>
    </row>
    <row r="687" spans="33:33" x14ac:dyDescent="0.2">
      <c r="AG687" s="467"/>
    </row>
    <row r="688" spans="33:33" x14ac:dyDescent="0.2">
      <c r="AG688" s="467"/>
    </row>
    <row r="689" spans="33:33" x14ac:dyDescent="0.2">
      <c r="AG689" s="467"/>
    </row>
    <row r="690" spans="33:33" x14ac:dyDescent="0.2">
      <c r="AG690" s="467"/>
    </row>
    <row r="691" spans="33:33" x14ac:dyDescent="0.2">
      <c r="AG691" s="467"/>
    </row>
    <row r="692" spans="33:33" x14ac:dyDescent="0.2">
      <c r="AG692" s="467"/>
    </row>
    <row r="693" spans="33:33" x14ac:dyDescent="0.2">
      <c r="AG693" s="467"/>
    </row>
    <row r="694" spans="33:33" x14ac:dyDescent="0.2">
      <c r="AG694" s="467"/>
    </row>
    <row r="695" spans="33:33" x14ac:dyDescent="0.2">
      <c r="AG695" s="467"/>
    </row>
    <row r="696" spans="33:33" x14ac:dyDescent="0.2">
      <c r="AG696" s="467"/>
    </row>
    <row r="697" spans="33:33" x14ac:dyDescent="0.2">
      <c r="AG697" s="467"/>
    </row>
    <row r="698" spans="33:33" x14ac:dyDescent="0.2">
      <c r="AG698" s="467"/>
    </row>
    <row r="699" spans="33:33" x14ac:dyDescent="0.2">
      <c r="AG699" s="467"/>
    </row>
    <row r="700" spans="33:33" x14ac:dyDescent="0.2">
      <c r="AG700" s="467"/>
    </row>
    <row r="701" spans="33:33" x14ac:dyDescent="0.2">
      <c r="AG701" s="467"/>
    </row>
    <row r="702" spans="33:33" x14ac:dyDescent="0.2">
      <c r="AG702" s="467"/>
    </row>
    <row r="703" spans="33:33" x14ac:dyDescent="0.2">
      <c r="AG703" s="467"/>
    </row>
    <row r="704" spans="33:33" x14ac:dyDescent="0.2">
      <c r="AG704" s="467"/>
    </row>
    <row r="705" spans="33:33" x14ac:dyDescent="0.2">
      <c r="AG705" s="467"/>
    </row>
    <row r="706" spans="33:33" x14ac:dyDescent="0.2">
      <c r="AG706" s="467"/>
    </row>
    <row r="707" spans="33:33" x14ac:dyDescent="0.2">
      <c r="AG707" s="467"/>
    </row>
    <row r="708" spans="33:33" x14ac:dyDescent="0.2">
      <c r="AG708" s="467"/>
    </row>
    <row r="709" spans="33:33" x14ac:dyDescent="0.2">
      <c r="AG709" s="467"/>
    </row>
    <row r="710" spans="33:33" x14ac:dyDescent="0.2">
      <c r="AG710" s="467"/>
    </row>
    <row r="711" spans="33:33" x14ac:dyDescent="0.2">
      <c r="AG711" s="467"/>
    </row>
    <row r="712" spans="33:33" x14ac:dyDescent="0.2">
      <c r="AG712" s="467"/>
    </row>
    <row r="713" spans="33:33" x14ac:dyDescent="0.2">
      <c r="AG713" s="467"/>
    </row>
    <row r="714" spans="33:33" x14ac:dyDescent="0.2">
      <c r="AG714" s="467"/>
    </row>
    <row r="715" spans="33:33" x14ac:dyDescent="0.2">
      <c r="AG715" s="467"/>
    </row>
    <row r="716" spans="33:33" x14ac:dyDescent="0.2">
      <c r="AG716" s="467"/>
    </row>
    <row r="717" spans="33:33" x14ac:dyDescent="0.2">
      <c r="AG717" s="467"/>
    </row>
    <row r="718" spans="33:33" x14ac:dyDescent="0.2">
      <c r="AG718" s="467"/>
    </row>
    <row r="719" spans="33:33" x14ac:dyDescent="0.2">
      <c r="AG719" s="467"/>
    </row>
    <row r="720" spans="33:33" x14ac:dyDescent="0.2">
      <c r="AG720" s="467"/>
    </row>
    <row r="721" spans="33:33" x14ac:dyDescent="0.2">
      <c r="AG721" s="467"/>
    </row>
    <row r="722" spans="33:33" x14ac:dyDescent="0.2">
      <c r="AG722" s="467"/>
    </row>
    <row r="723" spans="33:33" x14ac:dyDescent="0.2">
      <c r="AG723" s="467"/>
    </row>
    <row r="724" spans="33:33" x14ac:dyDescent="0.2">
      <c r="AG724" s="467"/>
    </row>
    <row r="725" spans="33:33" x14ac:dyDescent="0.2">
      <c r="AG725" s="467"/>
    </row>
    <row r="726" spans="33:33" x14ac:dyDescent="0.2">
      <c r="AG726" s="467"/>
    </row>
    <row r="727" spans="33:33" x14ac:dyDescent="0.2">
      <c r="AG727" s="467"/>
    </row>
    <row r="728" spans="33:33" x14ac:dyDescent="0.2">
      <c r="AG728" s="467"/>
    </row>
    <row r="729" spans="33:33" x14ac:dyDescent="0.2">
      <c r="AG729" s="467"/>
    </row>
    <row r="730" spans="33:33" x14ac:dyDescent="0.2">
      <c r="AG730" s="467"/>
    </row>
    <row r="731" spans="33:33" x14ac:dyDescent="0.2">
      <c r="AG731" s="467"/>
    </row>
    <row r="732" spans="33:33" x14ac:dyDescent="0.2">
      <c r="AG732" s="467"/>
    </row>
    <row r="733" spans="33:33" x14ac:dyDescent="0.2">
      <c r="AG733" s="467"/>
    </row>
    <row r="734" spans="33:33" x14ac:dyDescent="0.2">
      <c r="AG734" s="467"/>
    </row>
    <row r="735" spans="33:33" x14ac:dyDescent="0.2">
      <c r="AG735" s="467"/>
    </row>
    <row r="736" spans="33:33" x14ac:dyDescent="0.2">
      <c r="AG736" s="467"/>
    </row>
    <row r="737" spans="33:33" x14ac:dyDescent="0.2">
      <c r="AG737" s="467"/>
    </row>
    <row r="738" spans="33:33" x14ac:dyDescent="0.2">
      <c r="AG738" s="467"/>
    </row>
    <row r="739" spans="33:33" x14ac:dyDescent="0.2">
      <c r="AG739" s="467"/>
    </row>
    <row r="740" spans="33:33" x14ac:dyDescent="0.2">
      <c r="AG740" s="467"/>
    </row>
    <row r="741" spans="33:33" x14ac:dyDescent="0.2">
      <c r="AG741" s="467"/>
    </row>
    <row r="742" spans="33:33" x14ac:dyDescent="0.2">
      <c r="AG742" s="467"/>
    </row>
    <row r="743" spans="33:33" x14ac:dyDescent="0.2">
      <c r="AG743" s="467"/>
    </row>
    <row r="744" spans="33:33" x14ac:dyDescent="0.2">
      <c r="AG744" s="467"/>
    </row>
    <row r="745" spans="33:33" x14ac:dyDescent="0.2">
      <c r="AG745" s="467"/>
    </row>
    <row r="746" spans="33:33" x14ac:dyDescent="0.2">
      <c r="AG746" s="467"/>
    </row>
    <row r="747" spans="33:33" x14ac:dyDescent="0.2">
      <c r="AG747" s="467"/>
    </row>
    <row r="748" spans="33:33" x14ac:dyDescent="0.2">
      <c r="AG748" s="467"/>
    </row>
    <row r="749" spans="33:33" x14ac:dyDescent="0.2">
      <c r="AG749" s="467"/>
    </row>
    <row r="750" spans="33:33" x14ac:dyDescent="0.2">
      <c r="AG750" s="467"/>
    </row>
    <row r="751" spans="33:33" x14ac:dyDescent="0.2">
      <c r="AG751" s="467"/>
    </row>
    <row r="752" spans="33:33" x14ac:dyDescent="0.2">
      <c r="AG752" s="467"/>
    </row>
    <row r="753" spans="33:33" x14ac:dyDescent="0.2">
      <c r="AG753" s="467"/>
    </row>
    <row r="754" spans="33:33" x14ac:dyDescent="0.2">
      <c r="AG754" s="467"/>
    </row>
    <row r="755" spans="33:33" x14ac:dyDescent="0.2">
      <c r="AG755" s="467"/>
    </row>
    <row r="756" spans="33:33" x14ac:dyDescent="0.2">
      <c r="AG756" s="467"/>
    </row>
    <row r="757" spans="33:33" x14ac:dyDescent="0.2">
      <c r="AG757" s="467"/>
    </row>
    <row r="758" spans="33:33" x14ac:dyDescent="0.2">
      <c r="AG758" s="467"/>
    </row>
    <row r="759" spans="33:33" x14ac:dyDescent="0.2">
      <c r="AG759" s="467"/>
    </row>
    <row r="760" spans="33:33" x14ac:dyDescent="0.2">
      <c r="AG760" s="467"/>
    </row>
    <row r="761" spans="33:33" x14ac:dyDescent="0.2">
      <c r="AG761" s="467"/>
    </row>
    <row r="762" spans="33:33" x14ac:dyDescent="0.2">
      <c r="AG762" s="467"/>
    </row>
    <row r="763" spans="33:33" x14ac:dyDescent="0.2">
      <c r="AG763" s="467"/>
    </row>
    <row r="764" spans="33:33" x14ac:dyDescent="0.2">
      <c r="AG764" s="467"/>
    </row>
    <row r="765" spans="33:33" x14ac:dyDescent="0.2">
      <c r="AG765" s="467"/>
    </row>
    <row r="766" spans="33:33" x14ac:dyDescent="0.2">
      <c r="AG766" s="467"/>
    </row>
    <row r="767" spans="33:33" x14ac:dyDescent="0.2">
      <c r="AG767" s="467"/>
    </row>
    <row r="768" spans="33:33" x14ac:dyDescent="0.2">
      <c r="AG768" s="467"/>
    </row>
    <row r="769" spans="33:33" x14ac:dyDescent="0.2">
      <c r="AG769" s="467"/>
    </row>
    <row r="770" spans="33:33" x14ac:dyDescent="0.2">
      <c r="AG770" s="467"/>
    </row>
    <row r="771" spans="33:33" x14ac:dyDescent="0.2">
      <c r="AG771" s="467"/>
    </row>
    <row r="772" spans="33:33" x14ac:dyDescent="0.2">
      <c r="AG772" s="467"/>
    </row>
    <row r="773" spans="33:33" x14ac:dyDescent="0.2">
      <c r="AG773" s="467"/>
    </row>
    <row r="774" spans="33:33" x14ac:dyDescent="0.2">
      <c r="AG774" s="467"/>
    </row>
    <row r="775" spans="33:33" x14ac:dyDescent="0.2">
      <c r="AG775" s="467"/>
    </row>
    <row r="776" spans="33:33" x14ac:dyDescent="0.2">
      <c r="AG776" s="467"/>
    </row>
    <row r="777" spans="33:33" x14ac:dyDescent="0.2">
      <c r="AG777" s="467"/>
    </row>
    <row r="778" spans="33:33" x14ac:dyDescent="0.2">
      <c r="AG778" s="467"/>
    </row>
    <row r="779" spans="33:33" x14ac:dyDescent="0.2">
      <c r="AG779" s="467"/>
    </row>
    <row r="780" spans="33:33" x14ac:dyDescent="0.2">
      <c r="AG780" s="467"/>
    </row>
    <row r="781" spans="33:33" x14ac:dyDescent="0.2">
      <c r="AG781" s="467"/>
    </row>
    <row r="782" spans="33:33" x14ac:dyDescent="0.2">
      <c r="AG782" s="467"/>
    </row>
    <row r="783" spans="33:33" x14ac:dyDescent="0.2">
      <c r="AG783" s="467"/>
    </row>
    <row r="784" spans="33:33" x14ac:dyDescent="0.2">
      <c r="AG784" s="467"/>
    </row>
    <row r="785" spans="33:33" x14ac:dyDescent="0.2">
      <c r="AG785" s="467"/>
    </row>
    <row r="786" spans="33:33" x14ac:dyDescent="0.2">
      <c r="AG786" s="467"/>
    </row>
    <row r="787" spans="33:33" x14ac:dyDescent="0.2">
      <c r="AG787" s="467"/>
    </row>
    <row r="788" spans="33:33" x14ac:dyDescent="0.2">
      <c r="AG788" s="467"/>
    </row>
    <row r="789" spans="33:33" x14ac:dyDescent="0.2">
      <c r="AG789" s="467"/>
    </row>
    <row r="790" spans="33:33" x14ac:dyDescent="0.2">
      <c r="AG790" s="467"/>
    </row>
    <row r="791" spans="33:33" x14ac:dyDescent="0.2">
      <c r="AG791" s="467"/>
    </row>
    <row r="792" spans="33:33" x14ac:dyDescent="0.2">
      <c r="AG792" s="467"/>
    </row>
    <row r="793" spans="33:33" x14ac:dyDescent="0.2">
      <c r="AG793" s="467"/>
    </row>
    <row r="794" spans="33:33" x14ac:dyDescent="0.2">
      <c r="AG794" s="467"/>
    </row>
    <row r="795" spans="33:33" x14ac:dyDescent="0.2">
      <c r="AG795" s="467"/>
    </row>
    <row r="796" spans="33:33" x14ac:dyDescent="0.2">
      <c r="AG796" s="467"/>
    </row>
    <row r="797" spans="33:33" x14ac:dyDescent="0.2">
      <c r="AG797" s="467"/>
    </row>
    <row r="798" spans="33:33" x14ac:dyDescent="0.2">
      <c r="AG798" s="467"/>
    </row>
    <row r="799" spans="33:33" x14ac:dyDescent="0.2">
      <c r="AG799" s="467"/>
    </row>
    <row r="800" spans="33:33" x14ac:dyDescent="0.2">
      <c r="AG800" s="467"/>
    </row>
    <row r="801" spans="33:33" x14ac:dyDescent="0.2">
      <c r="AG801" s="467"/>
    </row>
    <row r="802" spans="33:33" x14ac:dyDescent="0.2">
      <c r="AG802" s="467"/>
    </row>
    <row r="803" spans="33:33" x14ac:dyDescent="0.2">
      <c r="AG803" s="467"/>
    </row>
    <row r="804" spans="33:33" x14ac:dyDescent="0.2">
      <c r="AG804" s="467"/>
    </row>
    <row r="805" spans="33:33" x14ac:dyDescent="0.2">
      <c r="AG805" s="467"/>
    </row>
    <row r="806" spans="33:33" x14ac:dyDescent="0.2">
      <c r="AG806" s="467"/>
    </row>
    <row r="807" spans="33:33" x14ac:dyDescent="0.2">
      <c r="AG807" s="467"/>
    </row>
    <row r="808" spans="33:33" x14ac:dyDescent="0.2">
      <c r="AG808" s="467"/>
    </row>
    <row r="809" spans="33:33" x14ac:dyDescent="0.2">
      <c r="AG809" s="467"/>
    </row>
    <row r="810" spans="33:33" x14ac:dyDescent="0.2">
      <c r="AG810" s="467"/>
    </row>
    <row r="811" spans="33:33" x14ac:dyDescent="0.2">
      <c r="AG811" s="467"/>
    </row>
    <row r="812" spans="33:33" x14ac:dyDescent="0.2">
      <c r="AG812" s="467"/>
    </row>
    <row r="813" spans="33:33" x14ac:dyDescent="0.2">
      <c r="AG813" s="467"/>
    </row>
    <row r="814" spans="33:33" x14ac:dyDescent="0.2">
      <c r="AG814" s="467"/>
    </row>
    <row r="815" spans="33:33" x14ac:dyDescent="0.2">
      <c r="AG815" s="467"/>
    </row>
    <row r="816" spans="33:33" x14ac:dyDescent="0.2">
      <c r="AG816" s="467"/>
    </row>
    <row r="817" spans="33:33" x14ac:dyDescent="0.2">
      <c r="AG817" s="467"/>
    </row>
    <row r="818" spans="33:33" x14ac:dyDescent="0.2">
      <c r="AG818" s="467"/>
    </row>
    <row r="819" spans="33:33" x14ac:dyDescent="0.2">
      <c r="AG819" s="467"/>
    </row>
    <row r="820" spans="33:33" x14ac:dyDescent="0.2">
      <c r="AG820" s="467"/>
    </row>
    <row r="821" spans="33:33" x14ac:dyDescent="0.2">
      <c r="AG821" s="467"/>
    </row>
    <row r="822" spans="33:33" x14ac:dyDescent="0.2">
      <c r="AG822" s="467"/>
    </row>
    <row r="823" spans="33:33" x14ac:dyDescent="0.2">
      <c r="AG823" s="467"/>
    </row>
    <row r="824" spans="33:33" x14ac:dyDescent="0.2">
      <c r="AG824" s="467"/>
    </row>
    <row r="825" spans="33:33" x14ac:dyDescent="0.2">
      <c r="AG825" s="467"/>
    </row>
    <row r="826" spans="33:33" x14ac:dyDescent="0.2">
      <c r="AG826" s="467"/>
    </row>
    <row r="827" spans="33:33" x14ac:dyDescent="0.2">
      <c r="AG827" s="467"/>
    </row>
    <row r="828" spans="33:33" x14ac:dyDescent="0.2">
      <c r="AG828" s="467"/>
    </row>
    <row r="829" spans="33:33" x14ac:dyDescent="0.2">
      <c r="AG829" s="467"/>
    </row>
    <row r="830" spans="33:33" x14ac:dyDescent="0.2">
      <c r="AG830" s="467"/>
    </row>
    <row r="831" spans="33:33" x14ac:dyDescent="0.2">
      <c r="AG831" s="467"/>
    </row>
    <row r="832" spans="33:33" x14ac:dyDescent="0.2">
      <c r="AG832" s="467"/>
    </row>
    <row r="833" spans="33:33" x14ac:dyDescent="0.2">
      <c r="AG833" s="467"/>
    </row>
    <row r="834" spans="33:33" x14ac:dyDescent="0.2">
      <c r="AG834" s="467"/>
    </row>
    <row r="835" spans="33:33" x14ac:dyDescent="0.2">
      <c r="AG835" s="467"/>
    </row>
    <row r="836" spans="33:33" x14ac:dyDescent="0.2">
      <c r="AG836" s="467"/>
    </row>
    <row r="837" spans="33:33" x14ac:dyDescent="0.2">
      <c r="AG837" s="467"/>
    </row>
    <row r="838" spans="33:33" x14ac:dyDescent="0.2">
      <c r="AG838" s="467"/>
    </row>
    <row r="839" spans="33:33" x14ac:dyDescent="0.2">
      <c r="AG839" s="467"/>
    </row>
    <row r="840" spans="33:33" x14ac:dyDescent="0.2">
      <c r="AG840" s="467"/>
    </row>
    <row r="841" spans="33:33" x14ac:dyDescent="0.2">
      <c r="AG841" s="467"/>
    </row>
    <row r="842" spans="33:33" x14ac:dyDescent="0.2">
      <c r="AG842" s="467"/>
    </row>
    <row r="843" spans="33:33" x14ac:dyDescent="0.2">
      <c r="AG843" s="467"/>
    </row>
    <row r="844" spans="33:33" x14ac:dyDescent="0.2">
      <c r="AG844" s="467"/>
    </row>
    <row r="845" spans="33:33" x14ac:dyDescent="0.2">
      <c r="AG845" s="467"/>
    </row>
    <row r="846" spans="33:33" x14ac:dyDescent="0.2">
      <c r="AG846" s="467"/>
    </row>
    <row r="847" spans="33:33" x14ac:dyDescent="0.2">
      <c r="AG847" s="467"/>
    </row>
    <row r="848" spans="33:33" x14ac:dyDescent="0.2">
      <c r="AG848" s="467"/>
    </row>
    <row r="849" spans="33:33" x14ac:dyDescent="0.2">
      <c r="AG849" s="467"/>
    </row>
    <row r="850" spans="33:33" x14ac:dyDescent="0.2">
      <c r="AG850" s="467"/>
    </row>
    <row r="851" spans="33:33" x14ac:dyDescent="0.2">
      <c r="AG851" s="467"/>
    </row>
    <row r="852" spans="33:33" x14ac:dyDescent="0.2">
      <c r="AG852" s="467"/>
    </row>
    <row r="853" spans="33:33" x14ac:dyDescent="0.2">
      <c r="AG853" s="467"/>
    </row>
    <row r="854" spans="33:33" x14ac:dyDescent="0.2">
      <c r="AG854" s="467"/>
    </row>
    <row r="855" spans="33:33" x14ac:dyDescent="0.2">
      <c r="AG855" s="467"/>
    </row>
    <row r="856" spans="33:33" x14ac:dyDescent="0.2">
      <c r="AG856" s="467"/>
    </row>
    <row r="857" spans="33:33" x14ac:dyDescent="0.2">
      <c r="AG857" s="467"/>
    </row>
    <row r="858" spans="33:33" x14ac:dyDescent="0.2">
      <c r="AG858" s="467"/>
    </row>
    <row r="859" spans="33:33" x14ac:dyDescent="0.2">
      <c r="AG859" s="467"/>
    </row>
    <row r="860" spans="33:33" x14ac:dyDescent="0.2">
      <c r="AG860" s="467"/>
    </row>
    <row r="861" spans="33:33" x14ac:dyDescent="0.2">
      <c r="AG861" s="467"/>
    </row>
    <row r="862" spans="33:33" x14ac:dyDescent="0.2">
      <c r="AG862" s="467"/>
    </row>
    <row r="863" spans="33:33" x14ac:dyDescent="0.2">
      <c r="AG863" s="467"/>
    </row>
    <row r="864" spans="33:33" x14ac:dyDescent="0.2">
      <c r="AG864" s="467"/>
    </row>
    <row r="865" spans="33:33" x14ac:dyDescent="0.2">
      <c r="AG865" s="467"/>
    </row>
    <row r="866" spans="33:33" x14ac:dyDescent="0.2">
      <c r="AG866" s="467"/>
    </row>
    <row r="867" spans="33:33" x14ac:dyDescent="0.2">
      <c r="AG867" s="467"/>
    </row>
    <row r="868" spans="33:33" x14ac:dyDescent="0.2">
      <c r="AG868" s="467"/>
    </row>
    <row r="869" spans="33:33" x14ac:dyDescent="0.2">
      <c r="AG869" s="467"/>
    </row>
    <row r="870" spans="33:33" x14ac:dyDescent="0.2">
      <c r="AG870" s="467"/>
    </row>
    <row r="871" spans="33:33" x14ac:dyDescent="0.2">
      <c r="AG871" s="467"/>
    </row>
    <row r="872" spans="33:33" x14ac:dyDescent="0.2">
      <c r="AG872" s="467"/>
    </row>
    <row r="873" spans="33:33" x14ac:dyDescent="0.2">
      <c r="AG873" s="467"/>
    </row>
    <row r="874" spans="33:33" x14ac:dyDescent="0.2">
      <c r="AG874" s="467"/>
    </row>
    <row r="875" spans="33:33" x14ac:dyDescent="0.2">
      <c r="AG875" s="467"/>
    </row>
    <row r="876" spans="33:33" x14ac:dyDescent="0.2">
      <c r="AG876" s="467"/>
    </row>
    <row r="877" spans="33:33" x14ac:dyDescent="0.2">
      <c r="AG877" s="467"/>
    </row>
    <row r="878" spans="33:33" x14ac:dyDescent="0.2">
      <c r="AG878" s="467"/>
    </row>
    <row r="879" spans="33:33" x14ac:dyDescent="0.2">
      <c r="AG879" s="467"/>
    </row>
    <row r="880" spans="33:33" x14ac:dyDescent="0.2">
      <c r="AG880" s="467"/>
    </row>
    <row r="881" spans="33:33" x14ac:dyDescent="0.2">
      <c r="AG881" s="467"/>
    </row>
    <row r="882" spans="33:33" x14ac:dyDescent="0.2">
      <c r="AG882" s="467"/>
    </row>
    <row r="883" spans="33:33" x14ac:dyDescent="0.2">
      <c r="AG883" s="467"/>
    </row>
    <row r="884" spans="33:33" x14ac:dyDescent="0.2">
      <c r="AG884" s="467"/>
    </row>
    <row r="885" spans="33:33" x14ac:dyDescent="0.2">
      <c r="AG885" s="467"/>
    </row>
    <row r="886" spans="33:33" x14ac:dyDescent="0.2">
      <c r="AG886" s="467"/>
    </row>
    <row r="887" spans="33:33" x14ac:dyDescent="0.2">
      <c r="AG887" s="467"/>
    </row>
    <row r="888" spans="33:33" x14ac:dyDescent="0.2">
      <c r="AG888" s="467"/>
    </row>
    <row r="889" spans="33:33" x14ac:dyDescent="0.2">
      <c r="AG889" s="467"/>
    </row>
    <row r="890" spans="33:33" x14ac:dyDescent="0.2">
      <c r="AG890" s="467"/>
    </row>
    <row r="891" spans="33:33" x14ac:dyDescent="0.2">
      <c r="AG891" s="467"/>
    </row>
    <row r="892" spans="33:33" x14ac:dyDescent="0.2">
      <c r="AG892" s="467"/>
    </row>
    <row r="893" spans="33:33" x14ac:dyDescent="0.2">
      <c r="AG893" s="467"/>
    </row>
    <row r="894" spans="33:33" x14ac:dyDescent="0.2">
      <c r="AG894" s="467"/>
    </row>
    <row r="895" spans="33:33" x14ac:dyDescent="0.2">
      <c r="AG895" s="467"/>
    </row>
    <row r="896" spans="33:33" x14ac:dyDescent="0.2">
      <c r="AG896" s="467"/>
    </row>
    <row r="897" spans="33:33" x14ac:dyDescent="0.2">
      <c r="AG897" s="467"/>
    </row>
    <row r="898" spans="33:33" x14ac:dyDescent="0.2">
      <c r="AG898" s="467"/>
    </row>
    <row r="899" spans="33:33" x14ac:dyDescent="0.2">
      <c r="AG899" s="467"/>
    </row>
    <row r="900" spans="33:33" x14ac:dyDescent="0.2">
      <c r="AG900" s="467"/>
    </row>
    <row r="901" spans="33:33" x14ac:dyDescent="0.2">
      <c r="AG901" s="467"/>
    </row>
    <row r="902" spans="33:33" x14ac:dyDescent="0.2">
      <c r="AG902" s="467"/>
    </row>
    <row r="903" spans="33:33" x14ac:dyDescent="0.2">
      <c r="AG903" s="467"/>
    </row>
    <row r="904" spans="33:33" x14ac:dyDescent="0.2">
      <c r="AG904" s="467"/>
    </row>
    <row r="905" spans="33:33" x14ac:dyDescent="0.2">
      <c r="AG905" s="467"/>
    </row>
    <row r="906" spans="33:33" x14ac:dyDescent="0.2">
      <c r="AG906" s="467"/>
    </row>
    <row r="907" spans="33:33" x14ac:dyDescent="0.2">
      <c r="AG907" s="467"/>
    </row>
    <row r="908" spans="33:33" x14ac:dyDescent="0.2">
      <c r="AG908" s="467"/>
    </row>
    <row r="909" spans="33:33" x14ac:dyDescent="0.2">
      <c r="AG909" s="467"/>
    </row>
    <row r="910" spans="33:33" x14ac:dyDescent="0.2">
      <c r="AG910" s="467"/>
    </row>
    <row r="911" spans="33:33" x14ac:dyDescent="0.2">
      <c r="AG911" s="467"/>
    </row>
    <row r="912" spans="33:33" x14ac:dyDescent="0.2">
      <c r="AG912" s="467"/>
    </row>
    <row r="913" spans="33:33" x14ac:dyDescent="0.2">
      <c r="AG913" s="467"/>
    </row>
    <row r="914" spans="33:33" x14ac:dyDescent="0.2">
      <c r="AG914" s="467"/>
    </row>
    <row r="915" spans="33:33" x14ac:dyDescent="0.2">
      <c r="AG915" s="467"/>
    </row>
    <row r="916" spans="33:33" x14ac:dyDescent="0.2">
      <c r="AG916" s="467"/>
    </row>
    <row r="917" spans="33:33" x14ac:dyDescent="0.2">
      <c r="AG917" s="467"/>
    </row>
    <row r="918" spans="33:33" x14ac:dyDescent="0.2">
      <c r="AG918" s="467"/>
    </row>
    <row r="919" spans="33:33" x14ac:dyDescent="0.2">
      <c r="AG919" s="467"/>
    </row>
    <row r="920" spans="33:33" x14ac:dyDescent="0.2">
      <c r="AG920" s="467"/>
    </row>
    <row r="921" spans="33:33" x14ac:dyDescent="0.2">
      <c r="AG921" s="467"/>
    </row>
    <row r="922" spans="33:33" x14ac:dyDescent="0.2">
      <c r="AG922" s="467"/>
    </row>
    <row r="923" spans="33:33" x14ac:dyDescent="0.2">
      <c r="AG923" s="467"/>
    </row>
    <row r="924" spans="33:33" x14ac:dyDescent="0.2">
      <c r="AG924" s="467"/>
    </row>
    <row r="925" spans="33:33" x14ac:dyDescent="0.2">
      <c r="AG925" s="467"/>
    </row>
    <row r="926" spans="33:33" x14ac:dyDescent="0.2">
      <c r="AG926" s="467"/>
    </row>
    <row r="927" spans="33:33" x14ac:dyDescent="0.2">
      <c r="AG927" s="467"/>
    </row>
  </sheetData>
  <sheetProtection algorithmName="SHA-512" hashValue="phBy4Nf5qAtf1u+6NEN/GB5fP21pSWnRkFbsz+ROuCl57Egwcwt7rJbqrMVKUBECdV/rbwDq6/YMLHzT9NAePw==" saltValue="/HWn1KnxmWHcGVbmI9zln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8">
        <f>Main!D3</f>
        <v>0</v>
      </c>
      <c r="E10" s="568"/>
      <c r="F10" s="568"/>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7" t="s">
        <v>370</v>
      </c>
      <c r="F15" s="567"/>
      <c r="G15" s="567"/>
      <c r="H15" s="567"/>
    </row>
    <row r="16" spans="3:8" ht="15" x14ac:dyDescent="0.2">
      <c r="C16" s="130"/>
      <c r="D16" s="73"/>
      <c r="E16" s="288" t="s">
        <v>124</v>
      </c>
      <c r="F16" s="288"/>
      <c r="G16" s="288"/>
      <c r="H16" s="288"/>
    </row>
    <row r="17" spans="3:8" ht="15" x14ac:dyDescent="0.2">
      <c r="C17" s="130"/>
      <c r="D17" s="73"/>
      <c r="E17" s="566" t="s">
        <v>125</v>
      </c>
      <c r="F17" s="566"/>
      <c r="G17" s="566"/>
      <c r="H17" s="566"/>
    </row>
    <row r="18" spans="3:8" ht="15" x14ac:dyDescent="0.2">
      <c r="C18" s="130"/>
      <c r="D18" s="73"/>
      <c r="E18" s="566" t="s">
        <v>6</v>
      </c>
      <c r="F18" s="566"/>
      <c r="G18" s="566"/>
      <c r="H18" s="566"/>
    </row>
    <row r="19" spans="3:8" ht="15" x14ac:dyDescent="0.2">
      <c r="C19" s="130"/>
      <c r="D19" s="73"/>
      <c r="E19" s="566" t="s">
        <v>130</v>
      </c>
      <c r="F19" s="566"/>
      <c r="G19" s="566"/>
      <c r="H19" s="566"/>
    </row>
    <row r="20" spans="3:8" ht="15" x14ac:dyDescent="0.2">
      <c r="C20" s="130"/>
      <c r="D20" s="73"/>
      <c r="E20" s="566" t="s">
        <v>127</v>
      </c>
      <c r="F20" s="566"/>
      <c r="G20" s="566"/>
      <c r="H20" s="566"/>
    </row>
    <row r="21" spans="3:8" ht="15" x14ac:dyDescent="0.2">
      <c r="C21" s="130"/>
      <c r="D21" s="73"/>
      <c r="E21" s="566" t="s">
        <v>128</v>
      </c>
      <c r="F21" s="566"/>
      <c r="G21" s="566"/>
      <c r="H21" s="566"/>
    </row>
    <row r="22" spans="3:8" ht="15" x14ac:dyDescent="0.2">
      <c r="C22" s="130"/>
      <c r="D22" s="73"/>
      <c r="E22" s="566" t="s">
        <v>106</v>
      </c>
      <c r="F22" s="566"/>
      <c r="G22" s="566"/>
      <c r="H22" s="566"/>
    </row>
    <row r="23" spans="3:8" ht="15" x14ac:dyDescent="0.2">
      <c r="C23" s="130"/>
      <c r="D23" s="73"/>
      <c r="E23" s="566" t="s">
        <v>129</v>
      </c>
      <c r="F23" s="566"/>
      <c r="G23" s="566"/>
      <c r="H23" s="566"/>
    </row>
    <row r="24" spans="3:8" ht="15" x14ac:dyDescent="0.2">
      <c r="C24" s="82"/>
      <c r="D24" s="73"/>
      <c r="E24" s="566" t="s">
        <v>148</v>
      </c>
      <c r="F24" s="566"/>
      <c r="G24" s="566"/>
      <c r="H24" s="566"/>
    </row>
    <row r="25" spans="3:8" ht="15" x14ac:dyDescent="0.2">
      <c r="C25" s="82"/>
      <c r="D25" s="73"/>
      <c r="E25" s="566"/>
      <c r="F25" s="566"/>
      <c r="G25" s="566"/>
      <c r="H25" s="566"/>
    </row>
    <row r="26" spans="3:8" ht="15" x14ac:dyDescent="0.2">
      <c r="C26" s="82"/>
      <c r="D26" s="73"/>
      <c r="E26" s="566"/>
      <c r="F26" s="566"/>
      <c r="G26" s="566"/>
      <c r="H26" s="566"/>
    </row>
    <row r="27" spans="3:8" ht="15" x14ac:dyDescent="0.2">
      <c r="C27" s="82"/>
      <c r="D27" s="73"/>
      <c r="E27" s="566"/>
      <c r="F27" s="566"/>
      <c r="G27" s="566"/>
      <c r="H27" s="566"/>
    </row>
    <row r="28" spans="3:8" ht="15" x14ac:dyDescent="0.2">
      <c r="C28" s="82"/>
      <c r="D28" s="73"/>
      <c r="E28" s="566"/>
      <c r="F28" s="566"/>
      <c r="G28" s="566"/>
      <c r="H28" s="566"/>
    </row>
    <row r="29" spans="3:8" ht="15" x14ac:dyDescent="0.2">
      <c r="C29" s="82"/>
      <c r="D29" s="73"/>
      <c r="E29" s="566"/>
      <c r="F29" s="566"/>
      <c r="G29" s="566"/>
      <c r="H29" s="566"/>
    </row>
    <row r="30" spans="3:8" ht="15" x14ac:dyDescent="0.2">
      <c r="C30" s="82"/>
      <c r="D30" s="73"/>
      <c r="E30" s="566"/>
      <c r="F30" s="566"/>
      <c r="G30" s="566"/>
      <c r="H30" s="566"/>
    </row>
    <row r="31" spans="3:8" ht="15" x14ac:dyDescent="0.2">
      <c r="C31" s="248" t="s">
        <v>371</v>
      </c>
      <c r="E31" s="566"/>
      <c r="F31" s="566"/>
      <c r="G31" s="566"/>
      <c r="H31" s="566"/>
    </row>
    <row r="32" spans="3:8" ht="15" x14ac:dyDescent="0.2">
      <c r="C32" s="82"/>
      <c r="D32" s="73"/>
      <c r="E32" s="566"/>
      <c r="F32" s="566"/>
      <c r="G32" s="566"/>
      <c r="H32" s="566"/>
    </row>
    <row r="33" spans="3:8" ht="15" x14ac:dyDescent="0.2">
      <c r="C33" s="82"/>
      <c r="D33" s="73"/>
      <c r="E33" s="566"/>
      <c r="F33" s="566"/>
      <c r="G33" s="566"/>
      <c r="H33" s="566"/>
    </row>
    <row r="34" spans="3:8" ht="15" x14ac:dyDescent="0.2">
      <c r="C34" s="82"/>
      <c r="D34" s="73"/>
      <c r="E34" s="566"/>
      <c r="F34" s="566"/>
      <c r="G34" s="566"/>
      <c r="H34" s="566"/>
    </row>
    <row r="35" spans="3:8" ht="15" x14ac:dyDescent="0.2">
      <c r="C35" s="82"/>
      <c r="D35" s="73"/>
      <c r="E35" s="566"/>
      <c r="F35" s="566"/>
      <c r="G35" s="566"/>
      <c r="H35" s="566"/>
    </row>
    <row r="36" spans="3:8" ht="15" x14ac:dyDescent="0.2">
      <c r="C36" s="73"/>
      <c r="D36" s="73"/>
      <c r="E36" s="566"/>
      <c r="F36" s="566"/>
      <c r="G36" s="566"/>
      <c r="H36" s="566"/>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ga50lOJpNH7TtvPDt0SsIMDvkNB0WWbT2Dh1ved7Ei6QYqJ4uNNBQdOlgOky1zyXd3OE3gvWA7gyq1GpNkvfqQ==" saltValue="t7OwnVJe2msxApo2MMt8E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7"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8" t="s">
        <v>116</v>
      </c>
      <c r="E1" s="588"/>
      <c r="F1" s="588"/>
      <c r="G1" s="588"/>
      <c r="H1" s="588"/>
      <c r="I1" s="588"/>
      <c r="J1" s="588"/>
      <c r="K1" s="588"/>
      <c r="L1" s="588"/>
      <c r="M1" s="588"/>
    </row>
    <row r="2" spans="1:18" ht="23.25" customHeight="1" x14ac:dyDescent="0.3">
      <c r="C2" s="230"/>
      <c r="D2" s="230" t="s">
        <v>319</v>
      </c>
      <c r="E2" s="230"/>
      <c r="F2" s="230"/>
      <c r="G2" s="230"/>
      <c r="H2" s="230"/>
      <c r="I2" s="230"/>
      <c r="J2" s="230"/>
      <c r="K2" s="230"/>
      <c r="L2" s="230"/>
      <c r="M2" s="230"/>
    </row>
    <row r="3" spans="1:18" ht="23.25" x14ac:dyDescent="0.35">
      <c r="C3" s="589"/>
      <c r="D3" s="589"/>
      <c r="E3" s="589"/>
      <c r="F3" s="589"/>
      <c r="G3" s="589"/>
      <c r="H3" s="589"/>
      <c r="I3" s="589"/>
      <c r="J3" s="589"/>
      <c r="K3" s="589"/>
      <c r="L3" s="589"/>
      <c r="M3" s="589"/>
    </row>
    <row r="4" spans="1:18" ht="23.25" x14ac:dyDescent="0.35">
      <c r="C4" s="214"/>
      <c r="D4" s="214"/>
      <c r="E4" s="214"/>
      <c r="F4" s="214"/>
      <c r="G4" s="214"/>
      <c r="H4" s="214"/>
      <c r="I4" s="214"/>
      <c r="J4" s="214"/>
      <c r="K4" s="214"/>
      <c r="L4" s="214"/>
      <c r="M4" s="214"/>
    </row>
    <row r="5" spans="1:18" ht="23.25" x14ac:dyDescent="0.35">
      <c r="C5" s="585" t="s">
        <v>6</v>
      </c>
      <c r="D5" s="585"/>
      <c r="E5" s="585"/>
      <c r="F5" s="585"/>
      <c r="G5" s="585"/>
      <c r="H5" s="585"/>
      <c r="I5" s="585"/>
      <c r="J5" s="585"/>
      <c r="K5" s="585"/>
      <c r="L5" s="585"/>
      <c r="M5" s="585"/>
    </row>
    <row r="6" spans="1:18" ht="23.25" x14ac:dyDescent="0.35">
      <c r="C6" s="215"/>
      <c r="D6" s="215"/>
      <c r="E6" s="605" t="str">
        <f>IFERROR(CONCATENATE("Report Number: ", WorkItemNumber),"")</f>
        <v/>
      </c>
      <c r="F6" s="605"/>
      <c r="G6" s="605"/>
      <c r="H6" s="605"/>
      <c r="I6" s="605"/>
      <c r="J6" s="605"/>
      <c r="K6" s="605"/>
      <c r="L6" s="215"/>
      <c r="M6" s="215"/>
    </row>
    <row r="7" spans="1:18" ht="18.75" customHeight="1" x14ac:dyDescent="0.3">
      <c r="G7" s="586"/>
      <c r="H7" s="586"/>
      <c r="I7" s="192"/>
      <c r="R7" t="str">
        <f>CONCATENATE("Page ",Main!L9," of ",Main!L10)</f>
        <v xml:space="preserve">Page  of </v>
      </c>
    </row>
    <row r="8" spans="1:18" ht="18" customHeight="1" x14ac:dyDescent="0.25">
      <c r="G8" s="598"/>
      <c r="H8" s="598"/>
      <c r="J8" s="79"/>
      <c r="K8" s="216" t="s">
        <v>316</v>
      </c>
      <c r="L8" s="609">
        <f>FormNumber</f>
        <v>0</v>
      </c>
      <c r="M8" s="609"/>
      <c r="N8" s="609"/>
      <c r="O8" s="609"/>
    </row>
    <row r="9" spans="1:18" ht="18" customHeight="1" x14ac:dyDescent="0.25">
      <c r="A9" s="216" t="s">
        <v>273</v>
      </c>
      <c r="B9" s="33" t="e">
        <f>Main!D5</f>
        <v>#N/A</v>
      </c>
      <c r="J9" s="79"/>
      <c r="K9" s="216" t="s">
        <v>317</v>
      </c>
      <c r="L9" s="600" t="str">
        <f>"JGI WP4100, "&amp;CalMethod</f>
        <v xml:space="preserve">JGI WP4100, </v>
      </c>
      <c r="M9" s="600"/>
      <c r="N9" s="600"/>
      <c r="O9" s="600"/>
    </row>
    <row r="10" spans="1:18" ht="18" customHeight="1" x14ac:dyDescent="0.25">
      <c r="A10" s="87"/>
      <c r="B10" s="211" t="str" cm="1">
        <f t="array" ref="B10">IFZERO('Customer Table'!R2,"")</f>
        <v/>
      </c>
      <c r="J10" s="79"/>
      <c r="K10" s="216"/>
      <c r="L10" s="600"/>
      <c r="M10" s="600"/>
      <c r="N10" s="600"/>
      <c r="O10" s="600"/>
    </row>
    <row r="11" spans="1:18" ht="18" customHeight="1" x14ac:dyDescent="0.25">
      <c r="A11" s="87"/>
      <c r="B11" s="211" t="str" cm="1">
        <f t="array" ref="B11">IFZERO('Customer Table'!S2,"")</f>
        <v/>
      </c>
      <c r="J11" s="79"/>
      <c r="K11" s="216" t="s">
        <v>318</v>
      </c>
      <c r="L11" s="609">
        <f>TolSource</f>
        <v>0</v>
      </c>
      <c r="M11" s="609"/>
      <c r="N11" s="609"/>
      <c r="O11" s="609"/>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f>Ranges</f>
        <v>0</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f>Tolerances</f>
        <v>0</v>
      </c>
      <c r="M15" s="216" t="s">
        <v>285</v>
      </c>
      <c r="N15" s="224">
        <f>Main!D3</f>
        <v>0</v>
      </c>
      <c r="O15" s="195"/>
    </row>
    <row r="16" spans="1:18" ht="18" customHeight="1" x14ac:dyDescent="0.25">
      <c r="A16" s="222" t="s">
        <v>276</v>
      </c>
      <c r="B16" s="601">
        <f>SerialNumber</f>
        <v>0</v>
      </c>
      <c r="C16" s="601"/>
      <c r="D16" s="601"/>
      <c r="E16" s="601"/>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92">
        <f>Class</f>
        <v>0</v>
      </c>
      <c r="C18" s="592"/>
      <c r="D18" s="592"/>
      <c r="E18" s="592"/>
      <c r="G18" s="216" t="s">
        <v>283</v>
      </c>
      <c r="H18" s="220">
        <f>CubicFeet</f>
        <v>0</v>
      </c>
      <c r="M18" s="216" t="s">
        <v>287</v>
      </c>
      <c r="N18" s="220" t="str">
        <f>Main!G18</f>
        <v>ACCEPTED</v>
      </c>
      <c r="O18" s="195"/>
    </row>
    <row r="19" spans="1:19" ht="18" customHeight="1" x14ac:dyDescent="0.25">
      <c r="A19" s="206"/>
      <c r="B19" s="593"/>
      <c r="C19" s="593"/>
      <c r="D19" s="593"/>
      <c r="E19" s="593"/>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602">
        <f>Controller</f>
        <v>0</v>
      </c>
      <c r="C21" s="602"/>
      <c r="D21" s="602"/>
      <c r="E21" s="602"/>
      <c r="F21" s="207" t="s">
        <v>290</v>
      </c>
      <c r="G21" s="602">
        <f>ContSN</f>
        <v>0</v>
      </c>
      <c r="H21" s="602"/>
      <c r="I21" s="602"/>
      <c r="J21" s="207" t="s">
        <v>291</v>
      </c>
      <c r="K21" s="219">
        <f>ContTol</f>
        <v>0</v>
      </c>
      <c r="L21" s="193"/>
      <c r="M21" s="207" t="s">
        <v>292</v>
      </c>
      <c r="N21" s="232" t="str">
        <f>Main!G27</f>
        <v/>
      </c>
      <c r="O21" s="194"/>
    </row>
    <row r="22" spans="1:19" ht="18" customHeight="1" x14ac:dyDescent="0.25">
      <c r="A22" s="225" t="s">
        <v>289</v>
      </c>
      <c r="B22" s="603">
        <f>_xlnm.Recorder</f>
        <v>0</v>
      </c>
      <c r="C22" s="603"/>
      <c r="D22" s="603"/>
      <c r="E22" s="603"/>
      <c r="F22" s="208" t="s">
        <v>290</v>
      </c>
      <c r="G22" s="603">
        <f>RecSN</f>
        <v>0</v>
      </c>
      <c r="H22" s="603"/>
      <c r="I22" s="603"/>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TEXT(Survey!M2,"0.0") &amp; Unit &amp; " / " &amp; TEXT(Survey!M3,"0.0")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k="&amp;IFERROR(ROUND(k,1),2)&amp;":"</f>
        <v>Uncertainty @ k=2:</v>
      </c>
      <c r="N26" s="211" t="e">
        <f>TEXT(Survey!I9,"0.0") &amp; Unit</f>
        <v>#NUM!</v>
      </c>
      <c r="O26" s="195"/>
    </row>
    <row r="27" spans="1:19" ht="18" customHeight="1" x14ac:dyDescent="0.2">
      <c r="A27" s="226"/>
      <c r="B27" s="196"/>
      <c r="C27" s="599" t="s">
        <v>301</v>
      </c>
      <c r="D27" s="599"/>
      <c r="E27" s="599"/>
      <c r="F27" s="599"/>
      <c r="G27" s="599"/>
      <c r="H27" s="599"/>
      <c r="I27" s="599"/>
      <c r="J27" s="599"/>
      <c r="K27" s="599"/>
      <c r="L27" s="599"/>
      <c r="M27" s="599"/>
      <c r="N27" s="196"/>
      <c r="O27" s="197"/>
    </row>
    <row r="28" spans="1:19" ht="8.1" customHeight="1" x14ac:dyDescent="0.2"/>
    <row r="29" spans="1:19" ht="18" customHeight="1" x14ac:dyDescent="0.2">
      <c r="A29" s="595" t="s">
        <v>271</v>
      </c>
      <c r="B29" s="596"/>
      <c r="C29" s="597"/>
      <c r="D29" s="595" t="s">
        <v>302</v>
      </c>
      <c r="E29" s="596"/>
      <c r="F29" s="596"/>
      <c r="G29" s="597"/>
      <c r="H29" s="595" t="s">
        <v>272</v>
      </c>
      <c r="I29" s="596"/>
      <c r="J29" s="596"/>
      <c r="K29" s="597"/>
      <c r="L29" s="595" t="s">
        <v>255</v>
      </c>
      <c r="M29" s="596"/>
      <c r="N29" s="596"/>
      <c r="O29" s="597"/>
    </row>
    <row r="30" spans="1:19" ht="18" customHeight="1" x14ac:dyDescent="0.2">
      <c r="A30" s="212"/>
      <c r="B30" s="202" t="s">
        <v>960</v>
      </c>
      <c r="C30" s="213"/>
      <c r="D30" s="578" t="str">
        <f>CONCATENATE(Main!D22,Unit," / ",Main!D23,"% RH")</f>
        <v>°F / % RH</v>
      </c>
      <c r="E30" s="579"/>
      <c r="F30" s="579"/>
      <c r="G30" s="580"/>
      <c r="H30" s="578">
        <f>OvenLocation</f>
        <v>0</v>
      </c>
      <c r="I30" s="579"/>
      <c r="J30" s="579"/>
      <c r="K30" s="580"/>
      <c r="L30" s="578">
        <f>Condition</f>
        <v>0</v>
      </c>
      <c r="M30" s="579"/>
      <c r="N30" s="579"/>
      <c r="O30" s="580"/>
    </row>
    <row r="31" spans="1:19" ht="18" customHeight="1" x14ac:dyDescent="0.2"/>
    <row r="32" spans="1:19" ht="18" customHeight="1" x14ac:dyDescent="0.25">
      <c r="A32" s="235" t="s">
        <v>303</v>
      </c>
      <c r="B32" s="587" t="s">
        <v>304</v>
      </c>
      <c r="C32" s="587"/>
      <c r="D32" s="235" t="s">
        <v>267</v>
      </c>
      <c r="E32" s="235" t="s">
        <v>266</v>
      </c>
      <c r="F32" s="235" t="s">
        <v>305</v>
      </c>
      <c r="G32" s="79"/>
      <c r="H32" s="79"/>
      <c r="I32" s="235" t="s">
        <v>303</v>
      </c>
      <c r="J32" s="587" t="s">
        <v>304</v>
      </c>
      <c r="K32" s="587"/>
      <c r="L32" s="235" t="s">
        <v>267</v>
      </c>
      <c r="M32" s="235" t="s">
        <v>266</v>
      </c>
      <c r="N32" s="235" t="s">
        <v>305</v>
      </c>
    </row>
    <row r="33" spans="1:14" ht="18" customHeight="1" x14ac:dyDescent="0.2">
      <c r="A33" s="236" t="str">
        <f>IF(B33="","",1)</f>
        <v/>
      </c>
      <c r="B33" s="586" t="str">
        <f>IF(Main!O5="","",Main!O5)</f>
        <v/>
      </c>
      <c r="C33" s="586"/>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86" t="str">
        <f>IF(Main!O25="","",Main!O25)</f>
        <v/>
      </c>
      <c r="K33" s="586"/>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86" t="str">
        <f>IF(Main!O6="","",Main!O6)</f>
        <v/>
      </c>
      <c r="C34" s="586"/>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86" t="str">
        <f>IF(Main!O26="","",Main!O26)</f>
        <v/>
      </c>
      <c r="K34" s="586"/>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86" t="str">
        <f>IF(Main!O7="","",Main!O7)</f>
        <v/>
      </c>
      <c r="C35" s="586"/>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86" t="str">
        <f>IF(Main!O27="","",Main!O27)</f>
        <v/>
      </c>
      <c r="K35" s="586"/>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86" t="str">
        <f>IF(Main!O8="","",Main!O8)</f>
        <v/>
      </c>
      <c r="C36" s="586"/>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86" t="str">
        <f>IF(Main!O28="","",Main!O28)</f>
        <v/>
      </c>
      <c r="K36" s="586"/>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86" t="str">
        <f>IF(Main!O9="","",Main!O9)</f>
        <v/>
      </c>
      <c r="C37" s="586"/>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86" t="str">
        <f>IF(Main!O29="","",Main!O29)</f>
        <v/>
      </c>
      <c r="K37" s="586"/>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86" t="str">
        <f>IF(Main!O10="","",Main!O10)</f>
        <v/>
      </c>
      <c r="C38" s="586"/>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86" t="str">
        <f>IF(Main!O30="","",Main!O30)</f>
        <v/>
      </c>
      <c r="K38" s="586"/>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86" t="str">
        <f>IF(Main!O11="","",Main!O11)</f>
        <v/>
      </c>
      <c r="C39" s="586"/>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86" t="str">
        <f>IF(Main!O31="","",Main!O31)</f>
        <v/>
      </c>
      <c r="K39" s="586"/>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86" t="str">
        <f>IF(Main!O12="","",Main!O12)</f>
        <v/>
      </c>
      <c r="C40" s="586"/>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86" t="str">
        <f>IF(Main!O32="","",Main!O32)</f>
        <v/>
      </c>
      <c r="K40" s="586"/>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86" t="str">
        <f>IF(Main!O13="","",Main!O13)</f>
        <v/>
      </c>
      <c r="C41" s="586"/>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86" t="str">
        <f>IF(Main!O33="","",Main!O33)</f>
        <v/>
      </c>
      <c r="K41" s="586"/>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86" t="str">
        <f>IF(Main!O14="","",Main!O14)</f>
        <v/>
      </c>
      <c r="C42" s="586"/>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86" t="str">
        <f>IF(Main!O34="","",Main!O34)</f>
        <v/>
      </c>
      <c r="K42" s="586"/>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86" t="str">
        <f>IF(Main!O15="","",Main!O15)</f>
        <v/>
      </c>
      <c r="C43" s="586"/>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86" t="str">
        <f>IF(Main!O35="","",Main!O35)</f>
        <v/>
      </c>
      <c r="K43" s="586"/>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86" t="str">
        <f>IF(Main!O16="","",Main!O16)</f>
        <v/>
      </c>
      <c r="C44" s="586"/>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86" t="str">
        <f>IF(Main!O36="","",Main!O36)</f>
        <v/>
      </c>
      <c r="K44" s="586"/>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86" t="str">
        <f>IF(Main!O17="","",Main!O17)</f>
        <v/>
      </c>
      <c r="C45" s="586"/>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86" t="str">
        <f>IF(Main!O37="","",Main!O37)</f>
        <v/>
      </c>
      <c r="K45" s="586"/>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86" t="str">
        <f>IF(Main!O18="","",Main!O18)</f>
        <v/>
      </c>
      <c r="C46" s="586"/>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86" t="str">
        <f>IF(Main!O38="","",Main!O38)</f>
        <v/>
      </c>
      <c r="K46" s="586"/>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86" t="str">
        <f>IF(Main!O19="","",Main!O19)</f>
        <v/>
      </c>
      <c r="C47" s="586"/>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86" t="str">
        <f>IF(Main!O39="","",Main!O39)</f>
        <v/>
      </c>
      <c r="K47" s="586"/>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86" t="str">
        <f>IF(Main!O20="","",Main!O20)</f>
        <v/>
      </c>
      <c r="C48" s="586"/>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86" t="str">
        <f>IF(Main!O40="","",Main!O40)</f>
        <v/>
      </c>
      <c r="K48" s="586"/>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86" t="str">
        <f>IF(Main!O21="","",Main!O21)</f>
        <v/>
      </c>
      <c r="C49" s="586"/>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86" t="str">
        <f>IF(Main!O41="","",Main!O41)</f>
        <v/>
      </c>
      <c r="K49" s="586"/>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86" t="str">
        <f>IF(Main!O22="","",Main!O22)</f>
        <v/>
      </c>
      <c r="C50" s="586"/>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86" t="str">
        <f>IF(Main!O42="","",Main!O42)</f>
        <v/>
      </c>
      <c r="K50" s="586"/>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6" t="str">
        <f>IF(Main!O23="","",Main!O23)</f>
        <v/>
      </c>
      <c r="C51" s="586"/>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6" t="str">
        <f>IF(Main!O43="","",Main!O43)</f>
        <v/>
      </c>
      <c r="K51" s="586"/>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6" t="str">
        <f>IF(Main!O24="","",Main!O24)</f>
        <v/>
      </c>
      <c r="C52" s="586"/>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6" t="str">
        <f>IF(Main!O44="","",Main!O44)</f>
        <v/>
      </c>
      <c r="K52" s="586"/>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91" t="s">
        <v>306</v>
      </c>
      <c r="C53" s="591"/>
      <c r="D53" s="591"/>
      <c r="E53" s="591"/>
      <c r="F53" s="591"/>
      <c r="G53" s="591"/>
      <c r="H53" s="591"/>
      <c r="I53" s="591"/>
      <c r="J53" s="591"/>
      <c r="K53" s="591"/>
      <c r="L53" s="591"/>
      <c r="M53" s="591"/>
      <c r="N53" s="591"/>
    </row>
    <row r="54" spans="1:21" ht="18" customHeight="1" x14ac:dyDescent="0.25">
      <c r="A54" s="238" t="s">
        <v>307</v>
      </c>
      <c r="B54" s="600" t="str">
        <f>CONCATENATE(Main!G23,"  ",FurnaceSpecificComments,Main!V24)</f>
        <v xml:space="preserve">Found in tolerance.  No adjustment required.  </v>
      </c>
      <c r="C54" s="600"/>
      <c r="D54" s="600"/>
      <c r="E54" s="600"/>
      <c r="F54" s="600"/>
      <c r="G54" s="600"/>
      <c r="H54" s="600"/>
      <c r="I54" s="600"/>
      <c r="J54" s="600"/>
      <c r="K54" s="600"/>
      <c r="L54" s="600"/>
      <c r="M54" s="600"/>
      <c r="N54" s="600"/>
      <c r="O54" s="600"/>
    </row>
    <row r="55" spans="1:21" ht="18" customHeight="1" x14ac:dyDescent="0.25">
      <c r="A55" s="76"/>
      <c r="B55" s="600"/>
      <c r="C55" s="600"/>
      <c r="D55" s="600"/>
      <c r="E55" s="600"/>
      <c r="F55" s="600"/>
      <c r="G55" s="600"/>
      <c r="H55" s="600"/>
      <c r="I55" s="600"/>
      <c r="J55" s="600"/>
      <c r="K55" s="600"/>
      <c r="L55" s="600"/>
      <c r="M55" s="600"/>
      <c r="N55" s="600"/>
      <c r="O55" s="600"/>
    </row>
    <row r="56" spans="1:21" ht="18" customHeight="1" x14ac:dyDescent="0.25">
      <c r="A56" s="76"/>
      <c r="B56" s="600"/>
      <c r="C56" s="600"/>
      <c r="D56" s="600"/>
      <c r="E56" s="600"/>
      <c r="F56" s="600"/>
      <c r="G56" s="600"/>
      <c r="H56" s="600"/>
      <c r="I56" s="600"/>
      <c r="J56" s="600"/>
      <c r="K56" s="600"/>
      <c r="L56" s="600"/>
      <c r="M56" s="600"/>
      <c r="N56" s="600"/>
      <c r="O56" s="600"/>
    </row>
    <row r="57" spans="1:21" ht="18" customHeight="1" x14ac:dyDescent="0.25">
      <c r="A57" s="76"/>
      <c r="B57" s="600"/>
      <c r="C57" s="600"/>
      <c r="D57" s="600"/>
      <c r="E57" s="600"/>
      <c r="F57" s="600"/>
      <c r="G57" s="600"/>
      <c r="H57" s="600"/>
      <c r="I57" s="600"/>
      <c r="J57" s="600"/>
      <c r="K57" s="600"/>
      <c r="L57" s="600"/>
      <c r="M57" s="600"/>
      <c r="N57" s="600"/>
      <c r="O57" s="600"/>
    </row>
    <row r="58" spans="1:21" ht="18" customHeight="1" x14ac:dyDescent="0.25">
      <c r="A58" s="76"/>
      <c r="B58" s="600"/>
      <c r="C58" s="600"/>
      <c r="D58" s="600"/>
      <c r="E58" s="600"/>
      <c r="F58" s="600"/>
      <c r="G58" s="600"/>
      <c r="H58" s="600"/>
      <c r="I58" s="600"/>
      <c r="J58" s="600"/>
      <c r="K58" s="600"/>
      <c r="L58" s="600"/>
      <c r="M58" s="600"/>
      <c r="N58" s="600"/>
      <c r="O58" s="600"/>
    </row>
    <row r="59" spans="1:21" ht="18" customHeight="1" x14ac:dyDescent="0.25">
      <c r="A59" s="76"/>
      <c r="B59" s="600"/>
      <c r="C59" s="600"/>
      <c r="D59" s="600"/>
      <c r="E59" s="600"/>
      <c r="F59" s="600"/>
      <c r="G59" s="600"/>
      <c r="H59" s="600"/>
      <c r="I59" s="600"/>
      <c r="J59" s="600"/>
      <c r="K59" s="600"/>
      <c r="L59" s="600"/>
      <c r="M59" s="600"/>
      <c r="N59" s="600"/>
      <c r="O59" s="600"/>
    </row>
    <row r="60" spans="1:21" ht="18" customHeight="1" x14ac:dyDescent="0.2">
      <c r="A60" s="590" t="s">
        <v>315</v>
      </c>
      <c r="B60" s="590"/>
      <c r="C60" s="590"/>
      <c r="D60" s="590"/>
      <c r="E60" s="590"/>
      <c r="F60" s="590"/>
      <c r="G60" s="590"/>
      <c r="H60" s="590"/>
      <c r="I60" s="590"/>
      <c r="J60" s="590"/>
      <c r="K60" s="590"/>
      <c r="L60" s="590"/>
      <c r="M60" s="590"/>
      <c r="N60" s="590"/>
      <c r="O60" s="590"/>
    </row>
    <row r="61" spans="1:21" ht="18" customHeight="1" x14ac:dyDescent="0.2">
      <c r="A61" s="594" t="s">
        <v>308</v>
      </c>
      <c r="B61" s="594"/>
      <c r="C61" s="594"/>
      <c r="D61" s="594"/>
      <c r="E61" s="594"/>
      <c r="F61" s="608" t="s">
        <v>309</v>
      </c>
      <c r="G61" s="608"/>
      <c r="H61" s="608"/>
      <c r="I61" s="608" t="s">
        <v>310</v>
      </c>
      <c r="J61" s="608"/>
      <c r="K61" s="608" t="s">
        <v>311</v>
      </c>
      <c r="L61" s="608"/>
      <c r="M61" s="608" t="s">
        <v>312</v>
      </c>
      <c r="N61" s="608"/>
      <c r="O61" s="608"/>
      <c r="R61" s="37" t="s">
        <v>852</v>
      </c>
      <c r="T61" s="37" t="s">
        <v>853</v>
      </c>
      <c r="U61" s="37" t="s">
        <v>68</v>
      </c>
    </row>
    <row r="62" spans="1:21" ht="18" customHeight="1" x14ac:dyDescent="0.2">
      <c r="A62" s="575" t="str">
        <f>IF(F62="","",CONCATENATE(T62," - ",R62))</f>
        <v/>
      </c>
      <c r="B62" s="576"/>
      <c r="C62" s="576"/>
      <c r="D62" s="576"/>
      <c r="E62" s="577"/>
      <c r="F62" s="575" t="str" cm="1">
        <f t="array" ref="F62">IFERROR(
  _xlfn.XLOOKUP(
    Main!D9,
    _xlfn._xlws.FILTER(AssetPool[AssetTag], AssetPool[RootCategoryName]= "DAQ Modules"),
    _xlfn._xlws.FILTER(AssetPool[SerialNumber], AssetPool[RootCategoryName]= "DAQ Modules")
  ),
  ""
)</f>
        <v/>
      </c>
      <c r="G62" s="576"/>
      <c r="H62" s="577"/>
      <c r="I62" s="606" t="str">
        <f>IF(F62="","",Main!D12)</f>
        <v/>
      </c>
      <c r="J62" s="607"/>
      <c r="K62" s="606" t="str">
        <f>IF(F62="","",Main!D13)</f>
        <v/>
      </c>
      <c r="L62" s="607"/>
      <c r="M62" s="572" t="str">
        <f>IF(F62="","",Main!D14)</f>
        <v/>
      </c>
      <c r="N62" s="573"/>
      <c r="O62" s="574"/>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9" t="str">
        <f>IF(Q63="","",CONCATENATE("Type """,U63,""" Thermocouple"))</f>
        <v/>
      </c>
      <c r="B63" s="570"/>
      <c r="C63" s="570"/>
      <c r="D63" s="570"/>
      <c r="E63" s="571"/>
      <c r="F63" s="569" t="str">
        <f>IF(Main!D48="","",Main!D48)</f>
        <v/>
      </c>
      <c r="G63" s="570"/>
      <c r="H63" s="571"/>
      <c r="I63" s="583" t="str">
        <f>IF(Q63="","",Main!D49)</f>
        <v/>
      </c>
      <c r="J63" s="584"/>
      <c r="K63" s="583" t="str">
        <f>IF(Q63="","",Main!D50)</f>
        <v/>
      </c>
      <c r="L63" s="584"/>
      <c r="M63" s="569" t="str">
        <f>IF(Q63="","",Main!D54)</f>
        <v/>
      </c>
      <c r="N63" s="570"/>
      <c r="O63" s="57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9" t="str">
        <f t="shared" ref="A64:A69" si="0">IF(Q64="","",CONCATENATE("Type """,U64,""" Thermocouple"))</f>
        <v/>
      </c>
      <c r="B64" s="570"/>
      <c r="C64" s="570"/>
      <c r="D64" s="570"/>
      <c r="E64" s="571"/>
      <c r="F64" s="569" t="str">
        <f>IF(Main!E48="","",Main!E48)</f>
        <v/>
      </c>
      <c r="G64" s="570"/>
      <c r="H64" s="571"/>
      <c r="I64" s="583" t="str">
        <f>IF(Q64="","",Main!E49)</f>
        <v/>
      </c>
      <c r="J64" s="584"/>
      <c r="K64" s="583" t="str">
        <f>IF(Q64="","",Main!E50)</f>
        <v/>
      </c>
      <c r="L64" s="584"/>
      <c r="M64" s="569" t="str">
        <f>IF(Q64="","",Main!E54)</f>
        <v/>
      </c>
      <c r="N64" s="570"/>
      <c r="O64" s="57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9" t="str">
        <f t="shared" si="0"/>
        <v/>
      </c>
      <c r="B65" s="570"/>
      <c r="C65" s="570"/>
      <c r="D65" s="570"/>
      <c r="E65" s="571"/>
      <c r="F65" s="569" t="str">
        <f>IF(Main!F48="","",Main!F48)</f>
        <v/>
      </c>
      <c r="G65" s="570"/>
      <c r="H65" s="571"/>
      <c r="I65" s="583" t="str">
        <f>IF(Q65="","",Main!F49)</f>
        <v/>
      </c>
      <c r="J65" s="584"/>
      <c r="K65" s="583" t="str">
        <f>IF(Q65="","",Main!F50)</f>
        <v/>
      </c>
      <c r="L65" s="584"/>
      <c r="M65" s="569" t="str">
        <f>IF(Q65="","",Main!F54)</f>
        <v/>
      </c>
      <c r="N65" s="570"/>
      <c r="O65" s="57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9" t="str">
        <f t="shared" si="0"/>
        <v/>
      </c>
      <c r="B66" s="570"/>
      <c r="C66" s="570"/>
      <c r="D66" s="570"/>
      <c r="E66" s="571"/>
      <c r="F66" s="569" t="str">
        <f>IF(Main!G48="","",Main!G48)</f>
        <v/>
      </c>
      <c r="G66" s="570"/>
      <c r="H66" s="571"/>
      <c r="I66" s="583" t="str">
        <f>IF(Q66="","",Main!G49)</f>
        <v/>
      </c>
      <c r="J66" s="584"/>
      <c r="K66" s="583" t="str">
        <f>IF(Q66="","",Main!G50)</f>
        <v/>
      </c>
      <c r="L66" s="584"/>
      <c r="M66" s="569" t="str">
        <f>IF(Q66="","",Main!G54)</f>
        <v/>
      </c>
      <c r="N66" s="570"/>
      <c r="O66" s="57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9" t="str">
        <f t="shared" si="0"/>
        <v/>
      </c>
      <c r="B67" s="570"/>
      <c r="C67" s="570"/>
      <c r="D67" s="570"/>
      <c r="E67" s="571"/>
      <c r="F67" s="569" t="str">
        <f>IF(Main!H48="","",Main!H48)</f>
        <v/>
      </c>
      <c r="G67" s="570"/>
      <c r="H67" s="571"/>
      <c r="I67" s="583" t="str">
        <f>IF(Q67="","",Main!H49)</f>
        <v/>
      </c>
      <c r="J67" s="584"/>
      <c r="K67" s="583" t="str">
        <f>IF(Q67="","",Main!H50)</f>
        <v/>
      </c>
      <c r="L67" s="584"/>
      <c r="M67" s="569" t="str">
        <f>IF(Q67="","",Main!H54)</f>
        <v/>
      </c>
      <c r="N67" s="570"/>
      <c r="O67" s="57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9" t="str">
        <f t="shared" si="0"/>
        <v/>
      </c>
      <c r="B68" s="570"/>
      <c r="C68" s="570"/>
      <c r="D68" s="570"/>
      <c r="E68" s="571"/>
      <c r="F68" s="569" t="str">
        <f>IF(Main!I48="","",Main!I48)</f>
        <v/>
      </c>
      <c r="G68" s="570"/>
      <c r="H68" s="571"/>
      <c r="I68" s="583" t="str">
        <f>IF(Q68="","",Main!I49)</f>
        <v/>
      </c>
      <c r="J68" s="584"/>
      <c r="K68" s="583" t="str">
        <f>IF(Q68="","",Main!I50)</f>
        <v/>
      </c>
      <c r="L68" s="584"/>
      <c r="M68" s="569" t="str">
        <f>IF(Q68="","",Main!I54)</f>
        <v/>
      </c>
      <c r="N68" s="570"/>
      <c r="O68" s="57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9" t="str">
        <f t="shared" si="0"/>
        <v/>
      </c>
      <c r="B69" s="570"/>
      <c r="C69" s="570"/>
      <c r="D69" s="570"/>
      <c r="E69" s="571"/>
      <c r="F69" s="578" t="str">
        <f>IF(Main!J48="","",Main!J48)</f>
        <v/>
      </c>
      <c r="G69" s="579"/>
      <c r="H69" s="580"/>
      <c r="I69" s="581" t="str">
        <f>IF(Q69="","",Main!J49)</f>
        <v/>
      </c>
      <c r="J69" s="582"/>
      <c r="K69" s="581" t="str">
        <f>IF(Q69="","",Main!J50)</f>
        <v/>
      </c>
      <c r="L69" s="582"/>
      <c r="M69" s="578" t="str">
        <f>IF(Q69="","",Main!J54)</f>
        <v/>
      </c>
      <c r="N69" s="579"/>
      <c r="O69" s="58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604" t="s">
        <v>964</v>
      </c>
      <c r="B71" s="604"/>
      <c r="C71" s="604"/>
      <c r="D71" s="604"/>
      <c r="E71" s="604"/>
      <c r="F71" s="604"/>
      <c r="G71" s="604"/>
      <c r="H71" s="604"/>
      <c r="I71" s="604"/>
      <c r="J71" s="604"/>
      <c r="K71" s="604"/>
      <c r="L71" s="604"/>
      <c r="M71" s="604"/>
      <c r="N71" s="604"/>
      <c r="O71" s="604"/>
    </row>
    <row r="72" spans="1:21" ht="18" customHeight="1" x14ac:dyDescent="0.2">
      <c r="A72" s="604"/>
      <c r="B72" s="604"/>
      <c r="C72" s="604"/>
      <c r="D72" s="604"/>
      <c r="E72" s="604"/>
      <c r="F72" s="604"/>
      <c r="G72" s="604"/>
      <c r="H72" s="604"/>
      <c r="I72" s="604"/>
      <c r="J72" s="604"/>
      <c r="K72" s="604"/>
      <c r="L72" s="604"/>
      <c r="M72" s="604"/>
      <c r="N72" s="604"/>
      <c r="O72" s="604"/>
    </row>
    <row r="73" spans="1:21" ht="18" customHeight="1" x14ac:dyDescent="0.2">
      <c r="A73" s="604"/>
      <c r="B73" s="604"/>
      <c r="C73" s="604"/>
      <c r="D73" s="604"/>
      <c r="E73" s="604"/>
      <c r="F73" s="604"/>
      <c r="G73" s="604"/>
      <c r="H73" s="604"/>
      <c r="I73" s="604"/>
      <c r="J73" s="604"/>
      <c r="K73" s="604"/>
      <c r="L73" s="604"/>
      <c r="M73" s="604"/>
      <c r="N73" s="604"/>
      <c r="O73" s="604"/>
    </row>
    <row r="74" spans="1:21" ht="18" customHeight="1" x14ac:dyDescent="0.2">
      <c r="A74" s="604"/>
      <c r="B74" s="604"/>
      <c r="C74" s="604"/>
      <c r="D74" s="604"/>
      <c r="E74" s="604"/>
      <c r="F74" s="604"/>
      <c r="G74" s="604"/>
      <c r="H74" s="604"/>
      <c r="I74" s="604"/>
      <c r="J74" s="604"/>
      <c r="K74" s="604"/>
      <c r="L74" s="604"/>
      <c r="M74" s="604"/>
      <c r="N74" s="604"/>
      <c r="O74" s="60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2TIGPa2esIBIRvFuNAFUhKn6b8Cp/t9UVBggUY0k0OT18W4jAhqO/5ISIUQFLQkwebI2P1oTu9zN+uHiMyNQJQ==" saltValue="8U7ZkM4c3KQwvEKzlT4Ph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24" sqref="G24"/>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13" t="s">
        <v>103</v>
      </c>
      <c r="N2" s="613"/>
      <c r="O2" s="613"/>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14" t="s">
        <v>104</v>
      </c>
      <c r="N3" s="615"/>
      <c r="O3" s="616"/>
      <c r="P3" s="103"/>
      <c r="Q3" s="103"/>
    </row>
    <row r="4" spans="1:18" ht="15" x14ac:dyDescent="0.25">
      <c r="B4" s="113" t="s">
        <v>25</v>
      </c>
      <c r="C4" s="60"/>
      <c r="D4" s="37"/>
      <c r="E4" s="37"/>
      <c r="F4" s="37"/>
      <c r="G4" s="37"/>
      <c r="H4" s="37"/>
      <c r="I4" s="37"/>
      <c r="J4" s="37"/>
      <c r="K4" s="37"/>
      <c r="L4" s="37"/>
      <c r="M4" s="617" t="s">
        <v>144</v>
      </c>
      <c r="N4" s="618"/>
      <c r="O4" s="619"/>
      <c r="P4" s="85"/>
    </row>
    <row r="5" spans="1:18" x14ac:dyDescent="0.2">
      <c r="B5" s="114" t="s">
        <v>26</v>
      </c>
      <c r="C5" s="54">
        <f>Main!D3</f>
        <v>0</v>
      </c>
      <c r="D5" s="37"/>
      <c r="E5" s="37"/>
      <c r="F5" s="37"/>
      <c r="G5" s="37"/>
      <c r="H5" s="37"/>
      <c r="I5" s="52" t="s">
        <v>4</v>
      </c>
      <c r="J5" s="37" t="e">
        <f>Main!D5</f>
        <v>#N/A</v>
      </c>
      <c r="L5" s="37"/>
      <c r="M5" s="620" t="s">
        <v>143</v>
      </c>
      <c r="N5" s="621"/>
      <c r="O5" s="622"/>
      <c r="P5" s="129"/>
    </row>
    <row r="6" spans="1:18" ht="13.5" thickBot="1" x14ac:dyDescent="0.25">
      <c r="B6" s="114" t="s">
        <v>3</v>
      </c>
      <c r="C6" s="55" t="e">
        <f>Main!D6</f>
        <v>#N/A</v>
      </c>
      <c r="D6" s="37"/>
      <c r="E6" s="37"/>
      <c r="F6" s="37"/>
      <c r="G6" s="37"/>
      <c r="H6" s="37"/>
      <c r="I6" s="52" t="s">
        <v>5</v>
      </c>
      <c r="J6" s="51">
        <f>Main!D16</f>
        <v>0</v>
      </c>
      <c r="L6" s="37"/>
      <c r="M6" s="623" t="str">
        <f>IF(MaxMode,"","In 1/2 Tolerance")</f>
        <v>In 1/2 Tolerance</v>
      </c>
      <c r="N6" s="624"/>
      <c r="O6" s="625"/>
      <c r="P6" s="86"/>
    </row>
    <row r="7" spans="1:18" ht="13.5" thickBot="1" x14ac:dyDescent="0.25">
      <c r="B7" s="114" t="s">
        <v>27</v>
      </c>
      <c r="C7" s="55" t="str">
        <f>Main!D7</f>
        <v>Jeff Hall</v>
      </c>
      <c r="D7" s="37"/>
      <c r="E7" s="37"/>
      <c r="F7" s="37"/>
      <c r="G7" s="37"/>
      <c r="H7" s="37"/>
      <c r="I7" s="57" t="s">
        <v>165</v>
      </c>
      <c r="J7" s="611">
        <f>Main!$D$30</f>
        <v>0</v>
      </c>
      <c r="K7" s="612"/>
      <c r="L7" s="100"/>
      <c r="M7" s="610" t="s">
        <v>142</v>
      </c>
      <c r="N7" s="610"/>
      <c r="O7" s="610"/>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9" customFormat="1" x14ac:dyDescent="0.2">
      <c r="A12" s="428"/>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p5AmR5MtFEMQ2YAtJFBQIgP4TFXYfluNKad4ybLva4YcqVTrVjfurn0Whd1EJoTaWQuvwPIXLsP3CMR6K8lClA==" saltValue="hZzuDpgU22AFxFgLLldwW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6" t="s">
        <v>103</v>
      </c>
      <c r="N2" s="626"/>
      <c r="O2" s="626"/>
      <c r="P2" s="294" t="str">
        <f>IF(Main!$E$30="","A10",ADDRESS(13+Standards_Info!W2+(MATCH(Main!$E$30,Data_Sheet!$A$14:$A$903,0)),1,4))</f>
        <v>A10</v>
      </c>
      <c r="Q2" s="294">
        <f>VALUE(MID(P2, 2, LEN(P2)-1))</f>
        <v>10</v>
      </c>
    </row>
    <row r="3" spans="1:17" ht="15" x14ac:dyDescent="0.25">
      <c r="B3" s="126" t="s">
        <v>0</v>
      </c>
      <c r="C3" s="3"/>
      <c r="M3" s="614" t="s">
        <v>104</v>
      </c>
      <c r="N3" s="615"/>
      <c r="O3" s="616"/>
      <c r="P3" s="40"/>
    </row>
    <row r="4" spans="1:17" ht="15" x14ac:dyDescent="0.25">
      <c r="B4" s="113" t="s">
        <v>25</v>
      </c>
      <c r="C4" s="4"/>
      <c r="M4" s="617" t="s">
        <v>144</v>
      </c>
      <c r="N4" s="618"/>
      <c r="O4" s="619"/>
    </row>
    <row r="5" spans="1:17" x14ac:dyDescent="0.2">
      <c r="B5" s="114" t="s">
        <v>26</v>
      </c>
      <c r="C5" s="54">
        <f>Main!D3</f>
        <v>0</v>
      </c>
      <c r="D5" s="37"/>
      <c r="E5" s="37"/>
      <c r="F5" s="37"/>
      <c r="G5" s="37"/>
      <c r="H5" s="37"/>
      <c r="I5" s="52" t="s">
        <v>4</v>
      </c>
      <c r="J5" t="e">
        <f>Main!D5</f>
        <v>#N/A</v>
      </c>
      <c r="M5" s="627" t="s">
        <v>143</v>
      </c>
      <c r="N5" s="628"/>
      <c r="O5" s="629"/>
    </row>
    <row r="6" spans="1:17" ht="13.5" thickBot="1" x14ac:dyDescent="0.25">
      <c r="B6" s="114" t="s">
        <v>3</v>
      </c>
      <c r="C6" s="55" t="e">
        <f>Main!D6</f>
        <v>#N/A</v>
      </c>
      <c r="D6" s="37"/>
      <c r="E6" s="37"/>
      <c r="F6" s="37"/>
      <c r="G6" s="37"/>
      <c r="H6" s="37"/>
      <c r="I6" s="52" t="s">
        <v>5</v>
      </c>
      <c r="J6" s="39">
        <f>Main!D16</f>
        <v>0</v>
      </c>
      <c r="M6" s="623" t="str">
        <f>IF(MaxMode,"","In 1/2 Tolerance")</f>
        <v>In 1/2 Tolerance</v>
      </c>
      <c r="N6" s="624"/>
      <c r="O6" s="625"/>
    </row>
    <row r="7" spans="1:17" ht="13.5" thickBot="1" x14ac:dyDescent="0.25">
      <c r="B7" s="114" t="s">
        <v>27</v>
      </c>
      <c r="C7" s="55" t="str">
        <f>Main!D7</f>
        <v>Jeff Hall</v>
      </c>
      <c r="D7" s="37"/>
      <c r="E7" s="37"/>
      <c r="F7" s="37"/>
      <c r="G7" s="37"/>
      <c r="H7" s="37"/>
      <c r="I7" s="57" t="s">
        <v>165</v>
      </c>
      <c r="J7" s="611">
        <f>Main!$D$30</f>
        <v>0</v>
      </c>
      <c r="K7" s="612"/>
      <c r="L7" s="100"/>
      <c r="M7" s="610" t="s">
        <v>142</v>
      </c>
      <c r="N7" s="610"/>
      <c r="O7" s="610"/>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31" customFormat="1" x14ac:dyDescent="0.2">
      <c r="A12" s="430"/>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9MxUlY4+Lp1wuIB+JWuZC2cksAy6ScaS6RP6jbrEcLlZ/XmjfpcYn1dCBPwFcLlkXFPpOIBz6CqZhf/AprPfnw==" saltValue="YhcENN9e7QV+ESCuk1e79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6" t="s">
        <v>103</v>
      </c>
      <c r="N2" s="626"/>
      <c r="O2" s="626"/>
      <c r="P2" s="294" t="str">
        <f>IF(Main!$E$30="","A10",ADDRESS(13+Standards_Info!W2+(MATCH(Main!$E$30,Data_Sheet!$A$14:$A$903,0)),1,4))</f>
        <v>A10</v>
      </c>
      <c r="Q2" s="294">
        <f>VALUE(MID(P2, 2, LEN(P2)-1))</f>
        <v>10</v>
      </c>
    </row>
    <row r="3" spans="1:17" ht="15" x14ac:dyDescent="0.25">
      <c r="B3" s="126" t="s">
        <v>0</v>
      </c>
      <c r="C3" s="3"/>
      <c r="M3" s="614" t="s">
        <v>104</v>
      </c>
      <c r="N3" s="615"/>
      <c r="O3" s="616"/>
      <c r="P3" s="40"/>
    </row>
    <row r="4" spans="1:17" ht="15" x14ac:dyDescent="0.25">
      <c r="B4" s="113" t="s">
        <v>25</v>
      </c>
      <c r="C4" s="4"/>
      <c r="M4" s="617" t="s">
        <v>144</v>
      </c>
      <c r="N4" s="618"/>
      <c r="O4" s="619"/>
    </row>
    <row r="5" spans="1:17" x14ac:dyDescent="0.2">
      <c r="B5" s="114" t="s">
        <v>26</v>
      </c>
      <c r="C5" s="54">
        <f>Main!D3</f>
        <v>0</v>
      </c>
      <c r="D5" s="37"/>
      <c r="E5" s="37"/>
      <c r="F5" s="37"/>
      <c r="G5" s="37"/>
      <c r="H5" s="37"/>
      <c r="I5" s="52" t="s">
        <v>4</v>
      </c>
      <c r="J5" s="37" t="e">
        <f>Main!D5</f>
        <v>#N/A</v>
      </c>
      <c r="L5" s="37"/>
      <c r="M5" s="620" t="s">
        <v>143</v>
      </c>
      <c r="N5" s="621"/>
      <c r="O5" s="622"/>
    </row>
    <row r="6" spans="1:17" ht="13.5" thickBot="1" x14ac:dyDescent="0.25">
      <c r="B6" s="114" t="s">
        <v>3</v>
      </c>
      <c r="C6" s="55" t="e">
        <f>Main!D6</f>
        <v>#N/A</v>
      </c>
      <c r="D6" s="37"/>
      <c r="E6" s="37"/>
      <c r="F6" s="37"/>
      <c r="G6" s="37"/>
      <c r="H6" s="37"/>
      <c r="I6" s="52" t="s">
        <v>5</v>
      </c>
      <c r="J6" s="51">
        <f>Main!D16</f>
        <v>0</v>
      </c>
      <c r="L6" s="37"/>
      <c r="M6" s="623" t="str">
        <f>IF(MaxMode,"","In 1/2 Tolerance")</f>
        <v>In 1/2 Tolerance</v>
      </c>
      <c r="N6" s="624"/>
      <c r="O6" s="625"/>
    </row>
    <row r="7" spans="1:17" ht="13.5" thickBot="1" x14ac:dyDescent="0.25">
      <c r="B7" s="114" t="s">
        <v>27</v>
      </c>
      <c r="C7" s="55" t="str">
        <f>Main!D7</f>
        <v>Jeff Hall</v>
      </c>
      <c r="D7" s="37"/>
      <c r="E7" s="37"/>
      <c r="F7" s="37"/>
      <c r="G7" s="37"/>
      <c r="H7" s="37"/>
      <c r="I7" s="57" t="s">
        <v>165</v>
      </c>
      <c r="J7" s="611">
        <f>Main!$D$30</f>
        <v>0</v>
      </c>
      <c r="K7" s="612"/>
      <c r="L7" s="100"/>
      <c r="M7" s="610" t="s">
        <v>142</v>
      </c>
      <c r="N7" s="610"/>
      <c r="O7" s="610"/>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31" customFormat="1" x14ac:dyDescent="0.2">
      <c r="A12" s="430"/>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dCZP144z178NU0VhiChVwJjw6zTnITWgwkEiyMk3O06yFJDZSjxxq7itIqSM2gbm3R5NxlFwOKcmxNr3RQrP0g==" saltValue="0KT8QX1HpYXjOnpSaGZcC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95" t="s">
        <v>14</v>
      </c>
      <c r="B9" s="16"/>
      <c r="C9" s="663" t="str" cm="1">
        <f t="array" ref="C9">IFERROR(_xlfn._TRO_TRAILING(Main!$B37:$C37),"")</f>
        <v/>
      </c>
      <c r="D9" s="17"/>
      <c r="E9" s="17" t="s">
        <v>15</v>
      </c>
      <c r="F9" s="663" t="str" cm="1">
        <f t="array" ref="F9">IFERROR(_xlfn._TRO_TRAILING(Main!B38:C38),"")</f>
        <v/>
      </c>
      <c r="G9" s="17"/>
      <c r="H9" s="17" t="s">
        <v>15</v>
      </c>
      <c r="I9" s="663" t="str" cm="1">
        <f t="array" ref="I9">IFERROR(_xlfn._TRO_TRAILING(Main!$B39:$C39),"")</f>
        <v/>
      </c>
      <c r="J9" s="17"/>
      <c r="K9" s="17" t="s">
        <v>15</v>
      </c>
      <c r="L9" s="663"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IFERROR(
  _xlfn.LET(_xlpm.tp, --$C$9,
    _xlfn.MAP(_xlfn.ANCHORARRAY(A10),
      _xlfn.LAMBDA(_xlpm.t,
        IF((_xlpm.tp=0)+(_xlpm.t=""),"",
          _xlfn.XLOOKUP(1,
             (Survey[Time]=--_xlpm.t)*(Survey[TestPoint]=_xlpm.tp),
             Survey[RawTemp],
             "",0
          )
        )
      )
    )
  ),
"")</f>
        <v/>
      </c>
      <c r="D10" s="19" t="str" cm="1">
        <f t="array" ref="D10">TRANSPOSE(IFERROR(_xlfn._TRO_TRAILING(Main!$D37:$L37),""))</f>
        <v/>
      </c>
      <c r="E10" s="27" t="str">
        <f>IF(C10="","",D10-C10)</f>
        <v/>
      </c>
      <c r="F10" s="19" t="str" cm="1">
        <f t="array" ref="F10:F18">IFERROR(
  _xlfn.LET(_xlpm.tp, --$F$9,
    _xlfn.MAP(_xlfn.ANCHORARRAY(A10),
      _xlfn.LAMBDA(_xlpm.t,
        IF((_xlpm.tp=0)+(_xlpm.t=""),"",
          _xlfn.XLOOKUP(1,
             (Survey[Time]=--_xlpm.t)*(Survey[TestPoint]=_xlpm.tp),
             Survey[RawTemp],
             "",0
          )
        )
      )
    )
  ),
"")</f>
        <v/>
      </c>
      <c r="G10" s="38" t="str" cm="1">
        <f t="array" ref="G10">TRANSPOSE(IFERROR(_xlfn._TRO_TRAILING(Main!$D38:$L38),""))</f>
        <v/>
      </c>
      <c r="H10" s="27" t="str">
        <f t="shared" ref="H10:H17" si="0">IF(F10="","",G10-F10)</f>
        <v/>
      </c>
      <c r="I10" s="19" t="str" cm="1">
        <f t="array" ref="I10:I18">IFERROR(
  _xlfn.LET(_xlpm.tp, --$I$9,
    _xlfn.MAP(_xlfn.ANCHORARRAY(A10),
      _xlfn.LAMBDA(_xlpm.t,
        IF((_xlpm.tp=0)+(_xlpm.t=""),"",
          _xlfn.XLOOKUP(1,
             (Survey[Time]=--_xlpm.t)*(Survey[TestPoint]=_xlpm.tp),
             Survey[RawTemp],
             "",0
          )
        )
      )
    )
  ),
"")</f>
        <v/>
      </c>
      <c r="J10" s="38" t="str" cm="1">
        <f t="array" ref="J10">TRANSPOSE(IFERROR(_xlfn._TRO_TRAILING(Main!$D39:$L39),""))</f>
        <v/>
      </c>
      <c r="K10" s="27" t="str">
        <f t="shared" ref="K10:K17" si="1">IF(I10="","",J10-I10)</f>
        <v/>
      </c>
      <c r="L10" s="19" t="str" cm="1">
        <f t="array" ref="L10:L18">IFERROR(
  _xlfn.LET(_xlpm.tp, --$L$9,
    _xlfn.MAP(_xlfn.ANCHORARRAY(A10),
      _xlfn.LAMBDA(_xlpm.t,
        IF((_xlpm.tp=0)+(_xlpm.t=""),"",
          _xlfn.XLOOKUP(1,
             (Survey[Time]=--_xlpm.t)*(Survey[TestPoint]=_xlpm.tp),
             Survey[RawTemp],
             "",0
          )
        )
      )
    )
  ),
"")</f>
        <v/>
      </c>
      <c r="M10" s="38" t="str" cm="1">
        <f t="array" ref="M10">TRANSPOSE(IFERROR(_xlfn._TRO_TRAILING(Main!$D40:$L40),""))</f>
        <v/>
      </c>
      <c r="N10" s="27" t="str">
        <f t="shared" ref="N10:N17" si="2">IF(L10="","",M10-L10)</f>
        <v/>
      </c>
      <c r="O10" s="189" t="e">
        <f>IF(R1,D9 &amp; " IS OOT!!!","")</f>
        <v>#VALUE!</v>
      </c>
      <c r="Q10" s="494"/>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94"/>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94"/>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59" t="str">
        <f>Main!A37</f>
        <v/>
      </c>
      <c r="E19" s="12" t="str" cm="1">
        <f t="array" ref="E19">IF(OR(P16:P23=1),"CHECK READINGS!!!","")</f>
        <v/>
      </c>
      <c r="F19" s="14"/>
      <c r="G19" s="460" t="str">
        <f>Main!A38</f>
        <v/>
      </c>
      <c r="H19" s="12" t="str" cm="1">
        <f t="array" ref="H19">IF(OR(S16:S23=1),"CHECK READINGS!!!","")</f>
        <v/>
      </c>
      <c r="I19" s="14"/>
      <c r="J19" s="460" t="str">
        <f>Main!A39</f>
        <v/>
      </c>
      <c r="K19" s="14" t="str">
        <f>IF(ISNUMBER(SEARCH(".",K10)),".","")</f>
        <v/>
      </c>
      <c r="L19" s="14"/>
      <c r="M19" s="460"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95" t="s">
        <v>14</v>
      </c>
      <c r="B21" s="16"/>
      <c r="C21" s="663" t="str" cm="1">
        <f t="array" ref="C21">IFERROR(_xlfn._TRO_TRAILING(Main!$B41:$C41),"")</f>
        <v/>
      </c>
      <c r="D21" s="17"/>
      <c r="E21" s="17" t="s">
        <v>15</v>
      </c>
      <c r="F21" s="663" t="str" cm="1">
        <f t="array" ref="F21">IFERROR(_xlfn._TRO_TRAILING(Main!$B42:$C42),"")</f>
        <v/>
      </c>
      <c r="G21" s="17"/>
      <c r="H21" s="17" t="s">
        <v>15</v>
      </c>
      <c r="I21" s="663" t="str" cm="1">
        <f t="array" ref="I21">IFERROR(_xlfn._TRO_TRAILING(Main!$B43:$C43),"")</f>
        <v/>
      </c>
      <c r="J21" s="17"/>
      <c r="K21" s="17" t="s">
        <v>15</v>
      </c>
      <c r="L21" s="663"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IFERROR(
  _xlfn.LET(_xlpm.tp, --$C$21,
    _xlfn.MAP(_xlfn.ANCHORARRAY(A22),
      _xlfn.LAMBDA(_xlpm.t,
        IF((_xlpm.tp=0)+(_xlpm.t=""),"",
          _xlfn.XLOOKUP(1,
             (Survey[Time]=--_xlpm.t)*(Survey[TestPoint]=_xlpm.tp),
             Survey[RawTemp],
             "",0
          )
        )
      )
    )
  ),
"")</f>
        <v/>
      </c>
      <c r="D22" s="38" t="str" cm="1">
        <f t="array" ref="D22">TRANSPOSE(IFERROR(_xlfn._TRO_TRAILING(Main!$D41:$L41),""))</f>
        <v/>
      </c>
      <c r="E22" s="27" t="str">
        <f t="shared" si="3"/>
        <v/>
      </c>
      <c r="F22" s="19" t="str" cm="1">
        <f t="array" ref="F22:F30">IFERROR(
  _xlfn.LET(_xlpm.tp, --$F$21,
    _xlfn.MAP(_xlfn.ANCHORARRAY(A22),
      _xlfn.LAMBDA(_xlpm.t,
        IF((_xlpm.tp=0)+(_xlpm.t=""),"",
          _xlfn.XLOOKUP(1,
             (Survey[Time]=--_xlpm.t)*(Survey[TestPoint]=_xlpm.tp),
             Survey[RawTemp],
             "",0
          )
        )
      )
    )
  ),
"")</f>
        <v/>
      </c>
      <c r="G22" s="38" t="str" cm="1">
        <f t="array" ref="G22">TRANSPOSE(IFERROR(_xlfn._TRO_TRAILING(Main!$D42:$L42),""))</f>
        <v/>
      </c>
      <c r="H22" s="27" t="str">
        <f t="shared" ref="H22:H29" si="7">IF(F22="","",G22-F22)</f>
        <v/>
      </c>
      <c r="I22" s="19" t="str" cm="1">
        <f t="array" ref="I22:I30">IFERROR(
  _xlfn.LET(_xlpm.tp, --$I$21,
    _xlfn.MAP(_xlfn.ANCHORARRAY(A22),
      _xlfn.LAMBDA(_xlpm.t,
        IF((_xlpm.tp=0)+(_xlpm.t=""),"",
          _xlfn.XLOOKUP(1,
             (Survey[Time]=--_xlpm.t)*(Survey[TestPoint]=_xlpm.tp),
             Survey[RawTemp],
             "",0
          )
        )
      )
    )
  ),
"")</f>
        <v/>
      </c>
      <c r="J22" s="38" t="str" cm="1">
        <f t="array" ref="J22">TRANSPOSE(IFERROR(_xlfn._TRO_TRAILING(Main!$D43:$L43),""))</f>
        <v/>
      </c>
      <c r="K22" s="27" t="str">
        <f t="shared" ref="K22:K29" si="8">IF(I22="","",J22-I22)</f>
        <v/>
      </c>
      <c r="L22" s="19" t="str" cm="1">
        <f t="array" ref="L22:L30">IFERROR(
  _xlfn.LET(_xlpm.tp, --$L$21,
    _xlfn.MAP(_xlfn.ANCHORARRAY(A22),
      _xlfn.LAMBDA(_xlpm.t,
        IF((_xlpm.tp=0)+(_xlpm.t=""),"",
          _xlfn.XLOOKUP(1,
             (Survey[Time]=--_xlpm.t)*(Survey[TestPoint]=_xlpm.tp),
             Survey[RawTemp],
             "",0
          )
        )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61" t="str">
        <f>Main!A41</f>
        <v/>
      </c>
      <c r="E31" s="21"/>
      <c r="F31" s="20"/>
      <c r="G31" s="461" t="str">
        <f>Main!A42</f>
        <v/>
      </c>
      <c r="H31" s="21"/>
      <c r="I31" s="20"/>
      <c r="J31" s="461" t="str">
        <f>Main!A43</f>
        <v/>
      </c>
      <c r="K31" s="21"/>
      <c r="L31" s="20"/>
      <c r="M31" s="461" t="str">
        <f>Main!A44</f>
        <v/>
      </c>
      <c r="N31" s="21"/>
    </row>
    <row r="32" spans="1:22" x14ac:dyDescent="0.25">
      <c r="C32" s="22" t="s">
        <v>16</v>
      </c>
      <c r="D32" s="630" t="s">
        <v>17</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3"/>
    </row>
    <row r="34" spans="1:14" x14ac:dyDescent="0.25">
      <c r="A34" s="18"/>
      <c r="B34" s="18"/>
      <c r="D34" s="631"/>
      <c r="E34" s="631"/>
      <c r="F34" s="631"/>
      <c r="G34" s="631"/>
      <c r="H34" s="631"/>
      <c r="I34" s="631"/>
      <c r="J34" s="631"/>
      <c r="K34" s="631"/>
      <c r="L34" s="631"/>
      <c r="M34" s="631"/>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32" t="s">
        <v>20</v>
      </c>
      <c r="D37" s="632"/>
      <c r="E37" s="632"/>
      <c r="F37" s="632"/>
      <c r="G37" s="632"/>
      <c r="H37" s="632"/>
      <c r="I37" s="632"/>
      <c r="J37" s="632"/>
      <c r="K37" s="632"/>
      <c r="L37" s="632"/>
      <c r="M37" s="632"/>
    </row>
    <row r="38" spans="1:14" x14ac:dyDescent="0.25">
      <c r="A38" s="18"/>
      <c r="B38" s="18"/>
      <c r="C38" s="632"/>
      <c r="D38" s="632"/>
      <c r="E38" s="632"/>
      <c r="F38" s="632"/>
      <c r="G38" s="632"/>
      <c r="H38" s="632"/>
      <c r="I38" s="632"/>
      <c r="J38" s="632"/>
      <c r="K38" s="632"/>
      <c r="L38" s="632"/>
      <c r="M38" s="632"/>
    </row>
    <row r="39" spans="1:14" x14ac:dyDescent="0.25">
      <c r="A39" s="18"/>
      <c r="B39" s="18"/>
      <c r="C39" s="632"/>
      <c r="D39" s="632"/>
      <c r="E39" s="632"/>
      <c r="F39" s="632"/>
      <c r="G39" s="632"/>
      <c r="H39" s="632"/>
      <c r="I39" s="632"/>
      <c r="J39" s="632"/>
      <c r="K39" s="632"/>
      <c r="L39" s="632"/>
      <c r="M39" s="632"/>
    </row>
    <row r="40" spans="1:14" x14ac:dyDescent="0.25">
      <c r="A40" s="18"/>
      <c r="B40" s="18"/>
      <c r="C40" s="632"/>
      <c r="D40" s="632"/>
      <c r="E40" s="632"/>
      <c r="F40" s="632"/>
      <c r="G40" s="632"/>
      <c r="H40" s="632"/>
      <c r="I40" s="632"/>
      <c r="J40" s="632"/>
      <c r="K40" s="632"/>
      <c r="L40" s="632"/>
      <c r="M40" s="632"/>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3EHOUL/9zrGud9gah7Bl9i1JFcMRikRMxgj0ZL+J4xGtDKVQtr+JirTfrEenSkCJWxmVAtxXxTd5zN8jTpyPA==" saltValue="Zx2AddK7PJ4CPtNYzzuOOw=="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343</v>
      </c>
      <c r="I28" s="633"/>
      <c r="J28" s="633"/>
      <c r="K28" s="633"/>
      <c r="L28" s="633"/>
      <c r="M28" s="633"/>
      <c r="N28" s="633"/>
      <c r="O28" s="633"/>
      <c r="P28" s="633"/>
      <c r="Q28" s="633"/>
      <c r="R28" s="633"/>
    </row>
    <row r="29" spans="1:20" x14ac:dyDescent="0.2">
      <c r="A29" s="639" t="s">
        <v>34</v>
      </c>
      <c r="B29" s="640"/>
      <c r="C29" s="47" t="str">
        <f>IF(Main!D48="","",Main!D48)</f>
        <v/>
      </c>
      <c r="D29" s="47" t="str">
        <f>IF(Main!E48="","",Main!E48)</f>
        <v/>
      </c>
      <c r="E29" s="47" t="str">
        <f>IF(Main!F48="","",Main!F48)</f>
        <v/>
      </c>
      <c r="F29" s="47" t="str">
        <f>IF(Main!G48="","",Main!G48)</f>
        <v/>
      </c>
      <c r="G29" s="260"/>
      <c r="H29" s="257" t="s">
        <v>344</v>
      </c>
      <c r="I29" s="112" t="str">
        <f>IF(Main!N47="","",Main!N47)</f>
        <v>Periodic</v>
      </c>
      <c r="J29" s="641" t="s">
        <v>345</v>
      </c>
      <c r="K29" s="642"/>
      <c r="L29" s="112" t="str">
        <f>IF(Main!R47="","",Main!R47)</f>
        <v>Air</v>
      </c>
    </row>
    <row r="30" spans="1:20" x14ac:dyDescent="0.2">
      <c r="A30" s="639" t="s">
        <v>35</v>
      </c>
      <c r="B30" s="640"/>
      <c r="C30" s="48" t="str">
        <f>IF(Main!D49="","",Main!D49)</f>
        <v/>
      </c>
      <c r="D30" s="48" t="str">
        <f>IF(Main!E49="","",Main!E49)</f>
        <v/>
      </c>
      <c r="E30" s="48" t="str">
        <f>IF(Main!F49="","",Main!F49)</f>
        <v/>
      </c>
      <c r="F30" s="48" t="str">
        <f>IF(Main!G49="","",Main!G49)</f>
        <v/>
      </c>
      <c r="G30" s="262"/>
      <c r="H30" s="634" t="s">
        <v>331</v>
      </c>
      <c r="I30" s="634"/>
      <c r="J30" s="643" t="s">
        <v>377</v>
      </c>
      <c r="K30" s="644"/>
      <c r="L30" s="645"/>
      <c r="M30" s="254"/>
      <c r="O30" s="635" t="s">
        <v>380</v>
      </c>
      <c r="P30" s="636"/>
      <c r="Q30" s="637"/>
      <c r="T30" s="37"/>
    </row>
    <row r="31" spans="1:20" x14ac:dyDescent="0.2">
      <c r="A31" s="639" t="s">
        <v>36</v>
      </c>
      <c r="B31" s="640"/>
      <c r="C31" s="48" t="str">
        <f>IF(Main!D50="","",Main!D50)</f>
        <v/>
      </c>
      <c r="D31" s="48" t="str">
        <f>IF(Main!E50="","",Main!E50)</f>
        <v/>
      </c>
      <c r="E31" s="48" t="str">
        <f>IF(Main!F50="","",Main!F50)</f>
        <v/>
      </c>
      <c r="F31" s="48" t="str">
        <f>IF(Main!G50="","",Main!G50)</f>
        <v/>
      </c>
      <c r="G31" s="262"/>
      <c r="H31" s="242" t="s">
        <v>346</v>
      </c>
      <c r="I31" s="244" t="str">
        <f>IF(Main!N49="","",Main!N49)</f>
        <v/>
      </c>
      <c r="J31" s="658" t="s">
        <v>385</v>
      </c>
      <c r="K31" s="659"/>
      <c r="L31" s="660"/>
      <c r="M31" s="255" t="str">
        <f>IF(Main!S49="","",Main!S49)</f>
        <v/>
      </c>
      <c r="O31" s="525" t="s">
        <v>387</v>
      </c>
      <c r="P31" s="526"/>
      <c r="Q31" s="638"/>
      <c r="R31" s="56" t="str">
        <f>IF(Main!X49="","",Main!X49)</f>
        <v/>
      </c>
      <c r="T31" s="37"/>
    </row>
    <row r="32" spans="1:20" ht="12.75" customHeight="1" x14ac:dyDescent="0.2">
      <c r="A32" s="639" t="s">
        <v>37</v>
      </c>
      <c r="B32" s="640"/>
      <c r="C32" s="47" t="str">
        <f>IF(Main!D51="","",Main!D51)</f>
        <v/>
      </c>
      <c r="D32" s="47" t="str">
        <f>IF(Main!E51="","",Main!E51)</f>
        <v/>
      </c>
      <c r="E32" s="47" t="str">
        <f>IF(Main!F51="","",Main!F51)</f>
        <v/>
      </c>
      <c r="F32" s="47" t="str">
        <f>IF(Main!G51="","",Main!G51)</f>
        <v/>
      </c>
      <c r="G32" s="260"/>
      <c r="H32" s="242" t="s">
        <v>362</v>
      </c>
      <c r="I32" s="244" t="str">
        <f>IF(Main!N50="","",Main!N50)</f>
        <v/>
      </c>
      <c r="J32" s="649" t="s">
        <v>334</v>
      </c>
      <c r="K32" s="650"/>
      <c r="L32" s="651"/>
      <c r="M32" s="250"/>
      <c r="O32" s="649" t="s">
        <v>334</v>
      </c>
      <c r="P32" s="650"/>
      <c r="Q32" s="651"/>
      <c r="T32" s="37"/>
    </row>
    <row r="33" spans="1:20" ht="12.75" customHeight="1" x14ac:dyDescent="0.2">
      <c r="A33" s="639" t="s">
        <v>347</v>
      </c>
      <c r="B33" s="640"/>
      <c r="C33" s="47" t="str">
        <f>IF(Main!D52="","",Main!D52)</f>
        <v/>
      </c>
      <c r="D33" s="47" t="str">
        <f>IF(Main!E52="","",Main!E52)</f>
        <v/>
      </c>
      <c r="E33" s="47" t="str">
        <f>IF(Main!F52="","",Main!F52)</f>
        <v/>
      </c>
      <c r="F33" s="47" t="str">
        <f>IF(Main!G52="","",Main!G52)</f>
        <v/>
      </c>
      <c r="G33" s="260"/>
      <c r="H33" s="242" t="s">
        <v>348</v>
      </c>
      <c r="I33" s="244" t="str">
        <f>IF(Main!N51="","",Main!N51)</f>
        <v/>
      </c>
      <c r="J33" s="646" t="s">
        <v>386</v>
      </c>
      <c r="K33" s="647"/>
      <c r="L33" s="648"/>
      <c r="M33" s="249" t="str">
        <f>IF(Main!S51="","",Main!S51)</f>
        <v/>
      </c>
      <c r="O33" s="646" t="s">
        <v>388</v>
      </c>
      <c r="P33" s="647"/>
      <c r="Q33" s="648"/>
      <c r="R33" s="56" t="str">
        <f>IF(Main!X51="","",Main!X51)</f>
        <v/>
      </c>
      <c r="T33" s="37"/>
    </row>
    <row r="34" spans="1:20" ht="12.75" customHeight="1" x14ac:dyDescent="0.2">
      <c r="A34" s="639" t="s">
        <v>38</v>
      </c>
      <c r="B34" s="640"/>
      <c r="C34" s="49" t="str">
        <f>IF(Main!D53="","",Main!D53)</f>
        <v/>
      </c>
      <c r="D34" s="49" t="str">
        <f>IF(Main!E53="","",Main!E53)</f>
        <v/>
      </c>
      <c r="E34" s="49" t="str">
        <f>IF(Main!F53="","",Main!F53)</f>
        <v/>
      </c>
      <c r="F34" s="49" t="str">
        <f>IF(Main!G53="","",Main!G53)</f>
        <v/>
      </c>
      <c r="G34" s="263"/>
      <c r="H34" s="242" t="s">
        <v>349</v>
      </c>
      <c r="I34" s="241" t="str">
        <f>IF(Main!N52="","",Main!N52)</f>
        <v/>
      </c>
      <c r="J34" s="649" t="s">
        <v>334</v>
      </c>
      <c r="K34" s="650"/>
      <c r="L34" s="651"/>
      <c r="O34" s="649" t="s">
        <v>334</v>
      </c>
      <c r="P34" s="650"/>
      <c r="Q34" s="651"/>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52" t="s">
        <v>389</v>
      </c>
      <c r="K35" s="653"/>
      <c r="L35" s="654"/>
      <c r="M35" s="258" t="str">
        <f>IF(Main!S53="","",Main!S53)</f>
        <v/>
      </c>
      <c r="O35" s="652" t="s">
        <v>390</v>
      </c>
      <c r="P35" s="653"/>
      <c r="Q35" s="654"/>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55"/>
      <c r="K36" s="656"/>
      <c r="L36" s="657"/>
      <c r="M36" s="253"/>
      <c r="O36" s="655"/>
      <c r="P36" s="656"/>
      <c r="Q36" s="657"/>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t="str">
        <f>IF(Main!P56="","",Main!P56)</f>
        <v/>
      </c>
      <c r="K38" s="266" t="str">
        <f>IF(Main!Q56="","",Main!Q56)</f>
        <v/>
      </c>
      <c r="L38" s="267" t="str">
        <f>IF(Main!R56="","",Main!R56)</f>
        <v/>
      </c>
      <c r="O38" s="265" t="str">
        <f>IF(Main!U56="","",Main!U56)</f>
        <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6uoojPs113ycy9SWLD7agR4xEWrW0Y/CYUZe6KALjNLvRX3ZyjsO8EyyU1ktpKD/haqOortaUC9SkPECypWwMQ==" saltValue="dc0MKVENUvxBEAh3cWfbB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Cxpr5/aNDP73wmpoWQK1hgr03rQ7oyTEfR0+nuG58qYJB/w9mXzVKYucL11QRskIrsVIeNJeJQC9qW8UJMIRJQ==" saltValue="7d6mySv9knnW7jINnao+r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56</v>
      </c>
      <c r="B1" s="598"/>
      <c r="C1" s="598"/>
      <c r="D1" s="598"/>
      <c r="E1" s="34" t="s">
        <v>154</v>
      </c>
      <c r="G1" s="598" t="s">
        <v>68</v>
      </c>
      <c r="H1" s="598"/>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rLHJJLg6p6rdHHnSP0IVBk7qHyZlyJNBSxER8hs4MOZ4/Ep/6Pniyk7fPN14Pe3b5MeF5cFJxZI1BSzmepnBJg==" saltValue="RmU1eBqyMVzb0cYy9Azj5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83</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2025-11-05T23:11:31Z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