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18DE8E3-577B-4567-95D7-42DA8E944F6B}"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Header_Info!#REF!</definedName>
    <definedName name="AddressLine2">Header_Info!#REF!</definedName>
    <definedName name="AddressLine3">Header_Info!#REF!</definedName>
    <definedName name="AssetId" comment="Client Asset Id">WorkItemDetails!$D$2</definedName>
    <definedName name="Assets_GetAssetByAssetPool" localSheetId="19" hidden="1">AssetPool!$A$1:$Q$64</definedName>
    <definedName name="Base₂">Survey!$J$5</definedName>
    <definedName name="CalInterval">Header_Info!$BD$2</definedName>
    <definedName name="CalMethod">Header_Info!$AR$2</definedName>
    <definedName name="CheckRec">Header_Info!$BV$2</definedName>
    <definedName name="Class">Header_Info!$AX$2</definedName>
    <definedName name="clientCompanyId">WorkItemDetails!$E$2</definedName>
    <definedName name="companyName">'Customer Table'!$Q$2</definedName>
    <definedName name="Comparison_Report_Data">Main!$A$36:$L$44</definedName>
    <definedName name="Condition">Header_Info!$BP$2</definedName>
    <definedName name="Controller">Header_Info!$BF$2</definedName>
    <definedName name="ContSN">Header_Info!$BG$2</definedName>
    <definedName name="ContTol">Header_Info!$BH$2</definedName>
    <definedName name="CubicFeet">Header_Info!$BC$2</definedName>
    <definedName name="DaqbookAssetId">Main!$E$9</definedName>
    <definedName name="DBTrace">Standards_Info!$M$2:$M$5</definedName>
    <definedName name="Derivative">Header_Info!$BR$2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Header_Info!$A$1:$AL$405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Header_Info!$AQ$2</definedName>
    <definedName name="Furnace">Header_Info!$AP$2</definedName>
    <definedName name="FurnaceSpecificComments">Header_Info!$BM$2</definedName>
    <definedName name="HeatingMethod">Header_Info!$BA$2</definedName>
    <definedName name="InspectorList">_xlfn.ANCHORARRAY(Standards_Info!$AG$2)</definedName>
    <definedName name="Integral">Header_Info!$BS$2</definedName>
    <definedName name="Item">Header_Info!$AT$2</definedName>
    <definedName name="k">Survey!$J$3</definedName>
    <definedName name="LagLimit">Header_Info!$BX$2</definedName>
    <definedName name="ListCompRange">Comparison_Report!$S$25:$S$26</definedName>
    <definedName name="ListNameRange">_xlfn.ANCHORARRAY(Standards_Info!$A$2)</definedName>
    <definedName name="Load">Header_Info!$BW$2</definedName>
    <definedName name="Load_Type">Standards_Info!$Q$2:$Q$5</definedName>
    <definedName name="ModelNumber">Header_Info!$AU$2</definedName>
    <definedName name="no_of_Test_Points">Main!$D$17</definedName>
    <definedName name="NominalTemp">Main!$D$16</definedName>
    <definedName name="Other1">Header_Info!$BT$2</definedName>
    <definedName name="Other2">Header_Info!$BU$2</definedName>
    <definedName name="OvenLocation">Header_Info!$BO$2</definedName>
    <definedName name="Packet_Content">Standards_Info!$O$2:$O$12</definedName>
    <definedName name="PB">Header_Info!$BQ$2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Table'!$A$1:$O$1658</definedName>
    <definedName name="Range">Header_Info!$AY$2</definedName>
    <definedName name="_xlnm.Recorder">Header_Info!$BJ$2</definedName>
    <definedName name="RecoveryLimit">Header_Info!$BY$2</definedName>
    <definedName name="RecSN">Header_Info!$BK$2</definedName>
    <definedName name="RecTol">Header_Info!$BL$2</definedName>
    <definedName name="SerialNumber">Header_Info!$AV$2</definedName>
    <definedName name="Set_Point">Main!$D$15</definedName>
    <definedName name="sp²">Survey!$J$4</definedName>
    <definedName name="Spec_Class">Standards_Info!$S$2:$S$4</definedName>
    <definedName name="Survey_End_Time">Main!$D$31</definedName>
    <definedName name="TestLocation">Header_Info!$BN$2</definedName>
    <definedName name="TestTemp">Main!$D$16</definedName>
    <definedName name="TN">Main!$D$14</definedName>
    <definedName name="Tolerance">Main!$G$97</definedName>
    <definedName name="TolSource">Header_Info!$AS$2</definedName>
    <definedName name="Tracability">Standards_Info!$K$2:$K$6</definedName>
    <definedName name="TUS_Start_Time">Main!$D$30</definedName>
    <definedName name="UnitNumber">Header_Info!$AW$2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Header_Info!$BB$2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77" l="1" a="1"/>
  <c r="AN2" i="77" s="1"/>
  <c r="AN1" i="77" a="1"/>
  <c r="AN1" i="77" s="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O19" i="5" s="1"/>
  <c r="L23" i="5"/>
  <c r="J23" i="5"/>
  <c r="F11" i="5"/>
  <c r="D11" i="5"/>
  <c r="K17" i="5"/>
  <c r="I17" i="5"/>
  <c r="K23" i="5"/>
  <c r="H23" i="5"/>
  <c r="E11" i="5"/>
  <c r="E13" i="5" s="1"/>
  <c r="C17" i="5"/>
  <c r="J17" i="5"/>
  <c r="G17" i="5"/>
  <c r="C12" i="5"/>
  <c r="C18" i="5"/>
  <c r="I23" i="5"/>
  <c r="F17" i="5"/>
  <c r="C11" i="5"/>
  <c r="C23" i="5"/>
  <c r="H17" i="5"/>
  <c r="E17" i="5"/>
  <c r="G23" i="5"/>
  <c r="E23" i="5"/>
  <c r="F23" i="5"/>
  <c r="I18" i="5"/>
  <c r="C24" i="5"/>
  <c r="P11" i="5"/>
  <c r="H18" i="5"/>
  <c r="I24" i="5"/>
  <c r="D17" i="5"/>
  <c r="N19" i="5" l="1"/>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A37" i="8"/>
  <c r="D19" i="4" s="1"/>
  <c r="D7" i="8" a="1"/>
  <c r="D7" i="8" s="1"/>
  <c r="E2" i="71" l="1"/>
  <c r="Q2" i="29" s="1" a="1"/>
  <c r="D2" i="7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54" i="26" l="1"/>
  <c r="B10" i="26"/>
  <c r="B11" i="26"/>
  <c r="Q2" i="29"/>
  <c r="D5" i="8" s="1"/>
  <c r="G97" i="8"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25" i="5" l="1"/>
  <c r="L4" i="8"/>
  <c r="L5" i="8"/>
  <c r="S29" i="8" a="1"/>
  <c r="S29" i="8" l="1"/>
  <c r="L6" i="8"/>
  <c r="N24" i="26"/>
  <c r="S26" i="8" a="1"/>
  <c r="R36" i="8" a="1"/>
  <c r="S30" i="8" a="1"/>
  <c r="S13" i="8" a="1"/>
  <c r="R6" i="8" a="1"/>
  <c r="R22" i="8" a="1"/>
  <c r="S27" i="8" a="1"/>
  <c r="R17" i="8" a="1"/>
  <c r="R19" i="8" a="1"/>
  <c r="R9" i="8" a="1"/>
  <c r="R39" i="8" a="1"/>
  <c r="R15" i="8" a="1"/>
  <c r="R30" i="8" a="1"/>
  <c r="S7" i="8" a="1"/>
  <c r="S12" i="8" a="1"/>
  <c r="S37" i="8" a="1"/>
  <c r="S28" i="8" a="1"/>
  <c r="R8" i="8" a="1"/>
  <c r="S16" i="8" a="1"/>
  <c r="R35" i="8" a="1"/>
  <c r="R7" i="8" a="1"/>
  <c r="R27" i="8" a="1"/>
  <c r="S36" i="8" a="1"/>
  <c r="R25" i="8" a="1"/>
  <c r="S20" i="8" a="1"/>
  <c r="S41" i="8" a="1"/>
  <c r="R24" i="8" a="1"/>
  <c r="R5" i="8" a="1"/>
  <c r="R18" i="8" a="1"/>
  <c r="R34" i="8" a="1"/>
  <c r="S43" i="8" a="1"/>
  <c r="R29" i="8" a="1"/>
  <c r="S40" i="8" a="1"/>
  <c r="R20" i="8" a="1"/>
  <c r="S14" i="8" a="1"/>
  <c r="R23" i="8" a="1"/>
  <c r="R37" i="8" a="1"/>
  <c r="S32" i="8" a="1"/>
  <c r="R10" i="8" a="1"/>
  <c r="S19" i="8" a="1"/>
  <c r="R14" i="8" a="1"/>
  <c r="S18" i="8" a="1"/>
  <c r="S10" i="8" a="1"/>
  <c r="R13" i="8" a="1"/>
  <c r="S39" i="8" a="1"/>
  <c r="R33" i="8" a="1"/>
  <c r="S38" i="8" a="1"/>
  <c r="S22" i="8" a="1"/>
  <c r="S17" i="8" a="1"/>
  <c r="R11" i="8" a="1"/>
  <c r="S42" i="8" a="1"/>
  <c r="S34" i="8" a="1"/>
  <c r="S24" i="8" a="1"/>
  <c r="S33" i="8" a="1"/>
  <c r="S23" i="8" a="1"/>
  <c r="R16" i="8" a="1"/>
  <c r="R42" i="8" a="1"/>
  <c r="R32" i="8" a="1"/>
  <c r="R38" i="8" a="1"/>
  <c r="R21" i="8" a="1"/>
  <c r="R26" i="8" a="1"/>
  <c r="S44" i="8" a="1"/>
  <c r="R12" i="8" a="1"/>
  <c r="S35" i="8" a="1"/>
  <c r="S5" i="8" a="1"/>
  <c r="S21" i="8" a="1"/>
  <c r="S9" i="8" a="1"/>
  <c r="R40" i="8" a="1"/>
  <c r="S15" i="8" a="1"/>
  <c r="S31" i="8" a="1"/>
  <c r="S11" i="8" a="1"/>
  <c r="R31" i="8" a="1"/>
  <c r="R28" i="8" a="1"/>
  <c r="R41" i="8" a="1"/>
  <c r="R43" i="8" a="1"/>
  <c r="R44" i="8" a="1"/>
  <c r="S8" i="8" a="1"/>
  <c r="S6" i="8" a="1"/>
  <c r="S2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I68" i="26" s="1"/>
  <c r="Q67" i="26"/>
  <c r="I67" i="26" s="1"/>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<sst xmlns="http://schemas.openxmlformats.org/spreadsheetml/2006/main" count="1921" uniqueCount="957">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</sst>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6">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126">
    <queryTableFields count="38">
      <queryTableField id="88" name="AssetId" tableColumnId="42"/>
      <queryTableField id="89" name="ClientCompanyId" tableColumnId="43"/>
      <queryTableField id="90" name="Furnace" tableColumnId="44"/>
      <queryTableField id="91" name="FormNumber" tableColumnId="45"/>
      <queryTableField id="92" name="CalibrationMethod" tableColumnId="46"/>
      <queryTableField id="93" name="ToleranceSource" tableColumnId="47"/>
      <queryTableField id="94" name="Item" tableColumnId="48"/>
      <queryTableField id="95" name="ModelNumber" tableColumnId="49"/>
      <queryTableField id="96" name="SerialNumber" tableColumnId="50"/>
      <queryTableField id="97" name="UnitNumber" tableColumnId="51"/>
      <queryTableField id="98" name="Class" tableColumnId="52"/>
      <queryTableField id="99" name="Range" tableColumnId="53"/>
      <queryTableField id="100" name="Tolerance" tableColumnId="54"/>
      <queryTableField id="101" name="HeatingMethod" tableColumnId="55"/>
      <queryTableField id="102" name="WorkingZoneSize" tableColumnId="56"/>
      <queryTableField id="103" name="CubicFeet" tableColumnId="57"/>
      <queryTableField id="104" name="CalInterval" tableColumnId="58"/>
      <queryTableField id="105" name="ControllerId" tableColumnId="59"/>
      <queryTableField id="106" name="Controller" tableColumnId="60"/>
      <queryTableField id="107" name="ContSN" tableColumnId="61"/>
      <queryTableField id="108" name="ContTol" tableColumnId="62"/>
      <queryTableField id="109" name="RecorderId" tableColumnId="63"/>
      <queryTableField id="110" name="Recorder" tableColumnId="64"/>
      <queryTableField id="111" name="RecSN" tableColumnId="65"/>
      <queryTableField id="112" name="RecTol" tableColumnId="66"/>
      <queryTableField id="113" name="FurnaceSpecificComments" tableColumnId="67"/>
      <queryTableField id="114" name="TestLocation" tableColumnId="68"/>
      <queryTableField id="115" name="OvenLocation" tableColumnId="69"/>
      <queryTableField id="116" name="Condition" tableColumnId="70"/>
      <queryTableField id="117" name="PB" tableColumnId="71"/>
      <queryTableField id="118" name="Derivative" tableColumnId="72"/>
      <queryTableField id="119" name="Integral" tableColumnId="73"/>
      <queryTableField id="120" name="Other1" tableColumnId="74"/>
      <queryTableField id="121" name="Other2" tableColumnId="75"/>
      <queryTableField id="122" name="CheckRec" tableColumnId="76"/>
      <queryTableField id="123" name="Load" tableColumnId="77"/>
      <queryTableField id="124" name="LagLimit" tableColumnId="78"/>
      <queryTableField id="125" name="RecoveryLimit" tableColumnId="7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85"/>
    <tableColumn id="8" xr3:uid="{7C740CB9-37DA-435E-A87E-AF050E31623C}" uniqueName="8" name="wire_roll_cert_number" queryTableFieldId="8" dataDxfId="175"/>
    <tableColumn id="7" xr3:uid="{297A4F29-F6E9-4BD3-A7A2-5F1039480BAE}" uniqueName="7" name="certificate_number" queryTableFieldId="7" dataDxfId="174"/>
    <tableColumn id="6" xr3:uid="{B359FFDA-2633-4F67-9E7E-BA0BB88ADA64}" uniqueName="6" name="next_service_date" queryTableFieldId="6" dataDxfId="84"/>
    <tableColumn id="5" xr3:uid="{412A70E1-7452-417E-A3A9-BD3499EBD33C}" uniqueName="5" name="service_date" queryTableFieldId="5" dataDxfId="83"/>
    <tableColumn id="4" xr3:uid="{44F03B5B-6C09-4D5C-B2E2-D809B4EDF2B0}" uniqueName="4" name="custom_order_number" queryTableFieldId="4" dataDxfId="173"/>
    <tableColumn id="3" xr3:uid="{D963BD5C-EE98-4CDD-ABAE-5315BBDA1135}" uniqueName="3" name="asset_tag" queryTableFieldId="3" dataDxfId="172"/>
    <tableColumn id="2" xr3:uid="{D07D770F-21F7-425E-8CCA-AA85FFD513A3}" uniqueName="2" name="serial_number" queryTableFieldId="2" dataDxfId="171"/>
    <tableColumn id="1" xr3:uid="{4CB1C976-73DA-4579-B7F8-9D891581EA5A}" uniqueName="1" name="asset_id" queryTableFieldId="1" dataDxfId="8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0"/>
    <tableColumn id="2" xr3:uid="{44100894-4C9D-4514-95AC-618BC19E5917}" uniqueName="2" name="Temp" queryTableFieldId="4" dataDxfId="169"/>
    <tableColumn id="3" xr3:uid="{ECB904AC-F679-49D7-806F-647089E4822A}" uniqueName="3" name="Offset" queryTableFieldId="5" dataDxfId="16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67"/>
    <tableColumn id="3" xr3:uid="{5A7694DA-28F6-45C3-AA3A-8F5C42BC36CB}" uniqueName="3" name="login_email" queryTableFieldId="12"/>
    <tableColumn id="4" xr3:uid="{E8A7333A-3221-4D58-96FF-11D069828831}" uniqueName="4" name="IsPyro" queryTableFieldId="13" dataDxfId="16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5">
  <autoFilter ref="A1:C9" xr:uid="{8AF992F3-27EF-4265-960D-70EC6F74FAFA}"/>
  <sortState xmlns:xlrd2="http://schemas.microsoft.com/office/spreadsheetml/2017/richdata2" ref="A2:C9">
    <sortCondition ref="B1:B9"/>
  </sortState>
  <tableColumns count="3">
    <tableColumn id="1" xr3:uid="{1F7D0D09-7152-4679-B25C-65CF0E0AB2D4}" name="Type" dataDxfId="16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9"/>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Row],[Deviations]])&gt;Main!$G$97</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1"/>
    <tableColumn id="3" xr3:uid="{2724CA85-C781-4E38-A0DA-097BFEEFE8B1}" uniqueName="3" name="Temp" queryTableFieldId="3" dataDxfId="160"/>
    <tableColumn id="6" xr3:uid="{12D5EB84-2052-49F7-A25B-127266D7FB89}" uniqueName="6" name="traceability_no" queryTableFieldId="6" dataDxfId="159"/>
    <tableColumn id="5" xr3:uid="{D8FBA668-C3CE-41DC-B112-B2663A4558F7}" uniqueName="5" name="Offset" queryTableFieldId="5" dataDxfId="15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7"/>
    <tableColumn id="5" xr3:uid="{27363C9A-3D85-416E-8BCC-52B2C8D77A72}" uniqueName="5" name="Uncert Units" queryTableFieldId="5" dataDxfId="15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5">
  <autoFilter ref="A3:C8" xr:uid="{5AC13131-9A1C-4C12-B4F9-A393708ED370}"/>
  <tableColumns count="3">
    <tableColumn id="1" xr3:uid="{97181276-3609-45C8-AD82-B2880A7AEDE4}" name="Min" dataDxfId="154"/>
    <tableColumn id="2" xr3:uid="{FCA9B2A8-03BC-4152-9483-74D5E30011E8}" name="Max" dataDxfId="153"/>
    <tableColumn id="3" xr3:uid="{53EFB432-094F-4AB8-B706-DACB84CFAD58}" name="CMC" dataDxfId="152"/>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8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L405" tableType="queryTable" totalsRowShown="0">
  <autoFilter ref="A1:AL405" xr:uid="{8A28E51F-224F-4F5E-9D3E-A91A5A4DEDFC}"/>
  <tableColumns count="38">
    <tableColumn id="42" xr3:uid="{56B00691-B07C-44C3-BB20-D138E9BA6E34}" uniqueName="42" name="AssetId" queryTableFieldId="88"/>
    <tableColumn id="43" xr3:uid="{2DC6C496-443C-4549-893A-7763C82EDD9B}" uniqueName="43" name="ClientCompanyId" queryTableFieldId="89"/>
    <tableColumn id="44" xr3:uid="{BFB34E19-DA52-4267-A594-B28F706A0CC0}" uniqueName="44" name="Furnace" queryTableFieldId="90"/>
    <tableColumn id="45" xr3:uid="{2435B49A-B5ED-4402-82FD-38B9F33321AE}" uniqueName="45" name="FormNumber" queryTableFieldId="91" dataDxfId="78"/>
    <tableColumn id="46" xr3:uid="{2C27515C-4885-4E5B-9971-CDF450DE2B82}" uniqueName="46" name="CalibrationMethod" queryTableFieldId="92" dataDxfId="77"/>
    <tableColumn id="47" xr3:uid="{D4BE300E-BB5B-4EB4-9C31-FB7539B29218}" uniqueName="47" name="ToleranceSource" queryTableFieldId="93" dataDxfId="76"/>
    <tableColumn id="48" xr3:uid="{42D9FDA3-1B0B-4986-852D-6B70C047E126}" uniqueName="48" name="Item" queryTableFieldId="94" dataDxfId="75"/>
    <tableColumn id="49" xr3:uid="{F325890A-0F0F-4AB2-80B0-9C295BBC4B0B}" uniqueName="49" name="ModelNumber" queryTableFieldId="95"/>
    <tableColumn id="50" xr3:uid="{D1421A72-3E4B-4C10-A2C0-85A3F8B795B9}" uniqueName="50" name="SerialNumber" queryTableFieldId="96"/>
    <tableColumn id="51" xr3:uid="{E63C1215-ED7E-4C0F-9274-5F49AC8083D1}" uniqueName="51" name="UnitNumber" queryTableFieldId="97"/>
    <tableColumn id="52" xr3:uid="{AEB60747-266E-4E7B-A4ED-73CC61888542}" uniqueName="52" name="Class" queryTableFieldId="98"/>
    <tableColumn id="53" xr3:uid="{1D03BC86-04A9-49AE-8AEA-24FD1BA80018}" uniqueName="53" name="Range" queryTableFieldId="99" dataDxfId="74"/>
    <tableColumn id="54" xr3:uid="{86DE3F64-E1F4-4B17-8852-1292A3A765CE}" uniqueName="54" name="Tolerance" queryTableFieldId="100" dataDxfId="73"/>
    <tableColumn id="55" xr3:uid="{F0623F96-4AEF-41D1-B01B-E0191F5F091A}" uniqueName="55" name="HeatingMethod" queryTableFieldId="101" dataDxfId="72"/>
    <tableColumn id="56" xr3:uid="{203C47F7-5BEF-4C69-8F9F-6CA80AEF455D}" uniqueName="56" name="WorkingZoneSize" queryTableFieldId="102" dataDxfId="71"/>
    <tableColumn id="57" xr3:uid="{9E254103-B33D-4A40-9578-B006AF672FFF}" uniqueName="57" name="CubicFeet" queryTableFieldId="103"/>
    <tableColumn id="58" xr3:uid="{58454CB1-48BB-47B1-85BD-D84AD7F27465}" uniqueName="58" name="CalInterval" queryTableFieldId="104"/>
    <tableColumn id="59" xr3:uid="{1A44FC0F-C318-42F8-A436-2687939EE456}" uniqueName="59" name="ControllerId" queryTableFieldId="105"/>
    <tableColumn id="60" xr3:uid="{DFB82C12-8E99-4826-959B-79AE2962EDB4}" uniqueName="60" name="Controller" queryTableFieldId="106"/>
    <tableColumn id="61" xr3:uid="{2AAC26B9-1CA0-4EF8-98FE-B1A94ABC089A}" uniqueName="61" name="ContSN" queryTableFieldId="107"/>
    <tableColumn id="62" xr3:uid="{7D60ED07-44D0-43E0-A0B2-2A72CA113EE2}" uniqueName="62" name="ContTol" queryTableFieldId="108"/>
    <tableColumn id="63" xr3:uid="{5574B64D-C57B-4583-88E5-7C220CE90B28}" uniqueName="63" name="RecorderId" queryTableFieldId="109"/>
    <tableColumn id="64" xr3:uid="{212CCB23-B0A1-4F6B-8C6E-643A9F48C72A}" uniqueName="64" name="Recorder" queryTableFieldId="110"/>
    <tableColumn id="65" xr3:uid="{109F6B04-BE01-4CD6-8AA9-27C632ADC595}" uniqueName="65" name="RecSN" queryTableFieldId="111"/>
    <tableColumn id="66" xr3:uid="{B82A29D0-4E2E-44AA-B7FA-02974B6BCFDD}" uniqueName="66" name="RecTol" queryTableFieldId="112"/>
    <tableColumn id="67" xr3:uid="{2ECA9573-809A-4373-8321-B454DE0A28F1}" uniqueName="67" name="FurnaceSpecificComments" queryTableFieldId="113" dataDxfId="70"/>
    <tableColumn id="68" xr3:uid="{895A48B8-6CBF-4457-B287-F10318335916}" uniqueName="68" name="TestLocation" queryTableFieldId="114" dataDxfId="69"/>
    <tableColumn id="69" xr3:uid="{3F213C3F-AE5A-49B2-8A95-168D116825B3}" uniqueName="69" name="OvenLocation" queryTableFieldId="115" dataDxfId="68"/>
    <tableColumn id="70" xr3:uid="{2B5FE286-D07E-4183-8207-EA233DFC709B}" uniqueName="70" name="Condition" queryTableFieldId="116" dataDxfId="67"/>
    <tableColumn id="71" xr3:uid="{38A67217-EBB2-4446-BD29-DE7A6B8BA6F5}" uniqueName="71" name="PB" queryTableFieldId="117"/>
    <tableColumn id="72" xr3:uid="{B9750285-812B-473E-9897-1CBF214B4C87}" uniqueName="72" name="Derivative" queryTableFieldId="118"/>
    <tableColumn id="73" xr3:uid="{AB0D0231-15F9-4184-9079-21F4E81F2DBF}" uniqueName="73" name="Integral" queryTableFieldId="119"/>
    <tableColumn id="74" xr3:uid="{A21752EB-449A-4006-A28F-47DFE56FC0B0}" uniqueName="74" name="Other1" queryTableFieldId="120"/>
    <tableColumn id="75" xr3:uid="{D24551E0-96B5-4D20-BC0A-BD7A768570F4}" uniqueName="75" name="Other2" queryTableFieldId="121"/>
    <tableColumn id="76" xr3:uid="{E7EFF71A-9C20-45EC-AF65-D24CDF9882E2}" uniqueName="76" name="CheckRec" queryTableFieldId="122"/>
    <tableColumn id="77" xr3:uid="{FDCDF5ED-0E5B-438E-869E-211F2E2BC0E2}" uniqueName="77" name="Load" queryTableFieldId="123" dataDxfId="66"/>
    <tableColumn id="78" xr3:uid="{ED9701C8-9F0B-48C7-B47D-170497AB5517}" uniqueName="78" name="LagLimit" queryTableFieldId="124"/>
    <tableColumn id="79" xr3:uid="{7E9DE4B4-1780-4221-B1A6-9BFA01E1561E}" uniqueName="79" name="RecoveryLimit" queryTableFieldId="12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51"/>
    <tableColumn id="3" xr3:uid="{E88E0260-3227-45C4-8780-42D2D8D460DF}" name="SAT TOL" dataDxfId="150">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9" dataDxfId="148" tableBorderDxfId="147">
  <autoFilter ref="AG2:AS3" xr:uid="{B114758F-16E1-4C54-AA0B-E7F64DE85242}"/>
  <tableColumns count="13">
    <tableColumn id="1" xr3:uid="{0D0312AF-C987-4CC8-97F8-A45434AD138A}" name="Time" dataDxfId="146" dataCellStyle="Normal 3"/>
    <tableColumn id="2" xr3:uid="{E5CD88A1-1988-41C9-8D07-30908E60C0B6}" name="29" dataDxfId="145" dataCellStyle="Normal 3"/>
    <tableColumn id="3" xr3:uid="{52334E52-C590-4A01-82BC-CCC9DA2C2817}" name="30" dataDxfId="144" dataCellStyle="Normal 3"/>
    <tableColumn id="4" xr3:uid="{145DAD22-055B-47E2-958D-C0E0B68ECCC8}" name="31" dataDxfId="143" dataCellStyle="Normal 3"/>
    <tableColumn id="5" xr3:uid="{09C3BF4E-C2AE-4497-AAA2-CF5A8A70B030}" name="32" dataDxfId="142" dataCellStyle="Normal 3"/>
    <tableColumn id="6" xr3:uid="{E9F444F5-7F75-4B80-BC2D-E9E92BB7C32D}" name="33" dataDxfId="141" dataCellStyle="Normal 3"/>
    <tableColumn id="7" xr3:uid="{C42F56B6-C38E-41DC-811A-50AF69D04B80}" name="34" dataDxfId="140" dataCellStyle="Normal 3"/>
    <tableColumn id="8" xr3:uid="{1930235F-D2C0-482D-8CC0-6B3AC765E7EA}" name="35" dataDxfId="139" dataCellStyle="Normal 3"/>
    <tableColumn id="9" xr3:uid="{6FCF613B-A86F-4DC6-9CC5-0A1E44E3DFE0}" name="36" dataDxfId="138" dataCellStyle="Normal 3"/>
    <tableColumn id="10" xr3:uid="{19EA3429-FD7E-4BA0-96B7-70F520D9FE0F}" name="37" dataDxfId="137" dataCellStyle="Normal 3"/>
    <tableColumn id="11" xr3:uid="{A5D0DAE1-1017-4DE3-AEA6-1BAF97E0FBDC}" name="38" dataDxfId="136" dataCellStyle="Normal 3"/>
    <tableColumn id="12" xr3:uid="{ABC8E507-1120-436F-9E9F-E3A8852E2E1A}" name="39" dataDxfId="135"/>
    <tableColumn id="13" xr3:uid="{C69AC669-10C2-4E64-9F60-B4AA135FB3DF}" name="40" dataDxfId="13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3" tableBorderDxfId="132">
  <autoFilter ref="Q2:AE3" xr:uid="{6D9D14EA-1966-4240-9028-DABDD72BB7BC}"/>
  <tableColumns count="15">
    <tableColumn id="1" xr3:uid="{F199066A-0899-4173-8784-FC618D5EFA3C}" name="Time" dataDxfId="131" dataCellStyle="Normal 3"/>
    <tableColumn id="2" xr3:uid="{DB040280-BEC7-49AA-A925-A050027B33E3}" name="15" dataDxfId="130" dataCellStyle="Normal 3"/>
    <tableColumn id="3" xr3:uid="{5D74EEBF-1FB4-4DF9-8EDD-C656F929ADA2}" name="16" dataDxfId="129" dataCellStyle="Normal 3"/>
    <tableColumn id="4" xr3:uid="{B1176DF8-22B4-4741-A534-22D0C72EF1F0}" name="17" dataDxfId="128" dataCellStyle="Normal 3"/>
    <tableColumn id="5" xr3:uid="{1E29EA65-5182-4B3E-817F-0D30B2884EC7}" name="18" dataDxfId="127" dataCellStyle="Normal 3"/>
    <tableColumn id="6" xr3:uid="{AF53AEFB-F310-4F08-91BC-82FB0F484ECA}" name="19" dataDxfId="126" dataCellStyle="Normal 3"/>
    <tableColumn id="7" xr3:uid="{EE472F61-D1B5-43CF-A661-FA1D47001C17}" name="20" dataDxfId="125" dataCellStyle="Normal 3"/>
    <tableColumn id="8" xr3:uid="{841D54C1-AB74-4CB1-8C7F-C38D11EFAD3F}" name="21" dataDxfId="124" dataCellStyle="Normal 3"/>
    <tableColumn id="9" xr3:uid="{F1FB485B-DEAA-4958-8C40-80934EA1437F}" name="22" dataDxfId="123" dataCellStyle="Normal 3"/>
    <tableColumn id="10" xr3:uid="{5C552A76-BD54-46C5-93AD-8F25289FA051}" name="23" dataDxfId="122" dataCellStyle="Normal 3"/>
    <tableColumn id="11" xr3:uid="{B20FA5F1-0522-49D0-9B5A-34570A8AE6EA}" name="24" dataDxfId="121" dataCellStyle="Normal 3"/>
    <tableColumn id="12" xr3:uid="{0BC87A98-B9AC-4CD6-9F9B-D04190073E2A}" name="25" dataDxfId="120"/>
    <tableColumn id="13" xr3:uid="{D62EA80B-BBE3-4A29-89AB-EE04C6E03547}" name="26" dataDxfId="119"/>
    <tableColumn id="14" xr3:uid="{6D7DE537-763F-40F1-AC16-33F228CBC8D1}" name="27" dataDxfId="118"/>
    <tableColumn id="15" xr3:uid="{F8FA9620-DB21-4BAE-8D97-FF38B70679C9}" name="28" dataDxfId="11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6" dataDxfId="115" tableBorderDxfId="114">
  <autoFilter ref="A2:O3" xr:uid="{73A9D9BA-FF58-4A3F-98F7-9A835492E25D}"/>
  <tableColumns count="15">
    <tableColumn id="1" xr3:uid="{73B888B4-4146-4E26-9B39-0FC537A113C8}" name="Time" dataDxfId="113" dataCellStyle="Normal 3"/>
    <tableColumn id="2" xr3:uid="{6F1EF879-7C87-4A56-A394-30C6E5BDB32A}" name="1" dataDxfId="112" dataCellStyle="Normal 3"/>
    <tableColumn id="3" xr3:uid="{B2FA8A6A-D50A-41E8-942A-379C757B6A2B}" name="2" dataDxfId="111" dataCellStyle="Normal 3"/>
    <tableColumn id="4" xr3:uid="{F92FE975-D84B-4B73-B49D-3B746FAA3D21}" name="3" dataDxfId="110" dataCellStyle="Normal 3"/>
    <tableColumn id="5" xr3:uid="{7820E0E9-F621-4361-A572-234B3CB7F864}" name="4" dataDxfId="109" dataCellStyle="Normal 3"/>
    <tableColumn id="6" xr3:uid="{A46C0BCA-2139-4CD3-B02F-C4D3F8E65309}" name="5" dataDxfId="108" dataCellStyle="Normal 3"/>
    <tableColumn id="7" xr3:uid="{334BDF50-1D79-41BC-BA09-7B69018332AE}" name="6" dataDxfId="107" dataCellStyle="Normal 3"/>
    <tableColumn id="8" xr3:uid="{6C11BC6A-3E21-4CDE-9CD4-C8EBCF50B6DB}" name="7" dataDxfId="106" dataCellStyle="Normal 3"/>
    <tableColumn id="9" xr3:uid="{1EEEA607-5177-4C19-A1BC-B12D19FF055B}" name="8" dataDxfId="105" dataCellStyle="Normal 3"/>
    <tableColumn id="10" xr3:uid="{ACF909CE-C221-4157-9298-18F2C140C147}" name="9" dataDxfId="104" dataCellStyle="Normal 3"/>
    <tableColumn id="11" xr3:uid="{182688D3-AD0D-4518-A7FE-0C281ABCDF76}" name="10" dataDxfId="103" dataCellStyle="Normal 3"/>
    <tableColumn id="12" xr3:uid="{54AFFA30-00C2-440A-92A2-139F62F751BE}" name="11" dataDxfId="102"/>
    <tableColumn id="13" xr3:uid="{DCF0B43C-F320-4031-91C6-8514285AF6CA}" name="12" dataDxfId="101"/>
    <tableColumn id="14" xr3:uid="{53A56FC8-0536-4D94-A335-FFCBCBEAF45E}" name="13" dataDxfId="100"/>
    <tableColumn id="15" xr3:uid="{F49FEB6E-05C2-4E90-A6CE-A0C9C694642A}" name="14" dataDxfId="99"/>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98" dataDxfId="97">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96"/>
    <tableColumn id="3" xr3:uid="{5F5E8FED-27C7-498A-86F2-8DE1BF0A773A}" uniqueName="3" name="Address2" queryTableFieldId="82" dataDxfId="95"/>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4"/>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93" dataDxfId="92">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1"/>
    <tableColumn id="3" xr3:uid="{A4F2902A-51C9-47F2-ABB5-33476BF6B798}" uniqueName="3" name="login_email" queryTableFieldId="5"/>
    <tableColumn id="4" xr3:uid="{93F361AC-D356-4A7B-A6F2-34FB0F71E2F6}" uniqueName="4" name="IsPyro" queryTableFieldId="7" dataDxf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9" dataDxfId="88" headerRowCellStyle="Normal 2" dataCellStyle="Normal 2">
  <autoFilter ref="U11:V25" xr:uid="{DCCFF26E-EC5C-4962-98DB-A7DA1F3C8CE2}"/>
  <tableColumns count="2">
    <tableColumn id="1" xr3:uid="{DFC40837-B092-4826-9847-4A23BE22020F}" name="4" dataDxfId="87" dataCellStyle="Normal 2"/>
    <tableColumn id="2" xr3:uid="{0711DB07-19DA-4D5E-A417-C242A0304453}" name="10" dataDxfId="8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5.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905</v>
      </c>
      <c r="E1" s="36" t="s">
        <v>906</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403</v>
      </c>
      <c r="B1" t="s">
        <v>544</v>
      </c>
      <c r="C1" t="s">
        <v>545</v>
      </c>
      <c r="D1" t="s">
        <v>546</v>
      </c>
      <c r="E1" t="s">
        <v>547</v>
      </c>
      <c r="F1" t="s">
        <v>542</v>
      </c>
      <c r="G1" t="s">
        <v>532</v>
      </c>
      <c r="H1" t="s">
        <v>513</v>
      </c>
      <c r="I1" t="s">
        <v>533</v>
      </c>
      <c r="J1" t="s">
        <v>518</v>
      </c>
      <c r="K1" t="s">
        <v>519</v>
      </c>
      <c r="L1" t="s">
        <v>520</v>
      </c>
      <c r="M1" t="s">
        <v>534</v>
      </c>
      <c r="N1" t="s">
        <v>401</v>
      </c>
      <c r="O1" t="s">
        <v>402</v>
      </c>
      <c r="P1" t="s">
        <v>404</v>
      </c>
      <c r="Q1" t="s">
        <v>522</v>
      </c>
      <c r="R1" t="s">
        <v>523</v>
      </c>
      <c r="S1" t="s">
        <v>524</v>
      </c>
      <c r="T1" t="s">
        <v>521</v>
      </c>
      <c r="U1" t="s">
        <v>535</v>
      </c>
      <c r="V1" t="s">
        <v>536</v>
      </c>
      <c r="W1" t="s">
        <v>525</v>
      </c>
      <c r="X1" t="s">
        <v>526</v>
      </c>
      <c r="Y1" t="s">
        <v>527</v>
      </c>
      <c r="Z1" t="s">
        <v>514</v>
      </c>
      <c r="AA1" t="s">
        <v>515</v>
      </c>
      <c r="AB1" t="s">
        <v>516</v>
      </c>
      <c r="AC1" t="s">
        <v>517</v>
      </c>
      <c r="AD1" t="s">
        <v>405</v>
      </c>
      <c r="AE1" t="s">
        <v>406</v>
      </c>
      <c r="AF1" t="s">
        <v>530</v>
      </c>
      <c r="AG1" t="s">
        <v>531</v>
      </c>
      <c r="AH1" t="s">
        <v>528</v>
      </c>
      <c r="AI1" t="s">
        <v>529</v>
      </c>
      <c r="AJ1" t="s">
        <v>543</v>
      </c>
      <c r="AK1" t="s">
        <v>548</v>
      </c>
      <c r="AL1" t="s">
        <v>549</v>
      </c>
    </row>
    <row r="2" spans="1:38" x14ac:dyDescent="0.2">
      <c r="A2">
        <v>1235344</v>
      </c>
      <c r="B2">
        <v>6864835</v>
      </c>
      <c r="C2">
        <v>7653243</v>
      </c>
      <c r="E2" t="b">
        <v>0</v>
      </c>
      <c r="G2" t="s">
        <v>572</v>
      </c>
      <c r="I2" t="s">
        <v>573</v>
      </c>
      <c r="J2" t="s">
        <v>537</v>
      </c>
      <c r="K2" t="s">
        <v>537</v>
      </c>
      <c r="L2" t="s">
        <v>537</v>
      </c>
      <c r="M2" t="s">
        <v>574</v>
      </c>
      <c r="N2" t="s">
        <v>407</v>
      </c>
      <c r="O2" t="s">
        <v>329</v>
      </c>
      <c r="P2" t="s">
        <v>115</v>
      </c>
      <c r="V2" t="s">
        <v>575</v>
      </c>
      <c r="Y2" t="s">
        <v>576</v>
      </c>
      <c r="AD2" t="s">
        <v>328</v>
      </c>
      <c r="AE2" t="s">
        <v>408</v>
      </c>
      <c r="AJ2" t="s">
        <v>577</v>
      </c>
      <c r="AK2" t="s">
        <v>578</v>
      </c>
      <c r="AL2" t="s">
        <v>579</v>
      </c>
    </row>
    <row r="3" spans="1:38" x14ac:dyDescent="0.2">
      <c r="A3">
        <v>1235555</v>
      </c>
      <c r="B3">
        <v>8036587</v>
      </c>
      <c r="C3">
        <v>7589603</v>
      </c>
      <c r="E3" t="b">
        <v>0</v>
      </c>
      <c r="F3">
        <v>72040</v>
      </c>
      <c r="G3" t="s">
        <v>580</v>
      </c>
      <c r="H3">
        <v>1</v>
      </c>
      <c r="I3" t="s">
        <v>581</v>
      </c>
      <c r="J3" t="s">
        <v>538</v>
      </c>
      <c r="K3" t="s">
        <v>537</v>
      </c>
      <c r="L3" t="s">
        <v>539</v>
      </c>
      <c r="M3" t="s">
        <v>582</v>
      </c>
      <c r="N3" t="s">
        <v>451</v>
      </c>
      <c r="O3" t="s">
        <v>221</v>
      </c>
      <c r="P3" t="s">
        <v>429</v>
      </c>
      <c r="S3" t="s">
        <v>583</v>
      </c>
      <c r="U3" t="s">
        <v>584</v>
      </c>
      <c r="V3" t="s">
        <v>585</v>
      </c>
      <c r="W3" t="s">
        <v>446</v>
      </c>
      <c r="X3" t="s">
        <v>540</v>
      </c>
      <c r="Y3" t="s">
        <v>586</v>
      </c>
      <c r="Z3" t="s">
        <v>552</v>
      </c>
      <c r="AB3" t="s">
        <v>578</v>
      </c>
      <c r="AD3" t="s">
        <v>541</v>
      </c>
      <c r="AE3" t="s">
        <v>541</v>
      </c>
      <c r="AF3">
        <v>0</v>
      </c>
      <c r="AG3">
        <v>0</v>
      </c>
      <c r="AH3">
        <v>46</v>
      </c>
      <c r="AI3">
        <v>0</v>
      </c>
      <c r="AJ3" t="s">
        <v>554</v>
      </c>
      <c r="AK3" t="s">
        <v>578</v>
      </c>
      <c r="AL3" t="s">
        <v>587</v>
      </c>
    </row>
    <row r="4" spans="1:38" x14ac:dyDescent="0.2">
      <c r="A4">
        <v>1235388</v>
      </c>
      <c r="B4">
        <v>7537859</v>
      </c>
      <c r="C4">
        <v>187510</v>
      </c>
      <c r="E4" t="b">
        <v>0</v>
      </c>
      <c r="F4">
        <v>62285</v>
      </c>
      <c r="G4" t="s">
        <v>588</v>
      </c>
      <c r="H4">
        <v>1</v>
      </c>
      <c r="I4" t="s">
        <v>589</v>
      </c>
      <c r="J4" t="s">
        <v>538</v>
      </c>
      <c r="K4" t="s">
        <v>537</v>
      </c>
      <c r="L4" t="s">
        <v>539</v>
      </c>
      <c r="M4" t="s">
        <v>590</v>
      </c>
      <c r="N4" t="s">
        <v>411</v>
      </c>
      <c r="O4" t="s">
        <v>229</v>
      </c>
      <c r="P4" t="s">
        <v>412</v>
      </c>
      <c r="S4" t="s">
        <v>591</v>
      </c>
      <c r="U4" t="s">
        <v>592</v>
      </c>
      <c r="V4" t="s">
        <v>593</v>
      </c>
      <c r="W4" t="s">
        <v>594</v>
      </c>
      <c r="X4" t="s">
        <v>540</v>
      </c>
      <c r="Y4" t="s">
        <v>586</v>
      </c>
      <c r="Z4" t="s">
        <v>552</v>
      </c>
      <c r="AA4" t="s">
        <v>22</v>
      </c>
      <c r="AB4" t="s">
        <v>595</v>
      </c>
      <c r="AD4" t="s">
        <v>228</v>
      </c>
      <c r="AE4" t="s">
        <v>413</v>
      </c>
      <c r="AF4">
        <v>0</v>
      </c>
      <c r="AG4">
        <v>0</v>
      </c>
      <c r="AH4">
        <v>70</v>
      </c>
      <c r="AI4">
        <v>0</v>
      </c>
      <c r="AJ4" t="s">
        <v>554</v>
      </c>
      <c r="AK4" t="s">
        <v>595</v>
      </c>
      <c r="AL4" t="s">
        <v>555</v>
      </c>
    </row>
    <row r="5" spans="1:38" x14ac:dyDescent="0.2">
      <c r="A5">
        <v>1235682</v>
      </c>
      <c r="B5">
        <v>7943647</v>
      </c>
      <c r="C5">
        <v>187508</v>
      </c>
      <c r="E5" t="b">
        <v>0</v>
      </c>
      <c r="F5">
        <v>69999</v>
      </c>
      <c r="G5" t="s">
        <v>596</v>
      </c>
      <c r="H5">
        <v>1</v>
      </c>
      <c r="I5" t="s">
        <v>597</v>
      </c>
      <c r="J5" t="s">
        <v>538</v>
      </c>
      <c r="K5" t="s">
        <v>539</v>
      </c>
      <c r="L5" t="s">
        <v>539</v>
      </c>
      <c r="M5" t="s">
        <v>598</v>
      </c>
      <c r="N5" t="s">
        <v>480</v>
      </c>
      <c r="O5" t="s">
        <v>47</v>
      </c>
      <c r="S5" t="s">
        <v>550</v>
      </c>
      <c r="U5" t="s">
        <v>599</v>
      </c>
      <c r="V5" t="s">
        <v>600</v>
      </c>
      <c r="W5" t="s">
        <v>446</v>
      </c>
      <c r="X5" t="s">
        <v>540</v>
      </c>
      <c r="Y5" t="s">
        <v>551</v>
      </c>
      <c r="Z5" t="s">
        <v>552</v>
      </c>
      <c r="AA5" t="s">
        <v>22</v>
      </c>
      <c r="AB5" t="s">
        <v>553</v>
      </c>
      <c r="AD5" t="s">
        <v>481</v>
      </c>
      <c r="AE5" t="s">
        <v>426</v>
      </c>
      <c r="AF5">
        <v>0</v>
      </c>
      <c r="AG5">
        <v>0</v>
      </c>
      <c r="AH5">
        <v>392.75</v>
      </c>
      <c r="AI5">
        <v>0</v>
      </c>
      <c r="AJ5" t="s">
        <v>554</v>
      </c>
      <c r="AK5" t="s">
        <v>553</v>
      </c>
      <c r="AL5" t="s">
        <v>555</v>
      </c>
    </row>
    <row r="6" spans="1:38" x14ac:dyDescent="0.2">
      <c r="A6">
        <v>1235426</v>
      </c>
      <c r="B6">
        <v>8035840</v>
      </c>
      <c r="C6">
        <v>187508</v>
      </c>
      <c r="E6" t="b">
        <v>0</v>
      </c>
      <c r="F6">
        <v>72024</v>
      </c>
      <c r="G6" t="s">
        <v>559</v>
      </c>
      <c r="H6">
        <v>1</v>
      </c>
      <c r="I6" t="s">
        <v>560</v>
      </c>
      <c r="J6" t="s">
        <v>538</v>
      </c>
      <c r="K6" t="s">
        <v>539</v>
      </c>
      <c r="L6" t="s">
        <v>539</v>
      </c>
      <c r="M6" t="s">
        <v>601</v>
      </c>
      <c r="N6" t="s">
        <v>424</v>
      </c>
      <c r="O6" t="s">
        <v>54</v>
      </c>
      <c r="S6" t="s">
        <v>550</v>
      </c>
      <c r="U6" t="s">
        <v>602</v>
      </c>
      <c r="V6" t="s">
        <v>603</v>
      </c>
      <c r="W6" t="s">
        <v>446</v>
      </c>
      <c r="X6" t="s">
        <v>540</v>
      </c>
      <c r="Y6" t="s">
        <v>551</v>
      </c>
      <c r="Z6" t="s">
        <v>552</v>
      </c>
      <c r="AA6" t="s">
        <v>22</v>
      </c>
      <c r="AB6" t="s">
        <v>553</v>
      </c>
      <c r="AD6" t="s">
        <v>425</v>
      </c>
      <c r="AE6" t="s">
        <v>426</v>
      </c>
      <c r="AF6">
        <v>0</v>
      </c>
      <c r="AG6">
        <v>0</v>
      </c>
      <c r="AH6">
        <v>392.75</v>
      </c>
      <c r="AI6">
        <v>0</v>
      </c>
      <c r="AJ6" t="s">
        <v>554</v>
      </c>
      <c r="AK6" t="s">
        <v>553</v>
      </c>
      <c r="AL6" t="s">
        <v>555</v>
      </c>
    </row>
    <row r="7" spans="1:38" x14ac:dyDescent="0.2">
      <c r="A7">
        <v>1235686</v>
      </c>
      <c r="B7">
        <v>8143520</v>
      </c>
      <c r="C7">
        <v>187508</v>
      </c>
      <c r="E7" t="b">
        <v>0</v>
      </c>
      <c r="F7">
        <v>73531</v>
      </c>
      <c r="G7" t="s">
        <v>557</v>
      </c>
      <c r="H7">
        <v>1</v>
      </c>
      <c r="I7" t="s">
        <v>558</v>
      </c>
      <c r="J7" t="s">
        <v>538</v>
      </c>
      <c r="K7" t="s">
        <v>539</v>
      </c>
      <c r="L7" t="s">
        <v>539</v>
      </c>
      <c r="M7" t="s">
        <v>604</v>
      </c>
      <c r="N7" t="s">
        <v>482</v>
      </c>
      <c r="O7" t="s">
        <v>55</v>
      </c>
      <c r="S7" t="s">
        <v>550</v>
      </c>
      <c r="U7" t="s">
        <v>605</v>
      </c>
      <c r="V7" t="s">
        <v>606</v>
      </c>
      <c r="W7" t="s">
        <v>446</v>
      </c>
      <c r="X7" t="s">
        <v>540</v>
      </c>
      <c r="Y7" t="s">
        <v>551</v>
      </c>
      <c r="Z7" t="s">
        <v>552</v>
      </c>
      <c r="AA7" t="s">
        <v>22</v>
      </c>
      <c r="AB7" t="s">
        <v>553</v>
      </c>
      <c r="AD7" t="s">
        <v>483</v>
      </c>
      <c r="AE7" t="s">
        <v>484</v>
      </c>
      <c r="AF7">
        <v>0</v>
      </c>
      <c r="AG7">
        <v>0</v>
      </c>
      <c r="AH7">
        <v>392.75</v>
      </c>
      <c r="AI7">
        <v>0</v>
      </c>
      <c r="AJ7" t="s">
        <v>554</v>
      </c>
      <c r="AK7" t="s">
        <v>553</v>
      </c>
      <c r="AL7" t="s">
        <v>555</v>
      </c>
    </row>
    <row r="8" spans="1:38" x14ac:dyDescent="0.2">
      <c r="A8">
        <v>1235630</v>
      </c>
      <c r="B8">
        <v>7925909</v>
      </c>
      <c r="C8">
        <v>187508</v>
      </c>
      <c r="E8" t="b">
        <v>0</v>
      </c>
      <c r="F8">
        <v>69663</v>
      </c>
      <c r="G8" t="s">
        <v>607</v>
      </c>
      <c r="H8">
        <v>1</v>
      </c>
      <c r="I8" t="s">
        <v>608</v>
      </c>
      <c r="J8" t="s">
        <v>538</v>
      </c>
      <c r="K8" t="s">
        <v>539</v>
      </c>
      <c r="L8" t="s">
        <v>539</v>
      </c>
      <c r="M8" t="s">
        <v>609</v>
      </c>
      <c r="N8" t="s">
        <v>469</v>
      </c>
      <c r="O8" t="s">
        <v>109</v>
      </c>
      <c r="S8" t="s">
        <v>550</v>
      </c>
      <c r="U8" t="s">
        <v>610</v>
      </c>
      <c r="V8" t="s">
        <v>611</v>
      </c>
      <c r="W8" t="s">
        <v>446</v>
      </c>
      <c r="X8" t="s">
        <v>540</v>
      </c>
      <c r="Y8" t="s">
        <v>551</v>
      </c>
      <c r="Z8" t="s">
        <v>552</v>
      </c>
      <c r="AA8" t="s">
        <v>22</v>
      </c>
      <c r="AB8" t="s">
        <v>553</v>
      </c>
      <c r="AD8" t="s">
        <v>470</v>
      </c>
      <c r="AE8" t="s">
        <v>426</v>
      </c>
      <c r="AF8">
        <v>0</v>
      </c>
      <c r="AG8">
        <v>0</v>
      </c>
      <c r="AH8">
        <v>392.75</v>
      </c>
      <c r="AI8">
        <v>0</v>
      </c>
      <c r="AJ8" t="s">
        <v>554</v>
      </c>
      <c r="AK8" t="s">
        <v>553</v>
      </c>
      <c r="AL8" t="s">
        <v>555</v>
      </c>
    </row>
    <row r="9" spans="1:38" x14ac:dyDescent="0.2">
      <c r="A9">
        <v>1235561</v>
      </c>
      <c r="B9">
        <v>7925915</v>
      </c>
      <c r="C9">
        <v>187508</v>
      </c>
      <c r="E9" t="b">
        <v>0</v>
      </c>
      <c r="F9">
        <v>69665</v>
      </c>
      <c r="G9" t="s">
        <v>612</v>
      </c>
      <c r="H9">
        <v>1</v>
      </c>
      <c r="I9" t="s">
        <v>613</v>
      </c>
      <c r="J9" t="s">
        <v>538</v>
      </c>
      <c r="K9" t="s">
        <v>539</v>
      </c>
      <c r="L9" t="s">
        <v>539</v>
      </c>
      <c r="M9" t="s">
        <v>614</v>
      </c>
      <c r="N9" t="s">
        <v>452</v>
      </c>
      <c r="O9" t="s">
        <v>113</v>
      </c>
      <c r="S9" t="s">
        <v>550</v>
      </c>
      <c r="U9" t="s">
        <v>610</v>
      </c>
      <c r="V9" t="s">
        <v>615</v>
      </c>
      <c r="W9" t="s">
        <v>446</v>
      </c>
      <c r="X9" t="s">
        <v>540</v>
      </c>
      <c r="Y9" t="s">
        <v>551</v>
      </c>
      <c r="Z9" t="s">
        <v>552</v>
      </c>
      <c r="AA9" t="s">
        <v>22</v>
      </c>
      <c r="AB9" t="s">
        <v>553</v>
      </c>
      <c r="AD9" t="s">
        <v>453</v>
      </c>
      <c r="AE9" t="s">
        <v>454</v>
      </c>
      <c r="AF9">
        <v>0</v>
      </c>
      <c r="AG9">
        <v>0</v>
      </c>
      <c r="AH9">
        <v>392.75</v>
      </c>
      <c r="AI9">
        <v>0</v>
      </c>
      <c r="AJ9" t="s">
        <v>554</v>
      </c>
      <c r="AK9" t="s">
        <v>553</v>
      </c>
      <c r="AL9" t="s">
        <v>555</v>
      </c>
    </row>
    <row r="10" spans="1:38" x14ac:dyDescent="0.2">
      <c r="A10">
        <v>1235543</v>
      </c>
      <c r="B10">
        <v>8075187</v>
      </c>
      <c r="C10">
        <v>187508</v>
      </c>
      <c r="E10" t="b">
        <v>0</v>
      </c>
      <c r="F10">
        <v>72822</v>
      </c>
      <c r="G10" t="s">
        <v>616</v>
      </c>
      <c r="H10">
        <v>1</v>
      </c>
      <c r="I10" t="s">
        <v>617</v>
      </c>
      <c r="J10" t="s">
        <v>538</v>
      </c>
      <c r="K10" t="s">
        <v>539</v>
      </c>
      <c r="L10" t="s">
        <v>539</v>
      </c>
      <c r="M10" t="s">
        <v>618</v>
      </c>
      <c r="N10" t="s">
        <v>449</v>
      </c>
      <c r="O10" t="s">
        <v>112</v>
      </c>
      <c r="S10" t="s">
        <v>550</v>
      </c>
      <c r="U10" t="s">
        <v>619</v>
      </c>
      <c r="V10" t="s">
        <v>620</v>
      </c>
      <c r="W10" t="s">
        <v>446</v>
      </c>
      <c r="X10" t="s">
        <v>540</v>
      </c>
      <c r="Y10" t="s">
        <v>551</v>
      </c>
      <c r="Z10" t="s">
        <v>552</v>
      </c>
      <c r="AA10" t="s">
        <v>22</v>
      </c>
      <c r="AB10" t="s">
        <v>553</v>
      </c>
      <c r="AD10" t="s">
        <v>425</v>
      </c>
      <c r="AE10" t="s">
        <v>450</v>
      </c>
      <c r="AF10">
        <v>0</v>
      </c>
      <c r="AG10">
        <v>0</v>
      </c>
      <c r="AH10">
        <v>392.75</v>
      </c>
      <c r="AI10">
        <v>0</v>
      </c>
      <c r="AJ10" t="s">
        <v>554</v>
      </c>
      <c r="AK10" t="s">
        <v>553</v>
      </c>
      <c r="AL10" t="s">
        <v>555</v>
      </c>
    </row>
    <row r="11" spans="1:38" x14ac:dyDescent="0.2">
      <c r="A11">
        <v>1235622</v>
      </c>
      <c r="B11">
        <v>7925914</v>
      </c>
      <c r="C11">
        <v>187508</v>
      </c>
      <c r="E11" t="b">
        <v>0</v>
      </c>
      <c r="F11">
        <v>69664</v>
      </c>
      <c r="G11" t="s">
        <v>621</v>
      </c>
      <c r="H11">
        <v>1</v>
      </c>
      <c r="I11" t="s">
        <v>622</v>
      </c>
      <c r="J11" t="s">
        <v>538</v>
      </c>
      <c r="K11" t="s">
        <v>539</v>
      </c>
      <c r="L11" t="s">
        <v>539</v>
      </c>
      <c r="M11" t="s">
        <v>623</v>
      </c>
      <c r="N11" t="s">
        <v>464</v>
      </c>
      <c r="O11" t="s">
        <v>157</v>
      </c>
      <c r="S11" t="s">
        <v>550</v>
      </c>
      <c r="U11" t="s">
        <v>610</v>
      </c>
      <c r="V11" t="s">
        <v>624</v>
      </c>
      <c r="W11" t="s">
        <v>446</v>
      </c>
      <c r="X11" t="s">
        <v>540</v>
      </c>
      <c r="Y11" t="s">
        <v>551</v>
      </c>
      <c r="Z11" t="s">
        <v>552</v>
      </c>
      <c r="AA11" t="s">
        <v>22</v>
      </c>
      <c r="AB11" t="s">
        <v>553</v>
      </c>
      <c r="AD11" t="s">
        <v>465</v>
      </c>
      <c r="AE11" t="s">
        <v>466</v>
      </c>
      <c r="AF11">
        <v>0</v>
      </c>
      <c r="AG11">
        <v>0</v>
      </c>
      <c r="AH11">
        <v>392.75</v>
      </c>
      <c r="AI11">
        <v>0</v>
      </c>
      <c r="AJ11" t="s">
        <v>554</v>
      </c>
      <c r="AK11" t="s">
        <v>553</v>
      </c>
      <c r="AL11" t="s">
        <v>555</v>
      </c>
    </row>
    <row r="12" spans="1:38" x14ac:dyDescent="0.2">
      <c r="A12">
        <v>1235403</v>
      </c>
      <c r="B12">
        <v>7975239</v>
      </c>
      <c r="C12">
        <v>187508</v>
      </c>
      <c r="E12" t="b">
        <v>0</v>
      </c>
      <c r="F12">
        <v>70613</v>
      </c>
      <c r="G12" t="s">
        <v>625</v>
      </c>
      <c r="H12">
        <v>3</v>
      </c>
      <c r="I12" t="s">
        <v>626</v>
      </c>
      <c r="J12" t="s">
        <v>538</v>
      </c>
      <c r="K12" t="s">
        <v>539</v>
      </c>
      <c r="L12" t="s">
        <v>539</v>
      </c>
      <c r="M12" t="s">
        <v>627</v>
      </c>
      <c r="N12" t="s">
        <v>419</v>
      </c>
      <c r="O12" t="s">
        <v>178</v>
      </c>
      <c r="P12" t="s">
        <v>107</v>
      </c>
      <c r="S12" t="s">
        <v>628</v>
      </c>
      <c r="U12" t="s">
        <v>629</v>
      </c>
      <c r="V12" t="s">
        <v>630</v>
      </c>
      <c r="W12" t="s">
        <v>446</v>
      </c>
      <c r="X12" t="s">
        <v>540</v>
      </c>
      <c r="Y12" t="s">
        <v>551</v>
      </c>
      <c r="Z12" t="s">
        <v>552</v>
      </c>
      <c r="AA12" t="s">
        <v>22</v>
      </c>
      <c r="AB12" t="s">
        <v>553</v>
      </c>
      <c r="AD12" t="s">
        <v>177</v>
      </c>
      <c r="AE12" t="s">
        <v>420</v>
      </c>
      <c r="AF12">
        <v>0</v>
      </c>
      <c r="AG12">
        <v>0</v>
      </c>
      <c r="AH12">
        <v>418.5</v>
      </c>
      <c r="AI12">
        <v>0</v>
      </c>
      <c r="AJ12" t="s">
        <v>554</v>
      </c>
      <c r="AK12" t="s">
        <v>553</v>
      </c>
      <c r="AL12" t="s">
        <v>555</v>
      </c>
    </row>
    <row r="13" spans="1:38" x14ac:dyDescent="0.2">
      <c r="A13">
        <v>1235569</v>
      </c>
      <c r="B13">
        <v>7975237</v>
      </c>
      <c r="C13">
        <v>187508</v>
      </c>
      <c r="E13" t="b">
        <v>0</v>
      </c>
      <c r="F13">
        <v>70613</v>
      </c>
      <c r="G13" t="s">
        <v>625</v>
      </c>
      <c r="H13">
        <v>1</v>
      </c>
      <c r="I13" t="s">
        <v>631</v>
      </c>
      <c r="J13" t="s">
        <v>538</v>
      </c>
      <c r="K13" t="s">
        <v>539</v>
      </c>
      <c r="L13" t="s">
        <v>539</v>
      </c>
      <c r="M13" t="s">
        <v>632</v>
      </c>
      <c r="N13" t="s">
        <v>459</v>
      </c>
      <c r="O13" t="s">
        <v>180</v>
      </c>
      <c r="P13" t="s">
        <v>460</v>
      </c>
      <c r="S13" t="s">
        <v>628</v>
      </c>
      <c r="U13" t="s">
        <v>629</v>
      </c>
      <c r="V13" t="s">
        <v>633</v>
      </c>
      <c r="W13" t="s">
        <v>446</v>
      </c>
      <c r="X13" t="s">
        <v>540</v>
      </c>
      <c r="Y13" t="s">
        <v>551</v>
      </c>
      <c r="Z13" t="s">
        <v>552</v>
      </c>
      <c r="AA13" t="s">
        <v>22</v>
      </c>
      <c r="AB13" t="s">
        <v>553</v>
      </c>
      <c r="AD13" t="s">
        <v>179</v>
      </c>
      <c r="AE13" t="s">
        <v>420</v>
      </c>
      <c r="AF13">
        <v>0</v>
      </c>
      <c r="AG13">
        <v>0</v>
      </c>
      <c r="AH13">
        <v>418.5</v>
      </c>
      <c r="AI13">
        <v>0</v>
      </c>
      <c r="AJ13" t="s">
        <v>554</v>
      </c>
      <c r="AK13" t="s">
        <v>553</v>
      </c>
      <c r="AL13" t="s">
        <v>555</v>
      </c>
    </row>
    <row r="14" spans="1:38" x14ac:dyDescent="0.2">
      <c r="A14">
        <v>1235743</v>
      </c>
      <c r="B14">
        <v>7975241</v>
      </c>
      <c r="C14">
        <v>187508</v>
      </c>
      <c r="E14" t="b">
        <v>0</v>
      </c>
      <c r="F14">
        <v>70613</v>
      </c>
      <c r="G14" t="s">
        <v>625</v>
      </c>
      <c r="H14">
        <v>5</v>
      </c>
      <c r="I14" t="s">
        <v>634</v>
      </c>
      <c r="J14" t="s">
        <v>538</v>
      </c>
      <c r="K14" t="s">
        <v>539</v>
      </c>
      <c r="L14" t="s">
        <v>539</v>
      </c>
      <c r="M14" t="s">
        <v>635</v>
      </c>
      <c r="N14" t="s">
        <v>486</v>
      </c>
      <c r="O14" t="s">
        <v>488</v>
      </c>
      <c r="P14" t="s">
        <v>487</v>
      </c>
      <c r="S14" t="s">
        <v>628</v>
      </c>
      <c r="U14" t="s">
        <v>629</v>
      </c>
      <c r="V14" t="s">
        <v>636</v>
      </c>
      <c r="W14" t="s">
        <v>446</v>
      </c>
      <c r="X14" t="s">
        <v>540</v>
      </c>
      <c r="Y14" t="s">
        <v>551</v>
      </c>
      <c r="Z14" t="s">
        <v>552</v>
      </c>
      <c r="AA14" t="s">
        <v>22</v>
      </c>
      <c r="AB14" t="s">
        <v>553</v>
      </c>
      <c r="AD14" t="s">
        <v>489</v>
      </c>
      <c r="AE14" t="s">
        <v>420</v>
      </c>
      <c r="AF14">
        <v>0</v>
      </c>
      <c r="AG14">
        <v>0</v>
      </c>
      <c r="AH14">
        <v>418.5</v>
      </c>
      <c r="AI14">
        <v>0</v>
      </c>
      <c r="AJ14" t="s">
        <v>554</v>
      </c>
      <c r="AK14" t="s">
        <v>553</v>
      </c>
      <c r="AL14" t="s">
        <v>555</v>
      </c>
    </row>
    <row r="15" spans="1:38" x14ac:dyDescent="0.2">
      <c r="A15">
        <v>2550412</v>
      </c>
      <c r="B15">
        <v>7975245</v>
      </c>
      <c r="C15">
        <v>187508</v>
      </c>
      <c r="E15" t="b">
        <v>0</v>
      </c>
      <c r="F15">
        <v>70613</v>
      </c>
      <c r="G15" t="s">
        <v>625</v>
      </c>
      <c r="H15">
        <v>9</v>
      </c>
      <c r="I15" t="s">
        <v>637</v>
      </c>
      <c r="J15" t="s">
        <v>538</v>
      </c>
      <c r="K15" t="s">
        <v>539</v>
      </c>
      <c r="L15" t="s">
        <v>539</v>
      </c>
      <c r="M15" t="s">
        <v>638</v>
      </c>
      <c r="N15" t="s">
        <v>503</v>
      </c>
      <c r="O15" t="s">
        <v>504</v>
      </c>
      <c r="P15" t="s">
        <v>379</v>
      </c>
      <c r="S15" t="s">
        <v>628</v>
      </c>
      <c r="U15" t="s">
        <v>629</v>
      </c>
      <c r="V15" t="s">
        <v>639</v>
      </c>
      <c r="W15" t="s">
        <v>446</v>
      </c>
      <c r="X15" t="s">
        <v>540</v>
      </c>
      <c r="Y15" t="s">
        <v>551</v>
      </c>
      <c r="Z15" t="s">
        <v>552</v>
      </c>
      <c r="AA15" t="s">
        <v>22</v>
      </c>
      <c r="AB15" t="s">
        <v>553</v>
      </c>
      <c r="AD15" t="s">
        <v>505</v>
      </c>
      <c r="AE15" t="s">
        <v>506</v>
      </c>
      <c r="AF15">
        <v>0</v>
      </c>
      <c r="AG15">
        <v>0</v>
      </c>
      <c r="AH15">
        <v>418.5</v>
      </c>
      <c r="AI15">
        <v>0</v>
      </c>
      <c r="AJ15" t="s">
        <v>554</v>
      </c>
      <c r="AK15" t="s">
        <v>553</v>
      </c>
      <c r="AL15" t="s">
        <v>555</v>
      </c>
    </row>
    <row r="16" spans="1:38" x14ac:dyDescent="0.2">
      <c r="A16">
        <v>1446161</v>
      </c>
      <c r="B16">
        <v>7975243</v>
      </c>
      <c r="C16">
        <v>187508</v>
      </c>
      <c r="E16" t="b">
        <v>0</v>
      </c>
      <c r="F16">
        <v>70613</v>
      </c>
      <c r="G16" t="s">
        <v>625</v>
      </c>
      <c r="H16">
        <v>7</v>
      </c>
      <c r="I16" t="s">
        <v>640</v>
      </c>
      <c r="J16" t="s">
        <v>538</v>
      </c>
      <c r="K16" t="s">
        <v>539</v>
      </c>
      <c r="L16" t="s">
        <v>539</v>
      </c>
      <c r="M16" t="s">
        <v>641</v>
      </c>
      <c r="N16" t="s">
        <v>495</v>
      </c>
      <c r="O16" t="s">
        <v>497</v>
      </c>
      <c r="P16" t="s">
        <v>496</v>
      </c>
      <c r="S16" t="s">
        <v>628</v>
      </c>
      <c r="U16" t="s">
        <v>629</v>
      </c>
      <c r="V16" t="s">
        <v>642</v>
      </c>
      <c r="W16" t="s">
        <v>446</v>
      </c>
      <c r="X16" t="s">
        <v>540</v>
      </c>
      <c r="Y16" t="s">
        <v>551</v>
      </c>
      <c r="Z16" t="s">
        <v>552</v>
      </c>
      <c r="AA16" t="s">
        <v>22</v>
      </c>
      <c r="AB16" t="s">
        <v>553</v>
      </c>
      <c r="AD16" t="s">
        <v>498</v>
      </c>
      <c r="AE16" t="s">
        <v>420</v>
      </c>
      <c r="AF16">
        <v>0</v>
      </c>
      <c r="AG16">
        <v>0</v>
      </c>
      <c r="AH16">
        <v>418.5</v>
      </c>
      <c r="AI16">
        <v>0</v>
      </c>
      <c r="AJ16" t="s">
        <v>554</v>
      </c>
      <c r="AK16" t="s">
        <v>553</v>
      </c>
      <c r="AL16" t="s">
        <v>555</v>
      </c>
    </row>
    <row r="17" spans="1:38" x14ac:dyDescent="0.2">
      <c r="A17">
        <v>2701517</v>
      </c>
      <c r="B17">
        <v>7975246</v>
      </c>
      <c r="C17">
        <v>187508</v>
      </c>
      <c r="E17" t="b">
        <v>0</v>
      </c>
      <c r="F17">
        <v>70613</v>
      </c>
      <c r="G17" t="s">
        <v>625</v>
      </c>
      <c r="H17">
        <v>10</v>
      </c>
      <c r="I17" t="s">
        <v>643</v>
      </c>
      <c r="J17" t="s">
        <v>538</v>
      </c>
      <c r="K17" t="s">
        <v>539</v>
      </c>
      <c r="L17" t="s">
        <v>539</v>
      </c>
      <c r="M17" t="s">
        <v>644</v>
      </c>
      <c r="N17" t="s">
        <v>508</v>
      </c>
      <c r="O17" t="s">
        <v>510</v>
      </c>
      <c r="P17" t="s">
        <v>509</v>
      </c>
      <c r="S17" t="s">
        <v>628</v>
      </c>
      <c r="U17" t="s">
        <v>629</v>
      </c>
      <c r="V17" t="s">
        <v>645</v>
      </c>
      <c r="W17" t="s">
        <v>446</v>
      </c>
      <c r="X17" t="s">
        <v>540</v>
      </c>
      <c r="Y17" t="s">
        <v>551</v>
      </c>
      <c r="Z17" t="s">
        <v>552</v>
      </c>
      <c r="AA17" t="s">
        <v>22</v>
      </c>
      <c r="AB17" t="s">
        <v>553</v>
      </c>
      <c r="AD17" t="s">
        <v>181</v>
      </c>
      <c r="AE17" t="s">
        <v>420</v>
      </c>
      <c r="AF17">
        <v>0</v>
      </c>
      <c r="AG17">
        <v>0</v>
      </c>
      <c r="AH17">
        <v>418.5</v>
      </c>
      <c r="AI17">
        <v>0</v>
      </c>
      <c r="AJ17" t="s">
        <v>554</v>
      </c>
      <c r="AK17" t="s">
        <v>553</v>
      </c>
      <c r="AL17" t="s">
        <v>555</v>
      </c>
    </row>
    <row r="18" spans="1:38" x14ac:dyDescent="0.2">
      <c r="A18">
        <v>2336905</v>
      </c>
      <c r="B18">
        <v>7975244</v>
      </c>
      <c r="C18">
        <v>187508</v>
      </c>
      <c r="E18" t="b">
        <v>0</v>
      </c>
      <c r="F18">
        <v>70613</v>
      </c>
      <c r="G18" t="s">
        <v>625</v>
      </c>
      <c r="H18">
        <v>8</v>
      </c>
      <c r="I18" t="s">
        <v>646</v>
      </c>
      <c r="J18" t="s">
        <v>538</v>
      </c>
      <c r="K18" t="s">
        <v>539</v>
      </c>
      <c r="L18" t="s">
        <v>539</v>
      </c>
      <c r="M18" t="s">
        <v>647</v>
      </c>
      <c r="N18" t="s">
        <v>499</v>
      </c>
      <c r="O18" t="s">
        <v>501</v>
      </c>
      <c r="P18" t="s">
        <v>500</v>
      </c>
      <c r="S18" t="s">
        <v>628</v>
      </c>
      <c r="U18" t="s">
        <v>629</v>
      </c>
      <c r="V18" t="s">
        <v>648</v>
      </c>
      <c r="W18" t="s">
        <v>446</v>
      </c>
      <c r="X18" t="s">
        <v>540</v>
      </c>
      <c r="Y18" t="s">
        <v>551</v>
      </c>
      <c r="Z18" t="s">
        <v>552</v>
      </c>
      <c r="AA18" t="s">
        <v>22</v>
      </c>
      <c r="AB18" t="s">
        <v>553</v>
      </c>
      <c r="AD18" t="s">
        <v>502</v>
      </c>
      <c r="AE18" t="s">
        <v>420</v>
      </c>
      <c r="AF18">
        <v>0</v>
      </c>
      <c r="AG18">
        <v>0</v>
      </c>
      <c r="AH18">
        <v>418.5</v>
      </c>
      <c r="AI18">
        <v>0</v>
      </c>
      <c r="AJ18" t="s">
        <v>554</v>
      </c>
      <c r="AK18" t="s">
        <v>553</v>
      </c>
      <c r="AL18" t="s">
        <v>555</v>
      </c>
    </row>
    <row r="19" spans="1:38" x14ac:dyDescent="0.2">
      <c r="A19">
        <v>1235639</v>
      </c>
      <c r="B19">
        <v>7975242</v>
      </c>
      <c r="C19">
        <v>187508</v>
      </c>
      <c r="E19" t="b">
        <v>0</v>
      </c>
      <c r="F19">
        <v>70613</v>
      </c>
      <c r="G19" t="s">
        <v>625</v>
      </c>
      <c r="H19">
        <v>6</v>
      </c>
      <c r="I19" t="s">
        <v>649</v>
      </c>
      <c r="J19" t="s">
        <v>538</v>
      </c>
      <c r="K19" t="s">
        <v>539</v>
      </c>
      <c r="L19" t="s">
        <v>539</v>
      </c>
      <c r="M19" t="s">
        <v>650</v>
      </c>
      <c r="N19" t="s">
        <v>471</v>
      </c>
      <c r="O19" t="s">
        <v>176</v>
      </c>
      <c r="P19" t="s">
        <v>472</v>
      </c>
      <c r="S19" t="s">
        <v>628</v>
      </c>
      <c r="U19" t="s">
        <v>629</v>
      </c>
      <c r="V19" t="s">
        <v>651</v>
      </c>
      <c r="W19" t="s">
        <v>446</v>
      </c>
      <c r="X19" t="s">
        <v>540</v>
      </c>
      <c r="Y19" t="s">
        <v>551</v>
      </c>
      <c r="Z19" t="s">
        <v>552</v>
      </c>
      <c r="AA19" t="s">
        <v>22</v>
      </c>
      <c r="AB19" t="s">
        <v>553</v>
      </c>
      <c r="AD19" t="s">
        <v>175</v>
      </c>
      <c r="AE19" t="s">
        <v>420</v>
      </c>
      <c r="AF19">
        <v>0</v>
      </c>
      <c r="AG19">
        <v>0</v>
      </c>
      <c r="AH19">
        <v>418.5</v>
      </c>
      <c r="AI19">
        <v>0</v>
      </c>
      <c r="AJ19" t="s">
        <v>554</v>
      </c>
      <c r="AK19" t="s">
        <v>553</v>
      </c>
      <c r="AL19" t="s">
        <v>555</v>
      </c>
    </row>
    <row r="20" spans="1:38" x14ac:dyDescent="0.2">
      <c r="A20">
        <v>1235626</v>
      </c>
      <c r="B20">
        <v>7975238</v>
      </c>
      <c r="C20">
        <v>187508</v>
      </c>
      <c r="E20" t="b">
        <v>0</v>
      </c>
      <c r="F20">
        <v>70613</v>
      </c>
      <c r="G20" t="s">
        <v>625</v>
      </c>
      <c r="H20">
        <v>2</v>
      </c>
      <c r="I20" t="s">
        <v>652</v>
      </c>
      <c r="J20" t="s">
        <v>538</v>
      </c>
      <c r="K20" t="s">
        <v>539</v>
      </c>
      <c r="L20" t="s">
        <v>539</v>
      </c>
      <c r="M20" t="s">
        <v>653</v>
      </c>
      <c r="N20" t="s">
        <v>467</v>
      </c>
      <c r="O20" t="s">
        <v>184</v>
      </c>
      <c r="P20" t="s">
        <v>468</v>
      </c>
      <c r="S20" t="s">
        <v>628</v>
      </c>
      <c r="U20" t="s">
        <v>629</v>
      </c>
      <c r="V20" t="s">
        <v>654</v>
      </c>
      <c r="W20" t="s">
        <v>446</v>
      </c>
      <c r="X20" t="s">
        <v>540</v>
      </c>
      <c r="Y20" t="s">
        <v>551</v>
      </c>
      <c r="Z20" t="s">
        <v>552</v>
      </c>
      <c r="AA20" t="s">
        <v>22</v>
      </c>
      <c r="AB20" t="s">
        <v>553</v>
      </c>
      <c r="AD20" t="s">
        <v>183</v>
      </c>
      <c r="AE20" t="s">
        <v>420</v>
      </c>
      <c r="AF20">
        <v>0</v>
      </c>
      <c r="AG20">
        <v>0</v>
      </c>
      <c r="AH20">
        <v>418.5</v>
      </c>
      <c r="AI20">
        <v>0</v>
      </c>
      <c r="AJ20" t="s">
        <v>554</v>
      </c>
      <c r="AK20" t="s">
        <v>553</v>
      </c>
      <c r="AL20" t="s">
        <v>555</v>
      </c>
    </row>
    <row r="21" spans="1:38" x14ac:dyDescent="0.2">
      <c r="A21">
        <v>1235522</v>
      </c>
      <c r="B21">
        <v>7975240</v>
      </c>
      <c r="C21">
        <v>187508</v>
      </c>
      <c r="E21" t="b">
        <v>0</v>
      </c>
      <c r="F21">
        <v>70613</v>
      </c>
      <c r="G21" t="s">
        <v>625</v>
      </c>
      <c r="H21">
        <v>4</v>
      </c>
      <c r="I21" t="s">
        <v>655</v>
      </c>
      <c r="J21" t="s">
        <v>538</v>
      </c>
      <c r="K21" t="s">
        <v>539</v>
      </c>
      <c r="L21" t="s">
        <v>539</v>
      </c>
      <c r="M21" t="s">
        <v>656</v>
      </c>
      <c r="N21" t="s">
        <v>445</v>
      </c>
      <c r="O21" t="s">
        <v>182</v>
      </c>
      <c r="P21" t="s">
        <v>446</v>
      </c>
      <c r="S21" t="s">
        <v>628</v>
      </c>
      <c r="U21" t="s">
        <v>629</v>
      </c>
      <c r="V21" t="s">
        <v>657</v>
      </c>
      <c r="W21" t="s">
        <v>446</v>
      </c>
      <c r="X21" t="s">
        <v>540</v>
      </c>
      <c r="Y21" t="s">
        <v>551</v>
      </c>
      <c r="Z21" t="s">
        <v>552</v>
      </c>
      <c r="AA21" t="s">
        <v>22</v>
      </c>
      <c r="AB21" t="s">
        <v>553</v>
      </c>
      <c r="AD21" t="s">
        <v>181</v>
      </c>
      <c r="AE21" t="s">
        <v>420</v>
      </c>
      <c r="AF21">
        <v>0</v>
      </c>
      <c r="AG21">
        <v>0</v>
      </c>
      <c r="AH21">
        <v>418.5</v>
      </c>
      <c r="AI21">
        <v>0</v>
      </c>
      <c r="AJ21" t="s">
        <v>554</v>
      </c>
      <c r="AK21" t="s">
        <v>553</v>
      </c>
      <c r="AL21" t="s">
        <v>555</v>
      </c>
    </row>
    <row r="23" spans="1:38" x14ac:dyDescent="0.2">
      <c r="A23">
        <v>1235770</v>
      </c>
      <c r="B23">
        <v>8030104</v>
      </c>
      <c r="C23">
        <v>187514</v>
      </c>
      <c r="E23" t="b">
        <v>0</v>
      </c>
      <c r="F23">
        <v>71864</v>
      </c>
      <c r="G23" t="s">
        <v>658</v>
      </c>
      <c r="H23">
        <v>1</v>
      </c>
      <c r="I23" t="s">
        <v>659</v>
      </c>
      <c r="J23" t="s">
        <v>538</v>
      </c>
      <c r="K23" t="s">
        <v>539</v>
      </c>
      <c r="L23" t="s">
        <v>539</v>
      </c>
      <c r="M23" t="s">
        <v>660</v>
      </c>
      <c r="N23" t="s">
        <v>490</v>
      </c>
      <c r="O23" t="s">
        <v>491</v>
      </c>
      <c r="U23" t="s">
        <v>661</v>
      </c>
      <c r="V23" t="s">
        <v>662</v>
      </c>
      <c r="W23" t="s">
        <v>496</v>
      </c>
      <c r="X23" t="s">
        <v>540</v>
      </c>
      <c r="Y23" t="s">
        <v>417</v>
      </c>
      <c r="Z23" t="s">
        <v>552</v>
      </c>
      <c r="AB23" t="s">
        <v>663</v>
      </c>
      <c r="AD23" t="s">
        <v>234</v>
      </c>
      <c r="AE23" t="s">
        <v>492</v>
      </c>
      <c r="AF23">
        <v>0</v>
      </c>
      <c r="AG23">
        <v>0</v>
      </c>
      <c r="AH23">
        <v>0</v>
      </c>
      <c r="AI23">
        <v>0</v>
      </c>
      <c r="AJ23" t="s">
        <v>554</v>
      </c>
      <c r="AK23" t="s">
        <v>663</v>
      </c>
      <c r="AL23" t="s">
        <v>555</v>
      </c>
    </row>
    <row r="24" spans="1:38" x14ac:dyDescent="0.2">
      <c r="A24">
        <v>1235767</v>
      </c>
    </row>
    <row r="25" spans="1:38" x14ac:dyDescent="0.2">
      <c r="A25">
        <v>1235772</v>
      </c>
    </row>
    <row r="26" spans="1:38" x14ac:dyDescent="0.2">
      <c r="A26">
        <v>1235660</v>
      </c>
      <c r="B26">
        <v>7612900</v>
      </c>
      <c r="C26">
        <v>187509</v>
      </c>
      <c r="E26" t="b">
        <v>0</v>
      </c>
      <c r="F26">
        <v>64197</v>
      </c>
      <c r="G26" t="s">
        <v>664</v>
      </c>
      <c r="H26">
        <v>1</v>
      </c>
      <c r="I26" t="s">
        <v>665</v>
      </c>
      <c r="J26" t="s">
        <v>538</v>
      </c>
      <c r="K26" t="s">
        <v>539</v>
      </c>
      <c r="L26" t="s">
        <v>539</v>
      </c>
      <c r="M26" t="s">
        <v>666</v>
      </c>
      <c r="N26" t="s">
        <v>200</v>
      </c>
      <c r="O26" t="s">
        <v>477</v>
      </c>
      <c r="U26" t="s">
        <v>667</v>
      </c>
      <c r="V26" t="s">
        <v>668</v>
      </c>
      <c r="W26" t="s">
        <v>107</v>
      </c>
      <c r="X26" t="s">
        <v>540</v>
      </c>
      <c r="Y26" t="s">
        <v>116</v>
      </c>
      <c r="AB26" t="s">
        <v>663</v>
      </c>
      <c r="AD26" t="s">
        <v>236</v>
      </c>
      <c r="AE26" t="s">
        <v>436</v>
      </c>
      <c r="AF26">
        <v>0</v>
      </c>
      <c r="AG26">
        <v>0</v>
      </c>
      <c r="AI26">
        <v>0</v>
      </c>
      <c r="AJ26" t="s">
        <v>554</v>
      </c>
      <c r="AK26" t="s">
        <v>663</v>
      </c>
      <c r="AL26" t="s">
        <v>587</v>
      </c>
    </row>
    <row r="27" spans="1:38" x14ac:dyDescent="0.2">
      <c r="A27">
        <v>1235502</v>
      </c>
      <c r="B27">
        <v>6008756</v>
      </c>
      <c r="C27">
        <v>187514</v>
      </c>
      <c r="E27" t="b">
        <v>0</v>
      </c>
      <c r="F27">
        <v>41783</v>
      </c>
      <c r="G27" t="s">
        <v>669</v>
      </c>
      <c r="H27">
        <v>1</v>
      </c>
      <c r="I27" t="s">
        <v>670</v>
      </c>
      <c r="J27" t="s">
        <v>538</v>
      </c>
      <c r="K27" t="s">
        <v>539</v>
      </c>
      <c r="L27" t="s">
        <v>539</v>
      </c>
      <c r="M27" t="s">
        <v>671</v>
      </c>
      <c r="N27" t="s">
        <v>201</v>
      </c>
      <c r="O27" t="s">
        <v>435</v>
      </c>
      <c r="U27" t="s">
        <v>672</v>
      </c>
      <c r="V27" t="s">
        <v>673</v>
      </c>
      <c r="W27" t="s">
        <v>168</v>
      </c>
      <c r="X27" t="s">
        <v>540</v>
      </c>
      <c r="Y27" t="s">
        <v>116</v>
      </c>
      <c r="Z27" t="s">
        <v>552</v>
      </c>
      <c r="AB27" t="s">
        <v>663</v>
      </c>
      <c r="AD27" t="s">
        <v>237</v>
      </c>
      <c r="AE27" t="s">
        <v>436</v>
      </c>
      <c r="AF27">
        <v>0</v>
      </c>
      <c r="AG27">
        <v>0</v>
      </c>
      <c r="AH27">
        <v>27.5</v>
      </c>
      <c r="AI27">
        <v>0</v>
      </c>
      <c r="AJ27" t="s">
        <v>554</v>
      </c>
      <c r="AK27" t="s">
        <v>663</v>
      </c>
      <c r="AL27" t="s">
        <v>555</v>
      </c>
    </row>
    <row r="28" spans="1:38" x14ac:dyDescent="0.2">
      <c r="A28">
        <v>1235505</v>
      </c>
      <c r="B28">
        <v>7971837</v>
      </c>
      <c r="C28">
        <v>187514</v>
      </c>
      <c r="E28" t="b">
        <v>0</v>
      </c>
      <c r="F28">
        <v>70496</v>
      </c>
      <c r="G28" t="s">
        <v>674</v>
      </c>
      <c r="H28">
        <v>1</v>
      </c>
      <c r="I28" t="s">
        <v>675</v>
      </c>
      <c r="J28" t="s">
        <v>538</v>
      </c>
      <c r="K28" t="s">
        <v>539</v>
      </c>
      <c r="L28" t="s">
        <v>539</v>
      </c>
      <c r="M28" t="s">
        <v>676</v>
      </c>
      <c r="N28" t="s">
        <v>202</v>
      </c>
      <c r="O28" t="s">
        <v>439</v>
      </c>
      <c r="S28" t="s">
        <v>677</v>
      </c>
      <c r="U28" t="s">
        <v>678</v>
      </c>
      <c r="V28" t="s">
        <v>679</v>
      </c>
      <c r="W28" t="s">
        <v>509</v>
      </c>
      <c r="X28" t="s">
        <v>540</v>
      </c>
      <c r="Y28" t="s">
        <v>417</v>
      </c>
      <c r="Z28" t="s">
        <v>552</v>
      </c>
      <c r="AB28" t="s">
        <v>663</v>
      </c>
      <c r="AD28" t="s">
        <v>238</v>
      </c>
      <c r="AE28" t="s">
        <v>436</v>
      </c>
      <c r="AF28">
        <v>0</v>
      </c>
      <c r="AG28">
        <v>0</v>
      </c>
      <c r="AH28">
        <v>75</v>
      </c>
      <c r="AI28">
        <v>0</v>
      </c>
      <c r="AJ28" t="s">
        <v>554</v>
      </c>
      <c r="AK28" t="s">
        <v>663</v>
      </c>
      <c r="AL28" t="s">
        <v>555</v>
      </c>
    </row>
    <row r="29" spans="1:38" x14ac:dyDescent="0.2">
      <c r="A29">
        <v>1235646</v>
      </c>
      <c r="B29">
        <v>6249107</v>
      </c>
      <c r="C29">
        <v>187514</v>
      </c>
      <c r="E29" t="b">
        <v>0</v>
      </c>
      <c r="F29">
        <v>46530</v>
      </c>
      <c r="G29" t="s">
        <v>680</v>
      </c>
      <c r="H29">
        <v>1</v>
      </c>
      <c r="I29" t="s">
        <v>681</v>
      </c>
      <c r="J29" t="s">
        <v>538</v>
      </c>
      <c r="K29" t="s">
        <v>539</v>
      </c>
      <c r="L29" t="s">
        <v>539</v>
      </c>
      <c r="M29" t="s">
        <v>682</v>
      </c>
      <c r="N29" t="s">
        <v>203</v>
      </c>
      <c r="O29" t="s">
        <v>473</v>
      </c>
      <c r="U29" t="s">
        <v>683</v>
      </c>
      <c r="V29" t="s">
        <v>684</v>
      </c>
      <c r="W29" t="s">
        <v>168</v>
      </c>
      <c r="X29" t="s">
        <v>540</v>
      </c>
      <c r="Y29" t="s">
        <v>551</v>
      </c>
      <c r="AB29" t="s">
        <v>663</v>
      </c>
      <c r="AD29" t="s">
        <v>239</v>
      </c>
      <c r="AE29" t="s">
        <v>474</v>
      </c>
      <c r="AF29">
        <v>0</v>
      </c>
      <c r="AG29">
        <v>0</v>
      </c>
      <c r="AI29">
        <v>0</v>
      </c>
      <c r="AJ29" t="s">
        <v>554</v>
      </c>
      <c r="AK29" t="s">
        <v>663</v>
      </c>
      <c r="AL29" t="s">
        <v>555</v>
      </c>
    </row>
    <row r="30" spans="1:38" x14ac:dyDescent="0.2">
      <c r="A30">
        <v>1235659</v>
      </c>
      <c r="B30">
        <v>8065644</v>
      </c>
      <c r="C30">
        <v>187514</v>
      </c>
      <c r="E30" t="b">
        <v>0</v>
      </c>
      <c r="F30">
        <v>72594</v>
      </c>
      <c r="G30" t="s">
        <v>685</v>
      </c>
      <c r="H30">
        <v>1</v>
      </c>
      <c r="I30" t="s">
        <v>686</v>
      </c>
      <c r="J30" t="s">
        <v>538</v>
      </c>
      <c r="K30" t="s">
        <v>539</v>
      </c>
      <c r="L30" t="s">
        <v>539</v>
      </c>
      <c r="M30" t="s">
        <v>687</v>
      </c>
      <c r="N30" t="s">
        <v>204</v>
      </c>
      <c r="O30" t="s">
        <v>475</v>
      </c>
      <c r="U30" t="s">
        <v>688</v>
      </c>
      <c r="V30" t="s">
        <v>689</v>
      </c>
      <c r="W30" t="s">
        <v>460</v>
      </c>
      <c r="X30" t="s">
        <v>540</v>
      </c>
      <c r="Y30" t="s">
        <v>417</v>
      </c>
      <c r="Z30" t="s">
        <v>552</v>
      </c>
      <c r="AB30" t="s">
        <v>663</v>
      </c>
      <c r="AD30" t="s">
        <v>240</v>
      </c>
      <c r="AE30" t="s">
        <v>476</v>
      </c>
      <c r="AF30">
        <v>0</v>
      </c>
      <c r="AG30">
        <v>0</v>
      </c>
      <c r="AH30">
        <v>0</v>
      </c>
      <c r="AI30">
        <v>0</v>
      </c>
      <c r="AJ30" t="s">
        <v>554</v>
      </c>
      <c r="AK30" t="s">
        <v>663</v>
      </c>
      <c r="AL30" t="s">
        <v>555</v>
      </c>
    </row>
    <row r="31" spans="1:38" x14ac:dyDescent="0.2">
      <c r="A31">
        <v>1235504</v>
      </c>
      <c r="B31">
        <v>6820976</v>
      </c>
      <c r="C31">
        <v>187514</v>
      </c>
      <c r="E31" t="b">
        <v>0</v>
      </c>
      <c r="F31">
        <v>50724</v>
      </c>
      <c r="G31" t="s">
        <v>690</v>
      </c>
      <c r="H31">
        <v>1</v>
      </c>
      <c r="I31" t="s">
        <v>691</v>
      </c>
      <c r="J31" t="s">
        <v>538</v>
      </c>
      <c r="K31" t="s">
        <v>539</v>
      </c>
      <c r="L31" t="s">
        <v>539</v>
      </c>
      <c r="M31" t="s">
        <v>692</v>
      </c>
      <c r="N31" t="s">
        <v>205</v>
      </c>
      <c r="O31" t="s">
        <v>438</v>
      </c>
      <c r="U31" t="s">
        <v>693</v>
      </c>
      <c r="V31" t="s">
        <v>694</v>
      </c>
      <c r="W31" t="s">
        <v>487</v>
      </c>
      <c r="X31" t="s">
        <v>540</v>
      </c>
      <c r="Y31" t="s">
        <v>551</v>
      </c>
      <c r="Z31" t="s">
        <v>552</v>
      </c>
      <c r="AB31" t="s">
        <v>663</v>
      </c>
      <c r="AD31" t="s">
        <v>241</v>
      </c>
      <c r="AE31" t="s">
        <v>436</v>
      </c>
      <c r="AF31">
        <v>0</v>
      </c>
      <c r="AG31">
        <v>0</v>
      </c>
      <c r="AH31">
        <v>27.5</v>
      </c>
      <c r="AI31">
        <v>0</v>
      </c>
      <c r="AJ31" t="s">
        <v>554</v>
      </c>
      <c r="AK31" t="s">
        <v>663</v>
      </c>
      <c r="AL31" t="s">
        <v>555</v>
      </c>
    </row>
    <row r="32" spans="1:38" x14ac:dyDescent="0.2">
      <c r="A32">
        <v>1235506</v>
      </c>
      <c r="B32">
        <v>7162110</v>
      </c>
      <c r="C32">
        <v>187514</v>
      </c>
      <c r="E32" t="b">
        <v>0</v>
      </c>
      <c r="F32">
        <v>57050</v>
      </c>
      <c r="G32" t="s">
        <v>695</v>
      </c>
      <c r="H32">
        <v>1</v>
      </c>
      <c r="I32" t="s">
        <v>696</v>
      </c>
      <c r="J32" t="s">
        <v>538</v>
      </c>
      <c r="K32" t="s">
        <v>539</v>
      </c>
      <c r="L32" t="s">
        <v>539</v>
      </c>
      <c r="M32" t="s">
        <v>697</v>
      </c>
      <c r="N32" t="s">
        <v>206</v>
      </c>
      <c r="O32" t="s">
        <v>440</v>
      </c>
      <c r="U32" t="s">
        <v>698</v>
      </c>
      <c r="V32" t="s">
        <v>699</v>
      </c>
      <c r="W32" t="s">
        <v>107</v>
      </c>
      <c r="X32" t="s">
        <v>540</v>
      </c>
      <c r="Y32" t="s">
        <v>551</v>
      </c>
      <c r="AB32" t="s">
        <v>663</v>
      </c>
      <c r="AD32" t="s">
        <v>242</v>
      </c>
      <c r="AE32" t="s">
        <v>436</v>
      </c>
      <c r="AF32">
        <v>0</v>
      </c>
      <c r="AG32">
        <v>0</v>
      </c>
      <c r="AI32">
        <v>0</v>
      </c>
      <c r="AJ32" t="s">
        <v>554</v>
      </c>
      <c r="AK32" t="s">
        <v>663</v>
      </c>
      <c r="AL32" t="s">
        <v>555</v>
      </c>
    </row>
    <row r="33" spans="1:38" x14ac:dyDescent="0.2">
      <c r="A33">
        <v>1235510</v>
      </c>
      <c r="B33">
        <v>6129692</v>
      </c>
      <c r="C33">
        <v>187514</v>
      </c>
      <c r="E33" t="b">
        <v>0</v>
      </c>
      <c r="F33">
        <v>44349</v>
      </c>
      <c r="G33" t="s">
        <v>700</v>
      </c>
      <c r="H33">
        <v>1</v>
      </c>
      <c r="I33" t="s">
        <v>701</v>
      </c>
      <c r="J33" t="s">
        <v>538</v>
      </c>
      <c r="K33" t="s">
        <v>539</v>
      </c>
      <c r="L33" t="s">
        <v>539</v>
      </c>
      <c r="M33" t="s">
        <v>702</v>
      </c>
      <c r="N33" t="s">
        <v>207</v>
      </c>
      <c r="O33" t="s">
        <v>444</v>
      </c>
      <c r="U33" t="s">
        <v>703</v>
      </c>
      <c r="V33" t="s">
        <v>704</v>
      </c>
      <c r="W33" t="s">
        <v>705</v>
      </c>
      <c r="X33" t="s">
        <v>540</v>
      </c>
      <c r="Y33" t="s">
        <v>551</v>
      </c>
      <c r="AB33" t="s">
        <v>663</v>
      </c>
      <c r="AD33" t="s">
        <v>243</v>
      </c>
      <c r="AE33" t="s">
        <v>436</v>
      </c>
      <c r="AF33">
        <v>0</v>
      </c>
      <c r="AG33">
        <v>0</v>
      </c>
      <c r="AI33">
        <v>0</v>
      </c>
      <c r="AJ33" t="s">
        <v>554</v>
      </c>
      <c r="AK33" t="s">
        <v>663</v>
      </c>
      <c r="AL33" t="s">
        <v>555</v>
      </c>
    </row>
    <row r="34" spans="1:38" x14ac:dyDescent="0.2">
      <c r="A34">
        <v>1235590</v>
      </c>
      <c r="B34">
        <v>7948956</v>
      </c>
      <c r="C34">
        <v>187514</v>
      </c>
      <c r="E34" t="b">
        <v>0</v>
      </c>
      <c r="F34">
        <v>70164</v>
      </c>
      <c r="G34" t="s">
        <v>706</v>
      </c>
      <c r="H34">
        <v>1</v>
      </c>
      <c r="I34" t="s">
        <v>707</v>
      </c>
      <c r="J34" t="s">
        <v>708</v>
      </c>
      <c r="K34" t="s">
        <v>539</v>
      </c>
      <c r="L34" t="s">
        <v>539</v>
      </c>
      <c r="M34" t="s">
        <v>709</v>
      </c>
      <c r="N34" t="s">
        <v>209</v>
      </c>
      <c r="O34" t="s">
        <v>208</v>
      </c>
      <c r="U34" t="s">
        <v>710</v>
      </c>
      <c r="X34" t="s">
        <v>540</v>
      </c>
      <c r="Y34" t="s">
        <v>116</v>
      </c>
      <c r="Z34" t="s">
        <v>552</v>
      </c>
      <c r="AD34" t="s">
        <v>244</v>
      </c>
      <c r="AE34" t="s">
        <v>436</v>
      </c>
      <c r="AJ34" t="s">
        <v>554</v>
      </c>
      <c r="AK34" t="s">
        <v>663</v>
      </c>
      <c r="AL34" t="s">
        <v>555</v>
      </c>
    </row>
    <row r="35" spans="1:38" x14ac:dyDescent="0.2">
      <c r="A35">
        <v>1235489</v>
      </c>
      <c r="B35">
        <v>7008912</v>
      </c>
      <c r="C35">
        <v>187510</v>
      </c>
      <c r="E35" t="b">
        <v>0</v>
      </c>
      <c r="F35">
        <v>53750</v>
      </c>
      <c r="G35" t="s">
        <v>711</v>
      </c>
      <c r="H35">
        <v>1</v>
      </c>
      <c r="I35" t="s">
        <v>712</v>
      </c>
      <c r="J35" t="s">
        <v>538</v>
      </c>
      <c r="K35" t="s">
        <v>537</v>
      </c>
      <c r="L35" t="s">
        <v>539</v>
      </c>
      <c r="M35" t="s">
        <v>713</v>
      </c>
      <c r="N35" t="s">
        <v>428</v>
      </c>
      <c r="O35" t="s">
        <v>430</v>
      </c>
      <c r="S35" t="s">
        <v>591</v>
      </c>
      <c r="U35" t="s">
        <v>714</v>
      </c>
      <c r="V35" t="s">
        <v>715</v>
      </c>
      <c r="W35" t="s">
        <v>446</v>
      </c>
      <c r="X35" t="s">
        <v>540</v>
      </c>
      <c r="Y35" t="s">
        <v>116</v>
      </c>
      <c r="Z35" t="s">
        <v>552</v>
      </c>
      <c r="AA35" t="s">
        <v>22</v>
      </c>
      <c r="AB35" t="s">
        <v>595</v>
      </c>
      <c r="AD35" t="s">
        <v>431</v>
      </c>
      <c r="AE35" t="s">
        <v>431</v>
      </c>
      <c r="AF35">
        <v>0</v>
      </c>
      <c r="AG35">
        <v>0</v>
      </c>
      <c r="AH35">
        <v>76.25</v>
      </c>
      <c r="AI35">
        <v>0</v>
      </c>
      <c r="AJ35" t="s">
        <v>554</v>
      </c>
      <c r="AK35" t="s">
        <v>595</v>
      </c>
      <c r="AL35" t="s">
        <v>555</v>
      </c>
    </row>
    <row r="36" spans="1:38" x14ac:dyDescent="0.2">
      <c r="A36">
        <v>1235508</v>
      </c>
      <c r="B36">
        <v>4996970</v>
      </c>
      <c r="C36">
        <v>187508</v>
      </c>
      <c r="E36" t="b">
        <v>0</v>
      </c>
      <c r="F36">
        <v>28336</v>
      </c>
      <c r="G36" t="s">
        <v>716</v>
      </c>
      <c r="H36">
        <v>1</v>
      </c>
      <c r="I36" t="s">
        <v>717</v>
      </c>
      <c r="J36" t="s">
        <v>538</v>
      </c>
      <c r="K36" t="s">
        <v>539</v>
      </c>
      <c r="L36" t="s">
        <v>539</v>
      </c>
      <c r="M36" t="s">
        <v>718</v>
      </c>
      <c r="N36" t="s">
        <v>719</v>
      </c>
      <c r="O36" t="s">
        <v>442</v>
      </c>
      <c r="U36" t="s">
        <v>720</v>
      </c>
      <c r="X36" t="s">
        <v>540</v>
      </c>
      <c r="Y36" t="s">
        <v>116</v>
      </c>
      <c r="Z36" t="s">
        <v>552</v>
      </c>
      <c r="AD36" t="s">
        <v>721</v>
      </c>
      <c r="AE36" t="s">
        <v>415</v>
      </c>
      <c r="AJ36" t="s">
        <v>554</v>
      </c>
      <c r="AK36" t="s">
        <v>553</v>
      </c>
      <c r="AL36" t="s">
        <v>555</v>
      </c>
    </row>
    <row r="37" spans="1:38" x14ac:dyDescent="0.2">
      <c r="A37">
        <v>1235777</v>
      </c>
      <c r="B37">
        <v>5034456</v>
      </c>
      <c r="C37">
        <v>187514</v>
      </c>
      <c r="E37" t="b">
        <v>0</v>
      </c>
      <c r="F37">
        <v>29273</v>
      </c>
      <c r="G37" t="s">
        <v>722</v>
      </c>
      <c r="H37">
        <v>1</v>
      </c>
      <c r="I37" t="s">
        <v>723</v>
      </c>
      <c r="J37" t="s">
        <v>538</v>
      </c>
      <c r="K37" t="s">
        <v>539</v>
      </c>
      <c r="L37" t="s">
        <v>539</v>
      </c>
      <c r="M37" t="s">
        <v>724</v>
      </c>
      <c r="N37" t="s">
        <v>210</v>
      </c>
      <c r="O37" t="s">
        <v>493</v>
      </c>
      <c r="S37" t="s">
        <v>677</v>
      </c>
      <c r="V37" t="s">
        <v>725</v>
      </c>
      <c r="W37" t="s">
        <v>726</v>
      </c>
      <c r="X37" t="s">
        <v>540</v>
      </c>
      <c r="Y37" t="s">
        <v>116</v>
      </c>
      <c r="Z37" t="s">
        <v>552</v>
      </c>
      <c r="AB37" t="s">
        <v>663</v>
      </c>
      <c r="AD37" t="s">
        <v>246</v>
      </c>
      <c r="AE37" t="s">
        <v>494</v>
      </c>
      <c r="AF37">
        <v>0</v>
      </c>
      <c r="AG37">
        <v>0</v>
      </c>
      <c r="AH37">
        <v>27.5</v>
      </c>
      <c r="AI37">
        <v>0</v>
      </c>
      <c r="AJ37" t="s">
        <v>554</v>
      </c>
      <c r="AK37" t="s">
        <v>663</v>
      </c>
      <c r="AL37" t="s">
        <v>555</v>
      </c>
    </row>
    <row r="38" spans="1:38" x14ac:dyDescent="0.2">
      <c r="A38">
        <v>1235400</v>
      </c>
      <c r="B38">
        <v>6119636</v>
      </c>
      <c r="C38">
        <v>187514</v>
      </c>
      <c r="E38" t="b">
        <v>0</v>
      </c>
      <c r="F38">
        <v>44172</v>
      </c>
      <c r="G38" t="s">
        <v>727</v>
      </c>
      <c r="H38">
        <v>1</v>
      </c>
      <c r="I38" t="s">
        <v>728</v>
      </c>
      <c r="J38" t="s">
        <v>538</v>
      </c>
      <c r="K38" t="s">
        <v>539</v>
      </c>
      <c r="L38" t="s">
        <v>539</v>
      </c>
      <c r="M38" t="s">
        <v>729</v>
      </c>
      <c r="N38" t="s">
        <v>211</v>
      </c>
      <c r="O38" t="s">
        <v>414</v>
      </c>
      <c r="U38" t="s">
        <v>730</v>
      </c>
      <c r="V38" t="s">
        <v>731</v>
      </c>
      <c r="W38" t="s">
        <v>705</v>
      </c>
      <c r="X38" t="s">
        <v>540</v>
      </c>
      <c r="Y38" t="s">
        <v>551</v>
      </c>
      <c r="AB38" t="s">
        <v>663</v>
      </c>
      <c r="AD38" t="s">
        <v>247</v>
      </c>
      <c r="AE38" t="s">
        <v>415</v>
      </c>
      <c r="AF38">
        <v>0</v>
      </c>
      <c r="AG38">
        <v>0</v>
      </c>
      <c r="AI38">
        <v>0</v>
      </c>
      <c r="AJ38" t="s">
        <v>554</v>
      </c>
      <c r="AK38" t="s">
        <v>663</v>
      </c>
      <c r="AL38" t="s">
        <v>555</v>
      </c>
    </row>
    <row r="39" spans="1:38" x14ac:dyDescent="0.2">
      <c r="A39">
        <v>1235661</v>
      </c>
      <c r="B39">
        <v>8074219</v>
      </c>
      <c r="C39">
        <v>187514</v>
      </c>
      <c r="E39" t="b">
        <v>0</v>
      </c>
      <c r="F39">
        <v>72769</v>
      </c>
      <c r="G39" t="s">
        <v>732</v>
      </c>
      <c r="H39">
        <v>1</v>
      </c>
      <c r="I39" t="s">
        <v>733</v>
      </c>
      <c r="J39" t="s">
        <v>538</v>
      </c>
      <c r="K39" t="s">
        <v>539</v>
      </c>
      <c r="L39" t="s">
        <v>539</v>
      </c>
      <c r="M39" t="s">
        <v>734</v>
      </c>
      <c r="N39" t="s">
        <v>212</v>
      </c>
      <c r="O39" t="s">
        <v>478</v>
      </c>
      <c r="S39" t="s">
        <v>677</v>
      </c>
      <c r="U39" t="s">
        <v>735</v>
      </c>
      <c r="V39" t="s">
        <v>736</v>
      </c>
      <c r="W39" t="s">
        <v>509</v>
      </c>
      <c r="X39" t="s">
        <v>540</v>
      </c>
      <c r="Y39" t="s">
        <v>551</v>
      </c>
      <c r="Z39" t="s">
        <v>552</v>
      </c>
      <c r="AB39" t="s">
        <v>663</v>
      </c>
      <c r="AD39" t="s">
        <v>248</v>
      </c>
      <c r="AE39" t="s">
        <v>415</v>
      </c>
      <c r="AF39">
        <v>0</v>
      </c>
      <c r="AG39">
        <v>0</v>
      </c>
      <c r="AH39">
        <v>0</v>
      </c>
      <c r="AI39">
        <v>0</v>
      </c>
      <c r="AJ39" t="s">
        <v>554</v>
      </c>
      <c r="AK39" t="s">
        <v>663</v>
      </c>
      <c r="AL39" t="s">
        <v>555</v>
      </c>
    </row>
    <row r="40" spans="1:38" x14ac:dyDescent="0.2">
      <c r="A40">
        <v>1235507</v>
      </c>
      <c r="B40">
        <v>8085736</v>
      </c>
      <c r="C40">
        <v>187514</v>
      </c>
      <c r="E40" t="b">
        <v>0</v>
      </c>
      <c r="F40">
        <v>72935</v>
      </c>
      <c r="G40" t="s">
        <v>737</v>
      </c>
      <c r="H40">
        <v>1</v>
      </c>
      <c r="I40" t="s">
        <v>738</v>
      </c>
      <c r="J40" t="s">
        <v>537</v>
      </c>
      <c r="K40" t="s">
        <v>537</v>
      </c>
      <c r="L40" t="s">
        <v>537</v>
      </c>
      <c r="M40" t="s">
        <v>739</v>
      </c>
      <c r="N40" t="s">
        <v>213</v>
      </c>
      <c r="O40" t="s">
        <v>441</v>
      </c>
      <c r="U40" t="s">
        <v>740</v>
      </c>
      <c r="V40" t="s">
        <v>741</v>
      </c>
      <c r="W40" t="s">
        <v>472</v>
      </c>
      <c r="X40" t="s">
        <v>540</v>
      </c>
      <c r="Y40" t="s">
        <v>551</v>
      </c>
      <c r="AB40" t="s">
        <v>663</v>
      </c>
      <c r="AD40" t="s">
        <v>249</v>
      </c>
      <c r="AE40" t="s">
        <v>415</v>
      </c>
      <c r="AF40">
        <v>0</v>
      </c>
      <c r="AG40">
        <v>0</v>
      </c>
      <c r="AI40">
        <v>0</v>
      </c>
      <c r="AJ40" t="s">
        <v>554</v>
      </c>
      <c r="AK40" t="s">
        <v>663</v>
      </c>
      <c r="AL40" t="s">
        <v>555</v>
      </c>
    </row>
    <row r="42" spans="1:38" x14ac:dyDescent="0.2">
      <c r="A42">
        <v>1235500</v>
      </c>
      <c r="B42">
        <v>8128420</v>
      </c>
      <c r="C42">
        <v>187514</v>
      </c>
      <c r="E42" t="b">
        <v>0</v>
      </c>
      <c r="F42">
        <v>73271</v>
      </c>
      <c r="G42" t="s">
        <v>742</v>
      </c>
      <c r="H42">
        <v>1</v>
      </c>
      <c r="I42" t="s">
        <v>743</v>
      </c>
      <c r="J42" t="s">
        <v>538</v>
      </c>
      <c r="K42" t="s">
        <v>537</v>
      </c>
      <c r="L42" t="s">
        <v>539</v>
      </c>
      <c r="M42" t="s">
        <v>744</v>
      </c>
      <c r="N42" t="s">
        <v>214</v>
      </c>
      <c r="O42" t="s">
        <v>433</v>
      </c>
      <c r="U42" t="s">
        <v>745</v>
      </c>
      <c r="V42" t="s">
        <v>746</v>
      </c>
      <c r="W42" t="s">
        <v>107</v>
      </c>
      <c r="X42" t="s">
        <v>540</v>
      </c>
      <c r="Y42" t="s">
        <v>116</v>
      </c>
      <c r="Z42" t="s">
        <v>552</v>
      </c>
      <c r="AB42" t="s">
        <v>663</v>
      </c>
      <c r="AD42" t="s">
        <v>250</v>
      </c>
      <c r="AE42" t="s">
        <v>415</v>
      </c>
      <c r="AF42">
        <v>0</v>
      </c>
      <c r="AG42">
        <v>0</v>
      </c>
      <c r="AH42">
        <v>0</v>
      </c>
      <c r="AI42">
        <v>0</v>
      </c>
      <c r="AJ42" t="s">
        <v>554</v>
      </c>
      <c r="AK42" t="s">
        <v>663</v>
      </c>
      <c r="AL42" t="s">
        <v>555</v>
      </c>
    </row>
    <row r="43" spans="1:38" x14ac:dyDescent="0.2">
      <c r="A43">
        <v>1235509</v>
      </c>
      <c r="B43">
        <v>6206718</v>
      </c>
      <c r="C43">
        <v>187514</v>
      </c>
      <c r="E43" t="b">
        <v>0</v>
      </c>
      <c r="F43">
        <v>46040</v>
      </c>
      <c r="G43" t="s">
        <v>747</v>
      </c>
      <c r="H43">
        <v>2</v>
      </c>
      <c r="I43" t="s">
        <v>748</v>
      </c>
      <c r="J43" t="s">
        <v>538</v>
      </c>
      <c r="K43" t="s">
        <v>539</v>
      </c>
      <c r="L43" t="s">
        <v>539</v>
      </c>
      <c r="M43" t="s">
        <v>749</v>
      </c>
      <c r="N43" t="s">
        <v>215</v>
      </c>
      <c r="O43" t="s">
        <v>443</v>
      </c>
      <c r="U43" t="s">
        <v>750</v>
      </c>
      <c r="V43" t="s">
        <v>751</v>
      </c>
      <c r="W43" t="s">
        <v>726</v>
      </c>
      <c r="X43" t="s">
        <v>540</v>
      </c>
      <c r="Y43" t="s">
        <v>551</v>
      </c>
      <c r="AB43" t="s">
        <v>663</v>
      </c>
      <c r="AD43" t="s">
        <v>251</v>
      </c>
      <c r="AE43" t="s">
        <v>415</v>
      </c>
      <c r="AF43">
        <v>0</v>
      </c>
      <c r="AG43">
        <v>0</v>
      </c>
      <c r="AI43">
        <v>0</v>
      </c>
      <c r="AJ43" t="s">
        <v>554</v>
      </c>
      <c r="AK43" t="s">
        <v>663</v>
      </c>
      <c r="AL43" t="s">
        <v>555</v>
      </c>
    </row>
    <row r="44" spans="1:38" x14ac:dyDescent="0.2">
      <c r="A44">
        <v>1235498</v>
      </c>
      <c r="B44">
        <v>4234901</v>
      </c>
      <c r="C44">
        <v>187508</v>
      </c>
      <c r="E44" t="b">
        <v>0</v>
      </c>
      <c r="F44">
        <v>24455</v>
      </c>
      <c r="G44" t="s">
        <v>752</v>
      </c>
      <c r="H44">
        <v>1</v>
      </c>
      <c r="I44" t="s">
        <v>753</v>
      </c>
      <c r="J44" t="s">
        <v>538</v>
      </c>
      <c r="K44" t="s">
        <v>539</v>
      </c>
      <c r="L44" t="s">
        <v>539</v>
      </c>
      <c r="M44" t="s">
        <v>754</v>
      </c>
      <c r="N44" t="s">
        <v>216</v>
      </c>
      <c r="O44" t="s">
        <v>432</v>
      </c>
      <c r="S44" t="s">
        <v>755</v>
      </c>
      <c r="U44" t="s">
        <v>756</v>
      </c>
      <c r="V44" t="s">
        <v>757</v>
      </c>
      <c r="W44" t="s">
        <v>758</v>
      </c>
      <c r="X44" t="s">
        <v>540</v>
      </c>
      <c r="Y44" t="s">
        <v>116</v>
      </c>
      <c r="Z44" t="s">
        <v>552</v>
      </c>
      <c r="AB44" t="s">
        <v>553</v>
      </c>
      <c r="AD44" t="s">
        <v>252</v>
      </c>
      <c r="AE44" t="s">
        <v>415</v>
      </c>
      <c r="AF44">
        <v>0</v>
      </c>
      <c r="AG44">
        <v>0</v>
      </c>
      <c r="AH44">
        <v>68</v>
      </c>
      <c r="AI44">
        <v>0</v>
      </c>
      <c r="AJ44" t="s">
        <v>554</v>
      </c>
      <c r="AK44" t="s">
        <v>553</v>
      </c>
      <c r="AL44" t="s">
        <v>555</v>
      </c>
    </row>
    <row r="45" spans="1:38" x14ac:dyDescent="0.2">
      <c r="A45">
        <v>1235401</v>
      </c>
      <c r="B45">
        <v>6140648</v>
      </c>
      <c r="C45">
        <v>187514</v>
      </c>
      <c r="E45" t="b">
        <v>0</v>
      </c>
      <c r="F45">
        <v>44618</v>
      </c>
      <c r="G45" t="s">
        <v>759</v>
      </c>
      <c r="H45">
        <v>1</v>
      </c>
      <c r="I45" t="s">
        <v>760</v>
      </c>
      <c r="J45" t="s">
        <v>538</v>
      </c>
      <c r="K45" t="s">
        <v>539</v>
      </c>
      <c r="L45" t="s">
        <v>539</v>
      </c>
      <c r="M45" t="s">
        <v>761</v>
      </c>
      <c r="N45" t="s">
        <v>217</v>
      </c>
      <c r="O45" t="s">
        <v>416</v>
      </c>
      <c r="P45" t="s">
        <v>115</v>
      </c>
      <c r="U45" t="s">
        <v>762</v>
      </c>
      <c r="V45" t="s">
        <v>763</v>
      </c>
      <c r="W45" t="s">
        <v>168</v>
      </c>
      <c r="X45" t="s">
        <v>540</v>
      </c>
      <c r="Y45" t="s">
        <v>116</v>
      </c>
      <c r="AB45" t="s">
        <v>663</v>
      </c>
      <c r="AD45" t="s">
        <v>253</v>
      </c>
      <c r="AE45" t="s">
        <v>415</v>
      </c>
      <c r="AF45">
        <v>0</v>
      </c>
      <c r="AG45">
        <v>0</v>
      </c>
      <c r="AI45">
        <v>0</v>
      </c>
      <c r="AJ45" t="s">
        <v>554</v>
      </c>
      <c r="AK45" t="s">
        <v>663</v>
      </c>
      <c r="AL45" t="s">
        <v>555</v>
      </c>
    </row>
    <row r="46" spans="1:38" x14ac:dyDescent="0.2">
      <c r="A46">
        <v>1235402</v>
      </c>
      <c r="B46">
        <v>8128495</v>
      </c>
      <c r="C46">
        <v>187514</v>
      </c>
      <c r="E46" t="b">
        <v>0</v>
      </c>
      <c r="F46">
        <v>73279</v>
      </c>
      <c r="G46" t="s">
        <v>764</v>
      </c>
      <c r="H46">
        <v>1</v>
      </c>
      <c r="I46" t="s">
        <v>765</v>
      </c>
      <c r="J46" t="s">
        <v>538</v>
      </c>
      <c r="K46" t="s">
        <v>539</v>
      </c>
      <c r="L46" t="s">
        <v>539</v>
      </c>
      <c r="M46" t="s">
        <v>766</v>
      </c>
      <c r="N46" t="s">
        <v>218</v>
      </c>
      <c r="O46" t="s">
        <v>418</v>
      </c>
      <c r="P46" t="s">
        <v>115</v>
      </c>
      <c r="U46" t="s">
        <v>767</v>
      </c>
      <c r="V46" t="s">
        <v>768</v>
      </c>
      <c r="W46" t="s">
        <v>107</v>
      </c>
      <c r="X46" t="s">
        <v>540</v>
      </c>
      <c r="Y46" t="s">
        <v>116</v>
      </c>
      <c r="Z46" t="s">
        <v>552</v>
      </c>
      <c r="AB46" t="s">
        <v>663</v>
      </c>
      <c r="AD46" t="s">
        <v>254</v>
      </c>
      <c r="AE46" t="s">
        <v>415</v>
      </c>
      <c r="AF46">
        <v>0</v>
      </c>
      <c r="AG46">
        <v>0</v>
      </c>
      <c r="AH46">
        <v>0</v>
      </c>
      <c r="AI46">
        <v>0</v>
      </c>
      <c r="AJ46" t="s">
        <v>554</v>
      </c>
      <c r="AK46" t="s">
        <v>663</v>
      </c>
      <c r="AL46" t="s">
        <v>555</v>
      </c>
    </row>
    <row r="47" spans="1:38" x14ac:dyDescent="0.2">
      <c r="A47">
        <v>1235610</v>
      </c>
      <c r="B47">
        <v>3518992</v>
      </c>
      <c r="E47" t="b">
        <v>0</v>
      </c>
      <c r="F47">
        <v>7771</v>
      </c>
      <c r="G47" t="s">
        <v>769</v>
      </c>
      <c r="H47">
        <v>1</v>
      </c>
      <c r="I47" t="s">
        <v>770</v>
      </c>
      <c r="J47" t="s">
        <v>538</v>
      </c>
      <c r="K47" t="s">
        <v>537</v>
      </c>
      <c r="L47" t="s">
        <v>539</v>
      </c>
      <c r="M47" t="s">
        <v>771</v>
      </c>
      <c r="N47" t="s">
        <v>224</v>
      </c>
      <c r="O47" t="s">
        <v>223</v>
      </c>
      <c r="P47" t="s">
        <v>462</v>
      </c>
      <c r="S47" t="s">
        <v>583</v>
      </c>
      <c r="V47" t="s">
        <v>772</v>
      </c>
      <c r="W47" t="s">
        <v>446</v>
      </c>
      <c r="X47" t="s">
        <v>540</v>
      </c>
      <c r="Y47" t="s">
        <v>116</v>
      </c>
      <c r="Z47" t="s">
        <v>552</v>
      </c>
      <c r="AD47" t="s">
        <v>222</v>
      </c>
      <c r="AE47" t="s">
        <v>463</v>
      </c>
      <c r="AF47">
        <v>0</v>
      </c>
      <c r="AG47">
        <v>0</v>
      </c>
      <c r="AH47">
        <v>41</v>
      </c>
      <c r="AI47">
        <v>0</v>
      </c>
      <c r="AJ47" t="s">
        <v>773</v>
      </c>
    </row>
    <row r="49" spans="1:38" x14ac:dyDescent="0.2">
      <c r="A49">
        <v>1235673</v>
      </c>
      <c r="B49">
        <v>7098933</v>
      </c>
      <c r="C49">
        <v>187514</v>
      </c>
      <c r="E49" t="b">
        <v>0</v>
      </c>
      <c r="F49">
        <v>55608</v>
      </c>
      <c r="G49" t="s">
        <v>774</v>
      </c>
      <c r="H49">
        <v>1</v>
      </c>
      <c r="I49" t="s">
        <v>775</v>
      </c>
      <c r="J49" t="s">
        <v>538</v>
      </c>
      <c r="K49" t="s">
        <v>539</v>
      </c>
      <c r="L49" t="s">
        <v>539</v>
      </c>
      <c r="M49" t="s">
        <v>776</v>
      </c>
      <c r="N49" t="s">
        <v>331</v>
      </c>
      <c r="O49" t="s">
        <v>479</v>
      </c>
      <c r="U49" t="s">
        <v>777</v>
      </c>
      <c r="V49" t="s">
        <v>778</v>
      </c>
      <c r="W49" t="s">
        <v>107</v>
      </c>
      <c r="X49" t="s">
        <v>540</v>
      </c>
      <c r="Y49" t="s">
        <v>551</v>
      </c>
      <c r="Z49" t="s">
        <v>552</v>
      </c>
      <c r="AB49" t="s">
        <v>663</v>
      </c>
      <c r="AD49" t="s">
        <v>330</v>
      </c>
      <c r="AE49" t="s">
        <v>448</v>
      </c>
      <c r="AF49">
        <v>0</v>
      </c>
      <c r="AG49">
        <v>0</v>
      </c>
      <c r="AH49">
        <v>27.5</v>
      </c>
      <c r="AI49">
        <v>0</v>
      </c>
      <c r="AJ49" t="s">
        <v>554</v>
      </c>
      <c r="AK49" t="s">
        <v>663</v>
      </c>
      <c r="AL49" t="s">
        <v>555</v>
      </c>
    </row>
    <row r="50" spans="1:38" x14ac:dyDescent="0.2">
      <c r="A50">
        <v>1235526</v>
      </c>
      <c r="B50">
        <v>6917566</v>
      </c>
      <c r="C50">
        <v>187514</v>
      </c>
      <c r="E50" t="b">
        <v>0</v>
      </c>
      <c r="F50">
        <v>51875</v>
      </c>
      <c r="G50" t="s">
        <v>779</v>
      </c>
      <c r="H50">
        <v>1</v>
      </c>
      <c r="I50" t="s">
        <v>780</v>
      </c>
      <c r="J50" t="s">
        <v>538</v>
      </c>
      <c r="K50" t="s">
        <v>539</v>
      </c>
      <c r="L50" t="s">
        <v>539</v>
      </c>
      <c r="M50" t="s">
        <v>781</v>
      </c>
      <c r="N50" t="s">
        <v>219</v>
      </c>
      <c r="O50" t="s">
        <v>447</v>
      </c>
      <c r="U50" t="s">
        <v>782</v>
      </c>
      <c r="V50" t="s">
        <v>783</v>
      </c>
      <c r="W50" t="s">
        <v>460</v>
      </c>
      <c r="X50" t="s">
        <v>540</v>
      </c>
      <c r="Y50" t="s">
        <v>551</v>
      </c>
      <c r="AB50" t="s">
        <v>663</v>
      </c>
      <c r="AD50" t="s">
        <v>255</v>
      </c>
      <c r="AE50" t="s">
        <v>448</v>
      </c>
      <c r="AF50">
        <v>0</v>
      </c>
      <c r="AG50">
        <v>0</v>
      </c>
      <c r="AI50">
        <v>0</v>
      </c>
      <c r="AJ50" t="s">
        <v>554</v>
      </c>
      <c r="AK50" t="s">
        <v>663</v>
      </c>
      <c r="AL50" t="s">
        <v>555</v>
      </c>
    </row>
    <row r="51" spans="1:38" x14ac:dyDescent="0.2">
      <c r="A51">
        <v>2635568</v>
      </c>
      <c r="B51">
        <v>7621062</v>
      </c>
      <c r="C51">
        <v>187514</v>
      </c>
      <c r="E51" t="b">
        <v>0</v>
      </c>
      <c r="F51">
        <v>64450</v>
      </c>
      <c r="G51" t="s">
        <v>784</v>
      </c>
      <c r="H51">
        <v>1</v>
      </c>
      <c r="I51" t="s">
        <v>785</v>
      </c>
      <c r="J51" t="s">
        <v>537</v>
      </c>
      <c r="K51" t="s">
        <v>537</v>
      </c>
      <c r="L51" t="s">
        <v>537</v>
      </c>
      <c r="M51" t="s">
        <v>786</v>
      </c>
      <c r="N51" t="s">
        <v>220</v>
      </c>
      <c r="O51" t="s">
        <v>507</v>
      </c>
      <c r="U51" t="s">
        <v>787</v>
      </c>
      <c r="V51" t="s">
        <v>788</v>
      </c>
      <c r="W51" t="s">
        <v>500</v>
      </c>
      <c r="X51" t="s">
        <v>540</v>
      </c>
      <c r="Y51" t="s">
        <v>417</v>
      </c>
      <c r="Z51" t="s">
        <v>552</v>
      </c>
      <c r="AB51" t="s">
        <v>663</v>
      </c>
      <c r="AD51" t="s">
        <v>256</v>
      </c>
      <c r="AE51" t="s">
        <v>448</v>
      </c>
      <c r="AF51">
        <v>0</v>
      </c>
      <c r="AG51">
        <v>0</v>
      </c>
      <c r="AH51">
        <v>27.5</v>
      </c>
      <c r="AI51">
        <v>0</v>
      </c>
      <c r="AJ51" t="s">
        <v>554</v>
      </c>
      <c r="AK51" t="s">
        <v>663</v>
      </c>
      <c r="AL51" t="s">
        <v>555</v>
      </c>
    </row>
    <row r="52" spans="1:38" x14ac:dyDescent="0.2">
      <c r="A52">
        <v>1235345</v>
      </c>
      <c r="B52">
        <v>7865996</v>
      </c>
      <c r="C52">
        <v>7654931</v>
      </c>
      <c r="E52" t="b">
        <v>0</v>
      </c>
      <c r="F52">
        <v>68489</v>
      </c>
      <c r="G52" t="s">
        <v>789</v>
      </c>
      <c r="H52">
        <v>1</v>
      </c>
      <c r="I52" t="s">
        <v>790</v>
      </c>
      <c r="J52" t="s">
        <v>538</v>
      </c>
      <c r="K52" t="s">
        <v>539</v>
      </c>
      <c r="L52" t="s">
        <v>539</v>
      </c>
      <c r="M52" t="s">
        <v>791</v>
      </c>
      <c r="N52" t="s">
        <v>186</v>
      </c>
      <c r="O52" t="s">
        <v>186</v>
      </c>
      <c r="P52" t="s">
        <v>409</v>
      </c>
      <c r="S52" t="s">
        <v>792</v>
      </c>
      <c r="U52" t="s">
        <v>793</v>
      </c>
      <c r="V52" t="s">
        <v>794</v>
      </c>
      <c r="W52" t="s">
        <v>795</v>
      </c>
      <c r="X52" t="s">
        <v>540</v>
      </c>
      <c r="Y52" t="s">
        <v>116</v>
      </c>
      <c r="Z52" t="s">
        <v>796</v>
      </c>
      <c r="AB52" t="s">
        <v>578</v>
      </c>
      <c r="AD52" t="s">
        <v>185</v>
      </c>
      <c r="AE52" t="s">
        <v>410</v>
      </c>
      <c r="AF52">
        <v>0</v>
      </c>
      <c r="AG52">
        <v>0</v>
      </c>
      <c r="AH52">
        <v>117.75</v>
      </c>
      <c r="AI52">
        <v>0</v>
      </c>
      <c r="AJ52" t="s">
        <v>554</v>
      </c>
      <c r="AK52" t="s">
        <v>578</v>
      </c>
      <c r="AL52" t="s">
        <v>797</v>
      </c>
    </row>
    <row r="53" spans="1:38" x14ac:dyDescent="0.2">
      <c r="A53">
        <v>1235444</v>
      </c>
      <c r="B53">
        <v>7855800</v>
      </c>
      <c r="C53">
        <v>187508</v>
      </c>
      <c r="E53" t="b">
        <v>0</v>
      </c>
      <c r="F53">
        <v>68290</v>
      </c>
      <c r="G53" t="s">
        <v>798</v>
      </c>
      <c r="H53">
        <v>1</v>
      </c>
      <c r="I53" t="s">
        <v>799</v>
      </c>
      <c r="J53" t="s">
        <v>538</v>
      </c>
      <c r="K53" t="s">
        <v>537</v>
      </c>
      <c r="L53" t="s">
        <v>539</v>
      </c>
      <c r="M53" t="s">
        <v>800</v>
      </c>
      <c r="N53" t="s">
        <v>190</v>
      </c>
      <c r="O53" t="s">
        <v>189</v>
      </c>
      <c r="P53" t="s">
        <v>115</v>
      </c>
      <c r="S53" t="s">
        <v>591</v>
      </c>
      <c r="U53" t="s">
        <v>801</v>
      </c>
      <c r="V53" t="s">
        <v>802</v>
      </c>
      <c r="W53" t="s">
        <v>446</v>
      </c>
      <c r="X53" t="s">
        <v>540</v>
      </c>
      <c r="Y53" t="s">
        <v>551</v>
      </c>
      <c r="Z53" t="s">
        <v>552</v>
      </c>
      <c r="AB53" t="s">
        <v>553</v>
      </c>
      <c r="AD53" t="s">
        <v>427</v>
      </c>
      <c r="AE53" t="s">
        <v>803</v>
      </c>
      <c r="AF53">
        <v>0</v>
      </c>
      <c r="AG53">
        <v>0</v>
      </c>
      <c r="AH53">
        <v>102</v>
      </c>
      <c r="AI53">
        <v>0</v>
      </c>
      <c r="AJ53" t="s">
        <v>554</v>
      </c>
      <c r="AK53" t="s">
        <v>553</v>
      </c>
      <c r="AL53" t="s">
        <v>555</v>
      </c>
    </row>
    <row r="54" spans="1:38" x14ac:dyDescent="0.2">
      <c r="A54">
        <v>1235564</v>
      </c>
      <c r="B54">
        <v>7890061</v>
      </c>
      <c r="C54">
        <v>187508</v>
      </c>
      <c r="E54" t="b">
        <v>0</v>
      </c>
      <c r="F54">
        <v>69031</v>
      </c>
      <c r="G54" t="s">
        <v>804</v>
      </c>
      <c r="H54">
        <v>1</v>
      </c>
      <c r="I54" t="s">
        <v>805</v>
      </c>
      <c r="J54" t="s">
        <v>538</v>
      </c>
      <c r="K54" t="s">
        <v>537</v>
      </c>
      <c r="L54" t="s">
        <v>539</v>
      </c>
      <c r="M54" t="s">
        <v>806</v>
      </c>
      <c r="N54" t="s">
        <v>195</v>
      </c>
      <c r="O54" t="s">
        <v>194</v>
      </c>
      <c r="S54" t="s">
        <v>807</v>
      </c>
      <c r="U54" t="s">
        <v>808</v>
      </c>
      <c r="V54" t="s">
        <v>809</v>
      </c>
      <c r="W54" t="s">
        <v>446</v>
      </c>
      <c r="X54" t="s">
        <v>540</v>
      </c>
      <c r="Y54" t="s">
        <v>551</v>
      </c>
      <c r="Z54" t="s">
        <v>552</v>
      </c>
      <c r="AB54" t="s">
        <v>553</v>
      </c>
      <c r="AD54" t="s">
        <v>193</v>
      </c>
      <c r="AE54" t="s">
        <v>458</v>
      </c>
      <c r="AF54">
        <v>0</v>
      </c>
      <c r="AG54">
        <v>0</v>
      </c>
      <c r="AH54">
        <v>75</v>
      </c>
      <c r="AI54">
        <v>0</v>
      </c>
      <c r="AJ54" t="s">
        <v>554</v>
      </c>
      <c r="AK54" t="s">
        <v>553</v>
      </c>
      <c r="AL54" t="s">
        <v>555</v>
      </c>
    </row>
    <row r="55" spans="1:38" x14ac:dyDescent="0.2">
      <c r="A55">
        <v>1235501</v>
      </c>
      <c r="B55">
        <v>8010165</v>
      </c>
      <c r="C55">
        <v>187508</v>
      </c>
      <c r="E55" t="b">
        <v>0</v>
      </c>
      <c r="F55">
        <v>71410</v>
      </c>
      <c r="G55" t="s">
        <v>810</v>
      </c>
      <c r="H55">
        <v>1</v>
      </c>
      <c r="I55" t="s">
        <v>811</v>
      </c>
      <c r="J55" t="s">
        <v>538</v>
      </c>
      <c r="K55" t="s">
        <v>537</v>
      </c>
      <c r="L55" t="s">
        <v>539</v>
      </c>
      <c r="M55" t="s">
        <v>812</v>
      </c>
      <c r="N55" t="s">
        <v>198</v>
      </c>
      <c r="O55" t="s">
        <v>197</v>
      </c>
      <c r="P55" t="s">
        <v>417</v>
      </c>
      <c r="S55" t="s">
        <v>591</v>
      </c>
      <c r="U55" t="s">
        <v>629</v>
      </c>
      <c r="V55" t="s">
        <v>813</v>
      </c>
      <c r="W55" t="s">
        <v>446</v>
      </c>
      <c r="X55" t="s">
        <v>540</v>
      </c>
      <c r="Y55" t="s">
        <v>551</v>
      </c>
      <c r="Z55" t="s">
        <v>552</v>
      </c>
      <c r="AB55" t="s">
        <v>553</v>
      </c>
      <c r="AD55" t="s">
        <v>196</v>
      </c>
      <c r="AE55" t="s">
        <v>434</v>
      </c>
      <c r="AF55">
        <v>0</v>
      </c>
      <c r="AG55">
        <v>0</v>
      </c>
      <c r="AH55">
        <v>75</v>
      </c>
      <c r="AI55">
        <v>0</v>
      </c>
      <c r="AJ55" t="s">
        <v>554</v>
      </c>
      <c r="AK55" t="s">
        <v>553</v>
      </c>
      <c r="AL55" t="s">
        <v>555</v>
      </c>
    </row>
    <row r="56" spans="1:38" x14ac:dyDescent="0.2">
      <c r="A56">
        <v>1235704</v>
      </c>
      <c r="B56">
        <v>8031653</v>
      </c>
      <c r="C56">
        <v>187514</v>
      </c>
      <c r="E56" t="b">
        <v>0</v>
      </c>
      <c r="F56">
        <v>71907</v>
      </c>
      <c r="G56" t="s">
        <v>814</v>
      </c>
      <c r="H56">
        <v>1</v>
      </c>
      <c r="I56" t="s">
        <v>815</v>
      </c>
      <c r="J56" t="s">
        <v>538</v>
      </c>
      <c r="K56" t="s">
        <v>539</v>
      </c>
      <c r="L56" t="s">
        <v>539</v>
      </c>
      <c r="M56" t="s">
        <v>816</v>
      </c>
      <c r="N56" t="s">
        <v>264</v>
      </c>
      <c r="O56" t="s">
        <v>485</v>
      </c>
      <c r="S56" t="s">
        <v>677</v>
      </c>
      <c r="U56" t="s">
        <v>817</v>
      </c>
      <c r="V56" t="s">
        <v>818</v>
      </c>
      <c r="W56" t="s">
        <v>379</v>
      </c>
      <c r="X56" t="s">
        <v>540</v>
      </c>
      <c r="Y56" t="s">
        <v>417</v>
      </c>
      <c r="Z56" t="s">
        <v>552</v>
      </c>
      <c r="AB56" t="s">
        <v>663</v>
      </c>
      <c r="AD56" t="s">
        <v>263</v>
      </c>
      <c r="AE56" t="s">
        <v>263</v>
      </c>
      <c r="AF56">
        <v>0</v>
      </c>
      <c r="AG56">
        <v>0</v>
      </c>
      <c r="AH56">
        <v>27.5</v>
      </c>
      <c r="AI56">
        <v>0</v>
      </c>
      <c r="AJ56" t="s">
        <v>554</v>
      </c>
      <c r="AK56" t="s">
        <v>663</v>
      </c>
      <c r="AL56" t="s">
        <v>555</v>
      </c>
    </row>
    <row r="57" spans="1:38" x14ac:dyDescent="0.2">
      <c r="A57">
        <v>1235563</v>
      </c>
      <c r="B57">
        <v>7009411</v>
      </c>
      <c r="C57">
        <v>7589603</v>
      </c>
      <c r="E57" t="b">
        <v>0</v>
      </c>
      <c r="F57">
        <v>53782</v>
      </c>
      <c r="G57" t="s">
        <v>819</v>
      </c>
      <c r="H57">
        <v>1</v>
      </c>
      <c r="I57" t="s">
        <v>820</v>
      </c>
      <c r="J57" t="s">
        <v>538</v>
      </c>
      <c r="K57" t="s">
        <v>537</v>
      </c>
      <c r="L57" t="s">
        <v>539</v>
      </c>
      <c r="M57" t="s">
        <v>821</v>
      </c>
      <c r="N57" t="s">
        <v>230</v>
      </c>
      <c r="O57" t="s">
        <v>230</v>
      </c>
      <c r="P57" t="s">
        <v>455</v>
      </c>
      <c r="S57" t="s">
        <v>583</v>
      </c>
      <c r="U57" t="s">
        <v>822</v>
      </c>
      <c r="V57" t="s">
        <v>823</v>
      </c>
      <c r="W57" t="s">
        <v>446</v>
      </c>
      <c r="X57" t="s">
        <v>540</v>
      </c>
      <c r="Y57" t="s">
        <v>116</v>
      </c>
      <c r="Z57" t="s">
        <v>552</v>
      </c>
      <c r="AB57" t="s">
        <v>578</v>
      </c>
      <c r="AD57" t="s">
        <v>456</v>
      </c>
      <c r="AE57" t="s">
        <v>457</v>
      </c>
      <c r="AF57">
        <v>0</v>
      </c>
      <c r="AG57">
        <v>0</v>
      </c>
      <c r="AH57">
        <v>46</v>
      </c>
      <c r="AI57">
        <v>0</v>
      </c>
      <c r="AJ57" t="s">
        <v>554</v>
      </c>
      <c r="AK57" t="s">
        <v>578</v>
      </c>
      <c r="AL57" t="s">
        <v>587</v>
      </c>
    </row>
    <row r="58" spans="1:38" x14ac:dyDescent="0.2">
      <c r="A58">
        <v>1235428</v>
      </c>
      <c r="B58">
        <v>3934094</v>
      </c>
      <c r="C58">
        <v>7589603</v>
      </c>
      <c r="E58" t="b">
        <v>0</v>
      </c>
      <c r="F58">
        <v>17702</v>
      </c>
      <c r="G58" t="s">
        <v>824</v>
      </c>
      <c r="H58">
        <v>1</v>
      </c>
      <c r="I58" t="s">
        <v>825</v>
      </c>
      <c r="J58" t="s">
        <v>538</v>
      </c>
      <c r="K58" t="s">
        <v>539</v>
      </c>
      <c r="L58" t="s">
        <v>539</v>
      </c>
      <c r="M58" t="s">
        <v>826</v>
      </c>
      <c r="N58" t="s">
        <v>231</v>
      </c>
      <c r="O58" t="s">
        <v>231</v>
      </c>
      <c r="P58" t="s">
        <v>758</v>
      </c>
      <c r="S58" t="s">
        <v>583</v>
      </c>
      <c r="V58" t="s">
        <v>827</v>
      </c>
      <c r="W58" t="s">
        <v>446</v>
      </c>
      <c r="X58" t="s">
        <v>540</v>
      </c>
      <c r="Y58" t="s">
        <v>116</v>
      </c>
      <c r="Z58" t="s">
        <v>552</v>
      </c>
      <c r="AB58" t="s">
        <v>578</v>
      </c>
      <c r="AD58" t="s">
        <v>828</v>
      </c>
      <c r="AE58" t="s">
        <v>829</v>
      </c>
      <c r="AF58">
        <v>0</v>
      </c>
      <c r="AG58">
        <v>0</v>
      </c>
      <c r="AH58">
        <v>41</v>
      </c>
      <c r="AI58">
        <v>0</v>
      </c>
      <c r="AJ58" t="s">
        <v>554</v>
      </c>
      <c r="AK58" t="s">
        <v>578</v>
      </c>
      <c r="AL58" t="s">
        <v>587</v>
      </c>
    </row>
    <row r="59" spans="1:38" x14ac:dyDescent="0.2">
      <c r="A59">
        <v>2822437</v>
      </c>
    </row>
    <row r="60" spans="1:38" x14ac:dyDescent="0.2">
      <c r="A60">
        <v>1235598</v>
      </c>
      <c r="B60">
        <v>7490110</v>
      </c>
      <c r="C60">
        <v>7589602</v>
      </c>
      <c r="E60" t="b">
        <v>0</v>
      </c>
      <c r="F60">
        <v>61175</v>
      </c>
      <c r="G60" t="s">
        <v>830</v>
      </c>
      <c r="H60">
        <v>1</v>
      </c>
      <c r="I60" t="s">
        <v>831</v>
      </c>
      <c r="J60" t="s">
        <v>538</v>
      </c>
      <c r="K60" t="s">
        <v>537</v>
      </c>
      <c r="L60" t="s">
        <v>539</v>
      </c>
      <c r="M60" t="s">
        <v>832</v>
      </c>
      <c r="N60" t="s">
        <v>187</v>
      </c>
      <c r="O60" t="s">
        <v>187</v>
      </c>
      <c r="P60" t="s">
        <v>446</v>
      </c>
      <c r="S60" t="s">
        <v>591</v>
      </c>
      <c r="U60" t="s">
        <v>833</v>
      </c>
      <c r="V60" t="s">
        <v>834</v>
      </c>
      <c r="W60" t="s">
        <v>446</v>
      </c>
      <c r="X60" t="s">
        <v>540</v>
      </c>
      <c r="Y60" t="s">
        <v>116</v>
      </c>
      <c r="Z60" t="s">
        <v>552</v>
      </c>
      <c r="AA60" t="s">
        <v>22</v>
      </c>
      <c r="AB60" t="s">
        <v>595</v>
      </c>
      <c r="AD60" t="s">
        <v>461</v>
      </c>
      <c r="AE60" t="s">
        <v>461</v>
      </c>
      <c r="AF60">
        <v>0</v>
      </c>
      <c r="AG60">
        <v>0</v>
      </c>
      <c r="AH60">
        <v>76.25</v>
      </c>
      <c r="AI60">
        <v>0</v>
      </c>
      <c r="AJ60" t="s">
        <v>554</v>
      </c>
      <c r="AK60" t="s">
        <v>595</v>
      </c>
      <c r="AL60" t="s">
        <v>587</v>
      </c>
    </row>
    <row r="61" spans="1:38" x14ac:dyDescent="0.2">
      <c r="A61">
        <v>1235517</v>
      </c>
      <c r="B61">
        <v>6829128</v>
      </c>
      <c r="C61">
        <v>187510</v>
      </c>
      <c r="E61" t="b">
        <v>0</v>
      </c>
      <c r="F61">
        <v>50907</v>
      </c>
      <c r="G61" t="s">
        <v>835</v>
      </c>
      <c r="H61">
        <v>1</v>
      </c>
      <c r="I61" t="s">
        <v>836</v>
      </c>
      <c r="J61" t="s">
        <v>538</v>
      </c>
      <c r="K61" t="s">
        <v>537</v>
      </c>
      <c r="L61" t="s">
        <v>539</v>
      </c>
      <c r="M61" t="s">
        <v>837</v>
      </c>
      <c r="N61" t="s">
        <v>188</v>
      </c>
      <c r="O61" t="s">
        <v>188</v>
      </c>
      <c r="P61" t="s">
        <v>107</v>
      </c>
      <c r="S61" t="s">
        <v>591</v>
      </c>
      <c r="U61" t="s">
        <v>838</v>
      </c>
      <c r="V61" t="s">
        <v>839</v>
      </c>
      <c r="W61" t="s">
        <v>446</v>
      </c>
      <c r="X61" t="s">
        <v>540</v>
      </c>
      <c r="Y61" t="s">
        <v>116</v>
      </c>
      <c r="Z61" t="s">
        <v>552</v>
      </c>
      <c r="AA61" t="s">
        <v>22</v>
      </c>
      <c r="AB61" t="s">
        <v>595</v>
      </c>
      <c r="AD61" t="s">
        <v>840</v>
      </c>
      <c r="AE61" t="s">
        <v>840</v>
      </c>
      <c r="AF61">
        <v>0</v>
      </c>
      <c r="AG61">
        <v>0</v>
      </c>
      <c r="AH61">
        <v>74.75</v>
      </c>
      <c r="AI61">
        <v>0</v>
      </c>
      <c r="AJ61" t="s">
        <v>554</v>
      </c>
      <c r="AK61" t="s">
        <v>595</v>
      </c>
      <c r="AL61" t="s">
        <v>555</v>
      </c>
    </row>
    <row r="62" spans="1:38" x14ac:dyDescent="0.2">
      <c r="A62">
        <v>2822784</v>
      </c>
      <c r="B62">
        <v>8069275</v>
      </c>
      <c r="E62" t="b">
        <v>0</v>
      </c>
      <c r="F62">
        <v>72690</v>
      </c>
      <c r="G62" t="s">
        <v>841</v>
      </c>
      <c r="H62">
        <v>1</v>
      </c>
      <c r="I62" t="s">
        <v>842</v>
      </c>
      <c r="J62" t="s">
        <v>538</v>
      </c>
      <c r="K62" t="s">
        <v>539</v>
      </c>
      <c r="L62" t="s">
        <v>539</v>
      </c>
      <c r="M62" t="s">
        <v>843</v>
      </c>
      <c r="N62" t="s">
        <v>511</v>
      </c>
      <c r="O62" t="s">
        <v>511</v>
      </c>
      <c r="P62" t="s">
        <v>148</v>
      </c>
      <c r="S62" t="s">
        <v>844</v>
      </c>
      <c r="V62" t="s">
        <v>845</v>
      </c>
      <c r="W62" t="s">
        <v>446</v>
      </c>
      <c r="X62" t="s">
        <v>540</v>
      </c>
      <c r="Y62" t="s">
        <v>586</v>
      </c>
      <c r="Z62" t="s">
        <v>552</v>
      </c>
      <c r="AA62" t="s">
        <v>22</v>
      </c>
      <c r="AD62" t="s">
        <v>512</v>
      </c>
      <c r="AE62" t="s">
        <v>512</v>
      </c>
      <c r="AF62">
        <v>0</v>
      </c>
      <c r="AG62">
        <v>0</v>
      </c>
      <c r="AH62">
        <v>76.25</v>
      </c>
      <c r="AI62">
        <v>0</v>
      </c>
      <c r="AJ62" t="s">
        <v>554</v>
      </c>
    </row>
    <row r="63" spans="1:38" x14ac:dyDescent="0.2">
      <c r="A63">
        <v>1235416</v>
      </c>
      <c r="B63">
        <v>7618351</v>
      </c>
      <c r="C63">
        <v>187510</v>
      </c>
      <c r="E63" t="b">
        <v>0</v>
      </c>
      <c r="F63">
        <v>64375</v>
      </c>
      <c r="G63" t="s">
        <v>846</v>
      </c>
      <c r="H63">
        <v>1</v>
      </c>
      <c r="I63" t="s">
        <v>847</v>
      </c>
      <c r="J63" t="s">
        <v>538</v>
      </c>
      <c r="K63" t="s">
        <v>848</v>
      </c>
      <c r="L63" t="s">
        <v>539</v>
      </c>
      <c r="M63" t="s">
        <v>849</v>
      </c>
      <c r="N63" t="s">
        <v>421</v>
      </c>
      <c r="O63" t="s">
        <v>421</v>
      </c>
      <c r="P63" t="s">
        <v>422</v>
      </c>
      <c r="S63" t="s">
        <v>850</v>
      </c>
      <c r="U63" t="s">
        <v>851</v>
      </c>
      <c r="V63" t="s">
        <v>852</v>
      </c>
      <c r="W63" t="s">
        <v>446</v>
      </c>
      <c r="X63" t="s">
        <v>540</v>
      </c>
      <c r="Y63" t="s">
        <v>116</v>
      </c>
      <c r="Z63" t="s">
        <v>552</v>
      </c>
      <c r="AA63" t="s">
        <v>22</v>
      </c>
      <c r="AB63" t="s">
        <v>595</v>
      </c>
      <c r="AD63" t="s">
        <v>423</v>
      </c>
      <c r="AE63" t="s">
        <v>423</v>
      </c>
      <c r="AF63">
        <v>0</v>
      </c>
      <c r="AG63">
        <v>0</v>
      </c>
      <c r="AH63">
        <v>76.25</v>
      </c>
      <c r="AI63">
        <v>0</v>
      </c>
      <c r="AJ63" t="s">
        <v>554</v>
      </c>
      <c r="AK63" t="s">
        <v>595</v>
      </c>
      <c r="AL63" t="s">
        <v>555</v>
      </c>
    </row>
    <row r="64" spans="1:38" x14ac:dyDescent="0.2">
      <c r="A64">
        <v>1235503</v>
      </c>
      <c r="B64">
        <v>8035837</v>
      </c>
      <c r="C64">
        <v>187508</v>
      </c>
      <c r="E64" t="b">
        <v>0</v>
      </c>
      <c r="F64">
        <v>72022</v>
      </c>
      <c r="G64" t="s">
        <v>853</v>
      </c>
      <c r="H64">
        <v>1</v>
      </c>
      <c r="I64" t="s">
        <v>854</v>
      </c>
      <c r="J64" t="s">
        <v>538</v>
      </c>
      <c r="K64" t="s">
        <v>537</v>
      </c>
      <c r="L64" t="s">
        <v>539</v>
      </c>
      <c r="M64" t="s">
        <v>855</v>
      </c>
      <c r="N64" t="s">
        <v>269</v>
      </c>
      <c r="O64" t="s">
        <v>191</v>
      </c>
      <c r="P64" t="s">
        <v>417</v>
      </c>
      <c r="S64" t="s">
        <v>856</v>
      </c>
      <c r="U64" t="s">
        <v>857</v>
      </c>
      <c r="V64" t="s">
        <v>858</v>
      </c>
      <c r="W64" t="s">
        <v>446</v>
      </c>
      <c r="X64" t="s">
        <v>540</v>
      </c>
      <c r="Y64" t="s">
        <v>551</v>
      </c>
      <c r="Z64" t="s">
        <v>552</v>
      </c>
      <c r="AB64" t="s">
        <v>553</v>
      </c>
      <c r="AD64" t="s">
        <v>270</v>
      </c>
      <c r="AE64" t="s">
        <v>437</v>
      </c>
      <c r="AF64">
        <v>0</v>
      </c>
      <c r="AG64">
        <v>0</v>
      </c>
      <c r="AH64">
        <v>97</v>
      </c>
      <c r="AI64">
        <v>0</v>
      </c>
      <c r="AJ64" t="s">
        <v>554</v>
      </c>
      <c r="AK64" t="s">
        <v>553</v>
      </c>
      <c r="AL64" t="s">
        <v>555</v>
      </c>
    </row>
    <row r="65" spans="1:1" x14ac:dyDescent="0.2">
      <c r="A65">
        <v>1235768</v>
      </c>
    </row>
    <row r="66" spans="1:1" x14ac:dyDescent="0.2">
      <c r="A66">
        <v>1235769</v>
      </c>
    </row>
    <row r="67" spans="1:1" x14ac:dyDescent="0.2">
      <c r="A67">
        <v>1235540</v>
      </c>
    </row>
  </sheetData>
  <sheetProtection algorithmName="SHA-512" hashValue="hVTeEIgxEHWfe0nMS96JStVphQsQsAahCRQBbez4GfwxTuAR4dU0FLVVzcRtbk4e0pyppWljmLHWYC4vArDWcQ==" saltValue="uDiLXs/gZZnXfyR2lIQV1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571</v>
      </c>
      <c r="B1" s="39" t="s">
        <v>569</v>
      </c>
      <c r="C1" s="39" t="s">
        <v>570</v>
      </c>
    </row>
    <row r="2" spans="1:3" x14ac:dyDescent="0.2">
      <c r="A2" s="39" t="s">
        <v>568</v>
      </c>
      <c r="B2">
        <v>-100</v>
      </c>
      <c r="C2">
        <v>450</v>
      </c>
    </row>
    <row r="3" spans="1:3" x14ac:dyDescent="0.2">
      <c r="A3" s="39" t="s">
        <v>562</v>
      </c>
      <c r="B3">
        <v>-50</v>
      </c>
      <c r="C3">
        <v>450</v>
      </c>
    </row>
    <row r="4" spans="1:3" x14ac:dyDescent="0.2">
      <c r="A4" s="39" t="s">
        <v>561</v>
      </c>
      <c r="B4">
        <v>70</v>
      </c>
      <c r="C4">
        <v>500</v>
      </c>
    </row>
    <row r="5" spans="1:3" x14ac:dyDescent="0.2">
      <c r="A5" s="39" t="s">
        <v>563</v>
      </c>
      <c r="B5">
        <v>70</v>
      </c>
      <c r="C5">
        <v>450</v>
      </c>
    </row>
    <row r="6" spans="1:3" x14ac:dyDescent="0.2">
      <c r="A6" s="39" t="s">
        <v>565</v>
      </c>
      <c r="B6">
        <v>70</v>
      </c>
      <c r="C6">
        <v>1000</v>
      </c>
    </row>
    <row r="7" spans="1:3" x14ac:dyDescent="0.2">
      <c r="A7" s="39" t="s">
        <v>566</v>
      </c>
      <c r="B7">
        <v>200</v>
      </c>
      <c r="C7">
        <v>1850</v>
      </c>
    </row>
    <row r="8" spans="1:3" x14ac:dyDescent="0.2">
      <c r="A8" s="39" t="s">
        <v>564</v>
      </c>
      <c r="B8">
        <v>700</v>
      </c>
      <c r="C8">
        <v>2200</v>
      </c>
    </row>
    <row r="9" spans="1:3" x14ac:dyDescent="0.2">
      <c r="A9" s="39" t="s">
        <v>567</v>
      </c>
      <c r="B9">
        <v>700</v>
      </c>
      <c r="C9">
        <v>2200</v>
      </c>
    </row>
  </sheetData>
  <sheetProtection algorithmName="SHA-512" hashValue="8iH6JARNfhguFmp6KKBuKqrEvwjlhUVhFBsELNC7+SJpjnSE96nucN7d4I6rPCr7Yp5Su1MwhlO9UiCMY5pTGA==" saltValue="c4BEknAe1CgaKfh/kpVff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918</v>
      </c>
      <c r="G1" s="39" t="s">
        <v>921</v>
      </c>
      <c r="I1" s="502" t="s">
        <v>915</v>
      </c>
      <c r="J1" s="503"/>
      <c r="L1" s="36"/>
      <c r="M1" s="453" t="s">
        <v>910</v>
      </c>
      <c r="N1" s="454" t="s">
        <v>15</v>
      </c>
      <c r="O1" s="454" t="s">
        <v>914</v>
      </c>
      <c r="P1" s="454" t="s">
        <v>904</v>
      </c>
      <c r="Q1" s="454" t="s">
        <v>14</v>
      </c>
    </row>
    <row r="2" spans="1:17" ht="13.5" thickTop="1" x14ac:dyDescent="0.2">
      <c r="A2" s="440"/>
      <c r="I2" s="464" t="s">
        <v>911</v>
      </c>
      <c r="J2" s="465">
        <f>COUNTIF(Survey[TestPoint],"&lt;=5")-1</f>
        <v>-1</v>
      </c>
      <c r="L2" s="476" t="s">
        <v>1</v>
      </c>
      <c r="M2" s="460" t="e">
        <f>_xlfn.XLOOKUP(P2,Survey[CorrectedTemp],Survey[TestPoint])</f>
        <v>#N/A</v>
      </c>
      <c r="N2" s="455">
        <f>P2-NominalTemp</f>
        <v>0</v>
      </c>
      <c r="O2" s="456" t="s">
        <v>272</v>
      </c>
      <c r="P2" s="455">
        <f>MAX(Survey[CorrectedTemp])</f>
        <v>0</v>
      </c>
      <c r="Q2" s="457" t="e">
        <f>_xlfn.XLOOKUP(P2,Survey[CorrectedTemp],Survey[Time])</f>
        <v>#N/A</v>
      </c>
    </row>
    <row r="3" spans="1:17" x14ac:dyDescent="0.2">
      <c r="I3" s="470" t="s">
        <v>919</v>
      </c>
      <c r="J3" s="471" t="e">
        <f>_xlfn.T.INV.2T(1-0.9545, DoF)</f>
        <v>#NUM!</v>
      </c>
      <c r="L3" s="476" t="s">
        <v>2</v>
      </c>
      <c r="M3" s="461" t="e">
        <f>_xlfn.XLOOKUP(P3,Survey[CorrectedTemp],Survey[TestPoint])</f>
        <v>#N/A</v>
      </c>
      <c r="N3" s="458">
        <f>P3-NominalTemp</f>
        <v>0</v>
      </c>
      <c r="O3" s="447" t="s">
        <v>273</v>
      </c>
      <c r="P3" s="458">
        <f>MIN(Survey[CorrectedTemp])</f>
        <v>0</v>
      </c>
      <c r="Q3" s="459" t="e">
        <f>_xlfn.XLOOKUP(P3,Survey[CorrectedTemp],Survey[Time])</f>
        <v>#N/A</v>
      </c>
    </row>
    <row r="4" spans="1:17" x14ac:dyDescent="0.2">
      <c r="I4" s="466" t="s">
        <v>923</v>
      </c>
      <c r="J4" s="467" cm="1">
        <f t="array" ref="J4">SUM(_xlfn._xlws.FILTER(Survey[Deviations],Survey[TestPoint]&lt;=5)^2)/DoF</f>
        <v>0</v>
      </c>
      <c r="L4" s="504" t="s">
        <v>916</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924</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922</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912</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913</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920</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945</v>
      </c>
      <c r="I2" t="str" cm="1">
        <f t="array" ref="I2">TRANSPOSE(_xlfn._xlws.FILTER(CorrectionFactors[], (CorrectionFactors[point]&gt;=Main!V22) * (CorrectionFactors[point]&lt;=Main!V23), ""))</f>
        <v/>
      </c>
    </row>
    <row r="3" spans="1:9" x14ac:dyDescent="0.2">
      <c r="H3" t="s">
        <v>310</v>
      </c>
    </row>
    <row r="4" spans="1:9" x14ac:dyDescent="0.2">
      <c r="H4" t="s">
        <v>946</v>
      </c>
    </row>
    <row r="5" spans="1:9" x14ac:dyDescent="0.2">
      <c r="H5" t="s">
        <v>947</v>
      </c>
    </row>
    <row r="6" spans="1:9" x14ac:dyDescent="0.2">
      <c r="H6" t="s">
        <v>948</v>
      </c>
    </row>
    <row r="7" spans="1:9" x14ac:dyDescent="0.2">
      <c r="H7" t="s">
        <v>949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862</v>
      </c>
      <c r="B1" s="411" t="s">
        <v>863</v>
      </c>
    </row>
    <row r="2" spans="1:3" x14ac:dyDescent="0.2">
      <c r="A2" s="39"/>
      <c r="B2" s="39"/>
    </row>
    <row r="3" spans="1:3" x14ac:dyDescent="0.2">
      <c r="A3" s="39" t="s">
        <v>569</v>
      </c>
      <c r="B3" s="39" t="s">
        <v>570</v>
      </c>
      <c r="C3" s="39" t="s">
        <v>864</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e5VNd8Fp6DvxiRiofGHxwrvf5OGKpxBrCC/Zf6wE36SD4U+N2YdCPL1Kij9CWYV9qa/qUxWaL7hZd2U1Ml63A==" saltValue="Jub3HpqbAPX5hTKmKTcjf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Y405"/>
  <sheetViews>
    <sheetView workbookViewId="0">
      <selection activeCell="A2" sqref="A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57.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28515625" bestFit="1" customWidth="1"/>
    <col min="13" max="13" width="26.5703125" bestFit="1" customWidth="1"/>
    <col min="14" max="14" width="27.7109375" bestFit="1" customWidth="1"/>
    <col min="15" max="15" width="21.42578125" bestFit="1" customWidth="1"/>
    <col min="16" max="16" width="12.42578125" bestFit="1" customWidth="1"/>
    <col min="17" max="17" width="13.140625" bestFit="1" customWidth="1"/>
    <col min="18" max="18" width="14" bestFit="1" customWidth="1"/>
    <col min="19" max="19" width="27.7109375" bestFit="1" customWidth="1"/>
    <col min="20" max="20" width="28.140625" bestFit="1" customWidth="1"/>
    <col min="21" max="21" width="32.85546875" bestFit="1" customWidth="1"/>
    <col min="22" max="22" width="13.28515625" bestFit="1" customWidth="1"/>
    <col min="23" max="23" width="29.140625" bestFit="1" customWidth="1"/>
    <col min="24" max="24" width="24.85546875" bestFit="1" customWidth="1"/>
    <col min="25" max="25" width="32.85546875" bestFit="1" customWidth="1"/>
    <col min="26" max="26" width="81.140625" bestFit="1" customWidth="1"/>
    <col min="27" max="27" width="14.85546875" bestFit="1" customWidth="1"/>
    <col min="28" max="28" width="36.85546875" bestFit="1" customWidth="1"/>
    <col min="29" max="29" width="12" bestFit="1" customWidth="1"/>
    <col min="30" max="30" width="13.42578125" bestFit="1" customWidth="1"/>
    <col min="31" max="31" width="13.28515625" bestFit="1" customWidth="1"/>
    <col min="32" max="32" width="15.140625" bestFit="1" customWidth="1"/>
    <col min="33" max="33" width="23.140625" bestFit="1" customWidth="1"/>
    <col min="34" max="34" width="15.42578125" bestFit="1" customWidth="1"/>
    <col min="35" max="35" width="81.140625" bestFit="1" customWidth="1"/>
    <col min="36" max="36" width="37" bestFit="1" customWidth="1"/>
    <col min="37" max="37" width="12" bestFit="1" customWidth="1"/>
    <col min="38" max="38" width="16.42578125" bestFit="1" customWidth="1"/>
    <col min="39" max="47" width="11.28515625" bestFit="1" customWidth="1"/>
    <col min="48" max="79" width="12.28515625" bestFit="1" customWidth="1"/>
    <col min="80" max="80" width="9.7109375" bestFit="1" customWidth="1"/>
    <col min="81" max="81" width="19" bestFit="1" customWidth="1"/>
    <col min="82" max="82" width="36" bestFit="1" customWidth="1"/>
    <col min="83" max="83" width="41.42578125" bestFit="1" customWidth="1"/>
    <col min="84" max="84" width="28.7109375" bestFit="1" customWidth="1"/>
    <col min="85" max="85" width="15.5703125" bestFit="1" customWidth="1"/>
    <col min="86" max="86" width="25.5703125" bestFit="1" customWidth="1"/>
    <col min="87" max="87" width="57.85546875" bestFit="1" customWidth="1"/>
    <col min="88" max="88" width="19.140625" bestFit="1" customWidth="1"/>
    <col min="89" max="89" width="34" bestFit="1" customWidth="1"/>
    <col min="90" max="90" width="36.140625" bestFit="1" customWidth="1"/>
    <col min="91" max="91" width="28.5703125" bestFit="1" customWidth="1"/>
    <col min="92" max="92" width="36" bestFit="1" customWidth="1"/>
    <col min="93" max="93" width="66.7109375" bestFit="1" customWidth="1"/>
    <col min="94" max="94" width="27.28515625" bestFit="1" customWidth="1"/>
    <col min="95" max="95" width="26.5703125" bestFit="1" customWidth="1"/>
    <col min="96" max="96" width="27.7109375" bestFit="1" customWidth="1"/>
    <col min="97" max="97" width="21.42578125" bestFit="1" customWidth="1"/>
    <col min="98" max="98" width="12.42578125" bestFit="1" customWidth="1"/>
    <col min="99" max="99" width="13.140625" bestFit="1" customWidth="1"/>
    <col min="100" max="100" width="14" bestFit="1" customWidth="1"/>
    <col min="101" max="101" width="27.7109375" bestFit="1" customWidth="1"/>
    <col min="102" max="102" width="28.140625" bestFit="1" customWidth="1"/>
    <col min="103" max="103" width="32.85546875" bestFit="1" customWidth="1"/>
    <col min="104" max="104" width="13.28515625" bestFit="1" customWidth="1"/>
    <col min="105" max="105" width="29.140625" bestFit="1" customWidth="1"/>
    <col min="106" max="106" width="24.85546875" bestFit="1" customWidth="1"/>
    <col min="107" max="107" width="32.85546875" bestFit="1" customWidth="1"/>
    <col min="108" max="108" width="81.140625" bestFit="1" customWidth="1"/>
    <col min="109" max="109" width="14.85546875" bestFit="1" customWidth="1"/>
    <col min="110" max="110" width="36.85546875" bestFit="1" customWidth="1"/>
    <col min="111" max="111" width="12" bestFit="1" customWidth="1"/>
    <col min="112" max="112" width="13.42578125" bestFit="1" customWidth="1"/>
    <col min="113" max="113" width="13.28515625" bestFit="1" customWidth="1"/>
    <col min="114" max="114" width="15.140625" bestFit="1" customWidth="1"/>
    <col min="115" max="115" width="23.140625" bestFit="1" customWidth="1"/>
    <col min="116" max="116" width="15.42578125" bestFit="1" customWidth="1"/>
    <col min="117" max="117" width="81.140625" bestFit="1" customWidth="1"/>
    <col min="118" max="118" width="37" bestFit="1" customWidth="1"/>
    <col min="119" max="119" width="12" bestFit="1" customWidth="1"/>
    <col min="120" max="123" width="16.42578125" bestFit="1" customWidth="1"/>
  </cols>
  <sheetData>
    <row r="1" spans="1:77" x14ac:dyDescent="0.2">
      <c r="A1"/>
      <c r="B1"/>
      <c r="C1"/>
      <c r="D1"/>
      <c r="E1"/>
      <c r="F1"/>
      <c r="G1"/>
      <c r="H1"/>
      <c r="I1"/>
      <c r="J1"/>
      <c r="K1"/>
      <c r="L1"/>
      <c r="M1"/>
      <c r="N1"/>
      <c r="O1"/>
      <c r="P1"/>
      <c r="Q1"/>
      <c r="R1"/>
      <c r="S1"/>
      <c r="T1"/>
      <c r="U1"/>
      <c r="V1"/>
      <c r="W1"/>
      <c r="X1"/>
      <c r="Y1"/>
      <c r="Z1"/>
      <c r="AA1"/>
      <c r="AB1"/>
      <c r="AC1"/>
      <c r="AD1"/>
      <c r="AE1"/>
      <c r="AF1"/>
      <c r="AG1"/>
      <c r="AH1"/>
      <c r="AI1"/>
      <c r="AJ1"/>
      <c r="AK1"/>
      <c r="AL1"/>
      <c r="AN1" t="str" cm="1">
        <f t="array" ref="AN1:BY1">Header_Info[#Headers]</f>
        <v>AssetId</v>
      </c>
      <c r="AO1" t="str">
        <v>ClientCompanyId</v>
      </c>
      <c r="AP1" t="str">
        <v>Furnace</v>
      </c>
      <c r="AQ1" t="str">
        <v>FormNumber</v>
      </c>
      <c r="AR1" t="str">
        <v>CalibrationMethod</v>
      </c>
      <c r="AS1" t="str">
        <v>ToleranceSource</v>
      </c>
      <c r="AT1" t="str">
        <v>Item</v>
      </c>
      <c r="AU1" t="str">
        <v>ModelNumber</v>
      </c>
      <c r="AV1" t="str">
        <v>SerialNumber</v>
      </c>
      <c r="AW1" t="str">
        <v>UnitNumber</v>
      </c>
      <c r="AX1" t="str">
        <v>Class</v>
      </c>
      <c r="AY1" t="str">
        <v>Range</v>
      </c>
      <c r="AZ1" t="str">
        <v>Tolerance</v>
      </c>
      <c r="BA1" t="str">
        <v>HeatingMethod</v>
      </c>
      <c r="BB1" t="str">
        <v>WorkingZoneSize</v>
      </c>
      <c r="BC1" t="str">
        <v>CubicFeet</v>
      </c>
      <c r="BD1" t="str">
        <v>CalInterval</v>
      </c>
      <c r="BE1" t="str">
        <v>ControllerId</v>
      </c>
      <c r="BF1" t="str">
        <v>Controller</v>
      </c>
      <c r="BG1" t="str">
        <v>ContSN</v>
      </c>
      <c r="BH1" t="str">
        <v>ContTol</v>
      </c>
      <c r="BI1" t="str">
        <v>RecorderId</v>
      </c>
      <c r="BJ1" t="str">
        <v>Recorder</v>
      </c>
      <c r="BK1" t="str">
        <v>RecSN</v>
      </c>
      <c r="BL1" t="str">
        <v>RecTol</v>
      </c>
      <c r="BM1" t="str">
        <v>FurnaceSpecificComments</v>
      </c>
      <c r="BN1" t="str">
        <v>TestLocation</v>
      </c>
      <c r="BO1" t="str">
        <v>OvenLocation</v>
      </c>
      <c r="BP1" t="str">
        <v>Condition</v>
      </c>
      <c r="BQ1" t="str">
        <v>PB</v>
      </c>
      <c r="BR1" t="str">
        <v>Derivative</v>
      </c>
      <c r="BS1" t="str">
        <v>Integral</v>
      </c>
      <c r="BT1" t="str">
        <v>Other1</v>
      </c>
      <c r="BU1" t="str">
        <v>Other2</v>
      </c>
      <c r="BV1" t="str">
        <v>CheckRec</v>
      </c>
      <c r="BW1" t="str">
        <v>Load</v>
      </c>
      <c r="BX1" t="str">
        <v>LagLimit</v>
      </c>
      <c r="BY1" t="str">
        <v>RecoveryLimit</v>
      </c>
    </row>
    <row r="2" spans="1:77" x14ac:dyDescent="0.2">
      <c r="A2"/>
      <c r="B2"/>
      <c r="C2"/>
      <c r="D2" s="669"/>
      <c r="E2" s="669"/>
      <c r="F2" s="669"/>
      <c r="G2" s="669"/>
      <c r="H2"/>
      <c r="I2"/>
      <c r="J2"/>
      <c r="K2"/>
      <c r="L2" s="669"/>
      <c r="M2" s="669"/>
      <c r="N2" s="669"/>
      <c r="O2" s="669"/>
      <c r="P2"/>
      <c r="Q2"/>
      <c r="R2"/>
      <c r="T2"/>
      <c r="U2"/>
      <c r="V2"/>
      <c r="W2"/>
      <c r="X2"/>
      <c r="Y2"/>
      <c r="Z2" s="669"/>
      <c r="AA2" s="669"/>
      <c r="AB2" s="669"/>
      <c r="AC2" s="669"/>
      <c r="AD2"/>
      <c r="AG2"/>
      <c r="AH2"/>
      <c r="AI2"/>
      <c r="AJ2" s="669"/>
      <c r="AN2" t="e" cm="1">
        <f t="array" ref="AN2">_xlfn.XLOOKUP(AssetId,Header_Info[AssetId],Header_Info[],"")</f>
        <v>#N/A</v>
      </c>
    </row>
    <row r="3" spans="1:77" x14ac:dyDescent="0.2">
      <c r="A3"/>
      <c r="B3"/>
      <c r="C3"/>
      <c r="D3" s="669"/>
      <c r="E3" s="669"/>
      <c r="F3" s="669"/>
      <c r="G3" s="669"/>
      <c r="H3"/>
      <c r="I3"/>
      <c r="J3"/>
      <c r="K3"/>
      <c r="L3" s="669"/>
      <c r="M3" s="669"/>
      <c r="N3" s="669"/>
      <c r="O3" s="669"/>
      <c r="P3"/>
      <c r="Q3"/>
      <c r="R3"/>
      <c r="S3"/>
      <c r="T3"/>
      <c r="U3"/>
      <c r="V3"/>
      <c r="W3"/>
      <c r="X3"/>
      <c r="Y3"/>
      <c r="Z3" s="669"/>
      <c r="AA3" s="669"/>
      <c r="AB3" s="669"/>
      <c r="AC3" s="669"/>
      <c r="AD3"/>
      <c r="AE3"/>
      <c r="AF3"/>
      <c r="AG3"/>
      <c r="AH3"/>
      <c r="AI3"/>
      <c r="AJ3" s="669"/>
    </row>
    <row r="4" spans="1:77" x14ac:dyDescent="0.2">
      <c r="A4"/>
      <c r="B4"/>
      <c r="C4"/>
      <c r="D4" s="669"/>
      <c r="E4" s="669"/>
      <c r="F4" s="669"/>
      <c r="G4" s="669"/>
      <c r="H4"/>
      <c r="I4"/>
      <c r="J4"/>
      <c r="K4"/>
      <c r="L4" s="669"/>
      <c r="M4" s="669"/>
      <c r="N4" s="669"/>
      <c r="O4" s="669"/>
      <c r="P4"/>
      <c r="Q4"/>
      <c r="R4"/>
      <c r="S4"/>
      <c r="T4"/>
      <c r="U4"/>
      <c r="V4"/>
      <c r="W4"/>
      <c r="X4"/>
      <c r="Y4"/>
      <c r="Z4" s="669"/>
      <c r="AA4" s="669"/>
      <c r="AB4" s="669"/>
      <c r="AC4" s="669"/>
      <c r="AD4"/>
      <c r="AE4"/>
      <c r="AF4"/>
      <c r="AG4"/>
      <c r="AH4"/>
      <c r="AI4"/>
      <c r="AJ4" s="669"/>
    </row>
    <row r="5" spans="1:77" x14ac:dyDescent="0.2">
      <c r="A5"/>
      <c r="B5"/>
      <c r="C5"/>
      <c r="D5" s="669"/>
      <c r="E5" s="669"/>
      <c r="F5" s="669"/>
      <c r="G5" s="669"/>
      <c r="H5"/>
      <c r="I5"/>
      <c r="J5"/>
      <c r="K5"/>
      <c r="L5" s="669"/>
      <c r="M5" s="669"/>
      <c r="N5" s="669"/>
      <c r="O5" s="669"/>
      <c r="P5"/>
      <c r="Q5"/>
      <c r="R5"/>
      <c r="S5"/>
      <c r="T5"/>
      <c r="U5"/>
      <c r="V5"/>
      <c r="W5"/>
      <c r="X5"/>
      <c r="Y5"/>
      <c r="Z5" s="669"/>
      <c r="AA5" s="669"/>
      <c r="AB5" s="669"/>
      <c r="AC5" s="669"/>
      <c r="AD5"/>
      <c r="AE5"/>
      <c r="AF5"/>
      <c r="AG5"/>
      <c r="AH5"/>
      <c r="AI5"/>
      <c r="AJ5" s="669"/>
    </row>
    <row r="6" spans="1:77" x14ac:dyDescent="0.2">
      <c r="A6"/>
      <c r="B6"/>
      <c r="C6"/>
      <c r="D6" s="669"/>
      <c r="E6" s="669"/>
      <c r="F6" s="669"/>
      <c r="G6" s="669"/>
      <c r="H6"/>
      <c r="I6"/>
      <c r="J6"/>
      <c r="K6"/>
      <c r="L6" s="669"/>
      <c r="M6" s="669"/>
      <c r="N6" s="669"/>
      <c r="O6" s="669"/>
      <c r="P6"/>
      <c r="Q6"/>
      <c r="R6"/>
      <c r="S6"/>
      <c r="T6"/>
      <c r="U6"/>
      <c r="Z6" s="669"/>
      <c r="AA6" s="669"/>
      <c r="AB6" s="669"/>
      <c r="AC6" s="669"/>
      <c r="AD6"/>
      <c r="AE6"/>
      <c r="AF6"/>
      <c r="AG6"/>
      <c r="AH6"/>
      <c r="AI6"/>
      <c r="AJ6" s="669"/>
    </row>
    <row r="7" spans="1:77" x14ac:dyDescent="0.2">
      <c r="A7"/>
      <c r="B7"/>
      <c r="C7"/>
      <c r="D7" s="669"/>
      <c r="E7" s="669"/>
      <c r="F7" s="669"/>
      <c r="G7" s="669"/>
      <c r="H7"/>
      <c r="I7"/>
      <c r="J7"/>
      <c r="K7"/>
      <c r="L7" s="669"/>
      <c r="M7" s="669"/>
      <c r="N7" s="669"/>
      <c r="O7" s="669"/>
      <c r="P7"/>
      <c r="Q7"/>
      <c r="R7"/>
      <c r="S7"/>
      <c r="T7"/>
      <c r="U7"/>
      <c r="V7"/>
      <c r="W7"/>
      <c r="X7"/>
      <c r="Y7"/>
      <c r="Z7" s="669"/>
      <c r="AA7" s="669"/>
      <c r="AB7" s="669"/>
      <c r="AC7" s="669"/>
      <c r="AD7"/>
      <c r="AE7"/>
      <c r="AF7"/>
      <c r="AG7"/>
      <c r="AH7"/>
      <c r="AI7"/>
      <c r="AJ7" s="669"/>
    </row>
    <row r="8" spans="1:77" x14ac:dyDescent="0.2">
      <c r="A8"/>
      <c r="B8"/>
      <c r="C8"/>
      <c r="D8" s="669"/>
      <c r="E8" s="669"/>
      <c r="F8" s="669"/>
      <c r="G8" s="669"/>
      <c r="H8"/>
      <c r="I8"/>
      <c r="J8"/>
      <c r="K8"/>
      <c r="L8" s="669"/>
      <c r="M8" s="669"/>
      <c r="N8" s="669"/>
      <c r="O8" s="669"/>
      <c r="P8"/>
      <c r="Q8"/>
      <c r="R8"/>
      <c r="S8"/>
      <c r="T8"/>
      <c r="U8"/>
      <c r="V8"/>
      <c r="W8"/>
      <c r="X8"/>
      <c r="Y8"/>
      <c r="Z8" s="669"/>
      <c r="AA8" s="669"/>
      <c r="AB8" s="669"/>
      <c r="AC8" s="669"/>
      <c r="AD8"/>
      <c r="AE8"/>
      <c r="AF8"/>
      <c r="AG8"/>
      <c r="AH8"/>
      <c r="AI8"/>
      <c r="AJ8" s="669"/>
    </row>
    <row r="9" spans="1:77" x14ac:dyDescent="0.2">
      <c r="A9"/>
      <c r="B9"/>
      <c r="C9"/>
      <c r="D9" s="669"/>
      <c r="E9" s="669"/>
      <c r="F9" s="669"/>
      <c r="G9" s="669"/>
      <c r="H9"/>
      <c r="I9"/>
      <c r="J9"/>
      <c r="K9"/>
      <c r="L9" s="669"/>
      <c r="M9" s="669"/>
      <c r="N9" s="669"/>
      <c r="O9" s="669"/>
      <c r="P9"/>
      <c r="Q9"/>
      <c r="R9"/>
      <c r="S9"/>
      <c r="T9"/>
      <c r="U9"/>
      <c r="V9"/>
      <c r="W9"/>
      <c r="X9"/>
      <c r="Y9"/>
      <c r="Z9" s="669"/>
      <c r="AA9" s="669"/>
      <c r="AB9" s="669"/>
      <c r="AC9" s="669"/>
      <c r="AD9"/>
      <c r="AE9"/>
      <c r="AG9"/>
      <c r="AH9"/>
      <c r="AI9"/>
      <c r="AJ9" s="669"/>
    </row>
    <row r="10" spans="1:77" x14ac:dyDescent="0.2">
      <c r="A10"/>
      <c r="B10"/>
      <c r="C10"/>
      <c r="D10" s="669"/>
      <c r="E10" s="669"/>
      <c r="F10" s="669"/>
      <c r="G10" s="669"/>
      <c r="H10"/>
      <c r="I10"/>
      <c r="J10"/>
      <c r="K10"/>
      <c r="L10" s="669"/>
      <c r="M10" s="669"/>
      <c r="N10" s="669"/>
      <c r="O10" s="669"/>
      <c r="P10"/>
      <c r="Q10"/>
      <c r="R10"/>
      <c r="S10"/>
      <c r="U10"/>
      <c r="V10"/>
      <c r="W10"/>
      <c r="X10"/>
      <c r="Y10"/>
      <c r="Z10" s="669"/>
      <c r="AA10" s="669"/>
      <c r="AB10" s="669"/>
      <c r="AC10" s="669"/>
      <c r="AD10"/>
      <c r="AE10"/>
      <c r="AF10"/>
      <c r="AG10"/>
      <c r="AH10"/>
      <c r="AI10"/>
      <c r="AJ10" s="669"/>
    </row>
    <row r="11" spans="1:77" x14ac:dyDescent="0.2">
      <c r="A11"/>
      <c r="B11"/>
      <c r="C11"/>
      <c r="D11" s="669"/>
      <c r="E11" s="669"/>
      <c r="F11" s="669"/>
      <c r="G11" s="669"/>
      <c r="H11"/>
      <c r="I11"/>
      <c r="J11"/>
      <c r="K11"/>
      <c r="L11" s="669"/>
      <c r="M11" s="669"/>
      <c r="N11" s="669"/>
      <c r="O11" s="669"/>
      <c r="P11"/>
      <c r="Q11"/>
      <c r="R11"/>
      <c r="S11"/>
      <c r="T11"/>
      <c r="U11"/>
      <c r="V11"/>
      <c r="W11"/>
      <c r="X11"/>
      <c r="Y11"/>
      <c r="Z11" s="669"/>
      <c r="AA11" s="669"/>
      <c r="AB11" s="669"/>
      <c r="AC11" s="669"/>
      <c r="AD11"/>
      <c r="AF11"/>
      <c r="AG11"/>
      <c r="AH11"/>
      <c r="AI11"/>
      <c r="AJ11" s="669"/>
    </row>
    <row r="12" spans="1:77" x14ac:dyDescent="0.2">
      <c r="A12"/>
      <c r="B12"/>
      <c r="C12"/>
      <c r="D12" s="669"/>
      <c r="E12" s="669"/>
      <c r="F12" s="669"/>
      <c r="G12" s="669"/>
      <c r="H12"/>
      <c r="I12"/>
      <c r="J12"/>
      <c r="K12"/>
      <c r="L12" s="669"/>
      <c r="M12" s="669"/>
      <c r="N12" s="669"/>
      <c r="O12" s="669"/>
      <c r="P12"/>
      <c r="Q12"/>
      <c r="R12"/>
      <c r="S12"/>
      <c r="T12"/>
      <c r="U12"/>
      <c r="Z12" s="669"/>
      <c r="AA12" s="669"/>
      <c r="AB12" s="669"/>
      <c r="AC12" s="669"/>
      <c r="AD12"/>
      <c r="AE12"/>
      <c r="AF12"/>
      <c r="AG12"/>
      <c r="AH12"/>
      <c r="AI12"/>
      <c r="AJ12" s="669"/>
    </row>
    <row r="13" spans="1:77" x14ac:dyDescent="0.2">
      <c r="A13"/>
      <c r="B13"/>
      <c r="C13"/>
      <c r="D13" s="669"/>
      <c r="E13" s="669"/>
      <c r="F13" s="669"/>
      <c r="G13" s="669"/>
      <c r="H13"/>
      <c r="I13"/>
      <c r="J13"/>
      <c r="K13"/>
      <c r="L13" s="669"/>
      <c r="M13" s="669"/>
      <c r="N13" s="669"/>
      <c r="O13" s="669"/>
      <c r="P13"/>
      <c r="Q13"/>
      <c r="R13"/>
      <c r="S13"/>
      <c r="T13"/>
      <c r="U13"/>
      <c r="V13"/>
      <c r="W13"/>
      <c r="X13"/>
      <c r="Y13"/>
      <c r="Z13" s="669"/>
      <c r="AA13" s="669"/>
      <c r="AB13" s="669"/>
      <c r="AC13" s="669"/>
      <c r="AD13"/>
      <c r="AE13"/>
      <c r="AF13"/>
      <c r="AG13"/>
      <c r="AH13"/>
      <c r="AI13"/>
      <c r="AJ13" s="669"/>
    </row>
    <row r="14" spans="1:77" x14ac:dyDescent="0.2">
      <c r="A14"/>
      <c r="B14"/>
      <c r="C14"/>
      <c r="D14" s="669"/>
      <c r="E14" s="669"/>
      <c r="F14" s="669"/>
      <c r="G14" s="669"/>
      <c r="H14"/>
      <c r="I14"/>
      <c r="J14"/>
      <c r="K14"/>
      <c r="L14" s="669"/>
      <c r="M14" s="669"/>
      <c r="N14" s="669"/>
      <c r="O14" s="669"/>
      <c r="P14"/>
      <c r="Q14"/>
      <c r="R14"/>
      <c r="S14"/>
      <c r="T14"/>
      <c r="U14"/>
      <c r="Z14" s="669"/>
      <c r="AA14" s="669"/>
      <c r="AB14" s="669"/>
      <c r="AC14" s="669"/>
      <c r="AD14"/>
      <c r="AE14"/>
      <c r="AF14"/>
      <c r="AG14"/>
      <c r="AH14"/>
      <c r="AI14"/>
      <c r="AJ14" s="669"/>
    </row>
    <row r="15" spans="1:77" x14ac:dyDescent="0.2">
      <c r="A15"/>
      <c r="B15"/>
      <c r="C15"/>
      <c r="D15" s="669"/>
      <c r="E15" s="669"/>
      <c r="F15" s="669"/>
      <c r="G15" s="669"/>
      <c r="H15"/>
      <c r="I15"/>
      <c r="J15"/>
      <c r="K15"/>
      <c r="L15" s="669"/>
      <c r="M15" s="669"/>
      <c r="N15" s="669"/>
      <c r="O15" s="669"/>
      <c r="P15"/>
      <c r="Q15"/>
      <c r="R15"/>
      <c r="S15"/>
      <c r="T15"/>
      <c r="U15"/>
      <c r="V15"/>
      <c r="W15"/>
      <c r="X15"/>
      <c r="Y15"/>
      <c r="Z15" s="669"/>
      <c r="AA15" s="669"/>
      <c r="AB15" s="669"/>
      <c r="AC15" s="669"/>
      <c r="AD15"/>
      <c r="AE15"/>
      <c r="AF15"/>
      <c r="AG15"/>
      <c r="AH15"/>
      <c r="AI15"/>
      <c r="AJ15" s="669"/>
    </row>
    <row r="16" spans="1:77" x14ac:dyDescent="0.2">
      <c r="A16"/>
      <c r="B16"/>
      <c r="C16"/>
      <c r="D16" s="669"/>
      <c r="E16" s="669"/>
      <c r="F16" s="669"/>
      <c r="G16" s="669"/>
      <c r="H16"/>
      <c r="I16"/>
      <c r="J16"/>
      <c r="K16"/>
      <c r="L16" s="669"/>
      <c r="M16" s="669"/>
      <c r="N16" s="669"/>
      <c r="O16" s="669"/>
      <c r="P16"/>
      <c r="Q16"/>
      <c r="R16"/>
      <c r="S16"/>
      <c r="T16"/>
      <c r="U16"/>
      <c r="Z16" s="669"/>
      <c r="AA16" s="669"/>
      <c r="AB16" s="669"/>
      <c r="AC16" s="669"/>
      <c r="AD16"/>
      <c r="AE16"/>
      <c r="AF16"/>
      <c r="AG16"/>
      <c r="AH16"/>
      <c r="AI16"/>
      <c r="AJ16" s="669"/>
    </row>
    <row r="17" spans="1:37" x14ac:dyDescent="0.2">
      <c r="A17"/>
      <c r="B17"/>
      <c r="C17"/>
      <c r="D17" s="669"/>
      <c r="E17" s="669"/>
      <c r="F17" s="669"/>
      <c r="G17" s="669"/>
      <c r="H17"/>
      <c r="I17"/>
      <c r="J17"/>
      <c r="K17"/>
      <c r="L17" s="669"/>
      <c r="M17" s="669"/>
      <c r="N17" s="669"/>
      <c r="O17" s="669"/>
      <c r="P17"/>
      <c r="Q17"/>
      <c r="R17"/>
      <c r="S17"/>
      <c r="T17"/>
      <c r="U17"/>
      <c r="V17"/>
      <c r="W17"/>
      <c r="X17"/>
      <c r="Y17"/>
      <c r="Z17" s="669"/>
      <c r="AA17" s="669"/>
      <c r="AB17" s="669"/>
      <c r="AC17" s="669"/>
      <c r="AD17"/>
      <c r="AE17"/>
      <c r="AF17"/>
      <c r="AG17"/>
      <c r="AH17"/>
      <c r="AI17"/>
      <c r="AJ17" s="669"/>
    </row>
    <row r="18" spans="1:37" x14ac:dyDescent="0.2">
      <c r="A18"/>
      <c r="B18"/>
      <c r="C18"/>
      <c r="D18" s="669"/>
      <c r="E18" s="669"/>
      <c r="F18" s="669"/>
      <c r="G18" s="669"/>
      <c r="H18"/>
      <c r="J18"/>
      <c r="K18"/>
      <c r="L18" s="669"/>
      <c r="M18" s="669"/>
      <c r="N18" s="669"/>
      <c r="O18" s="669"/>
      <c r="P18"/>
      <c r="Q18"/>
      <c r="R18"/>
      <c r="S18"/>
      <c r="U18"/>
      <c r="Z18" s="669"/>
      <c r="AA18" s="669"/>
      <c r="AB18" s="669"/>
      <c r="AC18" s="669"/>
      <c r="AD18"/>
      <c r="AE18"/>
      <c r="AF18"/>
      <c r="AG18"/>
      <c r="AH18"/>
      <c r="AI18"/>
      <c r="AJ18" s="669"/>
    </row>
    <row r="19" spans="1:37" x14ac:dyDescent="0.2">
      <c r="A19"/>
      <c r="B19"/>
      <c r="C19"/>
      <c r="D19" s="669"/>
      <c r="E19" s="669"/>
      <c r="F19" s="669"/>
      <c r="G19" s="669"/>
      <c r="H19"/>
      <c r="I19"/>
      <c r="J19"/>
      <c r="K19"/>
      <c r="L19" s="669"/>
      <c r="M19" s="669"/>
      <c r="N19" s="669"/>
      <c r="O19" s="669"/>
      <c r="P19"/>
      <c r="Q19"/>
      <c r="R19"/>
      <c r="S19"/>
      <c r="T19"/>
      <c r="U19"/>
      <c r="V19"/>
      <c r="W19"/>
      <c r="X19"/>
      <c r="Y19"/>
      <c r="Z19" s="669"/>
      <c r="AA19" s="669"/>
      <c r="AB19" s="669"/>
      <c r="AC19" s="669"/>
      <c r="AD19"/>
      <c r="AE19"/>
      <c r="AF19"/>
      <c r="AG19"/>
      <c r="AH19"/>
      <c r="AI19"/>
      <c r="AJ19" s="669"/>
      <c r="AK19"/>
    </row>
    <row r="20" spans="1:37" x14ac:dyDescent="0.2">
      <c r="A20"/>
      <c r="B20"/>
      <c r="C20"/>
      <c r="D20" s="669"/>
      <c r="E20" s="669"/>
      <c r="F20" s="669"/>
      <c r="G20" s="669"/>
      <c r="H20"/>
      <c r="I20"/>
      <c r="J20"/>
      <c r="K20"/>
      <c r="L20" s="669"/>
      <c r="M20" s="669"/>
      <c r="N20" s="669"/>
      <c r="O20" s="669"/>
      <c r="P20"/>
      <c r="Q20"/>
      <c r="R20"/>
      <c r="S20"/>
      <c r="T20"/>
      <c r="U20"/>
      <c r="Z20" s="669"/>
      <c r="AA20" s="669"/>
      <c r="AB20" s="669"/>
      <c r="AC20" s="669"/>
      <c r="AD20"/>
      <c r="AE20"/>
      <c r="AF20"/>
      <c r="AG20"/>
      <c r="AH20"/>
      <c r="AI20"/>
      <c r="AJ20" s="669"/>
    </row>
    <row r="21" spans="1:37" x14ac:dyDescent="0.2">
      <c r="A21"/>
      <c r="B21"/>
      <c r="C21"/>
      <c r="D21" s="669"/>
      <c r="E21" s="669"/>
      <c r="F21" s="669"/>
      <c r="G21" s="669"/>
      <c r="H21"/>
      <c r="I21"/>
      <c r="J21"/>
      <c r="K21"/>
      <c r="L21" s="669"/>
      <c r="M21" s="669"/>
      <c r="N21" s="669"/>
      <c r="O21" s="669"/>
      <c r="P21"/>
      <c r="Q21"/>
      <c r="R21"/>
      <c r="S21"/>
      <c r="T21"/>
      <c r="U21"/>
      <c r="Z21" s="669"/>
      <c r="AA21" s="669"/>
      <c r="AB21" s="669"/>
      <c r="AC21" s="669"/>
      <c r="AD21"/>
      <c r="AE21"/>
      <c r="AF21"/>
      <c r="AG21"/>
      <c r="AH21"/>
      <c r="AI21"/>
      <c r="AJ21" s="669"/>
    </row>
    <row r="22" spans="1:37" x14ac:dyDescent="0.2">
      <c r="A22"/>
      <c r="B22"/>
      <c r="C22"/>
      <c r="D22" s="669"/>
      <c r="E22" s="669"/>
      <c r="F22" s="669"/>
      <c r="G22" s="669"/>
      <c r="H22"/>
      <c r="I22"/>
      <c r="J22"/>
      <c r="K22"/>
      <c r="L22" s="669"/>
      <c r="M22" s="669"/>
      <c r="N22" s="669"/>
      <c r="O22" s="669"/>
      <c r="P22"/>
      <c r="Q22"/>
      <c r="R22"/>
      <c r="S22"/>
      <c r="T22"/>
      <c r="U22"/>
      <c r="Z22" s="669"/>
      <c r="AA22" s="669"/>
      <c r="AB22" s="669"/>
      <c r="AC22" s="669"/>
      <c r="AD22"/>
      <c r="AE22"/>
      <c r="AF22"/>
      <c r="AG22"/>
      <c r="AH22"/>
      <c r="AI22"/>
      <c r="AJ22" s="669"/>
    </row>
    <row r="23" spans="1:37" x14ac:dyDescent="0.2">
      <c r="A23"/>
      <c r="B23"/>
      <c r="C23"/>
      <c r="D23" s="669"/>
      <c r="E23" s="669"/>
      <c r="F23" s="669"/>
      <c r="G23" s="669"/>
      <c r="H23"/>
      <c r="I23"/>
      <c r="J23"/>
      <c r="K23"/>
      <c r="L23" s="669"/>
      <c r="M23" s="669"/>
      <c r="N23" s="669"/>
      <c r="O23" s="669"/>
      <c r="P23"/>
      <c r="Q23"/>
      <c r="R23"/>
      <c r="S23"/>
      <c r="T23"/>
      <c r="U23"/>
      <c r="V23"/>
      <c r="W23"/>
      <c r="X23"/>
      <c r="Y23"/>
      <c r="Z23" s="669"/>
      <c r="AA23" s="669"/>
      <c r="AB23" s="669"/>
      <c r="AC23" s="669"/>
      <c r="AD23"/>
      <c r="AE23"/>
      <c r="AF23"/>
      <c r="AG23"/>
      <c r="AH23"/>
      <c r="AI23"/>
      <c r="AJ23" s="669"/>
    </row>
    <row r="24" spans="1:37" x14ac:dyDescent="0.2">
      <c r="A24"/>
      <c r="B24"/>
      <c r="C24"/>
      <c r="D24" s="669"/>
      <c r="E24" s="669"/>
      <c r="F24" s="669"/>
      <c r="G24" s="669"/>
      <c r="H24"/>
      <c r="I24"/>
      <c r="J24"/>
      <c r="K24"/>
      <c r="L24" s="669"/>
      <c r="M24" s="669"/>
      <c r="N24" s="669"/>
      <c r="O24" s="669"/>
      <c r="P24"/>
      <c r="Q24"/>
      <c r="R24"/>
      <c r="S24"/>
      <c r="T24"/>
      <c r="U24"/>
      <c r="Z24" s="669"/>
      <c r="AA24" s="669"/>
      <c r="AB24" s="669"/>
      <c r="AC24" s="669"/>
      <c r="AD24"/>
      <c r="AE24"/>
      <c r="AF24"/>
      <c r="AG24"/>
      <c r="AH24"/>
      <c r="AI24"/>
      <c r="AJ24" s="669"/>
    </row>
    <row r="25" spans="1:37" x14ac:dyDescent="0.2">
      <c r="A25"/>
      <c r="B25"/>
      <c r="C25"/>
      <c r="D25" s="669"/>
      <c r="E25" s="669"/>
      <c r="F25" s="669"/>
      <c r="G25" s="669"/>
      <c r="H25"/>
      <c r="I25"/>
      <c r="J25"/>
      <c r="K25"/>
      <c r="L25" s="669"/>
      <c r="M25" s="669"/>
      <c r="N25" s="669"/>
      <c r="O25" s="669"/>
      <c r="P25"/>
      <c r="Q25"/>
      <c r="R25"/>
      <c r="S25"/>
      <c r="T25"/>
      <c r="U25"/>
      <c r="Z25" s="669"/>
      <c r="AA25" s="669"/>
      <c r="AB25" s="669"/>
      <c r="AC25" s="669"/>
      <c r="AD25"/>
      <c r="AE25"/>
      <c r="AF25"/>
      <c r="AG25"/>
      <c r="AH25"/>
      <c r="AI25"/>
      <c r="AJ25" s="669"/>
    </row>
    <row r="26" spans="1:37" x14ac:dyDescent="0.2">
      <c r="A26"/>
      <c r="B26"/>
      <c r="C26"/>
      <c r="D26" s="669"/>
      <c r="E26" s="669"/>
      <c r="F26" s="669"/>
      <c r="G26" s="669"/>
      <c r="H26"/>
      <c r="I26"/>
      <c r="J26"/>
      <c r="K26"/>
      <c r="L26" s="669"/>
      <c r="M26" s="669"/>
      <c r="N26" s="669"/>
      <c r="O26" s="669"/>
      <c r="P26"/>
      <c r="Q26"/>
      <c r="R26"/>
      <c r="S26"/>
      <c r="T26"/>
      <c r="U26"/>
      <c r="Z26" s="669"/>
      <c r="AA26" s="669"/>
      <c r="AB26" s="669"/>
      <c r="AC26" s="669"/>
      <c r="AD26"/>
      <c r="AE26"/>
      <c r="AF26"/>
      <c r="AG26"/>
      <c r="AH26"/>
      <c r="AI26"/>
      <c r="AJ26" s="669"/>
    </row>
    <row r="27" spans="1:37" x14ac:dyDescent="0.2">
      <c r="A27"/>
      <c r="B27"/>
      <c r="C27"/>
      <c r="D27" s="669"/>
      <c r="E27" s="669"/>
      <c r="F27" s="669"/>
      <c r="G27" s="669"/>
      <c r="H27"/>
      <c r="I27"/>
      <c r="J27"/>
      <c r="K27"/>
      <c r="L27" s="669"/>
      <c r="M27" s="669"/>
      <c r="N27" s="669"/>
      <c r="O27" s="669"/>
      <c r="P27"/>
      <c r="Q27"/>
      <c r="R27"/>
      <c r="S27"/>
      <c r="T27"/>
      <c r="U27"/>
      <c r="Z27" s="669"/>
      <c r="AA27" s="669"/>
      <c r="AB27" s="669"/>
      <c r="AC27" s="669"/>
      <c r="AD27"/>
      <c r="AE27"/>
      <c r="AF27"/>
      <c r="AG27"/>
      <c r="AH27"/>
      <c r="AI27"/>
      <c r="AJ27" s="669"/>
    </row>
    <row r="28" spans="1:37" x14ac:dyDescent="0.2">
      <c r="A28"/>
      <c r="B28"/>
      <c r="C28"/>
      <c r="D28" s="669"/>
      <c r="E28" s="669"/>
      <c r="F28" s="669"/>
      <c r="G28" s="669"/>
      <c r="H28"/>
      <c r="I28"/>
      <c r="J28"/>
      <c r="K28"/>
      <c r="L28" s="669"/>
      <c r="M28" s="669"/>
      <c r="N28" s="669"/>
      <c r="O28" s="669"/>
      <c r="P28"/>
      <c r="Q28"/>
      <c r="R28"/>
      <c r="S28"/>
      <c r="T28"/>
      <c r="U28"/>
      <c r="Z28" s="669"/>
      <c r="AA28" s="669"/>
      <c r="AB28" s="669"/>
      <c r="AC28" s="669"/>
      <c r="AD28"/>
      <c r="AE28"/>
      <c r="AF28"/>
      <c r="AG28"/>
      <c r="AH28"/>
      <c r="AI28"/>
      <c r="AJ28" s="669"/>
    </row>
    <row r="29" spans="1:37" x14ac:dyDescent="0.2">
      <c r="A29"/>
      <c r="B29"/>
      <c r="C29"/>
      <c r="D29" s="669"/>
      <c r="E29" s="669"/>
      <c r="F29" s="669"/>
      <c r="G29" s="669"/>
      <c r="H29"/>
      <c r="I29"/>
      <c r="J29"/>
      <c r="K29"/>
      <c r="L29" s="669"/>
      <c r="M29" s="669"/>
      <c r="N29" s="669"/>
      <c r="O29" s="669"/>
      <c r="P29"/>
      <c r="Q29"/>
      <c r="R29"/>
      <c r="S29"/>
      <c r="T29"/>
      <c r="U29"/>
      <c r="V29"/>
      <c r="W29"/>
      <c r="X29"/>
      <c r="Y29"/>
      <c r="Z29" s="669"/>
      <c r="AA29" s="669"/>
      <c r="AB29" s="669"/>
      <c r="AC29" s="669"/>
      <c r="AD29"/>
      <c r="AE29"/>
      <c r="AF29"/>
      <c r="AG29"/>
      <c r="AH29"/>
      <c r="AI29"/>
      <c r="AJ29" s="669"/>
    </row>
    <row r="30" spans="1:37" x14ac:dyDescent="0.2">
      <c r="A30"/>
      <c r="B30"/>
      <c r="C30"/>
      <c r="D30" s="669"/>
      <c r="E30" s="669"/>
      <c r="F30" s="669"/>
      <c r="G30" s="669"/>
      <c r="H30"/>
      <c r="I30"/>
      <c r="J30"/>
      <c r="K30"/>
      <c r="L30" s="669"/>
      <c r="M30" s="669"/>
      <c r="N30" s="669"/>
      <c r="O30" s="669"/>
      <c r="P30"/>
      <c r="Q30"/>
      <c r="R30"/>
      <c r="S30"/>
      <c r="T30"/>
      <c r="U30"/>
      <c r="V30"/>
      <c r="W30"/>
      <c r="X30"/>
      <c r="Y30"/>
      <c r="Z30" s="669"/>
      <c r="AA30" s="669"/>
      <c r="AB30" s="669"/>
      <c r="AC30" s="669"/>
      <c r="AD30"/>
      <c r="AE30"/>
      <c r="AF30"/>
      <c r="AG30"/>
      <c r="AH30"/>
      <c r="AI30"/>
      <c r="AJ30" s="669"/>
    </row>
    <row r="31" spans="1:37" x14ac:dyDescent="0.2">
      <c r="A31"/>
      <c r="B31"/>
      <c r="C31"/>
      <c r="D31" s="669"/>
      <c r="E31" s="669"/>
      <c r="F31" s="669"/>
      <c r="G31" s="669"/>
      <c r="H31"/>
      <c r="I31"/>
      <c r="J31"/>
      <c r="K31"/>
      <c r="L31" s="669"/>
      <c r="M31" s="669"/>
      <c r="N31" s="669"/>
      <c r="O31" s="669"/>
      <c r="P31"/>
      <c r="Q31"/>
      <c r="R31"/>
      <c r="S31"/>
      <c r="T31"/>
      <c r="U31"/>
      <c r="V31"/>
      <c r="W31"/>
      <c r="X31"/>
      <c r="Y31"/>
      <c r="Z31" s="669"/>
      <c r="AA31" s="669"/>
      <c r="AB31" s="669"/>
      <c r="AC31" s="669"/>
      <c r="AD31"/>
      <c r="AE31"/>
      <c r="AF31"/>
      <c r="AG31"/>
      <c r="AH31"/>
      <c r="AI31"/>
      <c r="AJ31" s="669"/>
    </row>
    <row r="32" spans="1:37" x14ac:dyDescent="0.2">
      <c r="A32"/>
      <c r="B32"/>
      <c r="C32"/>
      <c r="D32" s="669"/>
      <c r="E32" s="669"/>
      <c r="F32" s="669"/>
      <c r="G32" s="669"/>
      <c r="H32"/>
      <c r="I32"/>
      <c r="J32"/>
      <c r="K32"/>
      <c r="L32" s="669"/>
      <c r="M32" s="669"/>
      <c r="N32" s="669"/>
      <c r="O32" s="669"/>
      <c r="P32"/>
      <c r="Q32"/>
      <c r="R32"/>
      <c r="S32"/>
      <c r="T32"/>
      <c r="U32"/>
      <c r="V32"/>
      <c r="W32"/>
      <c r="X32"/>
      <c r="Y32"/>
      <c r="Z32" s="669"/>
      <c r="AA32" s="669"/>
      <c r="AB32" s="669"/>
      <c r="AC32" s="669"/>
      <c r="AD32"/>
      <c r="AE32"/>
      <c r="AF32"/>
      <c r="AG32"/>
      <c r="AH32"/>
      <c r="AI32"/>
      <c r="AJ32" s="669"/>
    </row>
    <row r="33" spans="1:38" x14ac:dyDescent="0.2">
      <c r="A33"/>
      <c r="B33"/>
      <c r="C33"/>
      <c r="D33" s="669"/>
      <c r="E33" s="669"/>
      <c r="F33" s="669"/>
      <c r="G33" s="669"/>
      <c r="H33"/>
      <c r="I33"/>
      <c r="J33"/>
      <c r="K33"/>
      <c r="L33" s="669"/>
      <c r="M33" s="669"/>
      <c r="N33" s="669"/>
      <c r="O33" s="669"/>
      <c r="P33"/>
      <c r="Q33"/>
      <c r="R33"/>
      <c r="S33"/>
      <c r="T33"/>
      <c r="U33"/>
      <c r="V33"/>
      <c r="W33"/>
      <c r="X33"/>
      <c r="Y33"/>
      <c r="Z33" s="669"/>
      <c r="AA33" s="669"/>
      <c r="AB33" s="669"/>
      <c r="AC33" s="669"/>
      <c r="AD33"/>
      <c r="AE33"/>
      <c r="AF33"/>
      <c r="AG33"/>
      <c r="AH33"/>
      <c r="AI33"/>
      <c r="AJ33" s="669"/>
    </row>
    <row r="34" spans="1:38" x14ac:dyDescent="0.2">
      <c r="A34"/>
      <c r="B34"/>
      <c r="C34"/>
      <c r="D34" s="669"/>
      <c r="E34" s="669"/>
      <c r="F34" s="669"/>
      <c r="G34" s="669"/>
      <c r="H34"/>
      <c r="I34"/>
      <c r="J34"/>
      <c r="K34"/>
      <c r="L34" s="669"/>
      <c r="M34" s="669"/>
      <c r="N34" s="669"/>
      <c r="O34" s="669"/>
      <c r="P34"/>
      <c r="Q34"/>
      <c r="R34"/>
      <c r="S34"/>
      <c r="T34"/>
      <c r="U34"/>
      <c r="V34"/>
      <c r="W34"/>
      <c r="X34"/>
      <c r="Y34"/>
      <c r="Z34" s="669"/>
      <c r="AA34" s="669"/>
      <c r="AB34" s="669"/>
      <c r="AC34" s="669"/>
      <c r="AD34"/>
      <c r="AE34"/>
      <c r="AF34"/>
      <c r="AG34"/>
      <c r="AH34"/>
      <c r="AI34"/>
      <c r="AJ34" s="669"/>
      <c r="AK34"/>
    </row>
    <row r="35" spans="1:38" x14ac:dyDescent="0.2">
      <c r="A35"/>
      <c r="B35"/>
      <c r="C35"/>
      <c r="D35" s="669"/>
      <c r="E35" s="669"/>
      <c r="F35" s="669"/>
      <c r="G35" s="669"/>
      <c r="H35"/>
      <c r="I35"/>
      <c r="J35"/>
      <c r="K35"/>
      <c r="L35" s="669"/>
      <c r="M35" s="669"/>
      <c r="N35" s="669"/>
      <c r="O35" s="669"/>
      <c r="P35"/>
      <c r="Q35"/>
      <c r="R35"/>
      <c r="S35"/>
      <c r="T35"/>
      <c r="U35"/>
      <c r="V35"/>
      <c r="W35"/>
      <c r="X35"/>
      <c r="Y35"/>
      <c r="Z35" s="669"/>
      <c r="AA35" s="669"/>
      <c r="AB35" s="669"/>
      <c r="AC35" s="669"/>
      <c r="AD35"/>
      <c r="AE35"/>
      <c r="AF35"/>
      <c r="AG35"/>
      <c r="AH35"/>
      <c r="AI35"/>
      <c r="AJ35" s="669"/>
      <c r="AK35"/>
      <c r="AL35"/>
    </row>
    <row r="36" spans="1:38" x14ac:dyDescent="0.2">
      <c r="A36"/>
      <c r="B36"/>
      <c r="C36"/>
      <c r="D36" s="669"/>
      <c r="E36" s="669"/>
      <c r="F36" s="669"/>
      <c r="G36" s="669"/>
      <c r="H36"/>
      <c r="I36"/>
      <c r="J36"/>
      <c r="K36"/>
      <c r="L36" s="669"/>
      <c r="M36" s="669"/>
      <c r="N36" s="669"/>
      <c r="O36" s="669"/>
      <c r="P36"/>
      <c r="Q36"/>
      <c r="R36"/>
      <c r="S36"/>
      <c r="T36"/>
      <c r="U36"/>
      <c r="Z36" s="669"/>
      <c r="AA36" s="669"/>
      <c r="AB36" s="669"/>
      <c r="AC36" s="669"/>
      <c r="AE36"/>
      <c r="AF36"/>
      <c r="AG36"/>
      <c r="AH36"/>
      <c r="AI36"/>
      <c r="AJ36" s="669"/>
    </row>
    <row r="37" spans="1:38" x14ac:dyDescent="0.2">
      <c r="A37"/>
      <c r="B37"/>
      <c r="C37"/>
      <c r="D37" s="669"/>
      <c r="E37" s="669"/>
      <c r="F37" s="669"/>
      <c r="G37" s="669"/>
      <c r="H37"/>
      <c r="I37"/>
      <c r="J37"/>
      <c r="K37"/>
      <c r="L37" s="669"/>
      <c r="M37" s="669"/>
      <c r="N37" s="669"/>
      <c r="O37" s="669"/>
      <c r="P37"/>
      <c r="Q37"/>
      <c r="R37"/>
      <c r="S37"/>
      <c r="T37"/>
      <c r="U37"/>
      <c r="Z37" s="669"/>
      <c r="AA37" s="669"/>
      <c r="AB37" s="669"/>
      <c r="AC37" s="669"/>
      <c r="AD37"/>
      <c r="AE37"/>
      <c r="AF37"/>
      <c r="AG37"/>
      <c r="AH37"/>
      <c r="AI37"/>
      <c r="AJ37" s="669"/>
    </row>
    <row r="38" spans="1:38" x14ac:dyDescent="0.2">
      <c r="A38"/>
      <c r="B38"/>
      <c r="C38"/>
      <c r="D38" s="669"/>
      <c r="E38" s="669"/>
      <c r="F38" s="669"/>
      <c r="G38" s="669"/>
      <c r="H38"/>
      <c r="I38"/>
      <c r="J38"/>
      <c r="K38"/>
      <c r="L38" s="669"/>
      <c r="M38" s="669"/>
      <c r="N38" s="669"/>
      <c r="O38" s="669"/>
      <c r="P38"/>
      <c r="Q38"/>
      <c r="R38"/>
      <c r="S38"/>
      <c r="T38"/>
      <c r="U38"/>
      <c r="V38"/>
      <c r="W38"/>
      <c r="X38"/>
      <c r="Y38"/>
      <c r="Z38" s="669"/>
      <c r="AA38" s="669"/>
      <c r="AB38" s="669"/>
      <c r="AC38" s="669"/>
      <c r="AD38"/>
      <c r="AE38"/>
      <c r="AF38"/>
      <c r="AG38"/>
      <c r="AH38"/>
      <c r="AI38"/>
      <c r="AJ38" s="669"/>
    </row>
    <row r="39" spans="1:38" x14ac:dyDescent="0.2">
      <c r="A39"/>
      <c r="B39"/>
      <c r="C39"/>
      <c r="D39" s="669"/>
      <c r="E39" s="669"/>
      <c r="F39" s="669"/>
      <c r="G39" s="669"/>
      <c r="H39"/>
      <c r="I39"/>
      <c r="J39"/>
      <c r="K39"/>
      <c r="L39" s="669"/>
      <c r="M39" s="669"/>
      <c r="N39" s="669"/>
      <c r="O39" s="669"/>
      <c r="P39"/>
      <c r="Q39"/>
      <c r="R39"/>
      <c r="S39"/>
      <c r="T39"/>
      <c r="U39"/>
      <c r="V39"/>
      <c r="W39"/>
      <c r="X39"/>
      <c r="Y39"/>
      <c r="Z39" s="669"/>
      <c r="AA39" s="669"/>
      <c r="AB39" s="669"/>
      <c r="AC39" s="669"/>
      <c r="AD39"/>
      <c r="AE39"/>
      <c r="AF39"/>
      <c r="AG39"/>
      <c r="AH39"/>
      <c r="AI39"/>
      <c r="AJ39" s="669"/>
      <c r="AK39"/>
    </row>
    <row r="40" spans="1:38" x14ac:dyDescent="0.2">
      <c r="A40"/>
      <c r="B40"/>
      <c r="C40"/>
      <c r="D40" s="669"/>
      <c r="E40" s="669"/>
      <c r="F40" s="669"/>
      <c r="G40" s="669"/>
      <c r="H40"/>
      <c r="I40"/>
      <c r="J40"/>
      <c r="K40"/>
      <c r="L40" s="669"/>
      <c r="M40" s="669"/>
      <c r="N40" s="669"/>
      <c r="O40" s="669"/>
      <c r="P40"/>
      <c r="Q40"/>
      <c r="R40"/>
      <c r="S40"/>
      <c r="T40"/>
      <c r="U40"/>
      <c r="V40"/>
      <c r="W40"/>
      <c r="X40"/>
      <c r="Y40"/>
      <c r="Z40" s="669"/>
      <c r="AA40" s="669"/>
      <c r="AB40" s="669"/>
      <c r="AC40" s="669"/>
      <c r="AD40"/>
      <c r="AE40"/>
      <c r="AF40"/>
      <c r="AG40"/>
      <c r="AH40"/>
      <c r="AI40"/>
      <c r="AJ40" s="669"/>
    </row>
    <row r="41" spans="1:38" x14ac:dyDescent="0.2">
      <c r="A41"/>
      <c r="B41"/>
      <c r="C41"/>
      <c r="D41" s="669"/>
      <c r="E41" s="669"/>
      <c r="F41" s="669"/>
      <c r="G41" s="669"/>
      <c r="H41"/>
      <c r="I41"/>
      <c r="J41"/>
      <c r="K41"/>
      <c r="L41" s="669"/>
      <c r="M41" s="669"/>
      <c r="N41" s="669"/>
      <c r="O41" s="669"/>
      <c r="P41"/>
      <c r="Q41"/>
      <c r="R41"/>
      <c r="S41"/>
      <c r="T41"/>
      <c r="U41"/>
      <c r="Z41" s="669"/>
      <c r="AA41" s="669"/>
      <c r="AB41" s="669"/>
      <c r="AC41" s="669"/>
      <c r="AD41"/>
      <c r="AE41"/>
      <c r="AF41"/>
      <c r="AG41"/>
      <c r="AH41"/>
      <c r="AI41"/>
      <c r="AJ41" s="669"/>
    </row>
    <row r="42" spans="1:38" x14ac:dyDescent="0.2">
      <c r="A42"/>
      <c r="B42"/>
      <c r="C42"/>
      <c r="D42" s="669"/>
      <c r="E42" s="669"/>
      <c r="F42" s="669"/>
      <c r="G42" s="669"/>
      <c r="H42"/>
      <c r="I42"/>
      <c r="J42"/>
      <c r="K42"/>
      <c r="L42" s="669"/>
      <c r="M42" s="669"/>
      <c r="N42" s="669"/>
      <c r="O42" s="669"/>
      <c r="P42"/>
      <c r="Q42"/>
      <c r="R42"/>
      <c r="S42"/>
      <c r="T42"/>
      <c r="U42"/>
      <c r="Z42" s="669"/>
      <c r="AA42" s="669"/>
      <c r="AB42" s="669"/>
      <c r="AC42" s="669"/>
      <c r="AD42"/>
      <c r="AE42"/>
      <c r="AF42"/>
      <c r="AG42"/>
      <c r="AH42"/>
      <c r="AI42"/>
      <c r="AJ42" s="669"/>
    </row>
    <row r="43" spans="1:38" x14ac:dyDescent="0.2">
      <c r="A43"/>
      <c r="B43"/>
      <c r="C43"/>
      <c r="D43" s="669"/>
      <c r="E43" s="669"/>
      <c r="F43" s="669"/>
      <c r="G43" s="669"/>
      <c r="H43"/>
      <c r="I43"/>
      <c r="J43"/>
      <c r="K43"/>
      <c r="L43" s="669"/>
      <c r="M43" s="669"/>
      <c r="N43" s="669"/>
      <c r="O43" s="669"/>
      <c r="P43"/>
      <c r="Q43"/>
      <c r="R43"/>
      <c r="S43"/>
      <c r="T43"/>
      <c r="U43"/>
      <c r="V43"/>
      <c r="W43"/>
      <c r="X43"/>
      <c r="Y43"/>
      <c r="Z43" s="669"/>
      <c r="AA43" s="669"/>
      <c r="AB43" s="669"/>
      <c r="AC43" s="669"/>
      <c r="AD43"/>
      <c r="AE43"/>
      <c r="AF43"/>
      <c r="AG43"/>
      <c r="AH43"/>
      <c r="AI43"/>
      <c r="AJ43" s="669"/>
    </row>
    <row r="44" spans="1:38" x14ac:dyDescent="0.2">
      <c r="A44"/>
      <c r="B44"/>
      <c r="C44"/>
      <c r="D44" s="669"/>
      <c r="E44" s="669"/>
      <c r="F44" s="669"/>
      <c r="G44" s="669"/>
      <c r="H44"/>
      <c r="I44"/>
      <c r="J44"/>
      <c r="K44"/>
      <c r="L44" s="669"/>
      <c r="M44" s="669"/>
      <c r="N44" s="669"/>
      <c r="O44" s="669"/>
      <c r="P44"/>
      <c r="Q44"/>
      <c r="R44"/>
      <c r="S44"/>
      <c r="T44"/>
      <c r="U44"/>
      <c r="Z44" s="669"/>
      <c r="AA44" s="669"/>
      <c r="AB44" s="669"/>
      <c r="AC44" s="669"/>
      <c r="AD44"/>
      <c r="AE44"/>
      <c r="AF44"/>
      <c r="AG44"/>
      <c r="AH44"/>
      <c r="AI44"/>
      <c r="AJ44" s="669"/>
    </row>
    <row r="45" spans="1:38" x14ac:dyDescent="0.2">
      <c r="A45"/>
      <c r="B45"/>
      <c r="C45"/>
      <c r="D45" s="669"/>
      <c r="E45" s="669"/>
      <c r="F45" s="669"/>
      <c r="G45" s="669"/>
      <c r="H45"/>
      <c r="I45"/>
      <c r="J45"/>
      <c r="K45"/>
      <c r="L45" s="669"/>
      <c r="M45" s="669"/>
      <c r="N45" s="669"/>
      <c r="O45" s="669"/>
      <c r="P45"/>
      <c r="Q45"/>
      <c r="R45"/>
      <c r="S45"/>
      <c r="T45"/>
      <c r="U45"/>
      <c r="Z45" s="669"/>
      <c r="AA45" s="669"/>
      <c r="AB45" s="669"/>
      <c r="AC45" s="669"/>
      <c r="AD45"/>
      <c r="AE45"/>
      <c r="AF45"/>
      <c r="AG45"/>
      <c r="AH45"/>
      <c r="AI45"/>
      <c r="AJ45" s="669"/>
    </row>
    <row r="46" spans="1:38" x14ac:dyDescent="0.2">
      <c r="A46"/>
      <c r="B46"/>
      <c r="C46"/>
      <c r="D46" s="669"/>
      <c r="E46" s="669"/>
      <c r="F46" s="669"/>
      <c r="G46" s="669"/>
      <c r="H46"/>
      <c r="I46"/>
      <c r="J46"/>
      <c r="K46"/>
      <c r="L46" s="669"/>
      <c r="M46" s="669"/>
      <c r="N46" s="669"/>
      <c r="O46" s="669"/>
      <c r="P46"/>
      <c r="Q46"/>
      <c r="R46"/>
      <c r="S46"/>
      <c r="T46"/>
      <c r="U46"/>
      <c r="V46"/>
      <c r="W46"/>
      <c r="X46"/>
      <c r="Y46"/>
      <c r="Z46" s="669"/>
      <c r="AA46" s="669"/>
      <c r="AB46" s="669"/>
      <c r="AC46" s="669"/>
      <c r="AD46"/>
      <c r="AE46"/>
      <c r="AF46"/>
      <c r="AG46"/>
      <c r="AH46"/>
      <c r="AI46"/>
      <c r="AJ46" s="669"/>
    </row>
    <row r="47" spans="1:38" x14ac:dyDescent="0.2">
      <c r="A47"/>
      <c r="B47"/>
      <c r="C47"/>
      <c r="D47" s="669"/>
      <c r="E47" s="669"/>
      <c r="F47" s="669"/>
      <c r="G47" s="669"/>
      <c r="H47"/>
      <c r="I47"/>
      <c r="J47"/>
      <c r="K47"/>
      <c r="L47" s="669"/>
      <c r="M47" s="669"/>
      <c r="N47" s="669"/>
      <c r="O47" s="669"/>
      <c r="P47"/>
      <c r="Q47"/>
      <c r="R47"/>
      <c r="S47"/>
      <c r="T47"/>
      <c r="U47"/>
      <c r="V47"/>
      <c r="W47"/>
      <c r="X47"/>
      <c r="Y47"/>
      <c r="Z47" s="669"/>
      <c r="AA47" s="669"/>
      <c r="AB47" s="669"/>
      <c r="AC47" s="669"/>
      <c r="AD47"/>
      <c r="AE47"/>
      <c r="AF47"/>
      <c r="AG47"/>
      <c r="AH47"/>
      <c r="AI47"/>
      <c r="AJ47" s="669"/>
    </row>
    <row r="48" spans="1:38" x14ac:dyDescent="0.2">
      <c r="A48"/>
      <c r="B48"/>
      <c r="C48"/>
      <c r="D48" s="669"/>
      <c r="E48" s="669"/>
      <c r="F48" s="669"/>
      <c r="G48" s="669"/>
      <c r="H48"/>
      <c r="I48"/>
      <c r="J48"/>
      <c r="K48"/>
      <c r="L48" s="669"/>
      <c r="M48" s="669"/>
      <c r="N48" s="669"/>
      <c r="O48" s="669"/>
      <c r="P48"/>
      <c r="Q48"/>
      <c r="R48"/>
      <c r="S48"/>
      <c r="T48"/>
      <c r="U48"/>
      <c r="V48"/>
      <c r="W48"/>
      <c r="X48"/>
      <c r="Y48"/>
      <c r="Z48" s="669"/>
      <c r="AA48" s="669"/>
      <c r="AB48" s="669"/>
      <c r="AC48" s="669"/>
      <c r="AD48"/>
      <c r="AE48"/>
      <c r="AF48"/>
      <c r="AG48"/>
      <c r="AH48"/>
      <c r="AI48"/>
      <c r="AJ48" s="669"/>
    </row>
    <row r="49" spans="1:38" x14ac:dyDescent="0.2">
      <c r="A49"/>
      <c r="B49"/>
      <c r="C49"/>
      <c r="D49" s="669"/>
      <c r="E49" s="669"/>
      <c r="F49" s="669"/>
      <c r="G49" s="669"/>
      <c r="H49"/>
      <c r="I49"/>
      <c r="J49"/>
      <c r="K49"/>
      <c r="L49" s="669"/>
      <c r="M49" s="669"/>
      <c r="N49" s="669"/>
      <c r="O49" s="669"/>
      <c r="P49"/>
      <c r="Q49"/>
      <c r="R49"/>
      <c r="S49"/>
      <c r="T49"/>
      <c r="U49"/>
      <c r="V49"/>
      <c r="W49"/>
      <c r="X49"/>
      <c r="Y49"/>
      <c r="Z49" s="669"/>
      <c r="AA49" s="669"/>
      <c r="AB49" s="669"/>
      <c r="AC49" s="669"/>
      <c r="AD49"/>
      <c r="AE49"/>
      <c r="AF49"/>
      <c r="AG49"/>
      <c r="AH49"/>
      <c r="AI49"/>
      <c r="AJ49" s="669"/>
    </row>
    <row r="50" spans="1:38" x14ac:dyDescent="0.2">
      <c r="A50"/>
      <c r="B50"/>
      <c r="C50"/>
      <c r="D50" s="669"/>
      <c r="E50" s="669"/>
      <c r="F50" s="669"/>
      <c r="G50" s="669"/>
      <c r="H50"/>
      <c r="I50"/>
      <c r="J50"/>
      <c r="K50"/>
      <c r="L50" s="669"/>
      <c r="M50" s="669"/>
      <c r="N50" s="669"/>
      <c r="O50" s="669"/>
      <c r="P50"/>
      <c r="Q50"/>
      <c r="R50"/>
      <c r="S50"/>
      <c r="T50"/>
      <c r="U50"/>
      <c r="V50"/>
      <c r="W50"/>
      <c r="X50"/>
      <c r="Y50"/>
      <c r="Z50" s="669"/>
      <c r="AA50" s="669"/>
      <c r="AB50" s="669"/>
      <c r="AC50" s="669"/>
      <c r="AD50"/>
      <c r="AE50"/>
      <c r="AF50"/>
      <c r="AG50"/>
      <c r="AH50"/>
      <c r="AI50"/>
      <c r="AJ50" s="669"/>
    </row>
    <row r="51" spans="1:38" x14ac:dyDescent="0.2">
      <c r="A51"/>
      <c r="B51"/>
      <c r="C51"/>
      <c r="D51" s="669"/>
      <c r="E51" s="669"/>
      <c r="F51" s="669"/>
      <c r="G51" s="669"/>
      <c r="H51"/>
      <c r="I51"/>
      <c r="J51"/>
      <c r="K51"/>
      <c r="L51" s="669"/>
      <c r="M51" s="669"/>
      <c r="N51" s="669"/>
      <c r="O51" s="669"/>
      <c r="P51"/>
      <c r="Q51"/>
      <c r="R51"/>
      <c r="S51"/>
      <c r="T51"/>
      <c r="U51"/>
      <c r="V51"/>
      <c r="W51"/>
      <c r="X51"/>
      <c r="Y51"/>
      <c r="Z51" s="669"/>
      <c r="AA51" s="669"/>
      <c r="AB51" s="669"/>
      <c r="AC51" s="669"/>
      <c r="AD51"/>
      <c r="AE51"/>
      <c r="AF51"/>
      <c r="AG51"/>
      <c r="AH51"/>
      <c r="AI51"/>
      <c r="AJ51" s="669"/>
    </row>
    <row r="52" spans="1:38" x14ac:dyDescent="0.2">
      <c r="A52"/>
      <c r="B52"/>
      <c r="C52"/>
      <c r="D52" s="669"/>
      <c r="E52" s="669"/>
      <c r="F52" s="669"/>
      <c r="G52" s="669"/>
      <c r="H52"/>
      <c r="I52"/>
      <c r="J52"/>
      <c r="K52"/>
      <c r="L52" s="669"/>
      <c r="M52" s="669"/>
      <c r="N52" s="669"/>
      <c r="O52" s="669"/>
      <c r="P52"/>
      <c r="Q52"/>
      <c r="R52"/>
      <c r="S52"/>
      <c r="T52"/>
      <c r="U52"/>
      <c r="V52"/>
      <c r="W52"/>
      <c r="X52"/>
      <c r="Y52"/>
      <c r="Z52" s="669"/>
      <c r="AA52" s="669"/>
      <c r="AB52" s="669"/>
      <c r="AC52" s="669"/>
      <c r="AD52"/>
      <c r="AE52"/>
      <c r="AF52"/>
      <c r="AG52"/>
      <c r="AH52"/>
      <c r="AI52"/>
      <c r="AJ52" s="669"/>
    </row>
    <row r="53" spans="1:38" x14ac:dyDescent="0.2">
      <c r="A53"/>
      <c r="B53"/>
      <c r="C53"/>
      <c r="D53" s="669"/>
      <c r="E53" s="669"/>
      <c r="F53" s="669"/>
      <c r="G53" s="669"/>
      <c r="H53"/>
      <c r="I53"/>
      <c r="J53"/>
      <c r="K53"/>
      <c r="L53" s="669"/>
      <c r="M53" s="669"/>
      <c r="N53" s="669"/>
      <c r="O53" s="669"/>
      <c r="P53"/>
      <c r="Q53"/>
      <c r="R53"/>
      <c r="S53"/>
      <c r="T53"/>
      <c r="U53"/>
      <c r="V53"/>
      <c r="W53"/>
      <c r="X53"/>
      <c r="Y53"/>
      <c r="Z53" s="669"/>
      <c r="AA53" s="669"/>
      <c r="AB53" s="669"/>
      <c r="AC53" s="669"/>
      <c r="AD53"/>
      <c r="AE53"/>
      <c r="AF53"/>
      <c r="AG53"/>
      <c r="AH53"/>
      <c r="AI53"/>
      <c r="AJ53" s="669"/>
      <c r="AK53"/>
    </row>
    <row r="54" spans="1:38" x14ac:dyDescent="0.2">
      <c r="A54"/>
      <c r="B54"/>
      <c r="C54"/>
      <c r="D54" s="669"/>
      <c r="E54" s="669"/>
      <c r="F54" s="669"/>
      <c r="G54" s="669"/>
      <c r="H54"/>
      <c r="I54"/>
      <c r="J54"/>
      <c r="K54"/>
      <c r="L54" s="669"/>
      <c r="M54" s="669"/>
      <c r="N54" s="669"/>
      <c r="O54" s="669"/>
      <c r="P54"/>
      <c r="Q54"/>
      <c r="R54"/>
      <c r="S54"/>
      <c r="T54"/>
      <c r="U54"/>
      <c r="V54"/>
      <c r="W54"/>
      <c r="X54"/>
      <c r="Y54"/>
      <c r="Z54" s="669"/>
      <c r="AA54" s="669"/>
      <c r="AB54" s="669"/>
      <c r="AC54" s="669"/>
      <c r="AD54"/>
      <c r="AE54"/>
      <c r="AF54"/>
      <c r="AG54"/>
      <c r="AH54"/>
      <c r="AI54"/>
      <c r="AJ54" s="669"/>
      <c r="AK54"/>
    </row>
    <row r="55" spans="1:38" x14ac:dyDescent="0.2">
      <c r="A55"/>
      <c r="B55"/>
      <c r="C55"/>
      <c r="D55" s="669"/>
      <c r="E55" s="669"/>
      <c r="F55" s="669"/>
      <c r="G55" s="669"/>
      <c r="H55"/>
      <c r="I55"/>
      <c r="J55"/>
      <c r="K55"/>
      <c r="L55" s="669"/>
      <c r="M55" s="669"/>
      <c r="N55" s="669"/>
      <c r="O55" s="669"/>
      <c r="P55"/>
      <c r="Q55"/>
      <c r="R55"/>
      <c r="S55"/>
      <c r="T55"/>
      <c r="U55"/>
      <c r="V55"/>
      <c r="W55"/>
      <c r="X55"/>
      <c r="Y55"/>
      <c r="Z55" s="669"/>
      <c r="AA55" s="669"/>
      <c r="AB55" s="669"/>
      <c r="AC55" s="669"/>
      <c r="AD55"/>
      <c r="AE55"/>
      <c r="AF55"/>
      <c r="AG55"/>
      <c r="AH55"/>
      <c r="AI55"/>
      <c r="AJ55" s="669"/>
      <c r="AK55"/>
    </row>
    <row r="56" spans="1:38" x14ac:dyDescent="0.2">
      <c r="A56"/>
      <c r="B56"/>
      <c r="C56"/>
      <c r="D56" s="669"/>
      <c r="E56" s="669"/>
      <c r="F56" s="669"/>
      <c r="G56" s="669"/>
      <c r="H56"/>
      <c r="I56"/>
      <c r="J56"/>
      <c r="K56"/>
      <c r="L56" s="669"/>
      <c r="M56" s="669"/>
      <c r="N56" s="669"/>
      <c r="O56" s="669"/>
      <c r="P56"/>
      <c r="Q56"/>
      <c r="R56"/>
      <c r="S56"/>
      <c r="T56"/>
      <c r="U56"/>
      <c r="V56"/>
      <c r="W56"/>
      <c r="X56"/>
      <c r="Y56"/>
      <c r="Z56" s="669"/>
      <c r="AA56" s="669"/>
      <c r="AB56" s="669"/>
      <c r="AC56" s="669"/>
      <c r="AD56"/>
      <c r="AE56"/>
      <c r="AF56"/>
      <c r="AG56"/>
      <c r="AI56"/>
      <c r="AJ56" s="669"/>
      <c r="AK56"/>
    </row>
    <row r="57" spans="1:38" x14ac:dyDescent="0.2">
      <c r="A57"/>
      <c r="B57"/>
      <c r="C57"/>
      <c r="D57" s="669"/>
      <c r="E57" s="669"/>
      <c r="F57" s="669"/>
      <c r="G57" s="669"/>
      <c r="H57"/>
      <c r="I57"/>
      <c r="J57"/>
      <c r="K57"/>
      <c r="L57" s="669"/>
      <c r="M57" s="669"/>
      <c r="N57" s="669"/>
      <c r="O57" s="669"/>
      <c r="P57"/>
      <c r="Q57"/>
      <c r="R57"/>
      <c r="S57"/>
      <c r="T57"/>
      <c r="U57"/>
      <c r="V57"/>
      <c r="W57"/>
      <c r="X57"/>
      <c r="Y57"/>
      <c r="Z57" s="669"/>
      <c r="AA57" s="669"/>
      <c r="AB57" s="669"/>
      <c r="AC57" s="669"/>
      <c r="AD57"/>
      <c r="AE57"/>
      <c r="AF57"/>
      <c r="AG57"/>
      <c r="AH57"/>
      <c r="AI57"/>
      <c r="AJ57" s="669"/>
    </row>
    <row r="58" spans="1:38" x14ac:dyDescent="0.2">
      <c r="A58"/>
      <c r="B58"/>
      <c r="C58"/>
      <c r="D58" s="669"/>
      <c r="E58" s="669"/>
      <c r="F58" s="669"/>
      <c r="G58" s="669"/>
      <c r="H58"/>
      <c r="I58"/>
      <c r="J58"/>
      <c r="K58"/>
      <c r="L58" s="669"/>
      <c r="M58" s="669"/>
      <c r="N58" s="669"/>
      <c r="O58" s="669"/>
      <c r="P58"/>
      <c r="Q58"/>
      <c r="R58"/>
      <c r="S58"/>
      <c r="T58"/>
      <c r="U58"/>
      <c r="V58"/>
      <c r="W58"/>
      <c r="X58"/>
      <c r="Y58"/>
      <c r="Z58" s="669"/>
      <c r="AA58" s="669"/>
      <c r="AB58" s="669"/>
      <c r="AC58" s="669"/>
      <c r="AD58"/>
      <c r="AE58"/>
      <c r="AF58"/>
      <c r="AG58"/>
      <c r="AH58"/>
      <c r="AI58"/>
      <c r="AJ58" s="669"/>
      <c r="AK58"/>
      <c r="AL58"/>
    </row>
    <row r="59" spans="1:38" x14ac:dyDescent="0.2">
      <c r="A59"/>
      <c r="B59"/>
      <c r="C59"/>
      <c r="D59" s="669"/>
      <c r="E59" s="669"/>
      <c r="F59" s="669"/>
      <c r="G59" s="669"/>
      <c r="H59"/>
      <c r="I59"/>
      <c r="J59"/>
      <c r="K59"/>
      <c r="L59" s="669"/>
      <c r="M59" s="669"/>
      <c r="N59" s="669"/>
      <c r="O59" s="669"/>
      <c r="P59"/>
      <c r="Q59"/>
      <c r="R59"/>
      <c r="S59"/>
      <c r="T59"/>
      <c r="U59"/>
      <c r="V59"/>
      <c r="W59"/>
      <c r="X59"/>
      <c r="Y59"/>
      <c r="Z59" s="669"/>
      <c r="AA59" s="669"/>
      <c r="AB59" s="669"/>
      <c r="AC59" s="669"/>
      <c r="AD59"/>
      <c r="AF59"/>
      <c r="AG59"/>
      <c r="AH59"/>
      <c r="AI59"/>
      <c r="AJ59" s="669"/>
      <c r="AK59"/>
      <c r="AL59"/>
    </row>
    <row r="60" spans="1:38" x14ac:dyDescent="0.2">
      <c r="A60"/>
      <c r="B60"/>
      <c r="C60"/>
      <c r="D60" s="669"/>
      <c r="E60" s="669"/>
      <c r="F60" s="669"/>
      <c r="G60" s="669"/>
      <c r="H60"/>
      <c r="I60"/>
      <c r="J60"/>
      <c r="K60"/>
      <c r="L60" s="669"/>
      <c r="M60" s="669"/>
      <c r="N60" s="669"/>
      <c r="O60" s="669"/>
      <c r="P60"/>
      <c r="Q60"/>
      <c r="R60"/>
      <c r="S60"/>
      <c r="T60"/>
      <c r="U60"/>
      <c r="V60"/>
      <c r="W60"/>
      <c r="X60"/>
      <c r="Y60"/>
      <c r="Z60" s="669"/>
      <c r="AA60" s="669"/>
      <c r="AB60" s="669"/>
      <c r="AC60" s="669"/>
      <c r="AD60"/>
      <c r="AE60"/>
      <c r="AF60"/>
      <c r="AG60"/>
      <c r="AH60"/>
      <c r="AI60"/>
      <c r="AJ60" s="669"/>
    </row>
    <row r="61" spans="1:38" x14ac:dyDescent="0.2">
      <c r="A61"/>
      <c r="B61"/>
      <c r="C61"/>
      <c r="D61" s="669"/>
      <c r="E61" s="669"/>
      <c r="F61" s="669"/>
      <c r="G61" s="669"/>
      <c r="H61"/>
      <c r="I61"/>
      <c r="J61"/>
      <c r="K61"/>
      <c r="L61" s="669"/>
      <c r="M61" s="669"/>
      <c r="N61" s="669"/>
      <c r="O61" s="669"/>
      <c r="P61"/>
      <c r="Q61"/>
      <c r="R61"/>
      <c r="S61"/>
      <c r="T61"/>
      <c r="U61"/>
      <c r="V61"/>
      <c r="W61"/>
      <c r="X61"/>
      <c r="Y61"/>
      <c r="Z61" s="669"/>
      <c r="AA61" s="669"/>
      <c r="AB61" s="669"/>
      <c r="AC61" s="669"/>
      <c r="AD61"/>
      <c r="AE61"/>
      <c r="AF61"/>
      <c r="AG61"/>
      <c r="AH61"/>
      <c r="AI61"/>
      <c r="AJ61" s="669"/>
    </row>
    <row r="62" spans="1:38" x14ac:dyDescent="0.2">
      <c r="A62"/>
      <c r="B62"/>
      <c r="C62"/>
      <c r="D62" s="669"/>
      <c r="E62" s="669"/>
      <c r="F62" s="669"/>
      <c r="G62" s="669"/>
      <c r="H62"/>
      <c r="I62"/>
      <c r="J62"/>
      <c r="K62"/>
      <c r="L62" s="669"/>
      <c r="M62" s="669"/>
      <c r="N62" s="669"/>
      <c r="O62" s="669"/>
      <c r="P62"/>
      <c r="Q62"/>
      <c r="R62"/>
      <c r="S62"/>
      <c r="T62"/>
      <c r="U62"/>
      <c r="V62"/>
      <c r="W62"/>
      <c r="X62"/>
      <c r="Y62"/>
      <c r="Z62" s="669"/>
      <c r="AA62" s="669"/>
      <c r="AB62" s="669"/>
      <c r="AC62" s="669"/>
      <c r="AD62"/>
      <c r="AE62"/>
      <c r="AF62"/>
      <c r="AG62"/>
      <c r="AH62"/>
      <c r="AI62"/>
      <c r="AJ62" s="669"/>
    </row>
    <row r="63" spans="1:38" x14ac:dyDescent="0.2">
      <c r="A63"/>
      <c r="B63"/>
      <c r="C63"/>
      <c r="D63" s="669"/>
      <c r="E63" s="669"/>
      <c r="F63" s="669"/>
      <c r="G63" s="669"/>
      <c r="H63"/>
      <c r="I63"/>
      <c r="J63"/>
      <c r="K63"/>
      <c r="L63" s="669"/>
      <c r="M63" s="669"/>
      <c r="N63" s="669"/>
      <c r="O63" s="669"/>
      <c r="P63"/>
      <c r="Q63"/>
      <c r="R63"/>
      <c r="S63"/>
      <c r="T63"/>
      <c r="U63"/>
      <c r="V63"/>
      <c r="W63"/>
      <c r="X63"/>
      <c r="Y63"/>
      <c r="Z63" s="669"/>
      <c r="AA63" s="669"/>
      <c r="AB63" s="669"/>
      <c r="AC63" s="669"/>
      <c r="AD63"/>
      <c r="AE63"/>
      <c r="AF63"/>
      <c r="AG63"/>
      <c r="AH63"/>
      <c r="AI63"/>
      <c r="AJ63" s="669"/>
    </row>
    <row r="64" spans="1:38" x14ac:dyDescent="0.2">
      <c r="A64"/>
      <c r="B64"/>
      <c r="C64"/>
      <c r="D64" s="669"/>
      <c r="E64" s="669"/>
      <c r="F64" s="669"/>
      <c r="G64" s="669"/>
      <c r="H64"/>
      <c r="I64"/>
      <c r="J64"/>
      <c r="K64"/>
      <c r="L64" s="669"/>
      <c r="M64" s="669"/>
      <c r="N64" s="669"/>
      <c r="O64" s="669"/>
      <c r="P64"/>
      <c r="Q64"/>
      <c r="R64"/>
      <c r="S64"/>
      <c r="T64"/>
      <c r="U64"/>
      <c r="V64"/>
      <c r="W64"/>
      <c r="X64"/>
      <c r="Y64"/>
      <c r="Z64" s="669"/>
      <c r="AA64" s="669"/>
      <c r="AB64" s="669"/>
      <c r="AC64" s="669"/>
      <c r="AD64"/>
      <c r="AE64"/>
      <c r="AF64"/>
      <c r="AG64"/>
      <c r="AH64"/>
      <c r="AI64"/>
      <c r="AJ64" s="669"/>
    </row>
    <row r="65" spans="1:37" x14ac:dyDescent="0.2">
      <c r="A65"/>
      <c r="B65"/>
      <c r="C65"/>
      <c r="D65" s="669"/>
      <c r="E65" s="669"/>
      <c r="F65" s="669"/>
      <c r="G65" s="669"/>
      <c r="H65"/>
      <c r="I65"/>
      <c r="J65"/>
      <c r="K65"/>
      <c r="L65" s="669"/>
      <c r="M65" s="669"/>
      <c r="N65" s="669"/>
      <c r="O65" s="669"/>
      <c r="P65"/>
      <c r="Q65"/>
      <c r="R65"/>
      <c r="S65"/>
      <c r="T65"/>
      <c r="U65"/>
      <c r="V65"/>
      <c r="W65"/>
      <c r="X65"/>
      <c r="Y65"/>
      <c r="Z65" s="669"/>
      <c r="AA65" s="669"/>
      <c r="AB65" s="669"/>
      <c r="AC65" s="669"/>
      <c r="AD65"/>
      <c r="AE65"/>
      <c r="AF65"/>
      <c r="AG65"/>
      <c r="AH65"/>
      <c r="AI65"/>
      <c r="AJ65" s="669"/>
    </row>
    <row r="66" spans="1:37" x14ac:dyDescent="0.2">
      <c r="A66"/>
      <c r="B66"/>
      <c r="C66"/>
      <c r="D66" s="669"/>
      <c r="E66" s="669"/>
      <c r="F66" s="669"/>
      <c r="G66" s="669"/>
      <c r="H66"/>
      <c r="I66"/>
      <c r="J66"/>
      <c r="K66"/>
      <c r="L66" s="669"/>
      <c r="M66" s="669"/>
      <c r="N66" s="669"/>
      <c r="O66" s="669"/>
      <c r="P66"/>
      <c r="Q66"/>
      <c r="R66"/>
      <c r="S66"/>
      <c r="T66"/>
      <c r="U66"/>
      <c r="V66"/>
      <c r="W66"/>
      <c r="X66"/>
      <c r="Y66"/>
      <c r="Z66" s="669"/>
      <c r="AA66" s="669"/>
      <c r="AB66" s="669"/>
      <c r="AC66" s="669"/>
      <c r="AD66"/>
      <c r="AE66"/>
      <c r="AF66"/>
      <c r="AG66"/>
      <c r="AH66"/>
      <c r="AI66"/>
      <c r="AJ66" s="669"/>
    </row>
    <row r="67" spans="1:37" x14ac:dyDescent="0.2">
      <c r="A67"/>
      <c r="B67"/>
      <c r="C67"/>
      <c r="D67" s="669"/>
      <c r="E67" s="669"/>
      <c r="F67" s="669"/>
      <c r="G67" s="669"/>
      <c r="H67"/>
      <c r="I67"/>
      <c r="J67"/>
      <c r="K67"/>
      <c r="L67" s="669"/>
      <c r="M67" s="669"/>
      <c r="N67" s="669"/>
      <c r="O67" s="669"/>
      <c r="P67"/>
      <c r="Q67"/>
      <c r="R67"/>
      <c r="S67"/>
      <c r="T67"/>
      <c r="U67"/>
      <c r="V67"/>
      <c r="W67"/>
      <c r="X67"/>
      <c r="Y67"/>
      <c r="Z67" s="669"/>
      <c r="AA67" s="669"/>
      <c r="AB67" s="669"/>
      <c r="AC67" s="669"/>
      <c r="AD67"/>
      <c r="AE67"/>
      <c r="AF67"/>
      <c r="AG67"/>
      <c r="AH67"/>
      <c r="AI67"/>
      <c r="AJ67" s="669"/>
    </row>
    <row r="68" spans="1:37" x14ac:dyDescent="0.2">
      <c r="A68"/>
      <c r="B68"/>
      <c r="C68"/>
      <c r="D68" s="669"/>
      <c r="E68" s="669"/>
      <c r="F68" s="669"/>
      <c r="G68" s="669"/>
      <c r="H68"/>
      <c r="I68"/>
      <c r="J68"/>
      <c r="K68"/>
      <c r="L68" s="669"/>
      <c r="M68" s="669"/>
      <c r="N68" s="669"/>
      <c r="O68" s="669"/>
      <c r="P68"/>
      <c r="Q68"/>
      <c r="R68"/>
      <c r="S68"/>
      <c r="T68"/>
      <c r="U68"/>
      <c r="V68"/>
      <c r="W68"/>
      <c r="X68"/>
      <c r="Y68"/>
      <c r="Z68" s="669"/>
      <c r="AA68" s="669"/>
      <c r="AB68" s="669"/>
      <c r="AC68" s="669"/>
      <c r="AD68"/>
      <c r="AE68"/>
      <c r="AF68"/>
      <c r="AG68"/>
      <c r="AH68"/>
      <c r="AI68"/>
      <c r="AJ68" s="669"/>
    </row>
    <row r="69" spans="1:37" x14ac:dyDescent="0.2">
      <c r="A69"/>
      <c r="B69"/>
      <c r="C69"/>
      <c r="D69" s="669"/>
      <c r="E69" s="669"/>
      <c r="F69" s="669"/>
      <c r="G69" s="669"/>
      <c r="H69"/>
      <c r="I69"/>
      <c r="J69"/>
      <c r="K69"/>
      <c r="L69" s="669"/>
      <c r="M69" s="669"/>
      <c r="N69" s="669"/>
      <c r="O69" s="669"/>
      <c r="P69"/>
      <c r="Q69"/>
      <c r="R69"/>
      <c r="S69"/>
      <c r="T69"/>
      <c r="U69"/>
      <c r="V69"/>
      <c r="W69"/>
      <c r="X69"/>
      <c r="Y69"/>
      <c r="Z69" s="669"/>
      <c r="AA69" s="669"/>
      <c r="AB69" s="669"/>
      <c r="AC69" s="669"/>
      <c r="AD69"/>
      <c r="AE69"/>
      <c r="AF69"/>
      <c r="AG69"/>
      <c r="AH69"/>
      <c r="AI69"/>
      <c r="AJ69" s="669"/>
    </row>
    <row r="70" spans="1:37" x14ac:dyDescent="0.2">
      <c r="A70"/>
      <c r="B70"/>
      <c r="C70"/>
      <c r="D70" s="669"/>
      <c r="E70" s="669"/>
      <c r="F70" s="669"/>
      <c r="G70" s="669"/>
      <c r="H70"/>
      <c r="I70"/>
      <c r="J70"/>
      <c r="K70"/>
      <c r="L70" s="669"/>
      <c r="M70" s="669"/>
      <c r="N70" s="669"/>
      <c r="O70" s="669"/>
      <c r="P70"/>
      <c r="Q70"/>
      <c r="R70"/>
      <c r="S70"/>
      <c r="T70"/>
      <c r="U70"/>
      <c r="V70"/>
      <c r="W70"/>
      <c r="X70"/>
      <c r="Y70"/>
      <c r="Z70" s="669"/>
      <c r="AA70" s="669"/>
      <c r="AB70" s="669"/>
      <c r="AC70" s="669"/>
      <c r="AD70"/>
      <c r="AE70"/>
      <c r="AF70"/>
      <c r="AG70"/>
      <c r="AH70"/>
      <c r="AI70"/>
      <c r="AJ70" s="669"/>
    </row>
    <row r="71" spans="1:37" x14ac:dyDescent="0.2">
      <c r="A71"/>
      <c r="B71"/>
      <c r="C71"/>
      <c r="D71" s="669"/>
      <c r="E71" s="669"/>
      <c r="F71" s="669"/>
      <c r="G71" s="669"/>
      <c r="H71"/>
      <c r="I71"/>
      <c r="J71"/>
      <c r="K71"/>
      <c r="L71" s="669"/>
      <c r="M71" s="669"/>
      <c r="N71" s="669"/>
      <c r="O71" s="669"/>
      <c r="P71"/>
      <c r="Q71"/>
      <c r="R71"/>
      <c r="S71"/>
      <c r="T71"/>
      <c r="U71"/>
      <c r="Z71" s="669"/>
      <c r="AA71" s="669"/>
      <c r="AB71" s="669"/>
      <c r="AC71" s="669"/>
      <c r="AD71"/>
      <c r="AE71"/>
      <c r="AF71"/>
      <c r="AG71"/>
      <c r="AH71"/>
      <c r="AI71"/>
      <c r="AJ71" s="669"/>
    </row>
    <row r="72" spans="1:37" x14ac:dyDescent="0.2">
      <c r="A72"/>
      <c r="B72"/>
      <c r="C72"/>
      <c r="D72" s="669"/>
      <c r="E72" s="669"/>
      <c r="F72" s="669"/>
      <c r="G72" s="669"/>
      <c r="H72"/>
      <c r="I72"/>
      <c r="J72"/>
      <c r="K72"/>
      <c r="L72" s="669"/>
      <c r="M72" s="669"/>
      <c r="N72" s="669"/>
      <c r="O72" s="669"/>
      <c r="P72"/>
      <c r="Q72"/>
      <c r="R72"/>
      <c r="S72"/>
      <c r="T72"/>
      <c r="U72"/>
      <c r="V72"/>
      <c r="W72"/>
      <c r="X72"/>
      <c r="Y72"/>
      <c r="Z72" s="669"/>
      <c r="AA72" s="669"/>
      <c r="AB72" s="669"/>
      <c r="AC72" s="669"/>
      <c r="AD72"/>
      <c r="AE72"/>
      <c r="AF72"/>
      <c r="AG72"/>
      <c r="AH72"/>
      <c r="AI72"/>
      <c r="AJ72" s="669"/>
    </row>
    <row r="73" spans="1:37" x14ac:dyDescent="0.2">
      <c r="A73"/>
      <c r="B73"/>
      <c r="C73"/>
      <c r="D73" s="669"/>
      <c r="E73" s="669"/>
      <c r="F73" s="669"/>
      <c r="G73" s="669"/>
      <c r="H73"/>
      <c r="I73"/>
      <c r="J73"/>
      <c r="K73"/>
      <c r="L73" s="669"/>
      <c r="M73" s="669"/>
      <c r="N73" s="669"/>
      <c r="O73" s="669"/>
      <c r="P73"/>
      <c r="Q73"/>
      <c r="R73"/>
      <c r="S73"/>
      <c r="T73"/>
      <c r="U73"/>
      <c r="V73"/>
      <c r="W73"/>
      <c r="X73"/>
      <c r="Y73"/>
      <c r="Z73" s="669"/>
      <c r="AA73" s="669"/>
      <c r="AB73" s="669"/>
      <c r="AC73" s="669"/>
      <c r="AD73"/>
      <c r="AE73"/>
      <c r="AF73"/>
      <c r="AG73"/>
      <c r="AH73"/>
      <c r="AI73"/>
      <c r="AJ73" s="669"/>
      <c r="AK73"/>
    </row>
    <row r="74" spans="1:37" x14ac:dyDescent="0.2">
      <c r="A74"/>
      <c r="B74"/>
      <c r="C74"/>
      <c r="D74" s="669"/>
      <c r="E74" s="669"/>
      <c r="F74" s="669"/>
      <c r="G74" s="669"/>
      <c r="H74"/>
      <c r="I74"/>
      <c r="J74"/>
      <c r="K74"/>
      <c r="L74" s="669"/>
      <c r="M74" s="669"/>
      <c r="N74" s="669"/>
      <c r="O74" s="669"/>
      <c r="P74"/>
      <c r="Q74"/>
      <c r="R74"/>
      <c r="S74"/>
      <c r="T74"/>
      <c r="U74"/>
      <c r="V74"/>
      <c r="W74"/>
      <c r="X74"/>
      <c r="Y74"/>
      <c r="Z74" s="669"/>
      <c r="AA74" s="669"/>
      <c r="AB74" s="669"/>
      <c r="AC74" s="669"/>
      <c r="AD74"/>
      <c r="AF74"/>
      <c r="AG74"/>
      <c r="AH74"/>
      <c r="AI74"/>
      <c r="AJ74" s="669"/>
      <c r="AK74"/>
    </row>
    <row r="75" spans="1:37" x14ac:dyDescent="0.2">
      <c r="A75"/>
      <c r="B75"/>
      <c r="C75"/>
      <c r="D75" s="669"/>
      <c r="E75" s="669"/>
      <c r="F75" s="669"/>
      <c r="G75" s="669"/>
      <c r="H75"/>
      <c r="I75"/>
      <c r="J75"/>
      <c r="K75"/>
      <c r="L75" s="669"/>
      <c r="M75" s="669"/>
      <c r="N75" s="669"/>
      <c r="O75" s="669"/>
      <c r="P75"/>
      <c r="Q75"/>
      <c r="R75"/>
      <c r="S75"/>
      <c r="T75"/>
      <c r="U75"/>
      <c r="V75"/>
      <c r="W75"/>
      <c r="X75"/>
      <c r="Y75"/>
      <c r="Z75" s="669"/>
      <c r="AA75" s="669"/>
      <c r="AB75" s="669"/>
      <c r="AC75" s="669"/>
      <c r="AD75"/>
      <c r="AE75"/>
      <c r="AF75"/>
      <c r="AG75"/>
      <c r="AH75"/>
      <c r="AI75"/>
      <c r="AJ75" s="669"/>
    </row>
    <row r="76" spans="1:37" x14ac:dyDescent="0.2">
      <c r="A76"/>
      <c r="B76"/>
      <c r="C76"/>
      <c r="D76" s="669"/>
      <c r="E76" s="669"/>
      <c r="F76" s="669"/>
      <c r="G76" s="669"/>
      <c r="H76"/>
      <c r="I76"/>
      <c r="J76"/>
      <c r="K76"/>
      <c r="L76" s="669"/>
      <c r="M76" s="669"/>
      <c r="N76" s="669"/>
      <c r="O76" s="669"/>
      <c r="P76"/>
      <c r="Q76"/>
      <c r="R76"/>
      <c r="S76"/>
      <c r="T76"/>
      <c r="U76"/>
      <c r="V76"/>
      <c r="W76"/>
      <c r="X76"/>
      <c r="Y76"/>
      <c r="Z76" s="669"/>
      <c r="AA76" s="669"/>
      <c r="AB76" s="669"/>
      <c r="AC76" s="669"/>
      <c r="AD76"/>
      <c r="AE76"/>
      <c r="AF76"/>
      <c r="AG76"/>
      <c r="AH76"/>
      <c r="AI76"/>
      <c r="AJ76" s="669"/>
      <c r="AK76"/>
    </row>
    <row r="77" spans="1:37" x14ac:dyDescent="0.2">
      <c r="A77"/>
      <c r="B77"/>
      <c r="C77"/>
      <c r="D77" s="669"/>
      <c r="E77" s="669"/>
      <c r="F77" s="669"/>
      <c r="G77" s="669"/>
      <c r="H77"/>
      <c r="I77"/>
      <c r="J77"/>
      <c r="K77"/>
      <c r="L77" s="669"/>
      <c r="M77" s="669"/>
      <c r="N77" s="669"/>
      <c r="O77" s="669"/>
      <c r="P77"/>
      <c r="Q77"/>
      <c r="R77"/>
      <c r="S77"/>
      <c r="T77"/>
      <c r="U77"/>
      <c r="V77"/>
      <c r="W77"/>
      <c r="X77"/>
      <c r="Y77"/>
      <c r="Z77" s="669"/>
      <c r="AA77" s="669"/>
      <c r="AB77" s="669"/>
      <c r="AC77" s="669"/>
      <c r="AD77"/>
      <c r="AE77"/>
      <c r="AF77"/>
      <c r="AG77"/>
      <c r="AH77"/>
      <c r="AI77"/>
      <c r="AJ77" s="669"/>
      <c r="AK77"/>
    </row>
    <row r="78" spans="1:37" x14ac:dyDescent="0.2">
      <c r="A78"/>
      <c r="B78"/>
      <c r="C78"/>
      <c r="D78" s="669"/>
      <c r="E78" s="669"/>
      <c r="F78" s="669"/>
      <c r="G78" s="669"/>
      <c r="H78"/>
      <c r="I78"/>
      <c r="J78"/>
      <c r="K78"/>
      <c r="L78" s="669"/>
      <c r="M78" s="669"/>
      <c r="N78" s="669"/>
      <c r="O78" s="669"/>
      <c r="P78"/>
      <c r="Q78"/>
      <c r="R78"/>
      <c r="S78"/>
      <c r="T78"/>
      <c r="U78"/>
      <c r="V78"/>
      <c r="W78"/>
      <c r="X78"/>
      <c r="Y78"/>
      <c r="Z78" s="669"/>
      <c r="AA78" s="669"/>
      <c r="AB78" s="669"/>
      <c r="AC78" s="669"/>
      <c r="AD78"/>
      <c r="AE78"/>
      <c r="AF78"/>
      <c r="AG78"/>
      <c r="AH78"/>
      <c r="AI78"/>
      <c r="AJ78" s="669"/>
    </row>
    <row r="79" spans="1:37" x14ac:dyDescent="0.2">
      <c r="A79"/>
      <c r="B79"/>
      <c r="C79"/>
      <c r="D79" s="669"/>
      <c r="E79" s="669"/>
      <c r="F79" s="669"/>
      <c r="G79" s="669"/>
      <c r="H79"/>
      <c r="I79"/>
      <c r="J79"/>
      <c r="K79"/>
      <c r="L79" s="669"/>
      <c r="M79" s="669"/>
      <c r="N79" s="669"/>
      <c r="O79" s="669"/>
      <c r="P79"/>
      <c r="Q79"/>
      <c r="R79"/>
      <c r="S79"/>
      <c r="T79"/>
      <c r="U79"/>
      <c r="Z79" s="669"/>
      <c r="AA79" s="669"/>
      <c r="AB79" s="669"/>
      <c r="AC79" s="669"/>
      <c r="AD79"/>
      <c r="AE79"/>
      <c r="AF79"/>
      <c r="AG79"/>
      <c r="AH79"/>
      <c r="AI79"/>
      <c r="AJ79" s="669"/>
    </row>
    <row r="80" spans="1:37" x14ac:dyDescent="0.2">
      <c r="A80"/>
      <c r="B80"/>
      <c r="C80"/>
      <c r="D80" s="669"/>
      <c r="E80" s="669"/>
      <c r="F80" s="669"/>
      <c r="G80" s="669"/>
      <c r="H80"/>
      <c r="I80"/>
      <c r="J80"/>
      <c r="K80"/>
      <c r="L80" s="669"/>
      <c r="M80" s="669"/>
      <c r="N80" s="669"/>
      <c r="O80" s="669"/>
      <c r="P80"/>
      <c r="Q80"/>
      <c r="R80"/>
      <c r="S80"/>
      <c r="T80"/>
      <c r="U80"/>
      <c r="V80"/>
      <c r="W80"/>
      <c r="X80"/>
      <c r="Y80"/>
      <c r="Z80" s="669"/>
      <c r="AA80" s="669"/>
      <c r="AB80" s="669"/>
      <c r="AC80" s="669"/>
      <c r="AD80"/>
      <c r="AE80"/>
      <c r="AF80"/>
      <c r="AG80"/>
      <c r="AH80"/>
      <c r="AI80"/>
      <c r="AJ80" s="669"/>
    </row>
    <row r="81" spans="1:37" x14ac:dyDescent="0.2">
      <c r="A81"/>
      <c r="B81"/>
      <c r="C81"/>
      <c r="D81" s="669"/>
      <c r="E81" s="669"/>
      <c r="F81" s="669"/>
      <c r="G81" s="669"/>
      <c r="H81"/>
      <c r="I81"/>
      <c r="J81"/>
      <c r="K81"/>
      <c r="L81" s="669"/>
      <c r="M81" s="669"/>
      <c r="N81" s="669"/>
      <c r="O81" s="669"/>
      <c r="P81"/>
      <c r="Q81"/>
      <c r="R81"/>
      <c r="S81"/>
      <c r="T81"/>
      <c r="U81"/>
      <c r="V81"/>
      <c r="W81"/>
      <c r="X81"/>
      <c r="Y81"/>
      <c r="Z81" s="669"/>
      <c r="AA81" s="669"/>
      <c r="AB81" s="669"/>
      <c r="AC81" s="669"/>
      <c r="AD81"/>
      <c r="AE81"/>
      <c r="AF81"/>
      <c r="AG81"/>
      <c r="AH81"/>
      <c r="AI81"/>
      <c r="AJ81" s="669"/>
    </row>
    <row r="82" spans="1:37" x14ac:dyDescent="0.2">
      <c r="A82"/>
      <c r="B82"/>
      <c r="C82"/>
      <c r="D82" s="669"/>
      <c r="E82" s="669"/>
      <c r="F82" s="669"/>
      <c r="G82" s="669"/>
      <c r="H82"/>
      <c r="I82"/>
      <c r="J82"/>
      <c r="K82"/>
      <c r="L82" s="669"/>
      <c r="M82" s="669"/>
      <c r="N82" s="669"/>
      <c r="O82" s="669"/>
      <c r="P82"/>
      <c r="Q82"/>
      <c r="R82"/>
      <c r="S82"/>
      <c r="T82"/>
      <c r="U82"/>
      <c r="V82"/>
      <c r="W82"/>
      <c r="X82"/>
      <c r="Y82"/>
      <c r="Z82" s="669"/>
      <c r="AA82" s="669"/>
      <c r="AB82" s="669"/>
      <c r="AC82" s="669"/>
      <c r="AD82"/>
      <c r="AE82"/>
      <c r="AF82"/>
      <c r="AG82"/>
      <c r="AH82"/>
      <c r="AI82"/>
      <c r="AJ82" s="669"/>
    </row>
    <row r="83" spans="1:37" x14ac:dyDescent="0.2">
      <c r="A83"/>
      <c r="B83"/>
      <c r="C83"/>
      <c r="D83" s="669"/>
      <c r="E83" s="669"/>
      <c r="F83" s="669"/>
      <c r="G83" s="669"/>
      <c r="H83"/>
      <c r="I83"/>
      <c r="J83"/>
      <c r="K83"/>
      <c r="L83" s="669"/>
      <c r="M83" s="669"/>
      <c r="N83" s="669"/>
      <c r="O83" s="669"/>
      <c r="P83"/>
      <c r="Q83"/>
      <c r="R83"/>
      <c r="S83"/>
      <c r="T83"/>
      <c r="U83"/>
      <c r="V83"/>
      <c r="W83"/>
      <c r="X83"/>
      <c r="Y83"/>
      <c r="Z83" s="669"/>
      <c r="AA83" s="669"/>
      <c r="AB83" s="669"/>
      <c r="AC83" s="669"/>
      <c r="AD83"/>
      <c r="AE83"/>
      <c r="AF83"/>
      <c r="AG83"/>
      <c r="AH83"/>
      <c r="AI83"/>
      <c r="AJ83" s="669"/>
    </row>
    <row r="84" spans="1:37" x14ac:dyDescent="0.2">
      <c r="A84"/>
      <c r="B84"/>
      <c r="C84"/>
      <c r="D84" s="669"/>
      <c r="E84" s="669"/>
      <c r="F84" s="669"/>
      <c r="G84" s="669"/>
      <c r="H84"/>
      <c r="I84"/>
      <c r="J84"/>
      <c r="K84"/>
      <c r="L84" s="669"/>
      <c r="M84" s="669"/>
      <c r="N84" s="669"/>
      <c r="O84" s="669"/>
      <c r="P84"/>
      <c r="Q84"/>
      <c r="R84"/>
      <c r="S84"/>
      <c r="T84"/>
      <c r="U84"/>
      <c r="V84"/>
      <c r="W84"/>
      <c r="X84"/>
      <c r="Y84"/>
      <c r="Z84" s="669"/>
      <c r="AA84" s="669"/>
      <c r="AB84" s="669"/>
      <c r="AC84" s="669"/>
      <c r="AD84"/>
      <c r="AE84"/>
      <c r="AF84"/>
      <c r="AG84"/>
      <c r="AH84"/>
      <c r="AI84"/>
      <c r="AJ84" s="669"/>
    </row>
    <row r="85" spans="1:37" x14ac:dyDescent="0.2">
      <c r="A85"/>
      <c r="B85"/>
      <c r="C85"/>
      <c r="D85" s="669"/>
      <c r="E85" s="669"/>
      <c r="F85" s="669"/>
      <c r="G85" s="669"/>
      <c r="H85"/>
      <c r="I85"/>
      <c r="J85"/>
      <c r="K85"/>
      <c r="L85" s="669"/>
      <c r="M85" s="669"/>
      <c r="N85" s="669"/>
      <c r="O85" s="669"/>
      <c r="P85"/>
      <c r="Q85"/>
      <c r="R85"/>
      <c r="S85"/>
      <c r="T85"/>
      <c r="U85"/>
      <c r="V85"/>
      <c r="W85"/>
      <c r="X85"/>
      <c r="Y85"/>
      <c r="Z85" s="669"/>
      <c r="AA85" s="669"/>
      <c r="AB85" s="669"/>
      <c r="AC85" s="669"/>
      <c r="AD85"/>
      <c r="AE85"/>
      <c r="AF85"/>
      <c r="AG85"/>
      <c r="AH85"/>
      <c r="AI85"/>
      <c r="AJ85" s="669"/>
    </row>
    <row r="86" spans="1:37" x14ac:dyDescent="0.2">
      <c r="A86"/>
      <c r="B86"/>
      <c r="C86"/>
      <c r="D86" s="669"/>
      <c r="E86" s="669"/>
      <c r="F86" s="669"/>
      <c r="G86" s="669"/>
      <c r="H86"/>
      <c r="I86"/>
      <c r="J86"/>
      <c r="K86"/>
      <c r="L86" s="669"/>
      <c r="M86" s="669"/>
      <c r="N86" s="669"/>
      <c r="O86" s="669"/>
      <c r="P86"/>
      <c r="Q86"/>
      <c r="R86"/>
      <c r="S86"/>
      <c r="T86"/>
      <c r="U86"/>
      <c r="V86"/>
      <c r="W86"/>
      <c r="X86"/>
      <c r="Y86"/>
      <c r="Z86" s="669"/>
      <c r="AA86" s="669"/>
      <c r="AB86" s="669"/>
      <c r="AC86" s="669"/>
      <c r="AD86"/>
      <c r="AE86"/>
      <c r="AF86"/>
      <c r="AG86"/>
      <c r="AH86"/>
      <c r="AI86"/>
      <c r="AJ86" s="669"/>
    </row>
    <row r="87" spans="1:37" x14ac:dyDescent="0.2">
      <c r="A87"/>
      <c r="B87"/>
      <c r="C87"/>
      <c r="D87" s="669"/>
      <c r="E87" s="669"/>
      <c r="F87" s="669"/>
      <c r="G87" s="669"/>
      <c r="H87"/>
      <c r="I87"/>
      <c r="J87"/>
      <c r="K87"/>
      <c r="L87" s="669"/>
      <c r="M87" s="669"/>
      <c r="N87" s="669"/>
      <c r="O87" s="669"/>
      <c r="P87"/>
      <c r="Q87"/>
      <c r="R87"/>
      <c r="S87"/>
      <c r="T87"/>
      <c r="U87"/>
      <c r="V87"/>
      <c r="W87"/>
      <c r="X87"/>
      <c r="Y87"/>
      <c r="Z87" s="669"/>
      <c r="AA87" s="669"/>
      <c r="AB87" s="669"/>
      <c r="AC87" s="669"/>
      <c r="AD87"/>
      <c r="AE87"/>
      <c r="AF87"/>
      <c r="AG87"/>
      <c r="AH87"/>
      <c r="AI87"/>
      <c r="AJ87" s="669"/>
    </row>
    <row r="88" spans="1:37" x14ac:dyDescent="0.2">
      <c r="A88"/>
      <c r="B88"/>
      <c r="C88"/>
      <c r="D88" s="669"/>
      <c r="E88" s="669"/>
      <c r="F88" s="669"/>
      <c r="G88" s="669"/>
      <c r="H88"/>
      <c r="I88"/>
      <c r="J88"/>
      <c r="K88"/>
      <c r="L88" s="669"/>
      <c r="M88" s="669"/>
      <c r="N88" s="669"/>
      <c r="O88" s="669"/>
      <c r="P88"/>
      <c r="Q88"/>
      <c r="R88"/>
      <c r="S88"/>
      <c r="T88"/>
      <c r="U88"/>
      <c r="V88"/>
      <c r="W88"/>
      <c r="X88"/>
      <c r="Y88"/>
      <c r="Z88" s="669"/>
      <c r="AA88" s="669"/>
      <c r="AB88" s="669"/>
      <c r="AC88" s="669"/>
      <c r="AD88"/>
      <c r="AE88"/>
      <c r="AF88"/>
      <c r="AG88"/>
      <c r="AH88"/>
      <c r="AI88"/>
      <c r="AJ88" s="669"/>
    </row>
    <row r="89" spans="1:37" x14ac:dyDescent="0.2">
      <c r="A89"/>
      <c r="B89"/>
      <c r="C89"/>
      <c r="D89" s="669"/>
      <c r="E89" s="669"/>
      <c r="F89" s="669"/>
      <c r="G89" s="669"/>
      <c r="H89"/>
      <c r="I89"/>
      <c r="J89"/>
      <c r="K89"/>
      <c r="L89" s="669"/>
      <c r="M89" s="669"/>
      <c r="N89" s="669"/>
      <c r="O89" s="669"/>
      <c r="P89"/>
      <c r="Q89"/>
      <c r="R89"/>
      <c r="S89"/>
      <c r="T89"/>
      <c r="U89"/>
      <c r="V89"/>
      <c r="W89"/>
      <c r="X89"/>
      <c r="Y89"/>
      <c r="Z89" s="669"/>
      <c r="AA89" s="669"/>
      <c r="AB89" s="669"/>
      <c r="AC89" s="669"/>
      <c r="AD89"/>
      <c r="AE89"/>
      <c r="AF89"/>
      <c r="AG89"/>
      <c r="AH89"/>
      <c r="AI89"/>
      <c r="AJ89" s="669"/>
    </row>
    <row r="90" spans="1:37" x14ac:dyDescent="0.2">
      <c r="A90"/>
      <c r="B90"/>
      <c r="C90"/>
      <c r="D90" s="669"/>
      <c r="E90" s="669"/>
      <c r="F90" s="669"/>
      <c r="G90" s="669"/>
      <c r="H90"/>
      <c r="I90"/>
      <c r="J90"/>
      <c r="K90"/>
      <c r="L90" s="669"/>
      <c r="M90" s="669"/>
      <c r="N90" s="669"/>
      <c r="O90" s="669"/>
      <c r="P90"/>
      <c r="Q90"/>
      <c r="R90"/>
      <c r="S90"/>
      <c r="T90"/>
      <c r="U90"/>
      <c r="V90"/>
      <c r="W90"/>
      <c r="X90"/>
      <c r="Y90"/>
      <c r="Z90" s="669"/>
      <c r="AA90" s="669"/>
      <c r="AB90" s="669"/>
      <c r="AC90" s="669"/>
      <c r="AD90"/>
      <c r="AE90"/>
      <c r="AF90"/>
      <c r="AG90"/>
      <c r="AH90"/>
      <c r="AI90"/>
      <c r="AJ90" s="669"/>
    </row>
    <row r="91" spans="1:37" x14ac:dyDescent="0.2">
      <c r="A91"/>
      <c r="B91"/>
      <c r="C91"/>
      <c r="D91" s="669"/>
      <c r="E91" s="669"/>
      <c r="F91" s="669"/>
      <c r="G91" s="669"/>
      <c r="H91"/>
      <c r="I91"/>
      <c r="J91"/>
      <c r="K91"/>
      <c r="L91" s="669"/>
      <c r="M91" s="669"/>
      <c r="N91" s="669"/>
      <c r="O91" s="669"/>
      <c r="P91"/>
      <c r="Q91"/>
      <c r="R91"/>
      <c r="S91"/>
      <c r="T91"/>
      <c r="U91"/>
      <c r="V91"/>
      <c r="W91"/>
      <c r="X91"/>
      <c r="Y91"/>
      <c r="Z91" s="669"/>
      <c r="AA91" s="669"/>
      <c r="AB91" s="669"/>
      <c r="AC91" s="669"/>
      <c r="AD91"/>
      <c r="AE91"/>
      <c r="AF91"/>
      <c r="AG91"/>
      <c r="AH91"/>
      <c r="AI91"/>
      <c r="AJ91" s="669"/>
    </row>
    <row r="92" spans="1:37" x14ac:dyDescent="0.2">
      <c r="A92"/>
      <c r="B92"/>
      <c r="C92"/>
      <c r="D92" s="669"/>
      <c r="E92" s="669"/>
      <c r="F92" s="669"/>
      <c r="G92" s="669"/>
      <c r="H92"/>
      <c r="I92"/>
      <c r="J92"/>
      <c r="K92"/>
      <c r="L92" s="669"/>
      <c r="M92" s="669"/>
      <c r="N92" s="669"/>
      <c r="O92" s="669"/>
      <c r="P92"/>
      <c r="Q92"/>
      <c r="R92"/>
      <c r="S92"/>
      <c r="T92"/>
      <c r="U92"/>
      <c r="V92"/>
      <c r="W92"/>
      <c r="X92"/>
      <c r="Y92"/>
      <c r="Z92" s="669"/>
      <c r="AA92" s="669"/>
      <c r="AB92" s="669"/>
      <c r="AC92" s="669"/>
      <c r="AD92"/>
      <c r="AE92"/>
      <c r="AF92"/>
      <c r="AG92"/>
      <c r="AH92"/>
      <c r="AI92"/>
      <c r="AJ92" s="669"/>
    </row>
    <row r="93" spans="1:37" x14ac:dyDescent="0.2">
      <c r="A93"/>
      <c r="B93"/>
      <c r="C93"/>
      <c r="D93" s="669"/>
      <c r="E93" s="669"/>
      <c r="F93" s="669"/>
      <c r="G93" s="669"/>
      <c r="H93"/>
      <c r="I93"/>
      <c r="J93"/>
      <c r="K93"/>
      <c r="L93" s="669"/>
      <c r="M93" s="669"/>
      <c r="N93" s="669"/>
      <c r="O93" s="669"/>
      <c r="P93"/>
      <c r="Q93"/>
      <c r="R93"/>
      <c r="S93"/>
      <c r="T93"/>
      <c r="U93"/>
      <c r="V93"/>
      <c r="W93"/>
      <c r="X93"/>
      <c r="Y93"/>
      <c r="Z93" s="669"/>
      <c r="AA93" s="669"/>
      <c r="AB93" s="669"/>
      <c r="AC93" s="669"/>
      <c r="AD93"/>
      <c r="AE93"/>
      <c r="AF93"/>
      <c r="AG93"/>
      <c r="AH93"/>
      <c r="AI93"/>
      <c r="AJ93" s="669"/>
    </row>
    <row r="94" spans="1:37" x14ac:dyDescent="0.2">
      <c r="A94"/>
      <c r="B94"/>
      <c r="C94"/>
      <c r="D94" s="669"/>
      <c r="E94" s="669"/>
      <c r="F94" s="669"/>
      <c r="G94" s="669"/>
      <c r="H94"/>
      <c r="I94"/>
      <c r="J94"/>
      <c r="K94"/>
      <c r="L94" s="669"/>
      <c r="M94" s="669"/>
      <c r="N94" s="669"/>
      <c r="O94" s="669"/>
      <c r="P94"/>
      <c r="Q94"/>
      <c r="R94"/>
      <c r="S94"/>
      <c r="T94"/>
      <c r="U94"/>
      <c r="V94"/>
      <c r="W94"/>
      <c r="X94"/>
      <c r="Y94"/>
      <c r="Z94" s="669"/>
      <c r="AA94" s="669"/>
      <c r="AB94" s="669"/>
      <c r="AC94" s="669"/>
      <c r="AD94"/>
      <c r="AJ94" s="669"/>
    </row>
    <row r="95" spans="1:37" x14ac:dyDescent="0.2">
      <c r="A95"/>
      <c r="B95"/>
      <c r="C95"/>
      <c r="D95" s="669"/>
      <c r="E95" s="669"/>
      <c r="F95" s="669"/>
      <c r="G95" s="669"/>
      <c r="H95"/>
      <c r="I95"/>
      <c r="J95"/>
      <c r="K95"/>
      <c r="L95" s="669"/>
      <c r="M95" s="669"/>
      <c r="N95" s="669"/>
      <c r="O95" s="669"/>
      <c r="P95"/>
      <c r="Q95"/>
      <c r="R95"/>
      <c r="S95"/>
      <c r="T95"/>
      <c r="U95"/>
      <c r="V95"/>
      <c r="W95"/>
      <c r="X95"/>
      <c r="Y95"/>
      <c r="Z95" s="669"/>
      <c r="AA95" s="669"/>
      <c r="AB95" s="669"/>
      <c r="AC95" s="669"/>
      <c r="AD95"/>
      <c r="AJ95" s="669"/>
    </row>
    <row r="96" spans="1:37" x14ac:dyDescent="0.2">
      <c r="A96"/>
      <c r="B96"/>
      <c r="C96"/>
      <c r="D96" s="669"/>
      <c r="E96" s="669"/>
      <c r="F96" s="669"/>
      <c r="G96" s="669"/>
      <c r="H96"/>
      <c r="I96"/>
      <c r="J96"/>
      <c r="K96"/>
      <c r="L96" s="669"/>
      <c r="M96" s="669"/>
      <c r="N96" s="669"/>
      <c r="O96" s="669"/>
      <c r="P96"/>
      <c r="Q96"/>
      <c r="R96"/>
      <c r="S96"/>
      <c r="T96"/>
      <c r="U96"/>
      <c r="V96"/>
      <c r="W96"/>
      <c r="X96"/>
      <c r="Y96"/>
      <c r="Z96" s="669"/>
      <c r="AA96" s="669"/>
      <c r="AB96" s="669"/>
      <c r="AC96" s="669"/>
      <c r="AD96"/>
      <c r="AE96"/>
      <c r="AF96"/>
      <c r="AG96"/>
      <c r="AH96"/>
      <c r="AI96"/>
      <c r="AJ96" s="669"/>
      <c r="AK96"/>
    </row>
    <row r="97" spans="1:38" x14ac:dyDescent="0.2">
      <c r="A97"/>
      <c r="B97"/>
      <c r="C97"/>
      <c r="D97" s="669"/>
      <c r="E97" s="669"/>
      <c r="F97" s="669"/>
      <c r="G97" s="669"/>
      <c r="H97"/>
      <c r="I97"/>
      <c r="J97"/>
      <c r="K97"/>
      <c r="L97" s="669"/>
      <c r="M97" s="669"/>
      <c r="N97" s="669"/>
      <c r="O97" s="669"/>
      <c r="P97"/>
      <c r="Q97"/>
      <c r="R97"/>
      <c r="S97"/>
      <c r="T97"/>
      <c r="U97"/>
      <c r="V97"/>
      <c r="W97"/>
      <c r="X97"/>
      <c r="Y97"/>
      <c r="Z97" s="669"/>
      <c r="AA97" s="669"/>
      <c r="AB97" s="669"/>
      <c r="AC97" s="669"/>
      <c r="AD97"/>
      <c r="AE97"/>
      <c r="AF97"/>
      <c r="AG97"/>
      <c r="AH97"/>
      <c r="AI97"/>
      <c r="AJ97" s="669"/>
      <c r="AK97"/>
      <c r="AL97"/>
    </row>
    <row r="98" spans="1:38" x14ac:dyDescent="0.2">
      <c r="A98"/>
      <c r="B98"/>
      <c r="C98"/>
      <c r="D98" s="669"/>
      <c r="E98" s="669"/>
      <c r="F98" s="669"/>
      <c r="G98" s="669"/>
      <c r="H98"/>
      <c r="I98"/>
      <c r="J98"/>
      <c r="K98"/>
      <c r="L98" s="669"/>
      <c r="M98" s="669"/>
      <c r="N98" s="669"/>
      <c r="O98" s="669"/>
      <c r="P98"/>
      <c r="Q98"/>
      <c r="R98"/>
      <c r="S98"/>
      <c r="T98"/>
      <c r="U98"/>
      <c r="V98"/>
      <c r="W98"/>
      <c r="X98"/>
      <c r="Y98"/>
      <c r="Z98" s="669"/>
      <c r="AA98" s="669"/>
      <c r="AB98" s="669"/>
      <c r="AC98" s="669"/>
      <c r="AD98"/>
      <c r="AE98"/>
      <c r="AF98"/>
      <c r="AG98"/>
      <c r="AH98"/>
      <c r="AI98"/>
      <c r="AJ98" s="669"/>
      <c r="AK98"/>
    </row>
    <row r="99" spans="1:38" x14ac:dyDescent="0.2">
      <c r="A99"/>
      <c r="B99"/>
      <c r="C99"/>
      <c r="D99" s="669"/>
      <c r="E99" s="669"/>
      <c r="F99" s="669"/>
      <c r="G99" s="669"/>
      <c r="H99"/>
      <c r="I99"/>
      <c r="J99"/>
      <c r="K99"/>
      <c r="L99" s="669"/>
      <c r="M99" s="669"/>
      <c r="N99" s="669"/>
      <c r="O99" s="669"/>
      <c r="P99"/>
      <c r="Q99"/>
      <c r="R99"/>
      <c r="S99"/>
      <c r="T99"/>
      <c r="U99"/>
      <c r="V99"/>
      <c r="W99"/>
      <c r="X99"/>
      <c r="Y99"/>
      <c r="Z99" s="669"/>
      <c r="AA99" s="669"/>
      <c r="AB99" s="669"/>
      <c r="AC99" s="669"/>
      <c r="AD99"/>
      <c r="AF99"/>
      <c r="AG99"/>
      <c r="AH99"/>
      <c r="AI99"/>
      <c r="AJ99" s="669"/>
      <c r="AK99"/>
    </row>
    <row r="100" spans="1:38" x14ac:dyDescent="0.2">
      <c r="A100"/>
      <c r="B100"/>
      <c r="C100"/>
      <c r="D100" s="669"/>
      <c r="E100" s="669"/>
      <c r="F100" s="669"/>
      <c r="G100" s="669"/>
      <c r="H100"/>
      <c r="I100"/>
      <c r="J100"/>
      <c r="K100"/>
      <c r="L100" s="669"/>
      <c r="M100" s="669"/>
      <c r="N100" s="669"/>
      <c r="O100" s="669"/>
      <c r="P100"/>
      <c r="Q100"/>
      <c r="R100"/>
      <c r="S100"/>
      <c r="T100"/>
      <c r="U100"/>
      <c r="V100"/>
      <c r="W100"/>
      <c r="X100"/>
      <c r="Y100"/>
      <c r="Z100" s="669"/>
      <c r="AA100" s="669"/>
      <c r="AB100" s="669"/>
      <c r="AC100" s="669"/>
      <c r="AD100"/>
      <c r="AF100"/>
      <c r="AG100"/>
      <c r="AH100"/>
      <c r="AI100"/>
      <c r="AJ100" s="669"/>
      <c r="AK100"/>
    </row>
    <row r="101" spans="1:38" x14ac:dyDescent="0.2">
      <c r="A101"/>
      <c r="B101"/>
      <c r="C101"/>
      <c r="D101" s="669"/>
      <c r="E101" s="669"/>
      <c r="F101" s="669"/>
      <c r="G101" s="669"/>
      <c r="H101"/>
      <c r="I101"/>
      <c r="J101"/>
      <c r="K101"/>
      <c r="L101" s="669"/>
      <c r="M101" s="669"/>
      <c r="N101" s="669"/>
      <c r="O101" s="669"/>
      <c r="P101"/>
      <c r="Q101"/>
      <c r="R101"/>
      <c r="S101"/>
      <c r="T101"/>
      <c r="U101"/>
      <c r="V101"/>
      <c r="W101"/>
      <c r="X101"/>
      <c r="Y101"/>
      <c r="Z101" s="669"/>
      <c r="AA101" s="669"/>
      <c r="AB101" s="669"/>
      <c r="AC101" s="669"/>
      <c r="AD101"/>
      <c r="AE101"/>
      <c r="AF101"/>
      <c r="AG101"/>
      <c r="AH101"/>
      <c r="AI101"/>
      <c r="AJ101" s="669"/>
    </row>
    <row r="102" spans="1:38" x14ac:dyDescent="0.2">
      <c r="A102"/>
      <c r="B102"/>
      <c r="C102"/>
      <c r="D102" s="669"/>
      <c r="E102" s="669"/>
      <c r="F102" s="669"/>
      <c r="G102" s="669"/>
      <c r="H102"/>
      <c r="I102"/>
      <c r="J102"/>
      <c r="K102"/>
      <c r="L102" s="669"/>
      <c r="M102" s="669"/>
      <c r="N102" s="669"/>
      <c r="O102" s="669"/>
      <c r="P102"/>
      <c r="Q102"/>
      <c r="R102"/>
      <c r="S102"/>
      <c r="T102"/>
      <c r="U102"/>
      <c r="V102"/>
      <c r="W102"/>
      <c r="X102"/>
      <c r="Y102"/>
      <c r="Z102" s="669"/>
      <c r="AA102" s="669"/>
      <c r="AB102" s="669"/>
      <c r="AC102" s="669"/>
      <c r="AD102"/>
      <c r="AE102"/>
      <c r="AF102"/>
      <c r="AG102"/>
      <c r="AH102"/>
      <c r="AI102"/>
      <c r="AJ102" s="669"/>
    </row>
    <row r="103" spans="1:38" x14ac:dyDescent="0.2">
      <c r="A103"/>
      <c r="B103"/>
      <c r="C103"/>
      <c r="D103" s="669"/>
      <c r="E103" s="669"/>
      <c r="F103" s="669"/>
      <c r="G103" s="669"/>
      <c r="H103"/>
      <c r="I103"/>
      <c r="J103"/>
      <c r="K103"/>
      <c r="L103" s="669"/>
      <c r="M103" s="669"/>
      <c r="N103" s="669"/>
      <c r="O103" s="669"/>
      <c r="P103"/>
      <c r="Q103"/>
      <c r="R103"/>
      <c r="S103"/>
      <c r="T103"/>
      <c r="U103"/>
      <c r="V103"/>
      <c r="W103"/>
      <c r="X103"/>
      <c r="Y103"/>
      <c r="Z103" s="669"/>
      <c r="AA103" s="669"/>
      <c r="AB103" s="669"/>
      <c r="AC103" s="669"/>
      <c r="AD103"/>
      <c r="AE103"/>
      <c r="AF103"/>
      <c r="AG103"/>
      <c r="AH103"/>
      <c r="AI103"/>
      <c r="AJ103" s="669"/>
    </row>
    <row r="104" spans="1:38" x14ac:dyDescent="0.2">
      <c r="A104"/>
      <c r="B104"/>
      <c r="C104"/>
      <c r="D104" s="669"/>
      <c r="E104" s="669"/>
      <c r="F104" s="669"/>
      <c r="G104" s="669"/>
      <c r="H104"/>
      <c r="I104"/>
      <c r="J104"/>
      <c r="K104"/>
      <c r="L104" s="669"/>
      <c r="M104" s="669"/>
      <c r="N104" s="669"/>
      <c r="O104" s="669"/>
      <c r="P104"/>
      <c r="Q104"/>
      <c r="R104"/>
      <c r="S104"/>
      <c r="T104"/>
      <c r="U104"/>
      <c r="Z104" s="669"/>
      <c r="AA104" s="669"/>
      <c r="AB104" s="669"/>
      <c r="AC104" s="669"/>
      <c r="AD104"/>
      <c r="AE104"/>
      <c r="AF104"/>
      <c r="AG104"/>
      <c r="AH104"/>
      <c r="AI104"/>
      <c r="AJ104" s="669"/>
    </row>
    <row r="105" spans="1:38" x14ac:dyDescent="0.2">
      <c r="A105"/>
      <c r="B105"/>
      <c r="C105"/>
      <c r="D105" s="669"/>
      <c r="E105" s="669"/>
      <c r="F105" s="669"/>
      <c r="G105" s="669"/>
      <c r="H105"/>
      <c r="I105"/>
      <c r="J105"/>
      <c r="K105"/>
      <c r="L105" s="669"/>
      <c r="M105" s="669"/>
      <c r="N105" s="669"/>
      <c r="O105" s="669"/>
      <c r="P105"/>
      <c r="Q105"/>
      <c r="R105"/>
      <c r="S105"/>
      <c r="T105"/>
      <c r="U105"/>
      <c r="V105"/>
      <c r="W105"/>
      <c r="X105"/>
      <c r="Y105"/>
      <c r="Z105" s="669"/>
      <c r="AA105" s="669"/>
      <c r="AB105" s="669"/>
      <c r="AC105" s="669"/>
      <c r="AD105"/>
      <c r="AE105"/>
      <c r="AF105"/>
      <c r="AG105"/>
      <c r="AH105"/>
      <c r="AI105"/>
      <c r="AJ105" s="669"/>
    </row>
    <row r="106" spans="1:38" x14ac:dyDescent="0.2">
      <c r="A106"/>
      <c r="B106"/>
      <c r="C106"/>
      <c r="D106" s="669"/>
      <c r="E106" s="669"/>
      <c r="F106" s="669"/>
      <c r="G106" s="669"/>
      <c r="H106"/>
      <c r="I106"/>
      <c r="J106"/>
      <c r="K106"/>
      <c r="L106" s="669"/>
      <c r="M106" s="669"/>
      <c r="N106" s="669"/>
      <c r="O106" s="669"/>
      <c r="P106"/>
      <c r="Q106"/>
      <c r="R106"/>
      <c r="S106"/>
      <c r="T106"/>
      <c r="U106"/>
      <c r="Z106" s="669"/>
      <c r="AA106" s="669"/>
      <c r="AB106" s="669"/>
      <c r="AC106" s="669"/>
      <c r="AD106"/>
      <c r="AE106"/>
      <c r="AF106"/>
      <c r="AG106"/>
      <c r="AH106"/>
      <c r="AI106"/>
      <c r="AJ106" s="669"/>
    </row>
    <row r="107" spans="1:38" x14ac:dyDescent="0.2">
      <c r="A107"/>
      <c r="B107"/>
      <c r="C107"/>
      <c r="D107" s="669"/>
      <c r="E107" s="669"/>
      <c r="F107" s="669"/>
      <c r="G107" s="669"/>
      <c r="H107"/>
      <c r="I107"/>
      <c r="J107"/>
      <c r="K107"/>
      <c r="L107" s="669"/>
      <c r="M107" s="669"/>
      <c r="N107" s="669"/>
      <c r="O107" s="669"/>
      <c r="P107"/>
      <c r="Q107"/>
      <c r="R107"/>
      <c r="S107"/>
      <c r="T107"/>
      <c r="U107"/>
      <c r="V107"/>
      <c r="W107"/>
      <c r="X107"/>
      <c r="Y107"/>
      <c r="Z107" s="669"/>
      <c r="AA107" s="669"/>
      <c r="AB107" s="669"/>
      <c r="AC107" s="669"/>
      <c r="AD107"/>
      <c r="AE107"/>
      <c r="AF107"/>
      <c r="AG107"/>
      <c r="AH107"/>
      <c r="AI107"/>
      <c r="AJ107" s="669"/>
      <c r="AK107"/>
    </row>
    <row r="108" spans="1:38" x14ac:dyDescent="0.2">
      <c r="A108"/>
      <c r="B108"/>
      <c r="C108"/>
      <c r="D108" s="669"/>
      <c r="E108" s="669"/>
      <c r="F108" s="669"/>
      <c r="G108" s="669"/>
      <c r="H108"/>
      <c r="I108"/>
      <c r="J108"/>
      <c r="K108"/>
      <c r="L108" s="669"/>
      <c r="M108" s="669"/>
      <c r="N108" s="669"/>
      <c r="O108" s="669"/>
      <c r="P108"/>
      <c r="Q108"/>
      <c r="R108"/>
      <c r="S108"/>
      <c r="T108"/>
      <c r="U108"/>
      <c r="V108"/>
      <c r="W108"/>
      <c r="X108"/>
      <c r="Y108"/>
      <c r="Z108" s="669"/>
      <c r="AA108" s="669"/>
      <c r="AB108" s="669"/>
      <c r="AC108" s="669"/>
      <c r="AD108"/>
      <c r="AE108"/>
      <c r="AF108"/>
      <c r="AG108"/>
      <c r="AH108"/>
      <c r="AI108"/>
      <c r="AJ108" s="669"/>
    </row>
    <row r="109" spans="1:38" x14ac:dyDescent="0.2">
      <c r="A109"/>
      <c r="B109"/>
      <c r="C109"/>
      <c r="D109" s="669"/>
      <c r="E109" s="669"/>
      <c r="F109" s="669"/>
      <c r="G109" s="669"/>
      <c r="H109"/>
      <c r="I109"/>
      <c r="J109"/>
      <c r="K109"/>
      <c r="L109" s="669"/>
      <c r="M109" s="669"/>
      <c r="N109" s="669"/>
      <c r="O109" s="669"/>
      <c r="P109"/>
      <c r="Q109"/>
      <c r="R109"/>
      <c r="S109"/>
      <c r="T109"/>
      <c r="U109"/>
      <c r="V109"/>
      <c r="W109"/>
      <c r="X109"/>
      <c r="Y109"/>
      <c r="Z109" s="669"/>
      <c r="AA109" s="669"/>
      <c r="AB109" s="669"/>
      <c r="AC109" s="669"/>
      <c r="AD109"/>
      <c r="AE109"/>
      <c r="AF109"/>
      <c r="AG109"/>
      <c r="AH109"/>
      <c r="AI109"/>
      <c r="AJ109" s="669"/>
      <c r="AK109"/>
      <c r="AL109"/>
    </row>
    <row r="110" spans="1:38" x14ac:dyDescent="0.2">
      <c r="A110"/>
      <c r="B110"/>
      <c r="C110"/>
      <c r="D110" s="669"/>
      <c r="E110" s="669"/>
      <c r="F110" s="669"/>
      <c r="G110" s="669"/>
      <c r="H110"/>
      <c r="I110"/>
      <c r="J110"/>
      <c r="K110"/>
      <c r="L110" s="669"/>
      <c r="M110" s="669"/>
      <c r="N110" s="669"/>
      <c r="O110" s="669"/>
      <c r="P110"/>
      <c r="Q110"/>
      <c r="R110"/>
      <c r="S110"/>
      <c r="T110"/>
      <c r="U110"/>
      <c r="V110"/>
      <c r="W110"/>
      <c r="X110"/>
      <c r="Y110"/>
      <c r="Z110" s="669"/>
      <c r="AA110" s="669"/>
      <c r="AB110" s="669"/>
      <c r="AC110" s="669"/>
      <c r="AD110"/>
      <c r="AE110"/>
      <c r="AF110"/>
      <c r="AG110"/>
      <c r="AH110"/>
      <c r="AI110"/>
      <c r="AJ110" s="669"/>
      <c r="AK110"/>
      <c r="AL110"/>
    </row>
    <row r="111" spans="1:38" x14ac:dyDescent="0.2">
      <c r="A111"/>
      <c r="B111"/>
      <c r="C111"/>
      <c r="D111" s="669"/>
      <c r="E111" s="669"/>
      <c r="F111" s="669"/>
      <c r="G111" s="669"/>
      <c r="H111"/>
      <c r="I111"/>
      <c r="J111"/>
      <c r="K111"/>
      <c r="L111" s="669"/>
      <c r="M111" s="669"/>
      <c r="N111" s="669"/>
      <c r="O111" s="669"/>
      <c r="P111"/>
      <c r="Q111"/>
      <c r="R111"/>
      <c r="S111"/>
      <c r="T111"/>
      <c r="U111"/>
      <c r="V111"/>
      <c r="W111"/>
      <c r="X111"/>
      <c r="Y111"/>
      <c r="Z111" s="669"/>
      <c r="AA111" s="669"/>
      <c r="AB111" s="669"/>
      <c r="AC111" s="669"/>
      <c r="AD111"/>
      <c r="AE111"/>
      <c r="AF111"/>
      <c r="AG111"/>
      <c r="AH111"/>
      <c r="AI111"/>
      <c r="AJ111" s="669"/>
    </row>
    <row r="112" spans="1:38" x14ac:dyDescent="0.2">
      <c r="A112"/>
      <c r="B112"/>
      <c r="C112"/>
      <c r="D112" s="669"/>
      <c r="E112" s="669"/>
      <c r="F112" s="669"/>
      <c r="G112" s="669"/>
      <c r="H112"/>
      <c r="I112"/>
      <c r="J112"/>
      <c r="K112"/>
      <c r="L112" s="669"/>
      <c r="M112" s="669"/>
      <c r="N112" s="669"/>
      <c r="O112" s="669"/>
      <c r="P112"/>
      <c r="Q112"/>
      <c r="R112"/>
      <c r="S112"/>
      <c r="T112"/>
      <c r="U112"/>
      <c r="V112"/>
      <c r="W112"/>
      <c r="X112"/>
      <c r="Y112"/>
      <c r="Z112" s="669"/>
      <c r="AA112" s="669"/>
      <c r="AB112" s="669"/>
      <c r="AC112" s="669"/>
      <c r="AD112"/>
      <c r="AE112"/>
      <c r="AF112"/>
      <c r="AG112"/>
      <c r="AH112"/>
      <c r="AI112"/>
      <c r="AJ112" s="669"/>
    </row>
    <row r="113" spans="1:36" x14ac:dyDescent="0.2">
      <c r="A113"/>
      <c r="B113"/>
      <c r="C113"/>
      <c r="D113" s="669"/>
      <c r="E113" s="669"/>
      <c r="F113" s="669"/>
      <c r="G113" s="669"/>
      <c r="H113"/>
      <c r="I113"/>
      <c r="J113"/>
      <c r="K113"/>
      <c r="L113" s="669"/>
      <c r="M113" s="669"/>
      <c r="N113" s="669"/>
      <c r="O113" s="669"/>
      <c r="P113"/>
      <c r="Q113"/>
      <c r="R113"/>
      <c r="S113"/>
      <c r="T113"/>
      <c r="U113"/>
      <c r="V113"/>
      <c r="W113"/>
      <c r="X113"/>
      <c r="Y113"/>
      <c r="Z113" s="669"/>
      <c r="AA113" s="669"/>
      <c r="AB113" s="669"/>
      <c r="AC113" s="669"/>
      <c r="AD113"/>
      <c r="AE113"/>
      <c r="AF113"/>
      <c r="AG113"/>
      <c r="AH113"/>
      <c r="AI113"/>
      <c r="AJ113" s="669"/>
    </row>
    <row r="114" spans="1:36" x14ac:dyDescent="0.2">
      <c r="A114"/>
      <c r="B114"/>
      <c r="C114"/>
      <c r="D114" s="669"/>
      <c r="E114" s="669"/>
      <c r="F114" s="669"/>
      <c r="G114" s="669"/>
      <c r="H114"/>
      <c r="I114"/>
      <c r="J114"/>
      <c r="K114"/>
      <c r="L114" s="669"/>
      <c r="M114" s="669"/>
      <c r="N114" s="669"/>
      <c r="O114" s="669"/>
      <c r="P114"/>
      <c r="Q114"/>
      <c r="R114"/>
      <c r="S114"/>
      <c r="T114"/>
      <c r="U114"/>
      <c r="V114"/>
      <c r="W114"/>
      <c r="X114"/>
      <c r="Y114"/>
      <c r="Z114" s="669"/>
      <c r="AA114" s="669"/>
      <c r="AB114" s="669"/>
      <c r="AC114" s="669"/>
      <c r="AD114"/>
      <c r="AE114"/>
      <c r="AF114"/>
      <c r="AG114"/>
      <c r="AH114"/>
      <c r="AI114"/>
      <c r="AJ114" s="669"/>
    </row>
    <row r="115" spans="1:36" x14ac:dyDescent="0.2">
      <c r="A115"/>
      <c r="B115"/>
      <c r="C115"/>
      <c r="D115" s="669"/>
      <c r="E115" s="669"/>
      <c r="F115" s="669"/>
      <c r="G115" s="669"/>
      <c r="H115"/>
      <c r="I115"/>
      <c r="J115"/>
      <c r="K115"/>
      <c r="L115" s="669"/>
      <c r="M115" s="669"/>
      <c r="N115" s="669"/>
      <c r="O115" s="669"/>
      <c r="P115"/>
      <c r="Q115"/>
      <c r="R115"/>
      <c r="S115"/>
      <c r="T115"/>
      <c r="U115"/>
      <c r="V115"/>
      <c r="W115"/>
      <c r="X115"/>
      <c r="Y115"/>
      <c r="Z115" s="669"/>
      <c r="AA115" s="669"/>
      <c r="AB115" s="669"/>
      <c r="AC115" s="669"/>
      <c r="AD115"/>
      <c r="AE115"/>
      <c r="AF115"/>
      <c r="AG115"/>
      <c r="AH115"/>
      <c r="AI115"/>
      <c r="AJ115" s="669"/>
    </row>
    <row r="116" spans="1:36" x14ac:dyDescent="0.2">
      <c r="A116"/>
      <c r="B116"/>
      <c r="C116"/>
      <c r="D116" s="669"/>
      <c r="E116" s="669"/>
      <c r="F116" s="669"/>
      <c r="G116" s="669"/>
      <c r="H116"/>
      <c r="I116"/>
      <c r="J116"/>
      <c r="K116"/>
      <c r="L116" s="669"/>
      <c r="M116" s="669"/>
      <c r="N116" s="669"/>
      <c r="O116" s="669"/>
      <c r="Q116"/>
      <c r="R116"/>
      <c r="S116"/>
      <c r="T116"/>
      <c r="U116"/>
      <c r="Z116" s="669"/>
      <c r="AA116" s="669"/>
      <c r="AB116" s="669"/>
      <c r="AC116" s="669"/>
      <c r="AD116"/>
      <c r="AE116"/>
      <c r="AF116"/>
      <c r="AG116"/>
      <c r="AH116"/>
      <c r="AI116"/>
      <c r="AJ116" s="669"/>
    </row>
    <row r="117" spans="1:36" x14ac:dyDescent="0.2">
      <c r="A117"/>
      <c r="B117"/>
      <c r="C117"/>
      <c r="D117" s="669"/>
      <c r="E117" s="669"/>
      <c r="F117" s="669"/>
      <c r="G117" s="669"/>
      <c r="H117"/>
      <c r="I117"/>
      <c r="J117"/>
      <c r="K117"/>
      <c r="L117" s="669"/>
      <c r="M117" s="669"/>
      <c r="N117" s="669"/>
      <c r="O117" s="669"/>
      <c r="Q117"/>
      <c r="R117"/>
      <c r="S117"/>
      <c r="T117"/>
      <c r="U117"/>
      <c r="Z117" s="669"/>
      <c r="AA117" s="669"/>
      <c r="AB117" s="669"/>
      <c r="AC117" s="669"/>
      <c r="AD117"/>
      <c r="AE117"/>
      <c r="AF117"/>
      <c r="AG117"/>
      <c r="AH117"/>
      <c r="AI117"/>
      <c r="AJ117" s="669"/>
    </row>
    <row r="118" spans="1:36" x14ac:dyDescent="0.2">
      <c r="A118"/>
      <c r="B118"/>
      <c r="C118"/>
      <c r="D118" s="669"/>
      <c r="E118" s="669"/>
      <c r="F118" s="669"/>
      <c r="G118" s="669"/>
      <c r="H118"/>
      <c r="I118"/>
      <c r="J118"/>
      <c r="K118"/>
      <c r="L118" s="669"/>
      <c r="M118" s="669"/>
      <c r="N118" s="669"/>
      <c r="O118" s="669"/>
      <c r="Q118"/>
      <c r="R118"/>
      <c r="S118"/>
      <c r="T118"/>
      <c r="U118"/>
      <c r="Z118" s="669"/>
      <c r="AA118" s="669"/>
      <c r="AB118" s="669"/>
      <c r="AC118" s="669"/>
      <c r="AD118"/>
      <c r="AE118"/>
      <c r="AF118"/>
      <c r="AG118"/>
      <c r="AH118"/>
      <c r="AI118"/>
      <c r="AJ118" s="669"/>
    </row>
    <row r="119" spans="1:36" x14ac:dyDescent="0.2">
      <c r="A119"/>
      <c r="B119"/>
      <c r="C119"/>
      <c r="D119" s="669"/>
      <c r="E119" s="669"/>
      <c r="F119" s="669"/>
      <c r="G119" s="669"/>
      <c r="H119"/>
      <c r="I119"/>
      <c r="J119"/>
      <c r="K119"/>
      <c r="L119" s="669"/>
      <c r="M119" s="669"/>
      <c r="N119" s="669"/>
      <c r="O119" s="669"/>
      <c r="P119"/>
      <c r="Q119"/>
      <c r="R119"/>
      <c r="S119"/>
      <c r="T119"/>
      <c r="U119"/>
      <c r="Z119" s="669"/>
      <c r="AA119" s="669"/>
      <c r="AB119" s="669"/>
      <c r="AC119" s="669"/>
      <c r="AD119"/>
      <c r="AE119"/>
      <c r="AF119"/>
      <c r="AG119"/>
      <c r="AH119"/>
      <c r="AI119"/>
      <c r="AJ119" s="669"/>
    </row>
    <row r="120" spans="1:36" x14ac:dyDescent="0.2">
      <c r="A120"/>
      <c r="B120"/>
      <c r="C120"/>
      <c r="D120" s="669"/>
      <c r="E120" s="669"/>
      <c r="F120" s="669"/>
      <c r="G120" s="669"/>
      <c r="H120"/>
      <c r="I120"/>
      <c r="J120"/>
      <c r="K120"/>
      <c r="L120" s="669"/>
      <c r="M120" s="669"/>
      <c r="N120" s="669"/>
      <c r="O120" s="669"/>
      <c r="P120"/>
      <c r="Q120"/>
      <c r="R120"/>
      <c r="S120"/>
      <c r="T120"/>
      <c r="U120"/>
      <c r="V120"/>
      <c r="W120"/>
      <c r="X120"/>
      <c r="Y120"/>
      <c r="Z120" s="669"/>
      <c r="AA120" s="669"/>
      <c r="AB120" s="669"/>
      <c r="AC120" s="669"/>
      <c r="AD120"/>
      <c r="AE120"/>
      <c r="AF120"/>
      <c r="AG120"/>
      <c r="AH120"/>
      <c r="AI120"/>
      <c r="AJ120" s="669"/>
    </row>
    <row r="121" spans="1:36" x14ac:dyDescent="0.2">
      <c r="A121"/>
      <c r="B121"/>
      <c r="C121"/>
      <c r="D121" s="669"/>
      <c r="E121" s="669"/>
      <c r="F121" s="669"/>
      <c r="G121" s="669"/>
      <c r="H121"/>
      <c r="I121"/>
      <c r="J121"/>
      <c r="K121"/>
      <c r="L121" s="669"/>
      <c r="M121" s="669"/>
      <c r="N121" s="669"/>
      <c r="O121" s="669"/>
      <c r="P121"/>
      <c r="Q121"/>
      <c r="R121"/>
      <c r="S121"/>
      <c r="U121"/>
      <c r="Z121" s="669"/>
      <c r="AA121" s="669"/>
      <c r="AB121" s="669"/>
      <c r="AC121" s="669"/>
      <c r="AD121"/>
      <c r="AE121"/>
      <c r="AF121"/>
      <c r="AG121"/>
      <c r="AH121"/>
      <c r="AI121"/>
      <c r="AJ121" s="669"/>
    </row>
    <row r="122" spans="1:36" x14ac:dyDescent="0.2">
      <c r="A122"/>
      <c r="B122"/>
      <c r="C122"/>
      <c r="D122" s="669"/>
      <c r="E122" s="669"/>
      <c r="F122" s="669"/>
      <c r="G122" s="669"/>
      <c r="H122"/>
      <c r="I122"/>
      <c r="J122"/>
      <c r="K122"/>
      <c r="L122" s="669"/>
      <c r="M122" s="669"/>
      <c r="N122" s="669"/>
      <c r="O122" s="669"/>
      <c r="P122"/>
      <c r="Q122"/>
      <c r="R122"/>
      <c r="S122"/>
      <c r="T122"/>
      <c r="U122"/>
      <c r="V122"/>
      <c r="W122"/>
      <c r="X122"/>
      <c r="Y122"/>
      <c r="Z122" s="669"/>
      <c r="AA122" s="669"/>
      <c r="AB122" s="669"/>
      <c r="AC122" s="669"/>
      <c r="AD122"/>
      <c r="AE122"/>
      <c r="AF122"/>
      <c r="AG122"/>
      <c r="AH122"/>
      <c r="AI122"/>
      <c r="AJ122" s="669"/>
    </row>
    <row r="123" spans="1:36" x14ac:dyDescent="0.2">
      <c r="A123"/>
      <c r="B123"/>
      <c r="C123"/>
      <c r="D123" s="669"/>
      <c r="E123" s="669"/>
      <c r="F123" s="669"/>
      <c r="G123" s="669"/>
      <c r="H123"/>
      <c r="I123"/>
      <c r="J123"/>
      <c r="K123"/>
      <c r="L123" s="669"/>
      <c r="M123" s="669"/>
      <c r="N123" s="669"/>
      <c r="O123" s="669"/>
      <c r="Q123"/>
      <c r="R123"/>
      <c r="S123"/>
      <c r="T123"/>
      <c r="U123"/>
      <c r="Z123" s="669"/>
      <c r="AA123" s="669"/>
      <c r="AB123" s="669"/>
      <c r="AC123" s="669"/>
      <c r="AD123"/>
      <c r="AE123"/>
      <c r="AF123"/>
      <c r="AG123"/>
      <c r="AH123"/>
      <c r="AI123"/>
      <c r="AJ123" s="669"/>
    </row>
    <row r="124" spans="1:36" x14ac:dyDescent="0.2">
      <c r="A124"/>
      <c r="B124"/>
      <c r="C124"/>
      <c r="D124" s="669"/>
      <c r="E124" s="669"/>
      <c r="F124" s="669"/>
      <c r="G124" s="669"/>
      <c r="H124"/>
      <c r="I124"/>
      <c r="J124"/>
      <c r="K124"/>
      <c r="L124" s="669"/>
      <c r="M124" s="669"/>
      <c r="N124" s="669"/>
      <c r="O124" s="669"/>
      <c r="Q124"/>
      <c r="R124"/>
      <c r="S124"/>
      <c r="T124"/>
      <c r="U124"/>
      <c r="Z124" s="669"/>
      <c r="AA124" s="669"/>
      <c r="AB124" s="669"/>
      <c r="AC124" s="669"/>
      <c r="AD124"/>
      <c r="AE124"/>
      <c r="AF124"/>
      <c r="AG124"/>
      <c r="AH124"/>
      <c r="AI124"/>
      <c r="AJ124" s="669"/>
    </row>
    <row r="125" spans="1:36" x14ac:dyDescent="0.2">
      <c r="A125"/>
      <c r="B125"/>
      <c r="C125"/>
      <c r="D125" s="669"/>
      <c r="E125" s="669"/>
      <c r="F125" s="669"/>
      <c r="G125" s="669"/>
      <c r="H125"/>
      <c r="I125"/>
      <c r="J125"/>
      <c r="K125"/>
      <c r="L125" s="669"/>
      <c r="M125" s="669"/>
      <c r="N125" s="669"/>
      <c r="O125" s="669"/>
      <c r="P125"/>
      <c r="R125"/>
      <c r="S125"/>
      <c r="T125"/>
      <c r="U125"/>
      <c r="V125"/>
      <c r="W125"/>
      <c r="X125"/>
      <c r="Y125"/>
      <c r="Z125" s="669"/>
      <c r="AA125" s="669"/>
      <c r="AB125" s="669"/>
      <c r="AC125" s="669"/>
      <c r="AD125"/>
      <c r="AE125"/>
      <c r="AF125"/>
      <c r="AG125"/>
      <c r="AH125"/>
      <c r="AI125"/>
      <c r="AJ125" s="669"/>
    </row>
    <row r="126" spans="1:36" x14ac:dyDescent="0.2">
      <c r="A126"/>
      <c r="B126"/>
      <c r="C126"/>
      <c r="D126" s="669"/>
      <c r="E126" s="669"/>
      <c r="F126" s="669"/>
      <c r="G126" s="669"/>
      <c r="H126"/>
      <c r="I126"/>
      <c r="J126"/>
      <c r="K126"/>
      <c r="L126" s="669"/>
      <c r="M126" s="669"/>
      <c r="N126" s="669"/>
      <c r="O126" s="669"/>
      <c r="P126"/>
      <c r="Q126"/>
      <c r="R126"/>
      <c r="S126"/>
      <c r="T126"/>
      <c r="U126"/>
      <c r="V126"/>
      <c r="W126"/>
      <c r="X126"/>
      <c r="Y126"/>
      <c r="Z126" s="669"/>
      <c r="AA126" s="669"/>
      <c r="AB126" s="669"/>
      <c r="AC126" s="669"/>
      <c r="AD126"/>
      <c r="AE126"/>
      <c r="AF126"/>
      <c r="AG126"/>
      <c r="AH126"/>
      <c r="AI126"/>
      <c r="AJ126" s="669"/>
    </row>
    <row r="127" spans="1:36" x14ac:dyDescent="0.2">
      <c r="A127"/>
      <c r="B127"/>
      <c r="C127"/>
      <c r="D127" s="669"/>
      <c r="E127" s="669"/>
      <c r="F127" s="669"/>
      <c r="G127" s="669"/>
      <c r="H127"/>
      <c r="I127"/>
      <c r="J127"/>
      <c r="K127"/>
      <c r="L127" s="669"/>
      <c r="M127" s="669"/>
      <c r="N127" s="669"/>
      <c r="O127" s="669"/>
      <c r="P127"/>
      <c r="R127"/>
      <c r="S127"/>
      <c r="T127"/>
      <c r="U127"/>
      <c r="Z127" s="669"/>
      <c r="AA127" s="669"/>
      <c r="AB127" s="669"/>
      <c r="AC127" s="669"/>
      <c r="AD127"/>
      <c r="AE127"/>
      <c r="AF127"/>
      <c r="AG127"/>
      <c r="AH127"/>
      <c r="AI127"/>
      <c r="AJ127" s="669"/>
    </row>
    <row r="128" spans="1:36" x14ac:dyDescent="0.2">
      <c r="A128"/>
      <c r="B128"/>
      <c r="C128"/>
      <c r="D128" s="669"/>
      <c r="E128" s="669"/>
      <c r="F128" s="669"/>
      <c r="G128" s="669"/>
      <c r="H128"/>
      <c r="I128"/>
      <c r="J128"/>
      <c r="K128"/>
      <c r="L128" s="669"/>
      <c r="M128" s="669"/>
      <c r="N128" s="669"/>
      <c r="O128" s="669"/>
      <c r="P128"/>
      <c r="R128"/>
      <c r="S128"/>
      <c r="T128"/>
      <c r="U128"/>
      <c r="V128"/>
      <c r="W128"/>
      <c r="X128"/>
      <c r="Y128"/>
      <c r="Z128" s="669"/>
      <c r="AA128" s="669"/>
      <c r="AB128" s="669"/>
      <c r="AC128" s="669"/>
      <c r="AD128"/>
      <c r="AE128"/>
      <c r="AF128"/>
      <c r="AG128"/>
      <c r="AH128"/>
      <c r="AI128"/>
      <c r="AJ128" s="669"/>
    </row>
    <row r="129" spans="1:36" x14ac:dyDescent="0.2">
      <c r="A129"/>
      <c r="B129"/>
      <c r="C129"/>
      <c r="D129" s="669"/>
      <c r="E129" s="669"/>
      <c r="F129" s="669"/>
      <c r="G129" s="669"/>
      <c r="H129"/>
      <c r="I129"/>
      <c r="J129"/>
      <c r="K129"/>
      <c r="L129" s="669"/>
      <c r="M129" s="669"/>
      <c r="N129" s="669"/>
      <c r="O129" s="669"/>
      <c r="P129"/>
      <c r="R129"/>
      <c r="S129"/>
      <c r="T129"/>
      <c r="U129"/>
      <c r="V129"/>
      <c r="W129"/>
      <c r="X129"/>
      <c r="Y129"/>
      <c r="Z129" s="669"/>
      <c r="AA129" s="669"/>
      <c r="AB129" s="669"/>
      <c r="AC129" s="669"/>
      <c r="AD129"/>
      <c r="AE129"/>
      <c r="AF129"/>
      <c r="AG129"/>
      <c r="AH129"/>
      <c r="AI129"/>
      <c r="AJ129" s="669"/>
    </row>
    <row r="130" spans="1:36" x14ac:dyDescent="0.2">
      <c r="A130"/>
      <c r="B130"/>
      <c r="C130"/>
      <c r="D130" s="669"/>
      <c r="E130" s="669"/>
      <c r="F130" s="669"/>
      <c r="G130" s="669"/>
      <c r="H130"/>
      <c r="I130"/>
      <c r="J130"/>
      <c r="K130"/>
      <c r="L130" s="669"/>
      <c r="M130" s="669"/>
      <c r="N130" s="669"/>
      <c r="O130" s="669"/>
      <c r="P130"/>
      <c r="R130"/>
      <c r="S130"/>
      <c r="T130"/>
      <c r="U130"/>
      <c r="V130"/>
      <c r="W130"/>
      <c r="X130"/>
      <c r="Y130"/>
      <c r="Z130" s="669"/>
      <c r="AA130" s="669"/>
      <c r="AB130" s="669"/>
      <c r="AC130" s="669"/>
      <c r="AD130"/>
      <c r="AE130"/>
      <c r="AF130"/>
      <c r="AG130"/>
      <c r="AH130"/>
      <c r="AI130"/>
      <c r="AJ130" s="669"/>
    </row>
    <row r="131" spans="1:36" x14ac:dyDescent="0.2">
      <c r="A131"/>
      <c r="B131"/>
      <c r="C131"/>
      <c r="D131" s="669"/>
      <c r="E131" s="669"/>
      <c r="F131" s="669"/>
      <c r="G131" s="669"/>
      <c r="H131"/>
      <c r="I131"/>
      <c r="J131"/>
      <c r="K131"/>
      <c r="L131" s="669"/>
      <c r="M131" s="669"/>
      <c r="N131" s="669"/>
      <c r="O131" s="669"/>
      <c r="P131"/>
      <c r="Q131"/>
      <c r="R131"/>
      <c r="S131"/>
      <c r="T131"/>
      <c r="U131"/>
      <c r="V131"/>
      <c r="W131"/>
      <c r="X131"/>
      <c r="Y131"/>
      <c r="Z131" s="669"/>
      <c r="AA131" s="669"/>
      <c r="AB131" s="669"/>
      <c r="AC131" s="669"/>
      <c r="AD131"/>
      <c r="AE131"/>
      <c r="AF131"/>
      <c r="AG131"/>
      <c r="AH131"/>
      <c r="AI131"/>
      <c r="AJ131" s="669"/>
    </row>
    <row r="132" spans="1:36" x14ac:dyDescent="0.2">
      <c r="A132"/>
      <c r="B132"/>
      <c r="C132"/>
      <c r="D132" s="669"/>
      <c r="E132" s="669"/>
      <c r="F132" s="669"/>
      <c r="G132" s="669"/>
      <c r="H132"/>
      <c r="I132"/>
      <c r="J132"/>
      <c r="K132"/>
      <c r="L132" s="669"/>
      <c r="M132" s="669"/>
      <c r="N132" s="669"/>
      <c r="O132" s="669"/>
      <c r="P132"/>
      <c r="Q132"/>
      <c r="R132"/>
      <c r="S132"/>
      <c r="T132"/>
      <c r="U132"/>
      <c r="V132"/>
      <c r="W132"/>
      <c r="X132"/>
      <c r="Y132"/>
      <c r="Z132" s="669"/>
      <c r="AA132" s="669"/>
      <c r="AB132" s="669"/>
      <c r="AC132" s="669"/>
      <c r="AD132"/>
      <c r="AE132"/>
      <c r="AF132"/>
      <c r="AG132"/>
      <c r="AH132"/>
      <c r="AI132"/>
      <c r="AJ132" s="669"/>
    </row>
    <row r="133" spans="1:36" x14ac:dyDescent="0.2">
      <c r="A133"/>
      <c r="B133"/>
      <c r="C133"/>
      <c r="D133" s="669"/>
      <c r="E133" s="669"/>
      <c r="F133" s="669"/>
      <c r="G133" s="669"/>
      <c r="H133"/>
      <c r="I133"/>
      <c r="J133"/>
      <c r="K133"/>
      <c r="L133" s="669"/>
      <c r="M133" s="669"/>
      <c r="N133" s="669"/>
      <c r="O133" s="669"/>
      <c r="Q133"/>
      <c r="R133"/>
      <c r="S133"/>
      <c r="T133"/>
      <c r="U133"/>
      <c r="Z133" s="669"/>
      <c r="AA133" s="669"/>
      <c r="AB133" s="669"/>
      <c r="AC133" s="669"/>
      <c r="AD133"/>
      <c r="AE133"/>
      <c r="AF133"/>
      <c r="AG133"/>
      <c r="AH133"/>
      <c r="AI133"/>
      <c r="AJ133" s="669"/>
    </row>
    <row r="134" spans="1:36" x14ac:dyDescent="0.2">
      <c r="A134"/>
      <c r="B134"/>
      <c r="C134"/>
      <c r="D134" s="669"/>
      <c r="E134" s="669"/>
      <c r="F134" s="669"/>
      <c r="G134" s="669"/>
      <c r="H134"/>
      <c r="I134"/>
      <c r="J134"/>
      <c r="K134"/>
      <c r="L134" s="669"/>
      <c r="M134" s="669"/>
      <c r="N134" s="669"/>
      <c r="O134" s="669"/>
      <c r="P134"/>
      <c r="Q134"/>
      <c r="R134"/>
      <c r="S134"/>
      <c r="T134"/>
      <c r="U134"/>
      <c r="Z134" s="669"/>
      <c r="AA134" s="669"/>
      <c r="AB134" s="669"/>
      <c r="AC134" s="669"/>
      <c r="AD134"/>
      <c r="AE134"/>
      <c r="AG134"/>
      <c r="AH134"/>
      <c r="AI134"/>
      <c r="AJ134" s="669"/>
    </row>
    <row r="135" spans="1:36" x14ac:dyDescent="0.2">
      <c r="A135"/>
      <c r="B135"/>
      <c r="C135"/>
      <c r="D135" s="669"/>
      <c r="E135" s="669"/>
      <c r="F135" s="669"/>
      <c r="G135" s="669"/>
      <c r="H135"/>
      <c r="I135"/>
      <c r="J135"/>
      <c r="K135"/>
      <c r="L135" s="669"/>
      <c r="M135" s="669"/>
      <c r="N135" s="669"/>
      <c r="O135" s="669"/>
      <c r="P135"/>
      <c r="Q135"/>
      <c r="R135"/>
      <c r="S135"/>
      <c r="T135"/>
      <c r="U135"/>
      <c r="Z135" s="669"/>
      <c r="AA135" s="669"/>
      <c r="AB135" s="669"/>
      <c r="AC135" s="669"/>
      <c r="AD135"/>
      <c r="AE135"/>
      <c r="AF135"/>
      <c r="AG135"/>
      <c r="AH135"/>
      <c r="AI135"/>
      <c r="AJ135" s="669"/>
    </row>
    <row r="136" spans="1:36" x14ac:dyDescent="0.2">
      <c r="A136"/>
      <c r="B136"/>
      <c r="C136"/>
      <c r="D136" s="669"/>
      <c r="E136" s="669"/>
      <c r="F136" s="669"/>
      <c r="G136" s="669"/>
      <c r="H136"/>
      <c r="I136"/>
      <c r="J136"/>
      <c r="K136"/>
      <c r="L136" s="669"/>
      <c r="M136" s="669"/>
      <c r="N136" s="669"/>
      <c r="O136" s="669"/>
      <c r="P136"/>
      <c r="Q136"/>
      <c r="R136"/>
      <c r="S136"/>
      <c r="T136"/>
      <c r="U136"/>
      <c r="Z136" s="669"/>
      <c r="AA136" s="669"/>
      <c r="AB136" s="669"/>
      <c r="AC136" s="669"/>
      <c r="AD136"/>
      <c r="AE136"/>
      <c r="AF136"/>
      <c r="AG136"/>
      <c r="AH136"/>
      <c r="AI136"/>
      <c r="AJ136" s="669"/>
    </row>
    <row r="137" spans="1:36" x14ac:dyDescent="0.2">
      <c r="A137"/>
      <c r="B137"/>
      <c r="C137"/>
      <c r="D137" s="669"/>
      <c r="E137" s="669"/>
      <c r="F137" s="669"/>
      <c r="G137" s="669"/>
      <c r="H137"/>
      <c r="I137"/>
      <c r="J137"/>
      <c r="K137"/>
      <c r="L137" s="669"/>
      <c r="M137" s="669"/>
      <c r="N137" s="669"/>
      <c r="O137" s="669"/>
      <c r="P137"/>
      <c r="Q137"/>
      <c r="R137"/>
      <c r="S137"/>
      <c r="T137"/>
      <c r="U137"/>
      <c r="Z137" s="669"/>
      <c r="AA137" s="669"/>
      <c r="AB137" s="669"/>
      <c r="AC137" s="669"/>
      <c r="AD137"/>
      <c r="AE137"/>
      <c r="AF137"/>
      <c r="AG137"/>
      <c r="AH137"/>
      <c r="AI137"/>
      <c r="AJ137" s="669"/>
    </row>
    <row r="138" spans="1:36" x14ac:dyDescent="0.2">
      <c r="A138"/>
      <c r="B138"/>
      <c r="C138"/>
      <c r="D138" s="669"/>
      <c r="E138" s="669"/>
      <c r="F138" s="669"/>
      <c r="G138" s="669"/>
      <c r="H138"/>
      <c r="I138"/>
      <c r="J138"/>
      <c r="K138"/>
      <c r="L138" s="669"/>
      <c r="M138" s="669"/>
      <c r="N138" s="669"/>
      <c r="O138" s="669"/>
      <c r="P138"/>
      <c r="Q138"/>
      <c r="R138"/>
      <c r="S138"/>
      <c r="T138"/>
      <c r="U138"/>
      <c r="Z138" s="669"/>
      <c r="AA138" s="669"/>
      <c r="AB138" s="669"/>
      <c r="AC138" s="669"/>
      <c r="AD138"/>
      <c r="AE138"/>
      <c r="AF138"/>
      <c r="AG138"/>
      <c r="AH138"/>
      <c r="AI138"/>
      <c r="AJ138" s="669"/>
    </row>
    <row r="139" spans="1:36" x14ac:dyDescent="0.2">
      <c r="A139"/>
      <c r="B139"/>
      <c r="C139"/>
      <c r="D139" s="669"/>
      <c r="E139" s="669"/>
      <c r="F139" s="669"/>
      <c r="G139" s="669"/>
      <c r="H139"/>
      <c r="I139"/>
      <c r="J139"/>
      <c r="K139"/>
      <c r="L139" s="669"/>
      <c r="M139" s="669"/>
      <c r="N139" s="669"/>
      <c r="O139" s="669"/>
      <c r="P139"/>
      <c r="Q139"/>
      <c r="R139"/>
      <c r="S139"/>
      <c r="T139"/>
      <c r="U139"/>
      <c r="Z139" s="669"/>
      <c r="AA139" s="669"/>
      <c r="AB139" s="669"/>
      <c r="AC139" s="669"/>
      <c r="AD139"/>
      <c r="AE139"/>
      <c r="AF139"/>
      <c r="AG139"/>
      <c r="AH139"/>
      <c r="AI139"/>
      <c r="AJ139" s="669"/>
    </row>
    <row r="140" spans="1:36" x14ac:dyDescent="0.2">
      <c r="A140"/>
      <c r="B140"/>
      <c r="C140"/>
      <c r="D140" s="669"/>
      <c r="E140" s="669"/>
      <c r="F140" s="669"/>
      <c r="G140" s="669"/>
      <c r="H140"/>
      <c r="I140"/>
      <c r="J140"/>
      <c r="K140"/>
      <c r="L140" s="669"/>
      <c r="M140" s="669"/>
      <c r="N140" s="669"/>
      <c r="O140" s="669"/>
      <c r="P140"/>
      <c r="Q140"/>
      <c r="R140"/>
      <c r="S140"/>
      <c r="T140"/>
      <c r="U140"/>
      <c r="Z140" s="669"/>
      <c r="AA140" s="669"/>
      <c r="AB140" s="669"/>
      <c r="AC140" s="669"/>
      <c r="AD140"/>
      <c r="AE140"/>
      <c r="AF140"/>
      <c r="AG140"/>
      <c r="AH140"/>
      <c r="AI140"/>
      <c r="AJ140" s="669"/>
    </row>
    <row r="141" spans="1:36" x14ac:dyDescent="0.2">
      <c r="A141"/>
      <c r="B141"/>
      <c r="C141"/>
      <c r="D141" s="669"/>
      <c r="E141" s="669"/>
      <c r="F141" s="669"/>
      <c r="G141" s="669"/>
      <c r="H141"/>
      <c r="I141"/>
      <c r="J141"/>
      <c r="K141"/>
      <c r="L141" s="669"/>
      <c r="M141" s="669"/>
      <c r="N141" s="669"/>
      <c r="O141" s="669"/>
      <c r="P141"/>
      <c r="Q141"/>
      <c r="R141"/>
      <c r="S141"/>
      <c r="T141"/>
      <c r="U141"/>
      <c r="Z141" s="669"/>
      <c r="AA141" s="669"/>
      <c r="AB141" s="669"/>
      <c r="AC141" s="669"/>
      <c r="AD141"/>
      <c r="AE141"/>
      <c r="AF141"/>
      <c r="AG141"/>
      <c r="AH141"/>
      <c r="AI141"/>
      <c r="AJ141" s="669"/>
    </row>
    <row r="142" spans="1:36" x14ac:dyDescent="0.2">
      <c r="A142"/>
      <c r="B142"/>
      <c r="C142"/>
      <c r="D142" s="669"/>
      <c r="E142" s="669"/>
      <c r="F142" s="669"/>
      <c r="G142" s="669"/>
      <c r="H142"/>
      <c r="I142"/>
      <c r="J142"/>
      <c r="K142"/>
      <c r="L142" s="669"/>
      <c r="M142" s="669"/>
      <c r="N142" s="669"/>
      <c r="O142" s="669"/>
      <c r="P142"/>
      <c r="Q142"/>
      <c r="R142"/>
      <c r="S142"/>
      <c r="T142"/>
      <c r="U142"/>
      <c r="V142"/>
      <c r="W142"/>
      <c r="X142"/>
      <c r="Y142"/>
      <c r="Z142" s="669"/>
      <c r="AA142" s="669"/>
      <c r="AB142" s="669"/>
      <c r="AC142" s="669"/>
      <c r="AD142"/>
      <c r="AE142"/>
      <c r="AF142"/>
      <c r="AG142"/>
      <c r="AH142"/>
      <c r="AI142"/>
      <c r="AJ142" s="669"/>
    </row>
    <row r="143" spans="1:36" x14ac:dyDescent="0.2">
      <c r="A143"/>
      <c r="B143"/>
      <c r="C143"/>
      <c r="D143" s="669"/>
      <c r="E143" s="669"/>
      <c r="F143" s="669"/>
      <c r="G143" s="669"/>
      <c r="H143"/>
      <c r="I143"/>
      <c r="J143"/>
      <c r="K143"/>
      <c r="L143" s="669"/>
      <c r="M143" s="669"/>
      <c r="N143" s="669"/>
      <c r="O143" s="669"/>
      <c r="P143"/>
      <c r="Q143"/>
      <c r="R143"/>
      <c r="S143"/>
      <c r="T143"/>
      <c r="U143"/>
      <c r="Z143" s="669"/>
      <c r="AA143" s="669"/>
      <c r="AB143" s="669"/>
      <c r="AC143" s="669"/>
      <c r="AD143"/>
      <c r="AE143"/>
      <c r="AF143"/>
      <c r="AG143"/>
      <c r="AH143"/>
      <c r="AI143"/>
      <c r="AJ143" s="669"/>
    </row>
    <row r="144" spans="1:36" x14ac:dyDescent="0.2">
      <c r="A144"/>
      <c r="B144"/>
      <c r="C144"/>
      <c r="D144" s="669"/>
      <c r="E144" s="669"/>
      <c r="F144" s="669"/>
      <c r="G144" s="669"/>
      <c r="H144"/>
      <c r="I144"/>
      <c r="J144"/>
      <c r="K144"/>
      <c r="L144" s="669"/>
      <c r="M144" s="669"/>
      <c r="N144" s="669"/>
      <c r="O144" s="669"/>
      <c r="P144"/>
      <c r="Q144"/>
      <c r="R144"/>
      <c r="S144"/>
      <c r="T144"/>
      <c r="U144"/>
      <c r="Z144" s="669"/>
      <c r="AA144" s="669"/>
      <c r="AB144" s="669"/>
      <c r="AC144" s="669"/>
      <c r="AD144"/>
      <c r="AE144"/>
      <c r="AF144"/>
      <c r="AG144"/>
      <c r="AH144"/>
      <c r="AI144"/>
      <c r="AJ144" s="669"/>
    </row>
    <row r="145" spans="1:36" x14ac:dyDescent="0.2">
      <c r="A145"/>
      <c r="B145"/>
      <c r="C145"/>
      <c r="D145" s="669"/>
      <c r="E145" s="669"/>
      <c r="F145" s="669"/>
      <c r="G145" s="669"/>
      <c r="H145"/>
      <c r="I145"/>
      <c r="J145"/>
      <c r="K145"/>
      <c r="L145" s="669"/>
      <c r="M145" s="669"/>
      <c r="N145" s="669"/>
      <c r="O145" s="669"/>
      <c r="P145"/>
      <c r="Q145"/>
      <c r="R145"/>
      <c r="S145"/>
      <c r="T145"/>
      <c r="U145"/>
      <c r="Z145" s="669"/>
      <c r="AA145" s="669"/>
      <c r="AB145" s="669"/>
      <c r="AC145" s="669"/>
      <c r="AD145"/>
      <c r="AE145"/>
      <c r="AF145"/>
      <c r="AG145"/>
      <c r="AH145"/>
      <c r="AI145"/>
      <c r="AJ145" s="669"/>
    </row>
    <row r="146" spans="1:36" x14ac:dyDescent="0.2">
      <c r="A146"/>
      <c r="B146"/>
      <c r="C146"/>
      <c r="D146" s="669"/>
      <c r="E146" s="669"/>
      <c r="F146" s="669"/>
      <c r="G146" s="669"/>
      <c r="H146"/>
      <c r="I146"/>
      <c r="J146"/>
      <c r="K146"/>
      <c r="L146" s="669"/>
      <c r="M146" s="669"/>
      <c r="N146" s="669"/>
      <c r="O146" s="669"/>
      <c r="P146"/>
      <c r="Q146"/>
      <c r="R146"/>
      <c r="S146"/>
      <c r="T146"/>
      <c r="U146"/>
      <c r="Z146" s="669"/>
      <c r="AA146" s="669"/>
      <c r="AB146" s="669"/>
      <c r="AC146" s="669"/>
      <c r="AD146"/>
      <c r="AE146"/>
      <c r="AF146"/>
      <c r="AG146"/>
      <c r="AH146"/>
      <c r="AI146"/>
      <c r="AJ146" s="669"/>
    </row>
    <row r="147" spans="1:36" x14ac:dyDescent="0.2">
      <c r="A147"/>
      <c r="B147"/>
      <c r="C147"/>
      <c r="D147" s="669"/>
      <c r="E147" s="669"/>
      <c r="F147" s="669"/>
      <c r="G147" s="669"/>
      <c r="H147"/>
      <c r="I147"/>
      <c r="J147"/>
      <c r="K147"/>
      <c r="L147" s="669"/>
      <c r="M147" s="669"/>
      <c r="N147" s="669"/>
      <c r="O147" s="669"/>
      <c r="P147"/>
      <c r="Q147"/>
      <c r="R147"/>
      <c r="S147"/>
      <c r="T147"/>
      <c r="U147"/>
      <c r="Z147" s="669"/>
      <c r="AA147" s="669"/>
      <c r="AB147" s="669"/>
      <c r="AC147" s="669"/>
      <c r="AD147"/>
      <c r="AE147"/>
      <c r="AF147"/>
      <c r="AG147"/>
      <c r="AH147"/>
      <c r="AI147"/>
      <c r="AJ147" s="669"/>
    </row>
    <row r="148" spans="1:36" x14ac:dyDescent="0.2">
      <c r="A148"/>
      <c r="B148"/>
      <c r="C148"/>
      <c r="D148" s="669"/>
      <c r="E148" s="669"/>
      <c r="F148" s="669"/>
      <c r="G148" s="669"/>
      <c r="H148"/>
      <c r="I148"/>
      <c r="J148"/>
      <c r="K148"/>
      <c r="L148" s="669"/>
      <c r="M148" s="669"/>
      <c r="N148" s="669"/>
      <c r="O148" s="669"/>
      <c r="P148"/>
      <c r="Q148"/>
      <c r="R148"/>
      <c r="S148"/>
      <c r="T148"/>
      <c r="U148"/>
      <c r="Z148" s="669"/>
      <c r="AA148" s="669"/>
      <c r="AB148" s="669"/>
      <c r="AC148" s="669"/>
      <c r="AJ148" s="669"/>
    </row>
    <row r="149" spans="1:36" x14ac:dyDescent="0.2">
      <c r="A149"/>
      <c r="B149"/>
      <c r="C149"/>
      <c r="D149" s="669"/>
      <c r="E149" s="669"/>
      <c r="F149" s="669"/>
      <c r="G149" s="669"/>
      <c r="H149"/>
      <c r="I149"/>
      <c r="J149"/>
      <c r="K149"/>
      <c r="L149" s="669"/>
      <c r="M149" s="669"/>
      <c r="N149" s="669"/>
      <c r="O149" s="669"/>
      <c r="P149"/>
      <c r="Q149"/>
      <c r="R149"/>
      <c r="S149"/>
      <c r="T149"/>
      <c r="U149"/>
      <c r="V149"/>
      <c r="W149"/>
      <c r="X149"/>
      <c r="Y149"/>
      <c r="Z149" s="669"/>
      <c r="AA149" s="669"/>
      <c r="AB149" s="669"/>
      <c r="AC149" s="669"/>
      <c r="AD149"/>
      <c r="AE149"/>
      <c r="AF149"/>
      <c r="AG149"/>
      <c r="AH149"/>
      <c r="AI149"/>
      <c r="AJ149" s="669"/>
    </row>
    <row r="150" spans="1:36" x14ac:dyDescent="0.2">
      <c r="A150"/>
      <c r="B150"/>
      <c r="C150"/>
      <c r="D150" s="669"/>
      <c r="E150" s="669"/>
      <c r="F150" s="669"/>
      <c r="G150" s="669"/>
      <c r="H150"/>
      <c r="I150"/>
      <c r="J150"/>
      <c r="K150"/>
      <c r="L150" s="669"/>
      <c r="M150" s="669"/>
      <c r="N150" s="669"/>
      <c r="O150" s="669"/>
      <c r="P150"/>
      <c r="Q150"/>
      <c r="R150"/>
      <c r="S150"/>
      <c r="T150"/>
      <c r="U150"/>
      <c r="V150"/>
      <c r="W150"/>
      <c r="X150"/>
      <c r="Y150"/>
      <c r="Z150" s="669"/>
      <c r="AA150" s="669"/>
      <c r="AB150" s="669"/>
      <c r="AC150" s="669"/>
      <c r="AD150"/>
      <c r="AE150"/>
      <c r="AF150"/>
      <c r="AG150"/>
      <c r="AH150"/>
      <c r="AI150"/>
      <c r="AJ150" s="669"/>
    </row>
    <row r="151" spans="1:36" x14ac:dyDescent="0.2">
      <c r="A151"/>
      <c r="B151"/>
      <c r="C151"/>
      <c r="D151" s="669"/>
      <c r="E151" s="669"/>
      <c r="F151" s="669"/>
      <c r="G151" s="669"/>
      <c r="H151"/>
      <c r="I151"/>
      <c r="J151"/>
      <c r="K151"/>
      <c r="L151" s="669"/>
      <c r="M151" s="669"/>
      <c r="N151" s="669"/>
      <c r="O151" s="669"/>
      <c r="P151"/>
      <c r="Q151"/>
      <c r="R151"/>
      <c r="S151"/>
      <c r="T151"/>
      <c r="U151"/>
      <c r="Z151" s="669"/>
      <c r="AA151" s="669"/>
      <c r="AB151" s="669"/>
      <c r="AC151" s="669"/>
      <c r="AD151"/>
      <c r="AE151"/>
      <c r="AF151"/>
      <c r="AG151"/>
      <c r="AH151"/>
      <c r="AI151"/>
      <c r="AJ151" s="669"/>
    </row>
    <row r="152" spans="1:36" x14ac:dyDescent="0.2">
      <c r="A152"/>
      <c r="B152"/>
      <c r="C152"/>
      <c r="D152" s="669"/>
      <c r="E152" s="669"/>
      <c r="F152" s="669"/>
      <c r="G152" s="669"/>
      <c r="H152"/>
      <c r="I152"/>
      <c r="J152"/>
      <c r="K152"/>
      <c r="L152" s="669"/>
      <c r="M152" s="669"/>
      <c r="N152" s="669"/>
      <c r="O152" s="669"/>
      <c r="P152"/>
      <c r="Q152"/>
      <c r="R152"/>
      <c r="S152"/>
      <c r="T152"/>
      <c r="U152"/>
      <c r="V152"/>
      <c r="W152"/>
      <c r="X152"/>
      <c r="Y152"/>
      <c r="Z152" s="669"/>
      <c r="AA152" s="669"/>
      <c r="AB152" s="669"/>
      <c r="AC152" s="669"/>
      <c r="AD152"/>
      <c r="AE152"/>
      <c r="AF152"/>
      <c r="AG152"/>
      <c r="AH152"/>
      <c r="AI152"/>
      <c r="AJ152" s="669"/>
    </row>
    <row r="153" spans="1:36" x14ac:dyDescent="0.2">
      <c r="A153"/>
      <c r="B153"/>
      <c r="C153"/>
      <c r="D153" s="669"/>
      <c r="E153" s="669"/>
      <c r="F153" s="669"/>
      <c r="G153" s="669"/>
      <c r="H153"/>
      <c r="I153"/>
      <c r="J153"/>
      <c r="K153"/>
      <c r="L153" s="669"/>
      <c r="M153" s="669"/>
      <c r="N153" s="669"/>
      <c r="O153" s="669"/>
      <c r="P153"/>
      <c r="Q153"/>
      <c r="R153"/>
      <c r="S153"/>
      <c r="T153"/>
      <c r="U153"/>
      <c r="V153"/>
      <c r="W153"/>
      <c r="X153"/>
      <c r="Y153"/>
      <c r="Z153" s="669"/>
      <c r="AA153" s="669"/>
      <c r="AB153" s="669"/>
      <c r="AC153" s="669"/>
      <c r="AD153"/>
      <c r="AE153"/>
      <c r="AF153"/>
      <c r="AG153"/>
      <c r="AH153"/>
      <c r="AI153"/>
      <c r="AJ153" s="669"/>
    </row>
    <row r="154" spans="1:36" x14ac:dyDescent="0.2">
      <c r="A154"/>
      <c r="B154"/>
      <c r="C154"/>
      <c r="D154" s="669"/>
      <c r="E154" s="669"/>
      <c r="F154" s="669"/>
      <c r="G154" s="669"/>
      <c r="H154"/>
      <c r="I154"/>
      <c r="J154"/>
      <c r="K154"/>
      <c r="L154" s="669"/>
      <c r="M154" s="669"/>
      <c r="N154" s="669"/>
      <c r="O154" s="669"/>
      <c r="P154"/>
      <c r="Q154"/>
      <c r="R154"/>
      <c r="S154"/>
      <c r="T154"/>
      <c r="U154"/>
      <c r="V154"/>
      <c r="W154"/>
      <c r="X154"/>
      <c r="Y154"/>
      <c r="Z154" s="669"/>
      <c r="AA154" s="669"/>
      <c r="AB154" s="669"/>
      <c r="AC154" s="669"/>
      <c r="AD154"/>
      <c r="AE154"/>
      <c r="AF154"/>
      <c r="AG154"/>
      <c r="AH154"/>
      <c r="AI154"/>
      <c r="AJ154" s="669"/>
    </row>
    <row r="155" spans="1:36" x14ac:dyDescent="0.2">
      <c r="A155"/>
      <c r="B155"/>
      <c r="C155"/>
      <c r="D155" s="669"/>
      <c r="E155" s="669"/>
      <c r="F155" s="669"/>
      <c r="G155" s="669"/>
      <c r="H155"/>
      <c r="I155"/>
      <c r="J155"/>
      <c r="K155"/>
      <c r="L155" s="669"/>
      <c r="M155" s="669"/>
      <c r="N155" s="669"/>
      <c r="O155" s="669"/>
      <c r="P155"/>
      <c r="Q155"/>
      <c r="R155"/>
      <c r="S155"/>
      <c r="T155"/>
      <c r="U155"/>
      <c r="V155"/>
      <c r="W155"/>
      <c r="X155"/>
      <c r="Y155"/>
      <c r="Z155" s="669"/>
      <c r="AA155" s="669"/>
      <c r="AB155" s="669"/>
      <c r="AC155" s="669"/>
      <c r="AD155"/>
      <c r="AE155"/>
      <c r="AF155"/>
      <c r="AG155"/>
      <c r="AH155"/>
      <c r="AI155"/>
      <c r="AJ155" s="669"/>
    </row>
    <row r="156" spans="1:36" x14ac:dyDescent="0.2">
      <c r="A156"/>
      <c r="B156"/>
      <c r="C156"/>
      <c r="D156" s="669"/>
      <c r="E156" s="669"/>
      <c r="F156" s="669"/>
      <c r="G156" s="669"/>
      <c r="H156"/>
      <c r="I156"/>
      <c r="J156"/>
      <c r="K156"/>
      <c r="L156" s="669"/>
      <c r="M156" s="669"/>
      <c r="N156" s="669"/>
      <c r="O156" s="669"/>
      <c r="P156"/>
      <c r="Q156"/>
      <c r="R156"/>
      <c r="S156"/>
      <c r="T156"/>
      <c r="U156"/>
      <c r="V156"/>
      <c r="W156"/>
      <c r="X156"/>
      <c r="Y156"/>
      <c r="Z156" s="669"/>
      <c r="AA156" s="669"/>
      <c r="AB156" s="669"/>
      <c r="AC156" s="669"/>
      <c r="AD156"/>
      <c r="AE156"/>
      <c r="AF156"/>
      <c r="AG156"/>
      <c r="AH156"/>
      <c r="AI156"/>
      <c r="AJ156" s="669"/>
    </row>
    <row r="157" spans="1:36" x14ac:dyDescent="0.2">
      <c r="A157"/>
      <c r="B157"/>
      <c r="C157"/>
      <c r="D157" s="669"/>
      <c r="E157" s="669"/>
      <c r="F157" s="669"/>
      <c r="G157" s="669"/>
      <c r="H157"/>
      <c r="I157"/>
      <c r="J157"/>
      <c r="K157"/>
      <c r="L157" s="669"/>
      <c r="M157" s="669"/>
      <c r="N157" s="669"/>
      <c r="O157" s="669"/>
      <c r="P157"/>
      <c r="Q157"/>
      <c r="R157"/>
      <c r="S157"/>
      <c r="T157"/>
      <c r="U157"/>
      <c r="V157"/>
      <c r="W157"/>
      <c r="X157"/>
      <c r="Y157"/>
      <c r="Z157" s="669"/>
      <c r="AA157" s="669"/>
      <c r="AB157" s="669"/>
      <c r="AC157" s="669"/>
      <c r="AD157"/>
      <c r="AE157"/>
      <c r="AF157"/>
      <c r="AG157"/>
      <c r="AH157"/>
      <c r="AI157"/>
      <c r="AJ157" s="669"/>
    </row>
    <row r="158" spans="1:36" x14ac:dyDescent="0.2">
      <c r="A158"/>
      <c r="B158"/>
      <c r="C158"/>
      <c r="D158" s="669"/>
      <c r="E158" s="669"/>
      <c r="F158" s="669"/>
      <c r="G158" s="669"/>
      <c r="H158"/>
      <c r="I158"/>
      <c r="J158"/>
      <c r="K158"/>
      <c r="L158" s="669"/>
      <c r="M158" s="669"/>
      <c r="N158" s="669"/>
      <c r="O158" s="669"/>
      <c r="P158"/>
      <c r="Q158"/>
      <c r="R158"/>
      <c r="S158"/>
      <c r="T158"/>
      <c r="U158"/>
      <c r="V158"/>
      <c r="W158"/>
      <c r="X158"/>
      <c r="Y158"/>
      <c r="Z158" s="669"/>
      <c r="AA158" s="669"/>
      <c r="AB158" s="669"/>
      <c r="AC158" s="669"/>
      <c r="AD158"/>
      <c r="AE158"/>
      <c r="AF158"/>
      <c r="AG158"/>
      <c r="AH158"/>
      <c r="AI158"/>
      <c r="AJ158" s="669"/>
    </row>
    <row r="159" spans="1:36" x14ac:dyDescent="0.2">
      <c r="A159"/>
      <c r="B159"/>
      <c r="C159"/>
      <c r="D159" s="669"/>
      <c r="E159" s="669"/>
      <c r="F159" s="669"/>
      <c r="G159" s="669"/>
      <c r="H159"/>
      <c r="I159"/>
      <c r="J159"/>
      <c r="K159"/>
      <c r="L159" s="669"/>
      <c r="M159" s="669"/>
      <c r="N159" s="669"/>
      <c r="O159" s="669"/>
      <c r="P159"/>
      <c r="Q159"/>
      <c r="R159"/>
      <c r="S159"/>
      <c r="T159"/>
      <c r="U159"/>
      <c r="V159"/>
      <c r="W159"/>
      <c r="X159"/>
      <c r="Y159"/>
      <c r="Z159" s="669"/>
      <c r="AA159" s="669"/>
      <c r="AB159" s="669"/>
      <c r="AC159" s="669"/>
      <c r="AD159"/>
      <c r="AE159"/>
      <c r="AF159"/>
      <c r="AG159"/>
      <c r="AH159"/>
      <c r="AI159"/>
      <c r="AJ159" s="669"/>
    </row>
    <row r="160" spans="1:36" x14ac:dyDescent="0.2">
      <c r="A160"/>
      <c r="B160"/>
      <c r="C160"/>
      <c r="D160" s="669"/>
      <c r="E160" s="669"/>
      <c r="F160" s="669"/>
      <c r="G160" s="669"/>
      <c r="H160"/>
      <c r="I160"/>
      <c r="J160"/>
      <c r="K160"/>
      <c r="L160" s="669"/>
      <c r="M160" s="669"/>
      <c r="N160" s="669"/>
      <c r="O160" s="669"/>
      <c r="P160"/>
      <c r="Q160"/>
      <c r="R160"/>
      <c r="S160"/>
      <c r="T160"/>
      <c r="U160"/>
      <c r="V160"/>
      <c r="W160"/>
      <c r="X160"/>
      <c r="Y160"/>
      <c r="Z160" s="669"/>
      <c r="AA160" s="669"/>
      <c r="AB160" s="669"/>
      <c r="AC160" s="669"/>
      <c r="AD160"/>
      <c r="AE160"/>
      <c r="AF160"/>
      <c r="AG160"/>
      <c r="AH160"/>
      <c r="AI160"/>
      <c r="AJ160" s="669"/>
    </row>
    <row r="161" spans="1:38" x14ac:dyDescent="0.2">
      <c r="A161"/>
      <c r="B161"/>
      <c r="C161"/>
      <c r="D161" s="669"/>
      <c r="E161" s="669"/>
      <c r="F161" s="669"/>
      <c r="G161" s="669"/>
      <c r="H161"/>
      <c r="I161"/>
      <c r="J161"/>
      <c r="K161"/>
      <c r="L161" s="669"/>
      <c r="M161" s="669"/>
      <c r="N161" s="669"/>
      <c r="O161" s="669"/>
      <c r="P161"/>
      <c r="Q161"/>
      <c r="V161"/>
      <c r="W161"/>
      <c r="X161"/>
      <c r="Y161"/>
      <c r="Z161" s="669"/>
      <c r="AA161" s="669"/>
      <c r="AB161" s="669"/>
      <c r="AC161" s="669"/>
      <c r="AD161"/>
      <c r="AE161"/>
      <c r="AF161"/>
      <c r="AG161"/>
      <c r="AH161"/>
      <c r="AI161"/>
      <c r="AJ161" s="669"/>
    </row>
    <row r="162" spans="1:38" x14ac:dyDescent="0.2">
      <c r="A162"/>
      <c r="B162"/>
      <c r="C162"/>
      <c r="D162" s="669"/>
      <c r="E162" s="669"/>
      <c r="F162" s="669"/>
      <c r="G162" s="669"/>
      <c r="H162"/>
      <c r="I162"/>
      <c r="J162"/>
      <c r="K162"/>
      <c r="L162" s="669"/>
      <c r="M162" s="669"/>
      <c r="N162" s="669"/>
      <c r="O162" s="669"/>
      <c r="P162"/>
      <c r="Q162"/>
      <c r="V162"/>
      <c r="W162"/>
      <c r="X162"/>
      <c r="Y162"/>
      <c r="Z162" s="669"/>
      <c r="AA162" s="669"/>
      <c r="AB162" s="669"/>
      <c r="AC162" s="669"/>
      <c r="AD162"/>
      <c r="AE162"/>
      <c r="AF162"/>
      <c r="AG162"/>
      <c r="AH162"/>
      <c r="AI162"/>
      <c r="AJ162" s="669"/>
    </row>
    <row r="163" spans="1:38" x14ac:dyDescent="0.2">
      <c r="A163"/>
      <c r="B163"/>
      <c r="C163"/>
      <c r="D163" s="669"/>
      <c r="E163" s="669"/>
      <c r="F163" s="669"/>
      <c r="G163" s="669"/>
      <c r="H163"/>
      <c r="I163"/>
      <c r="J163"/>
      <c r="K163"/>
      <c r="L163" s="669"/>
      <c r="M163" s="669"/>
      <c r="N163" s="669"/>
      <c r="O163" s="669"/>
      <c r="P163"/>
      <c r="Q163"/>
      <c r="R163"/>
      <c r="S163"/>
      <c r="T163"/>
      <c r="U163"/>
      <c r="Z163" s="669"/>
      <c r="AA163" s="669"/>
      <c r="AB163" s="669"/>
      <c r="AC163" s="669"/>
      <c r="AD163"/>
      <c r="AE163"/>
      <c r="AF163"/>
      <c r="AG163"/>
      <c r="AH163"/>
      <c r="AI163"/>
      <c r="AJ163" s="669"/>
    </row>
    <row r="164" spans="1:38" x14ac:dyDescent="0.2">
      <c r="A164"/>
      <c r="B164"/>
      <c r="C164"/>
      <c r="D164" s="669"/>
      <c r="E164" s="669"/>
      <c r="F164" s="669"/>
      <c r="G164" s="669"/>
      <c r="H164"/>
      <c r="I164"/>
      <c r="J164"/>
      <c r="K164"/>
      <c r="L164" s="669"/>
      <c r="M164" s="669"/>
      <c r="N164" s="669"/>
      <c r="O164" s="669"/>
      <c r="P164"/>
      <c r="Q164"/>
      <c r="R164"/>
      <c r="S164"/>
      <c r="T164"/>
      <c r="U164"/>
      <c r="Z164" s="669"/>
      <c r="AA164" s="669"/>
      <c r="AB164" s="669"/>
      <c r="AC164" s="669"/>
      <c r="AD164"/>
      <c r="AE164"/>
      <c r="AF164"/>
      <c r="AG164"/>
      <c r="AH164"/>
      <c r="AI164"/>
      <c r="AJ164" s="669"/>
    </row>
    <row r="165" spans="1:38" x14ac:dyDescent="0.2">
      <c r="A165"/>
      <c r="B165"/>
      <c r="C165"/>
      <c r="D165" s="669"/>
      <c r="E165" s="669"/>
      <c r="F165" s="669"/>
      <c r="G165" s="669"/>
      <c r="H165"/>
      <c r="I165"/>
      <c r="J165"/>
      <c r="K165"/>
      <c r="L165" s="669"/>
      <c r="M165" s="669"/>
      <c r="N165" s="669"/>
      <c r="O165" s="669"/>
      <c r="P165"/>
      <c r="Q165"/>
      <c r="R165"/>
      <c r="S165"/>
      <c r="T165"/>
      <c r="U165"/>
      <c r="V165"/>
      <c r="W165"/>
      <c r="X165"/>
      <c r="Y165"/>
      <c r="Z165" s="669"/>
      <c r="AA165" s="669"/>
      <c r="AB165" s="669"/>
      <c r="AC165" s="669"/>
      <c r="AD165"/>
      <c r="AE165"/>
      <c r="AF165"/>
      <c r="AG165"/>
      <c r="AH165"/>
      <c r="AI165"/>
      <c r="AJ165" s="669"/>
    </row>
    <row r="166" spans="1:38" x14ac:dyDescent="0.2">
      <c r="A166"/>
      <c r="B166"/>
      <c r="C166"/>
      <c r="D166" s="669"/>
      <c r="E166" s="669"/>
      <c r="F166" s="669"/>
      <c r="G166" s="669"/>
      <c r="H166"/>
      <c r="I166"/>
      <c r="J166"/>
      <c r="K166"/>
      <c r="L166" s="669"/>
      <c r="M166" s="669"/>
      <c r="N166" s="669"/>
      <c r="O166" s="669"/>
      <c r="P166"/>
      <c r="Q166"/>
      <c r="R166"/>
      <c r="S166"/>
      <c r="T166"/>
      <c r="U166"/>
      <c r="V166"/>
      <c r="W166"/>
      <c r="X166"/>
      <c r="Y166"/>
      <c r="Z166" s="669"/>
      <c r="AA166" s="669"/>
      <c r="AB166" s="669"/>
      <c r="AC166" s="669"/>
      <c r="AD166"/>
      <c r="AF166"/>
      <c r="AG166"/>
      <c r="AH166"/>
      <c r="AI166"/>
      <c r="AJ166" s="669"/>
    </row>
    <row r="167" spans="1:38" x14ac:dyDescent="0.2">
      <c r="A167"/>
      <c r="B167"/>
      <c r="C167"/>
      <c r="D167" s="669"/>
      <c r="E167" s="669"/>
      <c r="F167" s="669"/>
      <c r="G167" s="669"/>
      <c r="H167"/>
      <c r="I167"/>
      <c r="J167"/>
      <c r="K167"/>
      <c r="L167" s="669"/>
      <c r="M167" s="669"/>
      <c r="N167" s="669"/>
      <c r="O167" s="669"/>
      <c r="P167"/>
      <c r="Q167"/>
      <c r="R167"/>
      <c r="S167"/>
      <c r="T167"/>
      <c r="U167"/>
      <c r="Z167" s="669"/>
      <c r="AA167" s="669"/>
      <c r="AB167" s="669"/>
      <c r="AC167" s="669"/>
      <c r="AD167"/>
      <c r="AE167"/>
      <c r="AF167"/>
      <c r="AG167"/>
      <c r="AH167"/>
      <c r="AI167"/>
      <c r="AJ167" s="669"/>
    </row>
    <row r="168" spans="1:38" x14ac:dyDescent="0.2">
      <c r="A168"/>
      <c r="B168"/>
      <c r="C168"/>
      <c r="D168" s="669"/>
      <c r="E168" s="669"/>
      <c r="F168" s="669"/>
      <c r="G168" s="669"/>
      <c r="H168"/>
      <c r="I168"/>
      <c r="J168"/>
      <c r="K168"/>
      <c r="L168" s="669"/>
      <c r="M168" s="669"/>
      <c r="N168" s="669"/>
      <c r="O168" s="669"/>
      <c r="P168"/>
      <c r="Q168"/>
      <c r="R168"/>
      <c r="S168"/>
      <c r="T168"/>
      <c r="U168"/>
      <c r="Z168" s="669"/>
      <c r="AA168" s="669"/>
      <c r="AB168" s="669"/>
      <c r="AC168" s="669"/>
      <c r="AD168"/>
      <c r="AE168"/>
      <c r="AF168"/>
      <c r="AG168"/>
      <c r="AH168"/>
      <c r="AI168"/>
      <c r="AJ168" s="669"/>
    </row>
    <row r="169" spans="1:38" x14ac:dyDescent="0.2">
      <c r="A169"/>
      <c r="B169"/>
      <c r="C169"/>
      <c r="D169" s="669"/>
      <c r="E169" s="669"/>
      <c r="F169" s="669"/>
      <c r="G169" s="669"/>
      <c r="H169"/>
      <c r="I169"/>
      <c r="J169"/>
      <c r="K169"/>
      <c r="L169" s="669"/>
      <c r="M169" s="669"/>
      <c r="N169" s="669"/>
      <c r="O169" s="669"/>
      <c r="P169"/>
      <c r="Q169"/>
      <c r="R169"/>
      <c r="S169"/>
      <c r="T169"/>
      <c r="U169"/>
      <c r="Z169" s="669"/>
      <c r="AA169" s="669"/>
      <c r="AB169" s="669"/>
      <c r="AC169" s="669"/>
      <c r="AI169"/>
      <c r="AJ169" s="669"/>
    </row>
    <row r="170" spans="1:38" x14ac:dyDescent="0.2">
      <c r="A170"/>
      <c r="B170"/>
      <c r="C170"/>
      <c r="D170" s="669"/>
      <c r="E170" s="669"/>
      <c r="F170" s="669"/>
      <c r="G170" s="669"/>
      <c r="H170"/>
      <c r="I170"/>
      <c r="J170"/>
      <c r="K170"/>
      <c r="L170" s="669"/>
      <c r="M170" s="669"/>
      <c r="N170" s="669"/>
      <c r="O170" s="669"/>
      <c r="P170"/>
      <c r="Q170"/>
      <c r="R170"/>
      <c r="S170"/>
      <c r="T170"/>
      <c r="U170"/>
      <c r="V170"/>
      <c r="W170"/>
      <c r="X170"/>
      <c r="Y170"/>
      <c r="Z170" s="669"/>
      <c r="AA170" s="669"/>
      <c r="AB170" s="669"/>
      <c r="AC170" s="669"/>
      <c r="AD170"/>
      <c r="AE170"/>
      <c r="AF170"/>
      <c r="AG170"/>
      <c r="AH170"/>
      <c r="AI170"/>
      <c r="AJ170" s="669"/>
      <c r="AK170"/>
    </row>
    <row r="171" spans="1:38" x14ac:dyDescent="0.2">
      <c r="A171"/>
      <c r="B171"/>
      <c r="C171"/>
      <c r="D171" s="669"/>
      <c r="E171" s="669"/>
      <c r="F171" s="669"/>
      <c r="G171" s="669"/>
      <c r="H171"/>
      <c r="I171"/>
      <c r="J171"/>
      <c r="K171"/>
      <c r="L171" s="669"/>
      <c r="M171" s="669"/>
      <c r="N171" s="669"/>
      <c r="O171" s="669"/>
      <c r="P171"/>
      <c r="Q171"/>
      <c r="R171"/>
      <c r="S171"/>
      <c r="T171"/>
      <c r="U171"/>
      <c r="V171"/>
      <c r="W171"/>
      <c r="X171"/>
      <c r="Y171"/>
      <c r="Z171" s="669"/>
      <c r="AA171" s="669"/>
      <c r="AB171" s="669"/>
      <c r="AC171" s="669"/>
      <c r="AD171"/>
      <c r="AE171"/>
      <c r="AF171"/>
      <c r="AG171"/>
      <c r="AH171"/>
      <c r="AI171"/>
      <c r="AJ171" s="669"/>
      <c r="AK171"/>
    </row>
    <row r="172" spans="1:38" x14ac:dyDescent="0.2">
      <c r="A172"/>
      <c r="B172"/>
      <c r="C172"/>
      <c r="D172" s="669"/>
      <c r="E172" s="669"/>
      <c r="F172" s="669"/>
      <c r="G172" s="669"/>
      <c r="H172"/>
      <c r="I172"/>
      <c r="J172"/>
      <c r="K172"/>
      <c r="L172" s="669"/>
      <c r="M172" s="669"/>
      <c r="N172" s="669"/>
      <c r="O172" s="669"/>
      <c r="P172"/>
      <c r="Q172"/>
      <c r="R172"/>
      <c r="S172"/>
      <c r="T172"/>
      <c r="U172"/>
      <c r="V172"/>
      <c r="W172"/>
      <c r="X172"/>
      <c r="Y172"/>
      <c r="Z172" s="669"/>
      <c r="AA172" s="669"/>
      <c r="AB172" s="669"/>
      <c r="AC172" s="669"/>
      <c r="AD172"/>
      <c r="AE172"/>
      <c r="AF172"/>
      <c r="AG172"/>
      <c r="AH172"/>
      <c r="AI172"/>
      <c r="AJ172" s="669"/>
      <c r="AK172"/>
      <c r="AL172"/>
    </row>
    <row r="173" spans="1:38" x14ac:dyDescent="0.2">
      <c r="A173"/>
      <c r="B173"/>
      <c r="C173"/>
      <c r="D173" s="669"/>
      <c r="E173" s="669"/>
      <c r="F173" s="669"/>
      <c r="G173" s="669"/>
      <c r="H173"/>
      <c r="I173"/>
      <c r="J173"/>
      <c r="K173"/>
      <c r="L173" s="669"/>
      <c r="M173" s="669"/>
      <c r="N173" s="669"/>
      <c r="O173" s="669"/>
      <c r="P173"/>
      <c r="Q173"/>
      <c r="R173"/>
      <c r="S173"/>
      <c r="T173"/>
      <c r="U173"/>
      <c r="V173"/>
      <c r="W173"/>
      <c r="X173"/>
      <c r="Y173"/>
      <c r="Z173" s="669"/>
      <c r="AA173" s="669"/>
      <c r="AB173" s="669"/>
      <c r="AC173" s="669"/>
      <c r="AD173"/>
      <c r="AE173"/>
      <c r="AF173"/>
      <c r="AG173"/>
      <c r="AH173"/>
      <c r="AI173"/>
      <c r="AJ173" s="669"/>
      <c r="AK173"/>
      <c r="AL173"/>
    </row>
    <row r="174" spans="1:38" x14ac:dyDescent="0.2">
      <c r="A174"/>
      <c r="B174"/>
      <c r="C174"/>
      <c r="D174" s="669"/>
      <c r="E174" s="669"/>
      <c r="F174" s="669"/>
      <c r="G174" s="669"/>
      <c r="H174"/>
      <c r="I174"/>
      <c r="J174"/>
      <c r="K174"/>
      <c r="L174" s="669"/>
      <c r="M174" s="669"/>
      <c r="N174" s="669"/>
      <c r="O174" s="669"/>
      <c r="P174"/>
      <c r="Q174"/>
      <c r="R174"/>
      <c r="S174"/>
      <c r="T174"/>
      <c r="U174"/>
      <c r="V174"/>
      <c r="W174"/>
      <c r="X174"/>
      <c r="Y174"/>
      <c r="Z174" s="669"/>
      <c r="AA174" s="669"/>
      <c r="AB174" s="669"/>
      <c r="AC174" s="669"/>
      <c r="AD174"/>
      <c r="AE174"/>
      <c r="AF174"/>
      <c r="AG174"/>
      <c r="AH174"/>
      <c r="AI174"/>
      <c r="AJ174" s="669"/>
      <c r="AK174"/>
    </row>
    <row r="175" spans="1:38" x14ac:dyDescent="0.2">
      <c r="A175"/>
      <c r="B175"/>
      <c r="C175"/>
      <c r="D175" s="669"/>
      <c r="E175" s="669"/>
      <c r="F175" s="669"/>
      <c r="G175" s="669"/>
      <c r="H175"/>
      <c r="I175"/>
      <c r="J175"/>
      <c r="K175"/>
      <c r="L175" s="669"/>
      <c r="M175" s="669"/>
      <c r="N175" s="669"/>
      <c r="O175" s="669"/>
      <c r="P175"/>
      <c r="Q175"/>
      <c r="R175"/>
      <c r="S175"/>
      <c r="T175"/>
      <c r="U175"/>
      <c r="V175"/>
      <c r="W175"/>
      <c r="X175"/>
      <c r="Y175"/>
      <c r="Z175" s="669"/>
      <c r="AA175" s="669"/>
      <c r="AB175" s="669"/>
      <c r="AC175" s="669"/>
      <c r="AD175"/>
      <c r="AE175"/>
      <c r="AF175"/>
      <c r="AG175"/>
      <c r="AH175"/>
      <c r="AI175"/>
      <c r="AJ175" s="669"/>
      <c r="AK175"/>
    </row>
    <row r="176" spans="1:38" x14ac:dyDescent="0.2">
      <c r="A176"/>
      <c r="B176"/>
      <c r="C176"/>
      <c r="D176" s="669"/>
      <c r="E176" s="669"/>
      <c r="F176" s="669"/>
      <c r="G176" s="669"/>
      <c r="H176"/>
      <c r="I176"/>
      <c r="J176"/>
      <c r="K176"/>
      <c r="L176" s="669"/>
      <c r="M176" s="669"/>
      <c r="N176" s="669"/>
      <c r="O176" s="669"/>
      <c r="P176"/>
      <c r="Q176"/>
      <c r="R176"/>
      <c r="S176"/>
      <c r="T176"/>
      <c r="U176"/>
      <c r="V176"/>
      <c r="W176"/>
      <c r="X176"/>
      <c r="Y176"/>
      <c r="Z176" s="669"/>
      <c r="AA176" s="669"/>
      <c r="AB176" s="669"/>
      <c r="AC176" s="669"/>
      <c r="AD176"/>
      <c r="AE176"/>
      <c r="AF176"/>
      <c r="AG176"/>
      <c r="AH176"/>
      <c r="AI176"/>
      <c r="AJ176" s="669"/>
      <c r="AK176"/>
    </row>
    <row r="177" spans="1:37" x14ac:dyDescent="0.2">
      <c r="A177"/>
      <c r="B177"/>
      <c r="C177"/>
      <c r="D177" s="669"/>
      <c r="E177" s="669"/>
      <c r="F177" s="669"/>
      <c r="G177" s="669"/>
      <c r="H177"/>
      <c r="I177"/>
      <c r="J177"/>
      <c r="K177"/>
      <c r="L177" s="669"/>
      <c r="M177" s="669"/>
      <c r="N177" s="669"/>
      <c r="O177" s="669"/>
      <c r="P177"/>
      <c r="Q177"/>
      <c r="R177"/>
      <c r="S177"/>
      <c r="T177"/>
      <c r="U177"/>
      <c r="V177"/>
      <c r="W177"/>
      <c r="X177"/>
      <c r="Y177"/>
      <c r="Z177" s="669"/>
      <c r="AA177" s="669"/>
      <c r="AB177" s="669"/>
      <c r="AC177" s="669"/>
      <c r="AD177"/>
      <c r="AE177"/>
      <c r="AF177"/>
      <c r="AG177"/>
      <c r="AH177"/>
      <c r="AI177"/>
      <c r="AJ177" s="669"/>
      <c r="AK177"/>
    </row>
    <row r="178" spans="1:37" x14ac:dyDescent="0.2">
      <c r="A178"/>
      <c r="B178"/>
      <c r="C178"/>
      <c r="D178" s="669"/>
      <c r="E178" s="669"/>
      <c r="F178" s="669"/>
      <c r="G178" s="669"/>
      <c r="H178"/>
      <c r="I178"/>
      <c r="J178"/>
      <c r="K178"/>
      <c r="L178" s="669"/>
      <c r="M178" s="669"/>
      <c r="N178" s="669"/>
      <c r="O178" s="669"/>
      <c r="P178"/>
      <c r="Q178"/>
      <c r="R178"/>
      <c r="S178"/>
      <c r="T178"/>
      <c r="U178"/>
      <c r="V178"/>
      <c r="W178"/>
      <c r="X178"/>
      <c r="Y178"/>
      <c r="Z178" s="669"/>
      <c r="AA178" s="669"/>
      <c r="AB178" s="669"/>
      <c r="AC178" s="669"/>
      <c r="AD178"/>
      <c r="AE178"/>
      <c r="AF178"/>
      <c r="AG178"/>
      <c r="AH178"/>
      <c r="AI178"/>
      <c r="AJ178" s="669"/>
      <c r="AK178"/>
    </row>
    <row r="179" spans="1:37" x14ac:dyDescent="0.2">
      <c r="A179"/>
      <c r="B179"/>
      <c r="C179"/>
      <c r="D179" s="669"/>
      <c r="E179" s="669"/>
      <c r="F179" s="669"/>
      <c r="G179" s="669"/>
      <c r="H179"/>
      <c r="I179"/>
      <c r="J179"/>
      <c r="K179"/>
      <c r="L179" s="669"/>
      <c r="M179" s="669"/>
      <c r="N179" s="669"/>
      <c r="O179" s="669"/>
      <c r="P179"/>
      <c r="Q179"/>
      <c r="R179"/>
      <c r="S179"/>
      <c r="T179"/>
      <c r="U179"/>
      <c r="Z179" s="669"/>
      <c r="AA179" s="669"/>
      <c r="AB179" s="669"/>
      <c r="AC179" s="669"/>
      <c r="AE179"/>
      <c r="AG179"/>
      <c r="AH179"/>
      <c r="AI179"/>
      <c r="AJ179" s="669"/>
    </row>
    <row r="180" spans="1:37" x14ac:dyDescent="0.2">
      <c r="A180"/>
      <c r="B180"/>
      <c r="C180"/>
      <c r="D180" s="669"/>
      <c r="E180" s="669"/>
      <c r="F180" s="669"/>
      <c r="G180" s="669"/>
      <c r="H180"/>
      <c r="I180"/>
      <c r="J180"/>
      <c r="K180"/>
      <c r="L180" s="669"/>
      <c r="M180" s="669"/>
      <c r="N180" s="669"/>
      <c r="O180" s="669"/>
      <c r="P180"/>
      <c r="Q180"/>
      <c r="R180"/>
      <c r="S180"/>
      <c r="T180"/>
      <c r="U180"/>
      <c r="V180"/>
      <c r="W180"/>
      <c r="X180"/>
      <c r="Y180"/>
      <c r="Z180" s="669"/>
      <c r="AA180" s="669"/>
      <c r="AB180" s="669"/>
      <c r="AC180" s="669"/>
      <c r="AD180"/>
      <c r="AE180"/>
      <c r="AF180"/>
      <c r="AG180"/>
      <c r="AH180"/>
      <c r="AI180"/>
      <c r="AJ180" s="669"/>
    </row>
    <row r="181" spans="1:37" x14ac:dyDescent="0.2">
      <c r="A181"/>
      <c r="B181"/>
      <c r="C181"/>
      <c r="D181" s="669"/>
      <c r="E181" s="669"/>
      <c r="F181" s="669"/>
      <c r="G181" s="669"/>
      <c r="H181"/>
      <c r="I181"/>
      <c r="J181"/>
      <c r="K181"/>
      <c r="L181" s="669"/>
      <c r="M181" s="669"/>
      <c r="N181" s="669"/>
      <c r="O181" s="669"/>
      <c r="P181"/>
      <c r="Q181"/>
      <c r="R181"/>
      <c r="S181"/>
      <c r="T181"/>
      <c r="U181"/>
      <c r="V181"/>
      <c r="W181"/>
      <c r="X181"/>
      <c r="Y181"/>
      <c r="Z181" s="669"/>
      <c r="AA181" s="669"/>
      <c r="AB181" s="669"/>
      <c r="AC181" s="669"/>
      <c r="AD181"/>
      <c r="AE181"/>
      <c r="AF181"/>
      <c r="AG181"/>
      <c r="AH181"/>
      <c r="AI181"/>
      <c r="AJ181" s="669"/>
    </row>
    <row r="182" spans="1:37" x14ac:dyDescent="0.2">
      <c r="A182"/>
      <c r="B182"/>
      <c r="C182"/>
      <c r="D182" s="669"/>
      <c r="E182" s="669"/>
      <c r="F182" s="669"/>
      <c r="G182" s="669"/>
      <c r="H182"/>
      <c r="I182"/>
      <c r="J182"/>
      <c r="K182"/>
      <c r="L182" s="669"/>
      <c r="M182" s="669"/>
      <c r="N182" s="669"/>
      <c r="O182" s="669"/>
      <c r="P182"/>
      <c r="Q182"/>
      <c r="R182"/>
      <c r="S182"/>
      <c r="T182"/>
      <c r="U182"/>
      <c r="Z182" s="669"/>
      <c r="AA182" s="669"/>
      <c r="AB182" s="669"/>
      <c r="AC182" s="669"/>
      <c r="AD182"/>
      <c r="AE182"/>
      <c r="AF182"/>
      <c r="AG182"/>
      <c r="AH182"/>
      <c r="AI182"/>
      <c r="AJ182" s="669"/>
    </row>
    <row r="183" spans="1:37" x14ac:dyDescent="0.2">
      <c r="A183"/>
      <c r="B183"/>
      <c r="C183"/>
      <c r="D183" s="669"/>
      <c r="E183" s="669"/>
      <c r="F183" s="669"/>
      <c r="G183" s="669"/>
      <c r="H183"/>
      <c r="I183"/>
      <c r="J183"/>
      <c r="K183"/>
      <c r="L183" s="669"/>
      <c r="M183" s="669"/>
      <c r="N183" s="669"/>
      <c r="O183" s="669"/>
      <c r="P183"/>
      <c r="Q183"/>
      <c r="R183"/>
      <c r="S183"/>
      <c r="T183"/>
      <c r="U183"/>
      <c r="Z183" s="669"/>
      <c r="AA183" s="669"/>
      <c r="AB183" s="669"/>
      <c r="AC183" s="669"/>
      <c r="AD183"/>
      <c r="AE183"/>
      <c r="AF183"/>
      <c r="AG183"/>
      <c r="AH183"/>
      <c r="AI183"/>
      <c r="AJ183" s="669"/>
    </row>
    <row r="184" spans="1:37" x14ac:dyDescent="0.2">
      <c r="A184"/>
      <c r="B184"/>
      <c r="C184"/>
      <c r="D184" s="669"/>
      <c r="E184" s="669"/>
      <c r="F184" s="669"/>
      <c r="G184" s="669"/>
      <c r="H184"/>
      <c r="I184"/>
      <c r="J184"/>
      <c r="K184"/>
      <c r="L184" s="669"/>
      <c r="M184" s="669"/>
      <c r="N184" s="669"/>
      <c r="O184" s="669"/>
      <c r="P184"/>
      <c r="Q184"/>
      <c r="R184"/>
      <c r="S184"/>
      <c r="T184"/>
      <c r="U184"/>
      <c r="Z184" s="669"/>
      <c r="AA184" s="669"/>
      <c r="AB184" s="669"/>
      <c r="AC184" s="669"/>
      <c r="AD184"/>
      <c r="AE184"/>
      <c r="AF184"/>
      <c r="AG184"/>
      <c r="AH184"/>
      <c r="AI184"/>
      <c r="AJ184" s="669"/>
    </row>
    <row r="185" spans="1:37" x14ac:dyDescent="0.2">
      <c r="A185"/>
      <c r="B185"/>
      <c r="C185"/>
      <c r="D185" s="669"/>
      <c r="E185" s="669"/>
      <c r="F185" s="669"/>
      <c r="G185" s="669"/>
      <c r="H185"/>
      <c r="I185"/>
      <c r="J185"/>
      <c r="L185" s="669"/>
      <c r="M185" s="669"/>
      <c r="N185" s="669"/>
      <c r="O185" s="669"/>
      <c r="P185"/>
      <c r="Q185"/>
      <c r="R185"/>
      <c r="S185"/>
      <c r="T185"/>
      <c r="U185"/>
      <c r="V185"/>
      <c r="W185"/>
      <c r="X185"/>
      <c r="Y185"/>
      <c r="Z185" s="669"/>
      <c r="AA185" s="669"/>
      <c r="AB185" s="669"/>
      <c r="AC185" s="669"/>
      <c r="AD185"/>
      <c r="AE185"/>
      <c r="AF185"/>
      <c r="AG185"/>
      <c r="AH185"/>
      <c r="AI185"/>
      <c r="AJ185" s="669"/>
    </row>
    <row r="186" spans="1:37" x14ac:dyDescent="0.2">
      <c r="A186"/>
      <c r="B186"/>
      <c r="C186"/>
      <c r="D186" s="669"/>
      <c r="E186" s="669"/>
      <c r="F186" s="669"/>
      <c r="G186" s="669"/>
      <c r="H186"/>
      <c r="I186"/>
      <c r="J186"/>
      <c r="K186"/>
      <c r="L186" s="669"/>
      <c r="M186" s="669"/>
      <c r="N186" s="669"/>
      <c r="O186" s="669"/>
      <c r="P186"/>
      <c r="Q186"/>
      <c r="R186"/>
      <c r="S186"/>
      <c r="T186"/>
      <c r="U186"/>
      <c r="V186"/>
      <c r="W186"/>
      <c r="X186"/>
      <c r="Y186"/>
      <c r="Z186" s="669"/>
      <c r="AA186" s="669"/>
      <c r="AB186" s="669"/>
      <c r="AC186" s="669"/>
      <c r="AD186"/>
      <c r="AE186"/>
      <c r="AF186"/>
      <c r="AG186"/>
      <c r="AH186"/>
      <c r="AI186"/>
      <c r="AJ186" s="669"/>
    </row>
    <row r="187" spans="1:37" x14ac:dyDescent="0.2">
      <c r="A187"/>
      <c r="B187"/>
      <c r="C187"/>
      <c r="D187" s="669"/>
      <c r="E187" s="669"/>
      <c r="F187" s="669"/>
      <c r="G187" s="669"/>
      <c r="H187"/>
      <c r="I187"/>
      <c r="J187"/>
      <c r="K187"/>
      <c r="L187" s="669"/>
      <c r="M187" s="669"/>
      <c r="N187" s="669"/>
      <c r="O187" s="669"/>
      <c r="P187"/>
      <c r="Q187"/>
      <c r="R187"/>
      <c r="S187"/>
      <c r="T187"/>
      <c r="U187"/>
      <c r="V187"/>
      <c r="W187"/>
      <c r="X187"/>
      <c r="Y187"/>
      <c r="Z187" s="669"/>
      <c r="AA187" s="669"/>
      <c r="AB187" s="669"/>
      <c r="AC187" s="669"/>
      <c r="AD187"/>
      <c r="AE187"/>
      <c r="AF187"/>
      <c r="AG187"/>
      <c r="AH187"/>
      <c r="AI187"/>
      <c r="AJ187" s="669"/>
    </row>
    <row r="188" spans="1:37" x14ac:dyDescent="0.2">
      <c r="A188"/>
      <c r="B188"/>
      <c r="C188"/>
      <c r="D188" s="669"/>
      <c r="E188" s="669"/>
      <c r="F188" s="669"/>
      <c r="G188" s="669"/>
      <c r="H188"/>
      <c r="I188"/>
      <c r="J188"/>
      <c r="K188"/>
      <c r="L188" s="669"/>
      <c r="M188" s="669"/>
      <c r="N188" s="669"/>
      <c r="O188" s="669"/>
      <c r="P188"/>
      <c r="R188"/>
      <c r="S188"/>
      <c r="T188"/>
      <c r="U188"/>
      <c r="V188"/>
      <c r="W188"/>
      <c r="X188"/>
      <c r="Y188"/>
      <c r="Z188" s="669"/>
      <c r="AA188" s="669"/>
      <c r="AB188" s="669"/>
      <c r="AC188" s="669"/>
      <c r="AG188"/>
      <c r="AH188"/>
      <c r="AI188"/>
      <c r="AJ188" s="669"/>
    </row>
    <row r="189" spans="1:37" x14ac:dyDescent="0.2">
      <c r="A189"/>
      <c r="B189"/>
      <c r="C189"/>
      <c r="D189" s="669"/>
      <c r="E189" s="669"/>
      <c r="F189" s="669"/>
      <c r="G189" s="669"/>
      <c r="H189"/>
      <c r="I189"/>
      <c r="J189"/>
      <c r="K189"/>
      <c r="L189" s="669"/>
      <c r="M189" s="669"/>
      <c r="N189" s="669"/>
      <c r="O189" s="669"/>
      <c r="P189"/>
      <c r="Q189"/>
      <c r="R189"/>
      <c r="S189"/>
      <c r="T189"/>
      <c r="U189"/>
      <c r="V189"/>
      <c r="W189"/>
      <c r="X189"/>
      <c r="Y189"/>
      <c r="Z189" s="669"/>
      <c r="AA189" s="669"/>
      <c r="AB189" s="669"/>
      <c r="AC189" s="669"/>
      <c r="AD189"/>
      <c r="AE189"/>
      <c r="AF189"/>
      <c r="AG189"/>
      <c r="AH189"/>
      <c r="AI189"/>
      <c r="AJ189" s="669"/>
    </row>
    <row r="190" spans="1:37" x14ac:dyDescent="0.2">
      <c r="A190"/>
      <c r="B190"/>
      <c r="C190"/>
      <c r="D190" s="669"/>
      <c r="E190" s="669"/>
      <c r="F190" s="669"/>
      <c r="G190" s="669"/>
      <c r="H190"/>
      <c r="I190"/>
      <c r="J190"/>
      <c r="K190"/>
      <c r="L190" s="669"/>
      <c r="M190" s="669"/>
      <c r="N190" s="669"/>
      <c r="O190" s="669"/>
      <c r="P190"/>
      <c r="Q190"/>
      <c r="R190"/>
      <c r="S190"/>
      <c r="T190"/>
      <c r="U190"/>
      <c r="V190"/>
      <c r="W190"/>
      <c r="X190"/>
      <c r="Y190"/>
      <c r="Z190" s="669"/>
      <c r="AA190" s="669"/>
      <c r="AB190" s="669"/>
      <c r="AC190" s="669"/>
      <c r="AD190"/>
      <c r="AE190"/>
      <c r="AF190"/>
      <c r="AG190"/>
      <c r="AH190"/>
      <c r="AI190"/>
      <c r="AJ190" s="669"/>
    </row>
    <row r="191" spans="1:37" x14ac:dyDescent="0.2">
      <c r="A191"/>
      <c r="B191"/>
      <c r="C191"/>
      <c r="D191" s="669"/>
      <c r="E191" s="669"/>
      <c r="F191" s="669"/>
      <c r="G191" s="669"/>
      <c r="H191"/>
      <c r="I191"/>
      <c r="J191"/>
      <c r="K191"/>
      <c r="L191" s="669"/>
      <c r="M191" s="669"/>
      <c r="N191" s="669"/>
      <c r="O191" s="669"/>
      <c r="P191"/>
      <c r="Q191"/>
      <c r="R191"/>
      <c r="S191"/>
      <c r="T191"/>
      <c r="U191"/>
      <c r="V191"/>
      <c r="W191"/>
      <c r="X191"/>
      <c r="Y191"/>
      <c r="Z191" s="669"/>
      <c r="AA191" s="669"/>
      <c r="AB191" s="669"/>
      <c r="AC191" s="669"/>
      <c r="AD191"/>
      <c r="AE191"/>
      <c r="AF191"/>
      <c r="AG191"/>
      <c r="AH191"/>
      <c r="AI191"/>
      <c r="AJ191" s="669"/>
    </row>
    <row r="192" spans="1:37" x14ac:dyDescent="0.2">
      <c r="A192"/>
      <c r="B192"/>
      <c r="C192"/>
      <c r="D192" s="669"/>
      <c r="E192" s="669"/>
      <c r="F192" s="669"/>
      <c r="G192" s="669"/>
      <c r="H192"/>
      <c r="I192"/>
      <c r="J192"/>
      <c r="K192"/>
      <c r="L192" s="669"/>
      <c r="M192" s="669"/>
      <c r="N192" s="669"/>
      <c r="O192" s="669"/>
      <c r="P192"/>
      <c r="Q192"/>
      <c r="R192"/>
      <c r="S192"/>
      <c r="T192"/>
      <c r="U192"/>
      <c r="Z192" s="669"/>
      <c r="AA192" s="669"/>
      <c r="AB192" s="669"/>
      <c r="AC192" s="669"/>
      <c r="AD192"/>
      <c r="AE192"/>
      <c r="AF192"/>
      <c r="AG192"/>
      <c r="AH192"/>
      <c r="AI192"/>
      <c r="AJ192" s="669"/>
    </row>
    <row r="193" spans="1:36" x14ac:dyDescent="0.2">
      <c r="A193"/>
      <c r="B193"/>
      <c r="C193"/>
      <c r="D193" s="669"/>
      <c r="E193" s="669"/>
      <c r="F193" s="669"/>
      <c r="G193" s="669"/>
      <c r="H193"/>
      <c r="I193"/>
      <c r="J193"/>
      <c r="K193"/>
      <c r="L193" s="669"/>
      <c r="M193" s="669"/>
      <c r="N193" s="669"/>
      <c r="O193" s="669"/>
      <c r="P193"/>
      <c r="Q193"/>
      <c r="R193"/>
      <c r="S193"/>
      <c r="T193"/>
      <c r="U193"/>
      <c r="Z193" s="669"/>
      <c r="AA193" s="669"/>
      <c r="AB193" s="669"/>
      <c r="AC193" s="669"/>
      <c r="AD193"/>
      <c r="AE193"/>
      <c r="AF193"/>
      <c r="AG193"/>
      <c r="AH193"/>
      <c r="AI193"/>
      <c r="AJ193" s="669"/>
    </row>
    <row r="194" spans="1:36" x14ac:dyDescent="0.2">
      <c r="A194"/>
      <c r="B194"/>
      <c r="C194"/>
      <c r="D194" s="669"/>
      <c r="E194" s="669"/>
      <c r="F194" s="669"/>
      <c r="G194" s="669"/>
      <c r="H194"/>
      <c r="I194"/>
      <c r="J194"/>
      <c r="K194"/>
      <c r="L194" s="669"/>
      <c r="M194" s="669"/>
      <c r="N194" s="669"/>
      <c r="O194" s="669"/>
      <c r="P194"/>
      <c r="Q194"/>
      <c r="R194"/>
      <c r="S194"/>
      <c r="T194"/>
      <c r="U194"/>
      <c r="V194"/>
      <c r="W194"/>
      <c r="X194"/>
      <c r="Y194"/>
      <c r="Z194" s="669"/>
      <c r="AA194" s="669"/>
      <c r="AB194" s="669"/>
      <c r="AC194" s="669"/>
      <c r="AD194"/>
      <c r="AE194"/>
      <c r="AF194"/>
      <c r="AG194"/>
      <c r="AH194"/>
      <c r="AI194"/>
      <c r="AJ194" s="669"/>
    </row>
    <row r="195" spans="1:36" x14ac:dyDescent="0.2">
      <c r="A195"/>
      <c r="B195"/>
      <c r="C195"/>
      <c r="D195" s="669"/>
      <c r="E195" s="669"/>
      <c r="F195" s="669"/>
      <c r="G195" s="669"/>
      <c r="H195"/>
      <c r="I195"/>
      <c r="J195"/>
      <c r="K195"/>
      <c r="L195" s="669"/>
      <c r="M195" s="669"/>
      <c r="N195" s="669"/>
      <c r="O195" s="669"/>
      <c r="P195"/>
      <c r="Q195"/>
      <c r="R195"/>
      <c r="S195"/>
      <c r="T195"/>
      <c r="U195"/>
      <c r="Y195"/>
      <c r="Z195" s="669"/>
      <c r="AA195" s="669"/>
      <c r="AB195" s="669"/>
      <c r="AC195" s="669"/>
      <c r="AD195"/>
      <c r="AE195"/>
      <c r="AF195"/>
      <c r="AG195"/>
      <c r="AH195"/>
      <c r="AI195"/>
      <c r="AJ195" s="669"/>
    </row>
    <row r="196" spans="1:36" x14ac:dyDescent="0.2">
      <c r="A196"/>
      <c r="B196"/>
      <c r="C196"/>
      <c r="D196" s="669"/>
      <c r="E196" s="669"/>
      <c r="F196" s="669"/>
      <c r="G196" s="669"/>
      <c r="H196"/>
      <c r="I196"/>
      <c r="J196"/>
      <c r="K196"/>
      <c r="L196" s="669"/>
      <c r="M196" s="669"/>
      <c r="N196" s="669"/>
      <c r="O196" s="669"/>
      <c r="P196"/>
      <c r="Q196"/>
      <c r="R196"/>
      <c r="S196"/>
      <c r="T196"/>
      <c r="U196"/>
      <c r="Y196"/>
      <c r="Z196" s="669"/>
      <c r="AA196" s="669"/>
      <c r="AB196" s="669"/>
      <c r="AC196" s="669"/>
      <c r="AD196"/>
      <c r="AF196"/>
      <c r="AG196"/>
      <c r="AH196"/>
      <c r="AI196"/>
      <c r="AJ196" s="669"/>
    </row>
    <row r="197" spans="1:36" x14ac:dyDescent="0.2">
      <c r="A197"/>
      <c r="B197"/>
      <c r="C197"/>
      <c r="D197" s="669"/>
      <c r="E197" s="669"/>
      <c r="F197" s="669"/>
      <c r="G197" s="669"/>
      <c r="H197"/>
      <c r="I197"/>
      <c r="J197"/>
      <c r="K197"/>
      <c r="L197" s="669"/>
      <c r="M197" s="669"/>
      <c r="N197" s="669"/>
      <c r="O197" s="669"/>
      <c r="P197"/>
      <c r="Q197"/>
      <c r="R197"/>
      <c r="S197"/>
      <c r="T197"/>
      <c r="U197"/>
      <c r="Y197"/>
      <c r="Z197" s="669"/>
      <c r="AA197" s="669"/>
      <c r="AB197" s="669"/>
      <c r="AC197" s="669"/>
      <c r="AD197"/>
      <c r="AE197"/>
      <c r="AF197"/>
      <c r="AG197"/>
      <c r="AH197"/>
      <c r="AI197"/>
      <c r="AJ197" s="669"/>
    </row>
    <row r="198" spans="1:36" x14ac:dyDescent="0.2">
      <c r="A198"/>
      <c r="B198"/>
      <c r="C198"/>
      <c r="D198" s="669"/>
      <c r="E198" s="669"/>
      <c r="F198" s="669"/>
      <c r="G198" s="669"/>
      <c r="H198"/>
      <c r="I198"/>
      <c r="J198"/>
      <c r="K198"/>
      <c r="L198" s="669"/>
      <c r="M198" s="669"/>
      <c r="N198" s="669"/>
      <c r="O198" s="669"/>
      <c r="P198"/>
      <c r="Q198"/>
      <c r="R198"/>
      <c r="S198"/>
      <c r="T198"/>
      <c r="U198"/>
      <c r="V198"/>
      <c r="W198"/>
      <c r="X198"/>
      <c r="Y198"/>
      <c r="Z198" s="669"/>
      <c r="AA198" s="669"/>
      <c r="AB198" s="669"/>
      <c r="AC198" s="669"/>
      <c r="AD198"/>
      <c r="AE198"/>
      <c r="AF198"/>
      <c r="AG198"/>
      <c r="AH198"/>
      <c r="AI198"/>
      <c r="AJ198" s="669"/>
    </row>
    <row r="199" spans="1:36" x14ac:dyDescent="0.2">
      <c r="A199"/>
      <c r="B199"/>
      <c r="C199"/>
      <c r="D199" s="669"/>
      <c r="E199" s="669"/>
      <c r="F199" s="669"/>
      <c r="G199" s="669"/>
      <c r="H199"/>
      <c r="I199"/>
      <c r="J199"/>
      <c r="K199"/>
      <c r="L199" s="669"/>
      <c r="M199" s="669"/>
      <c r="N199" s="669"/>
      <c r="O199" s="669"/>
      <c r="P199"/>
      <c r="Q199"/>
      <c r="R199"/>
      <c r="S199"/>
      <c r="T199"/>
      <c r="U199"/>
      <c r="Y199"/>
      <c r="Z199" s="669"/>
      <c r="AA199" s="669"/>
      <c r="AB199" s="669"/>
      <c r="AC199" s="669"/>
      <c r="AD199"/>
      <c r="AE199"/>
      <c r="AF199"/>
      <c r="AG199"/>
      <c r="AH199"/>
      <c r="AI199"/>
      <c r="AJ199" s="669"/>
    </row>
    <row r="200" spans="1:36" x14ac:dyDescent="0.2">
      <c r="A200"/>
      <c r="B200"/>
      <c r="C200"/>
      <c r="D200" s="669"/>
      <c r="E200" s="669"/>
      <c r="F200" s="669"/>
      <c r="G200" s="669"/>
      <c r="H200"/>
      <c r="I200"/>
      <c r="J200"/>
      <c r="K200"/>
      <c r="L200" s="669"/>
      <c r="M200" s="669"/>
      <c r="N200" s="669"/>
      <c r="O200" s="669"/>
      <c r="P200"/>
      <c r="Q200"/>
      <c r="R200"/>
      <c r="S200"/>
      <c r="T200"/>
      <c r="U200"/>
      <c r="Y200"/>
      <c r="Z200" s="669"/>
      <c r="AA200" s="669"/>
      <c r="AB200" s="669"/>
      <c r="AC200" s="669"/>
      <c r="AD200"/>
      <c r="AE200"/>
      <c r="AF200"/>
      <c r="AG200"/>
      <c r="AH200"/>
      <c r="AI200"/>
      <c r="AJ200" s="669"/>
    </row>
    <row r="201" spans="1:36" x14ac:dyDescent="0.2">
      <c r="A201"/>
      <c r="B201"/>
      <c r="C201"/>
      <c r="D201" s="669"/>
      <c r="E201" s="669"/>
      <c r="F201" s="669"/>
      <c r="G201" s="669"/>
      <c r="H201"/>
      <c r="I201"/>
      <c r="J201"/>
      <c r="K201"/>
      <c r="L201" s="669"/>
      <c r="M201" s="669"/>
      <c r="N201" s="669"/>
      <c r="O201" s="669"/>
      <c r="P201"/>
      <c r="Q201"/>
      <c r="R201"/>
      <c r="S201"/>
      <c r="T201"/>
      <c r="U201"/>
      <c r="Y201"/>
      <c r="Z201" s="669"/>
      <c r="AA201" s="669"/>
      <c r="AB201" s="669"/>
      <c r="AC201" s="669"/>
      <c r="AD201"/>
      <c r="AE201"/>
      <c r="AF201"/>
      <c r="AG201"/>
      <c r="AH201"/>
      <c r="AI201"/>
      <c r="AJ201" s="669"/>
    </row>
    <row r="202" spans="1:36" x14ac:dyDescent="0.2">
      <c r="A202"/>
      <c r="B202"/>
      <c r="C202"/>
      <c r="D202" s="669"/>
      <c r="E202" s="669"/>
      <c r="F202" s="669"/>
      <c r="G202" s="669"/>
      <c r="H202"/>
      <c r="I202"/>
      <c r="J202"/>
      <c r="K202"/>
      <c r="L202" s="669"/>
      <c r="M202" s="669"/>
      <c r="N202" s="669"/>
      <c r="O202" s="669"/>
      <c r="P202"/>
      <c r="Q202"/>
      <c r="R202"/>
      <c r="S202"/>
      <c r="T202"/>
      <c r="U202"/>
      <c r="Z202" s="669"/>
      <c r="AA202" s="669"/>
      <c r="AB202" s="669"/>
      <c r="AC202" s="669"/>
      <c r="AD202"/>
      <c r="AE202"/>
      <c r="AF202"/>
      <c r="AG202"/>
      <c r="AH202"/>
      <c r="AI202"/>
      <c r="AJ202" s="669"/>
    </row>
    <row r="203" spans="1:36" x14ac:dyDescent="0.2">
      <c r="A203"/>
      <c r="B203"/>
      <c r="C203"/>
      <c r="D203" s="669"/>
      <c r="E203" s="669"/>
      <c r="F203" s="669"/>
      <c r="G203" s="669"/>
      <c r="H203"/>
      <c r="I203"/>
      <c r="J203"/>
      <c r="K203"/>
      <c r="L203" s="669"/>
      <c r="M203" s="669"/>
      <c r="N203" s="669"/>
      <c r="O203" s="669"/>
      <c r="P203"/>
      <c r="Q203"/>
      <c r="R203"/>
      <c r="S203"/>
      <c r="T203"/>
      <c r="U203"/>
      <c r="Y203"/>
      <c r="Z203" s="669"/>
      <c r="AA203" s="669"/>
      <c r="AB203" s="669"/>
      <c r="AC203" s="669"/>
      <c r="AD203"/>
      <c r="AE203"/>
      <c r="AF203"/>
      <c r="AG203"/>
      <c r="AH203"/>
      <c r="AI203"/>
      <c r="AJ203" s="669"/>
    </row>
    <row r="204" spans="1:36" x14ac:dyDescent="0.2">
      <c r="A204"/>
      <c r="B204"/>
      <c r="C204"/>
      <c r="D204" s="669"/>
      <c r="E204" s="669"/>
      <c r="F204" s="669"/>
      <c r="G204" s="669"/>
      <c r="H204"/>
      <c r="I204"/>
      <c r="J204"/>
      <c r="K204"/>
      <c r="L204" s="669"/>
      <c r="M204" s="669"/>
      <c r="N204" s="669"/>
      <c r="O204" s="669"/>
      <c r="P204"/>
      <c r="Q204"/>
      <c r="R204"/>
      <c r="S204"/>
      <c r="T204"/>
      <c r="U204"/>
      <c r="V204"/>
      <c r="W204"/>
      <c r="X204"/>
      <c r="Y204"/>
      <c r="Z204" s="669"/>
      <c r="AA204" s="669"/>
      <c r="AB204" s="669"/>
      <c r="AC204" s="669"/>
      <c r="AD204"/>
      <c r="AE204"/>
      <c r="AF204"/>
      <c r="AG204"/>
      <c r="AH204"/>
      <c r="AI204"/>
      <c r="AJ204" s="669"/>
    </row>
    <row r="205" spans="1:36" x14ac:dyDescent="0.2">
      <c r="A205"/>
      <c r="B205"/>
      <c r="C205"/>
      <c r="D205" s="669"/>
      <c r="E205" s="669"/>
      <c r="F205" s="669"/>
      <c r="G205" s="669"/>
      <c r="H205"/>
      <c r="I205"/>
      <c r="J205"/>
      <c r="K205"/>
      <c r="L205" s="669"/>
      <c r="M205" s="669"/>
      <c r="N205" s="669"/>
      <c r="O205" s="669"/>
      <c r="P205"/>
      <c r="Q205"/>
      <c r="U205"/>
      <c r="Y205"/>
      <c r="Z205" s="669"/>
      <c r="AA205" s="669"/>
      <c r="AB205" s="669"/>
      <c r="AC205" s="669"/>
      <c r="AD205"/>
      <c r="AE205"/>
      <c r="AF205"/>
      <c r="AG205"/>
      <c r="AH205"/>
      <c r="AI205"/>
      <c r="AJ205" s="669"/>
    </row>
    <row r="206" spans="1:36" x14ac:dyDescent="0.2">
      <c r="A206"/>
      <c r="B206"/>
      <c r="C206"/>
      <c r="D206" s="669"/>
      <c r="E206" s="669"/>
      <c r="F206" s="669"/>
      <c r="G206" s="669"/>
      <c r="H206"/>
      <c r="I206"/>
      <c r="J206"/>
      <c r="L206" s="669"/>
      <c r="M206" s="669"/>
      <c r="N206" s="669"/>
      <c r="O206" s="669"/>
      <c r="P206"/>
      <c r="Q206"/>
      <c r="V206"/>
      <c r="W206"/>
      <c r="X206"/>
      <c r="Z206" s="669"/>
      <c r="AA206" s="669"/>
      <c r="AB206" s="669"/>
      <c r="AC206" s="669"/>
      <c r="AD206"/>
      <c r="AE206"/>
      <c r="AF206"/>
      <c r="AG206"/>
      <c r="AH206"/>
      <c r="AI206"/>
      <c r="AJ206" s="669"/>
    </row>
    <row r="207" spans="1:36" x14ac:dyDescent="0.2">
      <c r="A207"/>
      <c r="B207"/>
      <c r="C207"/>
      <c r="D207" s="669"/>
      <c r="E207" s="669"/>
      <c r="F207" s="669"/>
      <c r="G207" s="669"/>
      <c r="H207"/>
      <c r="I207"/>
      <c r="J207"/>
      <c r="L207" s="669"/>
      <c r="M207" s="669"/>
      <c r="N207" s="669"/>
      <c r="O207" s="669"/>
      <c r="P207"/>
      <c r="Q207"/>
      <c r="V207"/>
      <c r="W207"/>
      <c r="X207"/>
      <c r="Z207" s="669"/>
      <c r="AA207" s="669"/>
      <c r="AB207" s="669"/>
      <c r="AC207" s="669"/>
      <c r="AD207"/>
      <c r="AE207"/>
      <c r="AF207"/>
      <c r="AG207"/>
      <c r="AH207"/>
      <c r="AI207"/>
      <c r="AJ207" s="669"/>
    </row>
    <row r="208" spans="1:36" x14ac:dyDescent="0.2">
      <c r="A208"/>
      <c r="B208"/>
      <c r="C208"/>
      <c r="D208" s="669"/>
      <c r="E208" s="669"/>
      <c r="F208" s="669"/>
      <c r="G208" s="669"/>
      <c r="H208"/>
      <c r="I208"/>
      <c r="J208"/>
      <c r="L208" s="669"/>
      <c r="M208" s="669"/>
      <c r="N208" s="669"/>
      <c r="O208" s="669"/>
      <c r="P208"/>
      <c r="Q208"/>
      <c r="V208"/>
      <c r="W208"/>
      <c r="X208"/>
      <c r="Z208" s="669"/>
      <c r="AA208" s="669"/>
      <c r="AB208" s="669"/>
      <c r="AC208" s="669"/>
      <c r="AD208"/>
      <c r="AE208"/>
      <c r="AF208"/>
      <c r="AG208"/>
      <c r="AH208"/>
      <c r="AI208"/>
      <c r="AJ208" s="669"/>
    </row>
    <row r="209" spans="1:36" x14ac:dyDescent="0.2">
      <c r="A209"/>
      <c r="B209"/>
      <c r="C209"/>
      <c r="D209" s="669"/>
      <c r="E209" s="669"/>
      <c r="F209" s="669"/>
      <c r="G209" s="669"/>
      <c r="H209"/>
      <c r="I209"/>
      <c r="J209"/>
      <c r="K209"/>
      <c r="L209" s="669"/>
      <c r="M209" s="669"/>
      <c r="N209" s="669"/>
      <c r="O209" s="669"/>
      <c r="Q209"/>
      <c r="R209"/>
      <c r="S209"/>
      <c r="T209"/>
      <c r="U209"/>
      <c r="Z209" s="669"/>
      <c r="AA209" s="669"/>
      <c r="AB209" s="669"/>
      <c r="AC209" s="669"/>
      <c r="AD209"/>
      <c r="AE209"/>
      <c r="AF209"/>
      <c r="AG209"/>
      <c r="AH209"/>
      <c r="AI209"/>
      <c r="AJ209" s="669"/>
    </row>
    <row r="210" spans="1:36" x14ac:dyDescent="0.2">
      <c r="A210"/>
      <c r="B210"/>
      <c r="C210"/>
      <c r="D210" s="669"/>
      <c r="E210" s="669"/>
      <c r="F210" s="669"/>
      <c r="G210" s="669"/>
      <c r="H210"/>
      <c r="I210"/>
      <c r="J210"/>
      <c r="K210"/>
      <c r="L210" s="669"/>
      <c r="M210" s="669"/>
      <c r="N210" s="669"/>
      <c r="O210" s="669"/>
      <c r="P210"/>
      <c r="Q210"/>
      <c r="R210"/>
      <c r="S210"/>
      <c r="T210"/>
      <c r="U210"/>
      <c r="Z210" s="669"/>
      <c r="AA210" s="669"/>
      <c r="AB210" s="669"/>
      <c r="AC210" s="669"/>
      <c r="AD210"/>
      <c r="AE210"/>
      <c r="AF210"/>
      <c r="AG210"/>
      <c r="AH210"/>
      <c r="AI210"/>
      <c r="AJ210" s="669"/>
    </row>
    <row r="211" spans="1:36" x14ac:dyDescent="0.2">
      <c r="A211"/>
      <c r="B211"/>
      <c r="C211"/>
      <c r="D211" s="669"/>
      <c r="E211" s="669"/>
      <c r="F211" s="669"/>
      <c r="G211" s="669"/>
      <c r="H211"/>
      <c r="I211"/>
      <c r="J211"/>
      <c r="K211"/>
      <c r="L211" s="669"/>
      <c r="M211" s="669"/>
      <c r="N211" s="669"/>
      <c r="O211" s="669"/>
      <c r="P211"/>
      <c r="Q211"/>
      <c r="R211"/>
      <c r="S211"/>
      <c r="T211"/>
      <c r="U211"/>
      <c r="Z211" s="669"/>
      <c r="AA211" s="669"/>
      <c r="AB211" s="669"/>
      <c r="AC211" s="669"/>
      <c r="AD211"/>
      <c r="AE211"/>
      <c r="AF211"/>
      <c r="AG211"/>
      <c r="AH211"/>
      <c r="AI211"/>
      <c r="AJ211" s="669"/>
    </row>
    <row r="212" spans="1:36" x14ac:dyDescent="0.2">
      <c r="A212"/>
      <c r="B212"/>
      <c r="C212"/>
      <c r="D212" s="669"/>
      <c r="E212" s="669"/>
      <c r="F212" s="669"/>
      <c r="G212" s="669"/>
      <c r="H212"/>
      <c r="I212"/>
      <c r="J212"/>
      <c r="K212"/>
      <c r="L212" s="669"/>
      <c r="M212" s="669"/>
      <c r="N212" s="669"/>
      <c r="O212" s="669"/>
      <c r="P212"/>
      <c r="Q212"/>
      <c r="R212"/>
      <c r="S212"/>
      <c r="T212"/>
      <c r="U212"/>
      <c r="Z212" s="669"/>
      <c r="AA212" s="669"/>
      <c r="AB212" s="669"/>
      <c r="AC212" s="669"/>
      <c r="AE212"/>
      <c r="AF212"/>
      <c r="AG212"/>
      <c r="AH212"/>
      <c r="AI212"/>
      <c r="AJ212" s="669"/>
    </row>
    <row r="213" spans="1:36" x14ac:dyDescent="0.2">
      <c r="A213"/>
      <c r="B213"/>
      <c r="C213"/>
      <c r="D213" s="669"/>
      <c r="E213" s="669"/>
      <c r="F213" s="669"/>
      <c r="G213" s="669"/>
      <c r="H213"/>
      <c r="I213"/>
      <c r="J213"/>
      <c r="K213"/>
      <c r="L213" s="669"/>
      <c r="M213" s="669"/>
      <c r="N213" s="669"/>
      <c r="O213" s="669"/>
      <c r="P213"/>
      <c r="Q213"/>
      <c r="R213"/>
      <c r="S213"/>
      <c r="T213"/>
      <c r="U213"/>
      <c r="V213"/>
      <c r="W213"/>
      <c r="X213"/>
      <c r="Y213"/>
      <c r="Z213" s="669"/>
      <c r="AA213" s="669"/>
      <c r="AB213" s="669"/>
      <c r="AC213" s="669"/>
      <c r="AI213"/>
      <c r="AJ213" s="669"/>
    </row>
    <row r="214" spans="1:36" x14ac:dyDescent="0.2">
      <c r="A214"/>
      <c r="B214"/>
      <c r="C214"/>
      <c r="D214" s="669"/>
      <c r="E214" s="669"/>
      <c r="F214" s="669"/>
      <c r="G214" s="669"/>
      <c r="H214"/>
      <c r="I214"/>
      <c r="J214"/>
      <c r="K214"/>
      <c r="L214" s="669"/>
      <c r="M214" s="669"/>
      <c r="N214" s="669"/>
      <c r="O214" s="669"/>
      <c r="P214"/>
      <c r="Q214"/>
      <c r="R214"/>
      <c r="S214"/>
      <c r="T214"/>
      <c r="U214"/>
      <c r="V214"/>
      <c r="W214"/>
      <c r="X214"/>
      <c r="Y214"/>
      <c r="Z214" s="669"/>
      <c r="AA214" s="669"/>
      <c r="AB214" s="669"/>
      <c r="AC214" s="669"/>
      <c r="AD214"/>
      <c r="AE214"/>
      <c r="AF214"/>
      <c r="AG214"/>
      <c r="AH214"/>
      <c r="AI214"/>
      <c r="AJ214" s="669"/>
    </row>
    <row r="215" spans="1:36" x14ac:dyDescent="0.2">
      <c r="A215"/>
      <c r="B215"/>
      <c r="C215"/>
      <c r="D215" s="669"/>
      <c r="E215" s="669"/>
      <c r="F215" s="669"/>
      <c r="G215" s="669"/>
      <c r="H215"/>
      <c r="I215"/>
      <c r="J215"/>
      <c r="K215"/>
      <c r="L215" s="669"/>
      <c r="M215" s="669"/>
      <c r="N215" s="669"/>
      <c r="O215" s="669"/>
      <c r="P215"/>
      <c r="Q215"/>
      <c r="R215"/>
      <c r="S215"/>
      <c r="T215"/>
      <c r="U215"/>
      <c r="V215"/>
      <c r="W215"/>
      <c r="X215"/>
      <c r="Y215"/>
      <c r="Z215" s="669"/>
      <c r="AA215" s="669"/>
      <c r="AB215" s="669"/>
      <c r="AC215" s="669"/>
      <c r="AD215"/>
      <c r="AE215"/>
      <c r="AF215"/>
      <c r="AG215"/>
      <c r="AH215"/>
      <c r="AI215"/>
      <c r="AJ215" s="669"/>
    </row>
    <row r="216" spans="1:36" x14ac:dyDescent="0.2">
      <c r="A216"/>
      <c r="B216"/>
      <c r="C216"/>
      <c r="D216" s="669"/>
      <c r="E216" s="669"/>
      <c r="F216" s="669"/>
      <c r="G216" s="669"/>
      <c r="H216"/>
      <c r="I216"/>
      <c r="J216"/>
      <c r="K216"/>
      <c r="L216" s="669"/>
      <c r="M216" s="669"/>
      <c r="N216" s="669"/>
      <c r="O216" s="669"/>
      <c r="P216"/>
      <c r="Q216"/>
      <c r="R216"/>
      <c r="S216"/>
      <c r="T216"/>
      <c r="U216"/>
      <c r="X216"/>
      <c r="Z216" s="669"/>
      <c r="AA216" s="669"/>
      <c r="AB216" s="669"/>
      <c r="AC216" s="669"/>
      <c r="AD216"/>
      <c r="AE216"/>
      <c r="AF216"/>
      <c r="AG216"/>
      <c r="AH216"/>
      <c r="AI216"/>
      <c r="AJ216" s="669"/>
    </row>
    <row r="217" spans="1:36" x14ac:dyDescent="0.2">
      <c r="A217"/>
      <c r="B217"/>
      <c r="C217"/>
      <c r="D217" s="669"/>
      <c r="E217" s="669"/>
      <c r="F217" s="669"/>
      <c r="G217" s="669"/>
      <c r="H217"/>
      <c r="I217"/>
      <c r="J217"/>
      <c r="K217"/>
      <c r="L217" s="669"/>
      <c r="M217" s="669"/>
      <c r="N217" s="669"/>
      <c r="O217" s="669"/>
      <c r="P217"/>
      <c r="Q217"/>
      <c r="R217"/>
      <c r="S217"/>
      <c r="T217"/>
      <c r="U217"/>
      <c r="V217"/>
      <c r="W217"/>
      <c r="X217"/>
      <c r="Y217"/>
      <c r="Z217" s="669"/>
      <c r="AA217" s="669"/>
      <c r="AB217" s="669"/>
      <c r="AC217" s="669"/>
      <c r="AD217"/>
      <c r="AE217"/>
      <c r="AF217"/>
      <c r="AG217"/>
      <c r="AH217"/>
      <c r="AI217"/>
      <c r="AJ217" s="669"/>
    </row>
    <row r="218" spans="1:36" x14ac:dyDescent="0.2">
      <c r="A218"/>
      <c r="B218"/>
      <c r="C218"/>
      <c r="D218" s="669"/>
      <c r="E218" s="669"/>
      <c r="F218" s="669"/>
      <c r="G218" s="669"/>
      <c r="I218"/>
      <c r="J218"/>
      <c r="K218"/>
      <c r="L218" s="669"/>
      <c r="M218" s="669"/>
      <c r="N218" s="669"/>
      <c r="O218" s="669"/>
      <c r="P218"/>
      <c r="Q218"/>
      <c r="R218"/>
      <c r="S218"/>
      <c r="T218"/>
      <c r="U218"/>
      <c r="V218"/>
      <c r="W218"/>
      <c r="X218"/>
      <c r="Y218"/>
      <c r="Z218" s="669"/>
      <c r="AA218" s="669"/>
      <c r="AB218" s="669"/>
      <c r="AC218" s="669"/>
      <c r="AD218"/>
      <c r="AE218"/>
      <c r="AF218"/>
      <c r="AG218"/>
      <c r="AH218"/>
      <c r="AI218"/>
      <c r="AJ218" s="669"/>
    </row>
    <row r="219" spans="1:36" x14ac:dyDescent="0.2">
      <c r="A219"/>
      <c r="B219"/>
      <c r="C219"/>
      <c r="D219" s="669"/>
      <c r="E219" s="669"/>
      <c r="F219" s="669"/>
      <c r="G219" s="669"/>
      <c r="H219"/>
      <c r="I219"/>
      <c r="J219"/>
      <c r="K219"/>
      <c r="L219" s="669"/>
      <c r="M219" s="669"/>
      <c r="N219" s="669"/>
      <c r="O219" s="669"/>
      <c r="P219"/>
      <c r="Q219"/>
      <c r="R219"/>
      <c r="S219"/>
      <c r="T219"/>
      <c r="U219"/>
      <c r="V219"/>
      <c r="W219"/>
      <c r="X219"/>
      <c r="Y219"/>
      <c r="Z219" s="669"/>
      <c r="AA219" s="669"/>
      <c r="AB219" s="669"/>
      <c r="AC219" s="669"/>
      <c r="AD219"/>
      <c r="AE219"/>
      <c r="AF219"/>
      <c r="AG219"/>
      <c r="AH219"/>
      <c r="AI219"/>
      <c r="AJ219" s="669"/>
    </row>
    <row r="220" spans="1:36" x14ac:dyDescent="0.2">
      <c r="A220"/>
      <c r="B220"/>
      <c r="C220"/>
      <c r="D220" s="669"/>
      <c r="E220" s="669"/>
      <c r="F220" s="669"/>
      <c r="G220" s="669"/>
      <c r="H220"/>
      <c r="I220"/>
      <c r="J220"/>
      <c r="K220"/>
      <c r="L220" s="669"/>
      <c r="M220" s="669"/>
      <c r="N220" s="669"/>
      <c r="O220" s="669"/>
      <c r="P220"/>
      <c r="Q220"/>
      <c r="R220"/>
      <c r="S220"/>
      <c r="T220"/>
      <c r="U220"/>
      <c r="V220"/>
      <c r="W220"/>
      <c r="X220"/>
      <c r="Y220"/>
      <c r="Z220" s="669"/>
      <c r="AA220" s="669"/>
      <c r="AB220" s="669"/>
      <c r="AC220" s="669"/>
      <c r="AD220"/>
      <c r="AE220"/>
      <c r="AF220"/>
      <c r="AG220"/>
      <c r="AH220"/>
      <c r="AI220"/>
      <c r="AJ220" s="669"/>
    </row>
    <row r="221" spans="1:36" x14ac:dyDescent="0.2">
      <c r="A221"/>
      <c r="B221"/>
      <c r="C221"/>
      <c r="D221" s="669"/>
      <c r="E221" s="669"/>
      <c r="F221" s="669"/>
      <c r="G221" s="669"/>
      <c r="H221"/>
      <c r="I221"/>
      <c r="J221"/>
      <c r="K221"/>
      <c r="L221" s="669"/>
      <c r="M221" s="669"/>
      <c r="N221" s="669"/>
      <c r="O221" s="669"/>
      <c r="P221"/>
      <c r="Q221"/>
      <c r="R221"/>
      <c r="S221"/>
      <c r="T221"/>
      <c r="U221"/>
      <c r="V221"/>
      <c r="W221"/>
      <c r="X221"/>
      <c r="Y221"/>
      <c r="Z221" s="669"/>
      <c r="AA221" s="669"/>
      <c r="AB221" s="669"/>
      <c r="AC221" s="669"/>
      <c r="AD221"/>
      <c r="AE221"/>
      <c r="AF221"/>
      <c r="AG221"/>
      <c r="AH221"/>
      <c r="AI221"/>
      <c r="AJ221" s="669"/>
    </row>
    <row r="222" spans="1:36" x14ac:dyDescent="0.2">
      <c r="A222"/>
      <c r="B222"/>
      <c r="C222"/>
      <c r="D222" s="669"/>
      <c r="E222" s="669"/>
      <c r="F222" s="669"/>
      <c r="G222" s="669"/>
      <c r="H222"/>
      <c r="I222"/>
      <c r="J222"/>
      <c r="K222"/>
      <c r="L222" s="669"/>
      <c r="M222" s="669"/>
      <c r="N222" s="669"/>
      <c r="O222" s="669"/>
      <c r="P222"/>
      <c r="Q222"/>
      <c r="R222"/>
      <c r="S222"/>
      <c r="T222"/>
      <c r="U222"/>
      <c r="V222"/>
      <c r="W222"/>
      <c r="X222"/>
      <c r="Y222"/>
      <c r="Z222" s="669"/>
      <c r="AA222" s="669"/>
      <c r="AB222" s="669"/>
      <c r="AC222" s="669"/>
      <c r="AD222"/>
      <c r="AE222"/>
      <c r="AF222"/>
      <c r="AG222"/>
      <c r="AH222"/>
      <c r="AI222"/>
      <c r="AJ222" s="669"/>
    </row>
    <row r="223" spans="1:36" x14ac:dyDescent="0.2">
      <c r="A223"/>
      <c r="B223"/>
      <c r="C223"/>
      <c r="D223" s="669"/>
      <c r="E223" s="669"/>
      <c r="F223" s="669"/>
      <c r="G223" s="669"/>
      <c r="H223"/>
      <c r="I223"/>
      <c r="J223"/>
      <c r="K223"/>
      <c r="L223" s="669"/>
      <c r="M223" s="669"/>
      <c r="N223" s="669"/>
      <c r="O223" s="669"/>
      <c r="P223"/>
      <c r="Q223"/>
      <c r="R223"/>
      <c r="S223"/>
      <c r="T223"/>
      <c r="U223"/>
      <c r="V223"/>
      <c r="W223"/>
      <c r="X223"/>
      <c r="Y223"/>
      <c r="Z223" s="669"/>
      <c r="AA223" s="669"/>
      <c r="AB223" s="669"/>
      <c r="AC223" s="669"/>
      <c r="AD223"/>
      <c r="AE223"/>
      <c r="AF223"/>
      <c r="AG223"/>
      <c r="AH223"/>
      <c r="AI223"/>
      <c r="AJ223" s="669"/>
    </row>
    <row r="224" spans="1:36" x14ac:dyDescent="0.2">
      <c r="A224"/>
      <c r="B224"/>
      <c r="C224"/>
      <c r="D224" s="669"/>
      <c r="E224" s="669"/>
      <c r="F224" s="669"/>
      <c r="G224" s="669"/>
      <c r="H224"/>
      <c r="I224"/>
      <c r="J224"/>
      <c r="K224"/>
      <c r="L224" s="669"/>
      <c r="M224" s="669"/>
      <c r="N224" s="669"/>
      <c r="O224" s="669"/>
      <c r="P224"/>
      <c r="Q224"/>
      <c r="R224"/>
      <c r="S224"/>
      <c r="T224"/>
      <c r="U224"/>
      <c r="V224"/>
      <c r="W224"/>
      <c r="X224"/>
      <c r="Y224"/>
      <c r="Z224" s="669"/>
      <c r="AA224" s="669"/>
      <c r="AB224" s="669"/>
      <c r="AC224" s="669"/>
      <c r="AD224"/>
      <c r="AE224"/>
      <c r="AF224"/>
      <c r="AG224"/>
      <c r="AH224"/>
      <c r="AI224"/>
      <c r="AJ224" s="669"/>
    </row>
    <row r="225" spans="1:36" x14ac:dyDescent="0.2">
      <c r="A225"/>
      <c r="B225"/>
      <c r="C225"/>
      <c r="D225" s="669"/>
      <c r="E225" s="669"/>
      <c r="F225" s="669"/>
      <c r="G225" s="669"/>
      <c r="H225"/>
      <c r="I225"/>
      <c r="J225"/>
      <c r="K225"/>
      <c r="L225" s="669"/>
      <c r="M225" s="669"/>
      <c r="N225" s="669"/>
      <c r="O225" s="669"/>
      <c r="P225"/>
      <c r="Q225"/>
      <c r="R225"/>
      <c r="S225"/>
      <c r="T225"/>
      <c r="U225"/>
      <c r="Z225" s="669"/>
      <c r="AA225" s="669"/>
      <c r="AB225" s="669"/>
      <c r="AC225" s="669"/>
      <c r="AD225"/>
      <c r="AE225"/>
      <c r="AF225"/>
      <c r="AG225"/>
      <c r="AH225"/>
      <c r="AI225"/>
      <c r="AJ225" s="669"/>
    </row>
    <row r="226" spans="1:36" x14ac:dyDescent="0.2">
      <c r="A226"/>
      <c r="B226"/>
      <c r="C226"/>
      <c r="D226" s="669"/>
      <c r="E226" s="669"/>
      <c r="F226" s="669"/>
      <c r="G226" s="669"/>
      <c r="H226"/>
      <c r="I226"/>
      <c r="J226"/>
      <c r="K226"/>
      <c r="L226" s="669"/>
      <c r="M226" s="669"/>
      <c r="N226" s="669"/>
      <c r="O226" s="669"/>
      <c r="P226"/>
      <c r="Q226"/>
      <c r="R226"/>
      <c r="S226"/>
      <c r="T226"/>
      <c r="U226"/>
      <c r="Z226" s="669"/>
      <c r="AA226" s="669"/>
      <c r="AB226" s="669"/>
      <c r="AC226" s="669"/>
      <c r="AD226"/>
      <c r="AE226"/>
      <c r="AF226"/>
      <c r="AG226"/>
      <c r="AH226"/>
      <c r="AI226"/>
      <c r="AJ226" s="669"/>
    </row>
    <row r="227" spans="1:36" x14ac:dyDescent="0.2">
      <c r="A227"/>
      <c r="B227"/>
      <c r="C227"/>
      <c r="D227" s="669"/>
      <c r="E227" s="669"/>
      <c r="F227" s="669"/>
      <c r="G227" s="669"/>
      <c r="H227"/>
      <c r="I227"/>
      <c r="J227"/>
      <c r="K227"/>
      <c r="L227" s="669"/>
      <c r="M227" s="669"/>
      <c r="N227" s="669"/>
      <c r="O227" s="669"/>
      <c r="P227"/>
      <c r="Q227"/>
      <c r="R227"/>
      <c r="S227"/>
      <c r="T227"/>
      <c r="U227"/>
      <c r="Z227" s="669"/>
      <c r="AA227" s="669"/>
      <c r="AB227" s="669"/>
      <c r="AC227" s="669"/>
      <c r="AD227"/>
      <c r="AG227"/>
      <c r="AH227"/>
      <c r="AI227"/>
      <c r="AJ227" s="669"/>
    </row>
    <row r="228" spans="1:36" x14ac:dyDescent="0.2">
      <c r="A228"/>
      <c r="B228"/>
      <c r="C228"/>
      <c r="D228" s="669"/>
      <c r="E228" s="669"/>
      <c r="F228" s="669"/>
      <c r="G228" s="669"/>
      <c r="H228"/>
      <c r="I228"/>
      <c r="J228"/>
      <c r="K228"/>
      <c r="L228" s="669"/>
      <c r="M228" s="669"/>
      <c r="N228" s="669"/>
      <c r="O228" s="669"/>
      <c r="P228"/>
      <c r="Q228"/>
      <c r="R228"/>
      <c r="S228"/>
      <c r="T228"/>
      <c r="U228"/>
      <c r="V228"/>
      <c r="W228"/>
      <c r="X228"/>
      <c r="Y228"/>
      <c r="Z228" s="669"/>
      <c r="AA228" s="669"/>
      <c r="AB228" s="669"/>
      <c r="AC228" s="669"/>
      <c r="AD228"/>
      <c r="AE228"/>
      <c r="AF228"/>
      <c r="AG228"/>
      <c r="AH228"/>
      <c r="AI228"/>
      <c r="AJ228" s="669"/>
    </row>
    <row r="229" spans="1:36" x14ac:dyDescent="0.2">
      <c r="A229"/>
      <c r="B229"/>
      <c r="C229"/>
      <c r="D229" s="669"/>
      <c r="E229" s="669"/>
      <c r="F229" s="669"/>
      <c r="G229" s="669"/>
      <c r="H229"/>
      <c r="I229"/>
      <c r="J229"/>
      <c r="K229"/>
      <c r="L229" s="669"/>
      <c r="M229" s="669"/>
      <c r="N229" s="669"/>
      <c r="O229" s="669"/>
      <c r="P229"/>
      <c r="Q229"/>
      <c r="R229"/>
      <c r="S229"/>
      <c r="T229"/>
      <c r="U229"/>
      <c r="V229"/>
      <c r="W229"/>
      <c r="X229"/>
      <c r="Y229"/>
      <c r="Z229" s="669"/>
      <c r="AA229" s="669"/>
      <c r="AB229" s="669"/>
      <c r="AC229" s="669"/>
      <c r="AD229"/>
      <c r="AE229"/>
      <c r="AF229"/>
      <c r="AG229"/>
      <c r="AH229"/>
      <c r="AI229"/>
      <c r="AJ229" s="669"/>
    </row>
    <row r="230" spans="1:36" x14ac:dyDescent="0.2">
      <c r="A230"/>
      <c r="B230"/>
      <c r="C230"/>
      <c r="D230" s="669"/>
      <c r="E230" s="669"/>
      <c r="F230" s="669"/>
      <c r="G230" s="669"/>
      <c r="H230"/>
      <c r="I230"/>
      <c r="J230"/>
      <c r="K230"/>
      <c r="L230" s="669"/>
      <c r="M230" s="669"/>
      <c r="N230" s="669"/>
      <c r="O230" s="669"/>
      <c r="P230"/>
      <c r="Q230"/>
      <c r="R230"/>
      <c r="S230"/>
      <c r="T230"/>
      <c r="U230"/>
      <c r="V230"/>
      <c r="W230"/>
      <c r="X230"/>
      <c r="Y230"/>
      <c r="Z230" s="669"/>
      <c r="AA230" s="669"/>
      <c r="AB230" s="669"/>
      <c r="AC230" s="669"/>
      <c r="AD230"/>
      <c r="AE230"/>
      <c r="AF230"/>
      <c r="AG230"/>
      <c r="AH230"/>
      <c r="AI230"/>
      <c r="AJ230" s="669"/>
    </row>
    <row r="231" spans="1:36" x14ac:dyDescent="0.2">
      <c r="A231"/>
      <c r="B231"/>
      <c r="C231"/>
      <c r="D231" s="669"/>
      <c r="E231" s="669"/>
      <c r="F231" s="669"/>
      <c r="G231" s="669"/>
      <c r="H231"/>
      <c r="I231"/>
      <c r="J231"/>
      <c r="K231"/>
      <c r="L231" s="669"/>
      <c r="M231" s="669"/>
      <c r="N231" s="669"/>
      <c r="O231" s="669"/>
      <c r="P231"/>
      <c r="Q231"/>
      <c r="R231"/>
      <c r="S231"/>
      <c r="T231"/>
      <c r="U231"/>
      <c r="V231"/>
      <c r="W231"/>
      <c r="X231"/>
      <c r="Y231"/>
      <c r="Z231" s="669"/>
      <c r="AA231" s="669"/>
      <c r="AB231" s="669"/>
      <c r="AC231" s="669"/>
      <c r="AD231"/>
      <c r="AE231"/>
      <c r="AF231"/>
      <c r="AG231"/>
      <c r="AH231"/>
      <c r="AI231"/>
      <c r="AJ231" s="669"/>
    </row>
    <row r="232" spans="1:36" x14ac:dyDescent="0.2">
      <c r="A232"/>
      <c r="B232"/>
      <c r="C232"/>
      <c r="D232" s="669"/>
      <c r="E232" s="669"/>
      <c r="F232" s="669"/>
      <c r="G232" s="669"/>
      <c r="H232"/>
      <c r="I232"/>
      <c r="J232"/>
      <c r="K232"/>
      <c r="L232" s="669"/>
      <c r="M232" s="669"/>
      <c r="N232" s="669"/>
      <c r="O232" s="669"/>
      <c r="P232"/>
      <c r="Q232"/>
      <c r="R232"/>
      <c r="S232"/>
      <c r="T232"/>
      <c r="U232"/>
      <c r="V232"/>
      <c r="W232"/>
      <c r="X232"/>
      <c r="Y232"/>
      <c r="Z232" s="669"/>
      <c r="AA232" s="669"/>
      <c r="AB232" s="669"/>
      <c r="AC232" s="669"/>
      <c r="AD232"/>
      <c r="AE232"/>
      <c r="AF232"/>
      <c r="AG232"/>
      <c r="AH232"/>
      <c r="AI232"/>
      <c r="AJ232" s="669"/>
    </row>
    <row r="233" spans="1:36" x14ac:dyDescent="0.2">
      <c r="A233"/>
      <c r="B233"/>
      <c r="C233"/>
      <c r="D233" s="669"/>
      <c r="E233" s="669"/>
      <c r="F233" s="669"/>
      <c r="G233" s="669"/>
      <c r="H233"/>
      <c r="I233"/>
      <c r="J233"/>
      <c r="K233"/>
      <c r="L233" s="669"/>
      <c r="M233" s="669"/>
      <c r="N233" s="669"/>
      <c r="O233" s="669"/>
      <c r="P233"/>
      <c r="Q233"/>
      <c r="R233"/>
      <c r="S233"/>
      <c r="T233"/>
      <c r="U233"/>
      <c r="V233"/>
      <c r="W233"/>
      <c r="X233"/>
      <c r="Y233"/>
      <c r="Z233" s="669"/>
      <c r="AA233" s="669"/>
      <c r="AB233" s="669"/>
      <c r="AC233" s="669"/>
      <c r="AD233"/>
      <c r="AE233"/>
      <c r="AF233"/>
      <c r="AG233"/>
      <c r="AH233"/>
      <c r="AI233"/>
      <c r="AJ233" s="669"/>
    </row>
    <row r="234" spans="1:36" x14ac:dyDescent="0.2">
      <c r="A234"/>
      <c r="B234"/>
      <c r="C234"/>
      <c r="D234" s="669"/>
      <c r="E234" s="669"/>
      <c r="F234" s="669"/>
      <c r="G234" s="669"/>
      <c r="H234"/>
      <c r="I234"/>
      <c r="J234"/>
      <c r="K234"/>
      <c r="L234" s="669"/>
      <c r="M234" s="669"/>
      <c r="N234" s="669"/>
      <c r="O234" s="669"/>
      <c r="P234"/>
      <c r="Q234"/>
      <c r="R234"/>
      <c r="S234"/>
      <c r="T234"/>
      <c r="U234"/>
      <c r="V234"/>
      <c r="W234"/>
      <c r="X234"/>
      <c r="Y234"/>
      <c r="Z234" s="669"/>
      <c r="AA234" s="669"/>
      <c r="AB234" s="669"/>
      <c r="AC234" s="669"/>
      <c r="AD234"/>
      <c r="AE234"/>
      <c r="AF234"/>
      <c r="AG234"/>
      <c r="AH234"/>
      <c r="AI234"/>
      <c r="AJ234" s="669"/>
    </row>
    <row r="235" spans="1:36" x14ac:dyDescent="0.2">
      <c r="A235"/>
      <c r="B235"/>
      <c r="C235"/>
      <c r="D235" s="669"/>
      <c r="E235" s="669"/>
      <c r="F235" s="669"/>
      <c r="G235" s="669"/>
      <c r="H235"/>
      <c r="I235"/>
      <c r="J235"/>
      <c r="K235"/>
      <c r="L235" s="669"/>
      <c r="M235" s="669"/>
      <c r="N235" s="669"/>
      <c r="O235" s="669"/>
      <c r="P235"/>
      <c r="Q235"/>
      <c r="R235"/>
      <c r="S235"/>
      <c r="T235"/>
      <c r="U235"/>
      <c r="V235"/>
      <c r="W235"/>
      <c r="X235"/>
      <c r="Y235"/>
      <c r="Z235" s="669"/>
      <c r="AA235" s="669"/>
      <c r="AB235" s="669"/>
      <c r="AC235" s="669"/>
      <c r="AD235"/>
      <c r="AE235"/>
      <c r="AF235"/>
      <c r="AG235"/>
      <c r="AH235"/>
      <c r="AI235"/>
      <c r="AJ235" s="669"/>
    </row>
    <row r="236" spans="1:36" x14ac:dyDescent="0.2">
      <c r="A236"/>
      <c r="B236"/>
      <c r="C236"/>
      <c r="D236" s="669"/>
      <c r="E236" s="669"/>
      <c r="F236" s="669"/>
      <c r="G236" s="669"/>
      <c r="H236"/>
      <c r="I236"/>
      <c r="J236"/>
      <c r="K236"/>
      <c r="L236" s="669"/>
      <c r="M236" s="669"/>
      <c r="N236" s="669"/>
      <c r="O236" s="669"/>
      <c r="P236"/>
      <c r="Q236"/>
      <c r="R236"/>
      <c r="S236"/>
      <c r="T236"/>
      <c r="U236"/>
      <c r="V236"/>
      <c r="W236"/>
      <c r="X236"/>
      <c r="Y236"/>
      <c r="Z236" s="669"/>
      <c r="AA236" s="669"/>
      <c r="AB236" s="669"/>
      <c r="AC236" s="669"/>
      <c r="AD236"/>
      <c r="AI236"/>
      <c r="AJ236" s="669"/>
    </row>
    <row r="237" spans="1:36" x14ac:dyDescent="0.2">
      <c r="A237"/>
      <c r="B237"/>
      <c r="C237"/>
      <c r="D237" s="669"/>
      <c r="E237" s="669"/>
      <c r="F237" s="669"/>
      <c r="G237" s="669"/>
      <c r="H237"/>
      <c r="I237"/>
      <c r="J237"/>
      <c r="K237"/>
      <c r="L237" s="669"/>
      <c r="M237" s="669"/>
      <c r="N237" s="669"/>
      <c r="O237" s="669"/>
      <c r="P237"/>
      <c r="Q237"/>
      <c r="R237"/>
      <c r="S237"/>
      <c r="T237"/>
      <c r="U237"/>
      <c r="Z237" s="669"/>
      <c r="AA237" s="669"/>
      <c r="AB237" s="669"/>
      <c r="AC237" s="669"/>
      <c r="AD237"/>
      <c r="AE237"/>
      <c r="AF237"/>
      <c r="AG237"/>
      <c r="AH237"/>
      <c r="AI237"/>
      <c r="AJ237" s="669"/>
    </row>
    <row r="238" spans="1:36" x14ac:dyDescent="0.2">
      <c r="A238"/>
      <c r="B238"/>
      <c r="C238"/>
      <c r="D238" s="669"/>
      <c r="E238" s="669"/>
      <c r="F238" s="669"/>
      <c r="G238" s="669"/>
      <c r="H238"/>
      <c r="I238"/>
      <c r="J238"/>
      <c r="K238"/>
      <c r="L238" s="669"/>
      <c r="M238" s="669"/>
      <c r="N238" s="669"/>
      <c r="O238" s="669"/>
      <c r="P238"/>
      <c r="Q238"/>
      <c r="R238"/>
      <c r="S238"/>
      <c r="T238"/>
      <c r="U238"/>
      <c r="Z238" s="669"/>
      <c r="AA238" s="669"/>
      <c r="AB238" s="669"/>
      <c r="AC238" s="669"/>
      <c r="AD238"/>
      <c r="AE238"/>
      <c r="AF238"/>
      <c r="AG238"/>
      <c r="AH238"/>
      <c r="AI238"/>
      <c r="AJ238" s="669"/>
    </row>
    <row r="239" spans="1:36" x14ac:dyDescent="0.2">
      <c r="A239"/>
      <c r="B239"/>
      <c r="C239"/>
      <c r="D239" s="669"/>
      <c r="E239" s="669"/>
      <c r="F239" s="669"/>
      <c r="G239" s="669"/>
      <c r="H239"/>
      <c r="I239"/>
      <c r="J239"/>
      <c r="K239"/>
      <c r="L239" s="669"/>
      <c r="M239" s="669"/>
      <c r="N239" s="669"/>
      <c r="O239" s="669"/>
      <c r="P239"/>
      <c r="Q239"/>
      <c r="R239"/>
      <c r="S239"/>
      <c r="T239"/>
      <c r="V239"/>
      <c r="W239"/>
      <c r="X239"/>
      <c r="Y239"/>
      <c r="Z239" s="669"/>
      <c r="AA239" s="669"/>
      <c r="AB239" s="669"/>
      <c r="AC239" s="669"/>
      <c r="AD239"/>
      <c r="AE239"/>
      <c r="AF239"/>
      <c r="AG239"/>
      <c r="AH239"/>
      <c r="AI239"/>
      <c r="AJ239" s="669"/>
    </row>
    <row r="240" spans="1:36" x14ac:dyDescent="0.2">
      <c r="A240"/>
      <c r="B240"/>
      <c r="C240"/>
      <c r="D240" s="669"/>
      <c r="E240" s="669"/>
      <c r="F240" s="669"/>
      <c r="G240" s="669"/>
      <c r="H240"/>
      <c r="I240"/>
      <c r="J240"/>
      <c r="K240"/>
      <c r="L240" s="669"/>
      <c r="M240" s="669"/>
      <c r="N240" s="669"/>
      <c r="O240" s="669"/>
      <c r="P240"/>
      <c r="Q240"/>
      <c r="R240"/>
      <c r="S240"/>
      <c r="T240"/>
      <c r="U240"/>
      <c r="V240"/>
      <c r="W240"/>
      <c r="X240"/>
      <c r="Y240"/>
      <c r="Z240" s="669"/>
      <c r="AA240" s="669"/>
      <c r="AB240" s="669"/>
      <c r="AC240" s="669"/>
      <c r="AD240"/>
      <c r="AE240"/>
      <c r="AF240"/>
      <c r="AG240"/>
      <c r="AH240"/>
      <c r="AI240"/>
      <c r="AJ240" s="669"/>
    </row>
    <row r="241" spans="1:36" x14ac:dyDescent="0.2">
      <c r="A241"/>
      <c r="B241"/>
      <c r="C241"/>
      <c r="D241" s="669"/>
      <c r="E241" s="669"/>
      <c r="F241" s="669"/>
      <c r="G241" s="669"/>
      <c r="H241"/>
      <c r="I241"/>
      <c r="J241"/>
      <c r="K241"/>
      <c r="L241" s="669"/>
      <c r="M241" s="669"/>
      <c r="N241" s="669"/>
      <c r="O241" s="669"/>
      <c r="P241"/>
      <c r="Q241"/>
      <c r="U241"/>
      <c r="V241"/>
      <c r="W241"/>
      <c r="X241"/>
      <c r="Y241"/>
      <c r="Z241" s="669"/>
      <c r="AA241" s="669"/>
      <c r="AB241" s="669"/>
      <c r="AC241" s="669"/>
      <c r="AD241"/>
      <c r="AE241"/>
      <c r="AF241"/>
      <c r="AG241"/>
      <c r="AH241"/>
      <c r="AI241"/>
      <c r="AJ241" s="669"/>
    </row>
    <row r="242" spans="1:36" x14ac:dyDescent="0.2">
      <c r="A242"/>
      <c r="B242"/>
      <c r="C242"/>
      <c r="D242" s="669"/>
      <c r="E242" s="669"/>
      <c r="F242" s="669"/>
      <c r="G242" s="669"/>
      <c r="H242"/>
      <c r="I242"/>
      <c r="J242"/>
      <c r="K242"/>
      <c r="L242" s="669"/>
      <c r="M242" s="669"/>
      <c r="N242" s="669"/>
      <c r="O242" s="669"/>
      <c r="P242"/>
      <c r="Q242"/>
      <c r="R242"/>
      <c r="S242"/>
      <c r="T242"/>
      <c r="U242"/>
      <c r="V242"/>
      <c r="W242"/>
      <c r="X242"/>
      <c r="Y242"/>
      <c r="Z242" s="669"/>
      <c r="AA242" s="669"/>
      <c r="AB242" s="669"/>
      <c r="AC242" s="669"/>
      <c r="AD242"/>
      <c r="AE242"/>
      <c r="AF242"/>
      <c r="AG242"/>
      <c r="AH242"/>
      <c r="AI242"/>
      <c r="AJ242" s="669"/>
    </row>
    <row r="243" spans="1:36" x14ac:dyDescent="0.2">
      <c r="A243"/>
      <c r="B243"/>
      <c r="C243"/>
      <c r="D243" s="669"/>
      <c r="E243" s="669"/>
      <c r="F243" s="669"/>
      <c r="G243" s="669"/>
      <c r="H243"/>
      <c r="I243"/>
      <c r="J243"/>
      <c r="K243"/>
      <c r="L243" s="669"/>
      <c r="M243" s="669"/>
      <c r="N243" s="669"/>
      <c r="O243" s="669"/>
      <c r="P243"/>
      <c r="Q243"/>
      <c r="R243"/>
      <c r="S243"/>
      <c r="T243"/>
      <c r="U243"/>
      <c r="V243"/>
      <c r="W243"/>
      <c r="X243"/>
      <c r="Y243"/>
      <c r="Z243" s="669"/>
      <c r="AA243" s="669"/>
      <c r="AB243" s="669"/>
      <c r="AC243" s="669"/>
      <c r="AD243"/>
      <c r="AE243"/>
      <c r="AF243"/>
      <c r="AG243"/>
      <c r="AH243"/>
      <c r="AI243"/>
      <c r="AJ243" s="669"/>
    </row>
    <row r="244" spans="1:36" x14ac:dyDescent="0.2">
      <c r="A244"/>
      <c r="B244"/>
      <c r="C244"/>
      <c r="D244" s="669"/>
      <c r="E244" s="669"/>
      <c r="F244" s="669"/>
      <c r="G244" s="669"/>
      <c r="H244"/>
      <c r="I244"/>
      <c r="J244"/>
      <c r="K244"/>
      <c r="L244" s="669"/>
      <c r="M244" s="669"/>
      <c r="N244" s="669"/>
      <c r="O244" s="669"/>
      <c r="P244"/>
      <c r="Q244"/>
      <c r="R244"/>
      <c r="S244"/>
      <c r="T244"/>
      <c r="U244"/>
      <c r="V244"/>
      <c r="W244"/>
      <c r="X244"/>
      <c r="Y244"/>
      <c r="Z244" s="669"/>
      <c r="AA244" s="669"/>
      <c r="AB244" s="669"/>
      <c r="AC244" s="669"/>
      <c r="AD244"/>
      <c r="AE244"/>
      <c r="AF244"/>
      <c r="AG244"/>
      <c r="AH244"/>
      <c r="AI244"/>
      <c r="AJ244" s="669"/>
    </row>
    <row r="245" spans="1:36" x14ac:dyDescent="0.2">
      <c r="A245"/>
      <c r="B245"/>
      <c r="C245"/>
      <c r="D245" s="669"/>
      <c r="E245" s="669"/>
      <c r="F245" s="669"/>
      <c r="G245" s="669"/>
      <c r="H245"/>
      <c r="I245"/>
      <c r="J245"/>
      <c r="K245"/>
      <c r="L245" s="669"/>
      <c r="M245" s="669"/>
      <c r="N245" s="669"/>
      <c r="O245" s="669"/>
      <c r="P245"/>
      <c r="Q245"/>
      <c r="R245"/>
      <c r="S245"/>
      <c r="T245"/>
      <c r="U245"/>
      <c r="V245"/>
      <c r="W245"/>
      <c r="X245"/>
      <c r="Y245"/>
      <c r="Z245" s="669"/>
      <c r="AA245" s="669"/>
      <c r="AB245" s="669"/>
      <c r="AC245" s="669"/>
      <c r="AD245"/>
      <c r="AG245"/>
      <c r="AH245"/>
      <c r="AI245"/>
      <c r="AJ245" s="669"/>
    </row>
    <row r="246" spans="1:36" x14ac:dyDescent="0.2">
      <c r="A246"/>
      <c r="B246"/>
      <c r="C246"/>
      <c r="D246" s="669"/>
      <c r="E246" s="669"/>
      <c r="F246" s="669"/>
      <c r="G246" s="669"/>
      <c r="H246"/>
      <c r="I246"/>
      <c r="J246"/>
      <c r="K246"/>
      <c r="L246" s="669"/>
      <c r="M246" s="669"/>
      <c r="N246" s="669"/>
      <c r="O246" s="669"/>
      <c r="P246"/>
      <c r="Q246"/>
      <c r="R246"/>
      <c r="S246"/>
      <c r="T246"/>
      <c r="U246"/>
      <c r="V246"/>
      <c r="W246"/>
      <c r="X246"/>
      <c r="Y246"/>
      <c r="Z246" s="669"/>
      <c r="AA246" s="669"/>
      <c r="AB246" s="669"/>
      <c r="AC246" s="669"/>
      <c r="AD246"/>
      <c r="AG246"/>
      <c r="AH246"/>
      <c r="AI246"/>
      <c r="AJ246" s="669"/>
    </row>
    <row r="247" spans="1:36" x14ac:dyDescent="0.2">
      <c r="A247"/>
      <c r="B247"/>
      <c r="C247"/>
      <c r="D247" s="669"/>
      <c r="E247" s="669"/>
      <c r="F247" s="669"/>
      <c r="G247" s="669"/>
      <c r="H247"/>
      <c r="I247"/>
      <c r="J247"/>
      <c r="K247"/>
      <c r="L247" s="669"/>
      <c r="M247" s="669"/>
      <c r="N247" s="669"/>
      <c r="O247" s="669"/>
      <c r="P247"/>
      <c r="Q247"/>
      <c r="R247"/>
      <c r="S247"/>
      <c r="T247"/>
      <c r="U247"/>
      <c r="Z247" s="669"/>
      <c r="AA247" s="669"/>
      <c r="AB247" s="669"/>
      <c r="AC247" s="669"/>
      <c r="AD247"/>
      <c r="AE247"/>
      <c r="AF247"/>
      <c r="AG247"/>
      <c r="AH247"/>
      <c r="AI247"/>
      <c r="AJ247" s="669"/>
    </row>
    <row r="248" spans="1:36" x14ac:dyDescent="0.2">
      <c r="A248"/>
      <c r="B248"/>
      <c r="C248"/>
      <c r="D248" s="669"/>
      <c r="E248" s="669"/>
      <c r="F248" s="669"/>
      <c r="G248" s="669"/>
      <c r="H248"/>
      <c r="I248"/>
      <c r="J248"/>
      <c r="K248"/>
      <c r="L248" s="669"/>
      <c r="M248" s="669"/>
      <c r="N248" s="669"/>
      <c r="O248" s="669"/>
      <c r="P248"/>
      <c r="Q248"/>
      <c r="R248"/>
      <c r="S248"/>
      <c r="T248"/>
      <c r="U248"/>
      <c r="V248"/>
      <c r="W248"/>
      <c r="X248"/>
      <c r="Y248"/>
      <c r="Z248" s="669"/>
      <c r="AA248" s="669"/>
      <c r="AB248" s="669"/>
      <c r="AC248" s="669"/>
      <c r="AD248"/>
      <c r="AE248"/>
      <c r="AF248"/>
      <c r="AG248"/>
      <c r="AH248"/>
      <c r="AI248"/>
      <c r="AJ248" s="669"/>
    </row>
    <row r="249" spans="1:36" x14ac:dyDescent="0.2">
      <c r="A249"/>
      <c r="B249"/>
      <c r="C249"/>
      <c r="D249" s="669"/>
      <c r="E249" s="669"/>
      <c r="F249" s="669"/>
      <c r="G249" s="669"/>
      <c r="H249"/>
      <c r="I249"/>
      <c r="J249"/>
      <c r="K249"/>
      <c r="L249" s="669"/>
      <c r="M249" s="669"/>
      <c r="N249" s="669"/>
      <c r="O249" s="669"/>
      <c r="P249"/>
      <c r="Q249"/>
      <c r="R249"/>
      <c r="S249"/>
      <c r="T249"/>
      <c r="U249"/>
      <c r="V249"/>
      <c r="W249"/>
      <c r="X249"/>
      <c r="Y249"/>
      <c r="Z249" s="669"/>
      <c r="AA249" s="669"/>
      <c r="AB249" s="669"/>
      <c r="AC249" s="669"/>
      <c r="AD249"/>
      <c r="AE249"/>
      <c r="AF249"/>
      <c r="AG249"/>
      <c r="AH249"/>
      <c r="AI249"/>
      <c r="AJ249" s="669"/>
    </row>
    <row r="250" spans="1:36" x14ac:dyDescent="0.2">
      <c r="A250"/>
      <c r="B250"/>
      <c r="C250"/>
      <c r="D250" s="669"/>
      <c r="E250" s="669"/>
      <c r="F250" s="669"/>
      <c r="G250" s="669"/>
      <c r="H250"/>
      <c r="I250"/>
      <c r="J250"/>
      <c r="K250"/>
      <c r="L250" s="669"/>
      <c r="M250" s="669"/>
      <c r="N250" s="669"/>
      <c r="O250" s="669"/>
      <c r="P250"/>
      <c r="Q250"/>
      <c r="R250"/>
      <c r="S250"/>
      <c r="T250"/>
      <c r="U250"/>
      <c r="V250"/>
      <c r="W250"/>
      <c r="X250"/>
      <c r="Y250"/>
      <c r="Z250" s="669"/>
      <c r="AA250" s="669"/>
      <c r="AB250" s="669"/>
      <c r="AC250" s="669"/>
      <c r="AD250"/>
      <c r="AE250"/>
      <c r="AF250"/>
      <c r="AG250"/>
      <c r="AH250"/>
      <c r="AI250"/>
      <c r="AJ250" s="669"/>
    </row>
    <row r="251" spans="1:36" x14ac:dyDescent="0.2">
      <c r="A251"/>
      <c r="B251"/>
      <c r="C251"/>
      <c r="D251" s="669"/>
      <c r="E251" s="669"/>
      <c r="F251" s="669"/>
      <c r="G251" s="669"/>
      <c r="H251"/>
      <c r="I251"/>
      <c r="J251"/>
      <c r="K251"/>
      <c r="L251" s="669"/>
      <c r="M251" s="669"/>
      <c r="N251" s="669"/>
      <c r="O251" s="669"/>
      <c r="P251"/>
      <c r="Q251"/>
      <c r="R251"/>
      <c r="S251"/>
      <c r="T251"/>
      <c r="U251"/>
      <c r="V251"/>
      <c r="W251"/>
      <c r="X251"/>
      <c r="Y251"/>
      <c r="Z251" s="669"/>
      <c r="AA251" s="669"/>
      <c r="AB251" s="669"/>
      <c r="AC251" s="669"/>
      <c r="AD251"/>
      <c r="AE251"/>
      <c r="AF251"/>
      <c r="AG251"/>
      <c r="AH251"/>
      <c r="AI251"/>
      <c r="AJ251" s="669"/>
    </row>
    <row r="252" spans="1:36" x14ac:dyDescent="0.2">
      <c r="A252"/>
      <c r="B252"/>
      <c r="C252"/>
      <c r="D252" s="669"/>
      <c r="E252" s="669"/>
      <c r="F252" s="669"/>
      <c r="G252" s="669"/>
      <c r="H252"/>
      <c r="I252"/>
      <c r="J252"/>
      <c r="K252"/>
      <c r="L252" s="669"/>
      <c r="M252" s="669"/>
      <c r="N252" s="669"/>
      <c r="O252" s="669"/>
      <c r="P252"/>
      <c r="Q252"/>
      <c r="R252"/>
      <c r="S252"/>
      <c r="T252"/>
      <c r="U252"/>
      <c r="V252"/>
      <c r="W252"/>
      <c r="X252"/>
      <c r="Y252"/>
      <c r="Z252" s="669"/>
      <c r="AA252" s="669"/>
      <c r="AB252" s="669"/>
      <c r="AC252" s="669"/>
      <c r="AD252"/>
      <c r="AE252"/>
      <c r="AF252"/>
      <c r="AG252"/>
      <c r="AH252"/>
      <c r="AI252"/>
      <c r="AJ252" s="669"/>
    </row>
    <row r="253" spans="1:36" x14ac:dyDescent="0.2">
      <c r="A253"/>
      <c r="B253"/>
      <c r="C253"/>
      <c r="D253" s="669"/>
      <c r="E253" s="669"/>
      <c r="F253" s="669"/>
      <c r="G253" s="669"/>
      <c r="H253"/>
      <c r="I253"/>
      <c r="J253"/>
      <c r="K253"/>
      <c r="L253" s="669"/>
      <c r="M253" s="669"/>
      <c r="N253" s="669"/>
      <c r="O253" s="669"/>
      <c r="P253"/>
      <c r="Q253"/>
      <c r="R253"/>
      <c r="S253"/>
      <c r="T253"/>
      <c r="U253"/>
      <c r="V253"/>
      <c r="W253"/>
      <c r="X253"/>
      <c r="Y253"/>
      <c r="Z253" s="669"/>
      <c r="AA253" s="669"/>
      <c r="AB253" s="669"/>
      <c r="AC253" s="669"/>
      <c r="AD253"/>
      <c r="AE253"/>
      <c r="AF253"/>
      <c r="AG253"/>
      <c r="AH253"/>
      <c r="AI253"/>
      <c r="AJ253" s="669"/>
    </row>
    <row r="254" spans="1:36" x14ac:dyDescent="0.2">
      <c r="A254"/>
      <c r="B254"/>
      <c r="C254"/>
      <c r="D254" s="669"/>
      <c r="E254" s="669"/>
      <c r="F254" s="669"/>
      <c r="G254" s="669"/>
      <c r="H254"/>
      <c r="I254"/>
      <c r="J254"/>
      <c r="K254"/>
      <c r="L254" s="669"/>
      <c r="M254" s="669"/>
      <c r="N254" s="669"/>
      <c r="O254" s="669"/>
      <c r="P254"/>
      <c r="Q254"/>
      <c r="R254"/>
      <c r="S254"/>
      <c r="T254"/>
      <c r="U254"/>
      <c r="V254"/>
      <c r="W254"/>
      <c r="X254"/>
      <c r="Y254"/>
      <c r="Z254" s="669"/>
      <c r="AA254" s="669"/>
      <c r="AB254" s="669"/>
      <c r="AC254" s="669"/>
      <c r="AD254"/>
      <c r="AE254"/>
      <c r="AF254"/>
      <c r="AG254"/>
      <c r="AH254"/>
      <c r="AI254"/>
      <c r="AJ254" s="669"/>
    </row>
    <row r="255" spans="1:36" x14ac:dyDescent="0.2">
      <c r="A255"/>
      <c r="B255"/>
      <c r="C255"/>
      <c r="D255" s="669"/>
      <c r="E255" s="669"/>
      <c r="F255" s="669"/>
      <c r="G255" s="669"/>
      <c r="H255"/>
      <c r="I255"/>
      <c r="J255"/>
      <c r="K255"/>
      <c r="L255" s="669"/>
      <c r="M255" s="669"/>
      <c r="N255" s="669"/>
      <c r="O255" s="669"/>
      <c r="P255"/>
      <c r="Q255"/>
      <c r="R255"/>
      <c r="S255"/>
      <c r="T255"/>
      <c r="U255"/>
      <c r="V255"/>
      <c r="W255"/>
      <c r="X255"/>
      <c r="Y255"/>
      <c r="Z255" s="669"/>
      <c r="AA255" s="669"/>
      <c r="AB255" s="669"/>
      <c r="AC255" s="669"/>
      <c r="AD255"/>
      <c r="AE255"/>
      <c r="AF255"/>
      <c r="AG255"/>
      <c r="AH255"/>
      <c r="AI255"/>
      <c r="AJ255" s="669"/>
    </row>
    <row r="256" spans="1:36" x14ac:dyDescent="0.2">
      <c r="A256"/>
      <c r="B256"/>
      <c r="C256"/>
      <c r="D256" s="669"/>
      <c r="E256" s="669"/>
      <c r="F256" s="669"/>
      <c r="G256" s="669"/>
      <c r="H256"/>
      <c r="I256"/>
      <c r="J256"/>
      <c r="K256"/>
      <c r="L256" s="669"/>
      <c r="M256" s="669"/>
      <c r="N256" s="669"/>
      <c r="O256" s="669"/>
      <c r="P256"/>
      <c r="Q256"/>
      <c r="R256"/>
      <c r="S256"/>
      <c r="T256"/>
      <c r="U256"/>
      <c r="V256"/>
      <c r="W256"/>
      <c r="X256"/>
      <c r="Y256"/>
      <c r="Z256" s="669"/>
      <c r="AA256" s="669"/>
      <c r="AB256" s="669"/>
      <c r="AC256" s="669"/>
      <c r="AD256"/>
      <c r="AE256"/>
      <c r="AF256"/>
      <c r="AG256"/>
      <c r="AH256"/>
      <c r="AI256"/>
      <c r="AJ256" s="669"/>
    </row>
    <row r="257" spans="1:36" x14ac:dyDescent="0.2">
      <c r="A257"/>
      <c r="B257"/>
      <c r="C257"/>
      <c r="D257" s="669"/>
      <c r="E257" s="669"/>
      <c r="F257" s="669"/>
      <c r="G257" s="669"/>
      <c r="H257"/>
      <c r="I257"/>
      <c r="J257"/>
      <c r="K257"/>
      <c r="L257" s="669"/>
      <c r="M257" s="669"/>
      <c r="N257" s="669"/>
      <c r="O257" s="669"/>
      <c r="P257"/>
      <c r="Q257"/>
      <c r="R257"/>
      <c r="S257"/>
      <c r="T257"/>
      <c r="U257"/>
      <c r="V257"/>
      <c r="W257"/>
      <c r="X257"/>
      <c r="Y257"/>
      <c r="Z257" s="669"/>
      <c r="AA257" s="669"/>
      <c r="AB257" s="669"/>
      <c r="AC257" s="669"/>
      <c r="AD257"/>
      <c r="AE257"/>
      <c r="AF257"/>
      <c r="AI257"/>
      <c r="AJ257" s="669"/>
    </row>
    <row r="258" spans="1:36" x14ac:dyDescent="0.2">
      <c r="A258"/>
      <c r="B258"/>
      <c r="C258"/>
      <c r="D258" s="669"/>
      <c r="E258" s="669"/>
      <c r="F258" s="669"/>
      <c r="G258" s="669"/>
      <c r="H258"/>
      <c r="I258"/>
      <c r="J258"/>
      <c r="K258"/>
      <c r="L258" s="669"/>
      <c r="M258" s="669"/>
      <c r="N258" s="669"/>
      <c r="O258" s="669"/>
      <c r="P258"/>
      <c r="Q258"/>
      <c r="R258"/>
      <c r="S258"/>
      <c r="T258"/>
      <c r="U258"/>
      <c r="V258"/>
      <c r="W258"/>
      <c r="X258"/>
      <c r="Y258"/>
      <c r="Z258" s="669"/>
      <c r="AA258" s="669"/>
      <c r="AB258" s="669"/>
      <c r="AC258" s="669"/>
      <c r="AD258"/>
      <c r="AE258"/>
      <c r="AF258"/>
      <c r="AG258"/>
      <c r="AH258"/>
      <c r="AI258"/>
      <c r="AJ258" s="669"/>
    </row>
    <row r="259" spans="1:36" x14ac:dyDescent="0.2">
      <c r="A259"/>
      <c r="B259"/>
      <c r="C259"/>
      <c r="D259" s="669"/>
      <c r="E259" s="669"/>
      <c r="F259" s="669"/>
      <c r="G259" s="669"/>
      <c r="H259"/>
      <c r="I259"/>
      <c r="J259"/>
      <c r="K259"/>
      <c r="L259" s="669"/>
      <c r="M259" s="669"/>
      <c r="N259" s="669"/>
      <c r="O259" s="669"/>
      <c r="P259"/>
      <c r="Q259"/>
      <c r="R259"/>
      <c r="S259"/>
      <c r="T259"/>
      <c r="U259"/>
      <c r="V259"/>
      <c r="W259"/>
      <c r="X259"/>
      <c r="Y259"/>
      <c r="Z259" s="669"/>
      <c r="AA259" s="669"/>
      <c r="AB259" s="669"/>
      <c r="AC259" s="669"/>
      <c r="AD259"/>
      <c r="AE259"/>
      <c r="AF259"/>
      <c r="AG259"/>
      <c r="AH259"/>
      <c r="AI259"/>
      <c r="AJ259" s="669"/>
    </row>
    <row r="260" spans="1:36" x14ac:dyDescent="0.2">
      <c r="A260"/>
      <c r="B260"/>
      <c r="C260"/>
      <c r="D260" s="669"/>
      <c r="E260" s="669"/>
      <c r="F260" s="669"/>
      <c r="G260" s="669"/>
      <c r="H260"/>
      <c r="I260"/>
      <c r="J260"/>
      <c r="K260"/>
      <c r="L260" s="669"/>
      <c r="M260" s="669"/>
      <c r="N260" s="669"/>
      <c r="O260" s="669"/>
      <c r="P260"/>
      <c r="Q260"/>
      <c r="R260"/>
      <c r="S260"/>
      <c r="T260"/>
      <c r="U260"/>
      <c r="V260"/>
      <c r="W260"/>
      <c r="X260"/>
      <c r="Y260"/>
      <c r="Z260" s="669"/>
      <c r="AA260" s="669"/>
      <c r="AB260" s="669"/>
      <c r="AC260" s="669"/>
      <c r="AD260"/>
      <c r="AE260"/>
      <c r="AF260"/>
      <c r="AI260"/>
      <c r="AJ260" s="669"/>
    </row>
    <row r="261" spans="1:36" x14ac:dyDescent="0.2">
      <c r="A261"/>
      <c r="B261"/>
      <c r="C261"/>
      <c r="D261" s="669"/>
      <c r="E261" s="669"/>
      <c r="F261" s="669"/>
      <c r="G261" s="669"/>
      <c r="H261"/>
      <c r="I261"/>
      <c r="J261"/>
      <c r="K261"/>
      <c r="L261" s="669"/>
      <c r="M261" s="669"/>
      <c r="N261" s="669"/>
      <c r="O261" s="669"/>
      <c r="P261"/>
      <c r="Q261"/>
      <c r="R261"/>
      <c r="S261"/>
      <c r="T261"/>
      <c r="U261"/>
      <c r="V261"/>
      <c r="W261"/>
      <c r="X261"/>
      <c r="Y261"/>
      <c r="Z261" s="669"/>
      <c r="AA261" s="669"/>
      <c r="AB261" s="669"/>
      <c r="AC261" s="669"/>
      <c r="AD261"/>
      <c r="AE261"/>
      <c r="AF261"/>
      <c r="AI261"/>
      <c r="AJ261" s="669"/>
    </row>
    <row r="262" spans="1:36" x14ac:dyDescent="0.2">
      <c r="A262"/>
      <c r="B262"/>
      <c r="C262"/>
      <c r="D262" s="669"/>
      <c r="E262" s="669"/>
      <c r="F262" s="669"/>
      <c r="G262" s="669"/>
      <c r="H262"/>
      <c r="I262"/>
      <c r="J262"/>
      <c r="K262"/>
      <c r="L262" s="669"/>
      <c r="M262" s="669"/>
      <c r="N262" s="669"/>
      <c r="O262" s="669"/>
      <c r="P262"/>
      <c r="Q262"/>
      <c r="R262"/>
      <c r="S262"/>
      <c r="T262"/>
      <c r="U262"/>
      <c r="V262"/>
      <c r="W262"/>
      <c r="X262"/>
      <c r="Y262"/>
      <c r="Z262" s="669"/>
      <c r="AA262" s="669"/>
      <c r="AB262" s="669"/>
      <c r="AC262" s="669"/>
      <c r="AD262"/>
      <c r="AE262"/>
      <c r="AF262"/>
      <c r="AG262"/>
      <c r="AI262"/>
      <c r="AJ262" s="669"/>
    </row>
    <row r="263" spans="1:36" x14ac:dyDescent="0.2">
      <c r="A263"/>
      <c r="B263"/>
      <c r="C263"/>
      <c r="D263" s="669"/>
      <c r="E263" s="669"/>
      <c r="F263" s="669"/>
      <c r="G263" s="669"/>
      <c r="H263"/>
      <c r="I263"/>
      <c r="J263"/>
      <c r="K263"/>
      <c r="L263" s="669"/>
      <c r="M263" s="669"/>
      <c r="N263" s="669"/>
      <c r="O263" s="669"/>
      <c r="P263"/>
      <c r="Q263"/>
      <c r="R263"/>
      <c r="S263"/>
      <c r="T263"/>
      <c r="U263"/>
      <c r="V263"/>
      <c r="W263"/>
      <c r="X263"/>
      <c r="Y263"/>
      <c r="Z263" s="669"/>
      <c r="AA263" s="669"/>
      <c r="AB263" s="669"/>
      <c r="AC263" s="669"/>
      <c r="AD263"/>
      <c r="AE263"/>
      <c r="AF263"/>
      <c r="AG263"/>
      <c r="AH263"/>
      <c r="AI263"/>
      <c r="AJ263" s="669"/>
    </row>
    <row r="264" spans="1:36" x14ac:dyDescent="0.2">
      <c r="A264"/>
      <c r="B264"/>
      <c r="C264"/>
      <c r="D264" s="669"/>
      <c r="E264" s="669"/>
      <c r="F264" s="669"/>
      <c r="G264" s="669"/>
      <c r="H264"/>
      <c r="I264"/>
      <c r="J264"/>
      <c r="K264"/>
      <c r="L264" s="669"/>
      <c r="M264" s="669"/>
      <c r="N264" s="669"/>
      <c r="O264" s="669"/>
      <c r="P264"/>
      <c r="Q264"/>
      <c r="R264"/>
      <c r="S264"/>
      <c r="T264"/>
      <c r="U264"/>
      <c r="V264"/>
      <c r="W264"/>
      <c r="X264"/>
      <c r="Y264"/>
      <c r="Z264" s="669"/>
      <c r="AA264" s="669"/>
      <c r="AB264" s="669"/>
      <c r="AC264" s="669"/>
      <c r="AD264"/>
      <c r="AE264"/>
      <c r="AF264"/>
      <c r="AG264"/>
      <c r="AH264"/>
      <c r="AI264"/>
      <c r="AJ264" s="669"/>
    </row>
    <row r="265" spans="1:36" x14ac:dyDescent="0.2">
      <c r="A265"/>
      <c r="B265"/>
      <c r="C265"/>
      <c r="D265" s="669"/>
      <c r="E265" s="669"/>
      <c r="F265" s="669"/>
      <c r="G265" s="669"/>
      <c r="H265"/>
      <c r="I265"/>
      <c r="J265"/>
      <c r="K265"/>
      <c r="L265" s="669"/>
      <c r="M265" s="669"/>
      <c r="N265" s="669"/>
      <c r="O265" s="669"/>
      <c r="P265"/>
      <c r="Q265"/>
      <c r="R265"/>
      <c r="S265"/>
      <c r="T265"/>
      <c r="U265"/>
      <c r="V265"/>
      <c r="W265"/>
      <c r="X265"/>
      <c r="Y265"/>
      <c r="Z265" s="669"/>
      <c r="AA265" s="669"/>
      <c r="AB265" s="669"/>
      <c r="AC265" s="669"/>
      <c r="AD265"/>
      <c r="AE265"/>
      <c r="AF265"/>
      <c r="AG265"/>
      <c r="AH265"/>
      <c r="AI265"/>
      <c r="AJ265" s="669"/>
    </row>
    <row r="266" spans="1:36" x14ac:dyDescent="0.2">
      <c r="A266"/>
      <c r="B266"/>
      <c r="C266"/>
      <c r="D266" s="669"/>
      <c r="E266" s="669"/>
      <c r="F266" s="669"/>
      <c r="G266" s="669"/>
      <c r="H266"/>
      <c r="I266"/>
      <c r="J266"/>
      <c r="K266"/>
      <c r="L266" s="669"/>
      <c r="M266" s="669"/>
      <c r="N266" s="669"/>
      <c r="O266" s="669"/>
      <c r="P266"/>
      <c r="Q266"/>
      <c r="R266"/>
      <c r="S266"/>
      <c r="T266"/>
      <c r="U266"/>
      <c r="V266"/>
      <c r="W266"/>
      <c r="X266"/>
      <c r="Y266"/>
      <c r="Z266" s="669"/>
      <c r="AA266" s="669"/>
      <c r="AB266" s="669"/>
      <c r="AC266" s="669"/>
      <c r="AD266"/>
      <c r="AE266"/>
      <c r="AF266"/>
      <c r="AG266"/>
      <c r="AH266"/>
      <c r="AI266"/>
      <c r="AJ266" s="669"/>
    </row>
    <row r="267" spans="1:36" x14ac:dyDescent="0.2">
      <c r="A267"/>
      <c r="B267"/>
      <c r="C267"/>
      <c r="D267" s="669"/>
      <c r="E267" s="669"/>
      <c r="F267" s="669"/>
      <c r="G267" s="669"/>
      <c r="H267"/>
      <c r="I267"/>
      <c r="J267"/>
      <c r="K267"/>
      <c r="L267" s="669"/>
      <c r="M267" s="669"/>
      <c r="N267" s="669"/>
      <c r="O267" s="669"/>
      <c r="P267"/>
      <c r="Q267"/>
      <c r="R267"/>
      <c r="S267"/>
      <c r="T267"/>
      <c r="U267"/>
      <c r="V267"/>
      <c r="W267"/>
      <c r="X267"/>
      <c r="Y267"/>
      <c r="Z267" s="669"/>
      <c r="AA267" s="669"/>
      <c r="AB267" s="669"/>
      <c r="AC267" s="669"/>
      <c r="AD267"/>
      <c r="AE267"/>
      <c r="AF267"/>
      <c r="AG267"/>
      <c r="AH267"/>
      <c r="AI267"/>
      <c r="AJ267" s="669"/>
    </row>
    <row r="268" spans="1:36" x14ac:dyDescent="0.2">
      <c r="A268"/>
      <c r="B268"/>
      <c r="C268"/>
      <c r="D268" s="669"/>
      <c r="E268" s="669"/>
      <c r="F268" s="669"/>
      <c r="G268" s="669"/>
      <c r="H268"/>
      <c r="I268"/>
      <c r="J268"/>
      <c r="K268"/>
      <c r="L268" s="669"/>
      <c r="M268" s="669"/>
      <c r="N268" s="669"/>
      <c r="O268" s="669"/>
      <c r="P268"/>
      <c r="Q268"/>
      <c r="R268"/>
      <c r="S268"/>
      <c r="T268"/>
      <c r="U268"/>
      <c r="V268"/>
      <c r="W268"/>
      <c r="X268"/>
      <c r="Y268"/>
      <c r="Z268" s="669"/>
      <c r="AA268" s="669"/>
      <c r="AB268" s="669"/>
      <c r="AC268" s="669"/>
      <c r="AD268"/>
      <c r="AE268"/>
      <c r="AF268"/>
      <c r="AG268"/>
      <c r="AH268"/>
      <c r="AI268"/>
      <c r="AJ268" s="669"/>
    </row>
    <row r="269" spans="1:36" x14ac:dyDescent="0.2">
      <c r="A269"/>
      <c r="B269"/>
      <c r="C269"/>
      <c r="D269" s="669"/>
      <c r="E269" s="669"/>
      <c r="F269" s="669"/>
      <c r="G269" s="669"/>
      <c r="H269"/>
      <c r="I269"/>
      <c r="J269"/>
      <c r="K269"/>
      <c r="L269" s="669"/>
      <c r="M269" s="669"/>
      <c r="N269" s="669"/>
      <c r="O269" s="669"/>
      <c r="P269"/>
      <c r="Q269"/>
      <c r="R269"/>
      <c r="S269"/>
      <c r="T269"/>
      <c r="U269"/>
      <c r="V269"/>
      <c r="W269"/>
      <c r="X269"/>
      <c r="Y269"/>
      <c r="Z269" s="669"/>
      <c r="AA269" s="669"/>
      <c r="AB269" s="669"/>
      <c r="AC269" s="669"/>
      <c r="AD269"/>
      <c r="AE269"/>
      <c r="AF269"/>
      <c r="AG269"/>
      <c r="AH269"/>
      <c r="AI269"/>
      <c r="AJ269" s="669"/>
    </row>
    <row r="270" spans="1:36" x14ac:dyDescent="0.2">
      <c r="A270"/>
      <c r="B270"/>
      <c r="C270"/>
      <c r="D270" s="669"/>
      <c r="E270" s="669"/>
      <c r="F270" s="669"/>
      <c r="G270" s="669"/>
      <c r="H270"/>
      <c r="I270"/>
      <c r="J270"/>
      <c r="K270"/>
      <c r="L270" s="669"/>
      <c r="M270" s="669"/>
      <c r="N270" s="669"/>
      <c r="O270" s="669"/>
      <c r="P270"/>
      <c r="Q270"/>
      <c r="R270"/>
      <c r="S270"/>
      <c r="T270"/>
      <c r="U270"/>
      <c r="V270"/>
      <c r="W270"/>
      <c r="X270"/>
      <c r="Y270"/>
      <c r="Z270" s="669"/>
      <c r="AA270" s="669"/>
      <c r="AB270" s="669"/>
      <c r="AC270" s="669"/>
      <c r="AD270"/>
      <c r="AE270"/>
      <c r="AF270"/>
      <c r="AG270"/>
      <c r="AH270"/>
      <c r="AI270"/>
      <c r="AJ270" s="669"/>
    </row>
    <row r="271" spans="1:36" x14ac:dyDescent="0.2">
      <c r="A271"/>
      <c r="B271"/>
      <c r="C271"/>
      <c r="D271" s="669"/>
      <c r="E271" s="669"/>
      <c r="F271" s="669"/>
      <c r="G271" s="669"/>
      <c r="H271"/>
      <c r="I271"/>
      <c r="J271"/>
      <c r="K271"/>
      <c r="L271" s="669"/>
      <c r="M271" s="669"/>
      <c r="N271" s="669"/>
      <c r="O271" s="669"/>
      <c r="P271"/>
      <c r="Q271"/>
      <c r="R271"/>
      <c r="S271"/>
      <c r="T271"/>
      <c r="U271"/>
      <c r="V271"/>
      <c r="W271"/>
      <c r="X271"/>
      <c r="Y271"/>
      <c r="Z271" s="669"/>
      <c r="AA271" s="669"/>
      <c r="AB271" s="669"/>
      <c r="AC271" s="669"/>
      <c r="AD271"/>
      <c r="AE271"/>
      <c r="AF271"/>
      <c r="AG271"/>
      <c r="AH271"/>
      <c r="AI271"/>
      <c r="AJ271" s="669"/>
    </row>
    <row r="272" spans="1:36" x14ac:dyDescent="0.2">
      <c r="A272"/>
      <c r="B272"/>
      <c r="C272"/>
      <c r="D272" s="669"/>
      <c r="E272" s="669"/>
      <c r="F272" s="669"/>
      <c r="G272" s="669"/>
      <c r="H272"/>
      <c r="I272"/>
      <c r="J272"/>
      <c r="K272"/>
      <c r="L272" s="669"/>
      <c r="M272" s="669"/>
      <c r="N272" s="669"/>
      <c r="O272" s="669"/>
      <c r="P272"/>
      <c r="Q272"/>
      <c r="R272"/>
      <c r="S272"/>
      <c r="T272"/>
      <c r="U272"/>
      <c r="Z272" s="669"/>
      <c r="AA272" s="669"/>
      <c r="AB272" s="669"/>
      <c r="AC272" s="669"/>
      <c r="AD272"/>
      <c r="AJ272" s="669"/>
    </row>
    <row r="273" spans="1:38" x14ac:dyDescent="0.2">
      <c r="A273"/>
      <c r="B273"/>
      <c r="C273"/>
      <c r="D273" s="669"/>
      <c r="E273" s="669"/>
      <c r="F273" s="669"/>
      <c r="G273" s="669"/>
      <c r="H273"/>
      <c r="I273"/>
      <c r="J273"/>
      <c r="K273"/>
      <c r="L273" s="669"/>
      <c r="M273" s="669"/>
      <c r="N273" s="669"/>
      <c r="O273" s="669"/>
      <c r="P273"/>
      <c r="Q273"/>
      <c r="R273"/>
      <c r="S273"/>
      <c r="T273"/>
      <c r="U273"/>
      <c r="V273"/>
      <c r="W273"/>
      <c r="X273"/>
      <c r="Y273"/>
      <c r="Z273" s="669"/>
      <c r="AA273" s="669"/>
      <c r="AB273" s="669"/>
      <c r="AC273" s="669"/>
      <c r="AD273"/>
      <c r="AE273"/>
      <c r="AF273"/>
      <c r="AG273"/>
      <c r="AH273"/>
      <c r="AI273"/>
      <c r="AJ273" s="669"/>
    </row>
    <row r="274" spans="1:38" x14ac:dyDescent="0.2">
      <c r="A274"/>
      <c r="B274"/>
      <c r="C274"/>
      <c r="D274" s="669"/>
      <c r="E274" s="669"/>
      <c r="F274" s="669"/>
      <c r="G274" s="669"/>
      <c r="H274"/>
      <c r="I274"/>
      <c r="J274"/>
      <c r="K274"/>
      <c r="L274" s="669"/>
      <c r="M274" s="669"/>
      <c r="N274" s="669"/>
      <c r="O274" s="669"/>
      <c r="P274"/>
      <c r="Q274"/>
      <c r="R274"/>
      <c r="S274"/>
      <c r="T274"/>
      <c r="U274"/>
      <c r="V274"/>
      <c r="W274"/>
      <c r="X274"/>
      <c r="Y274"/>
      <c r="Z274" s="669"/>
      <c r="AA274" s="669"/>
      <c r="AB274" s="669"/>
      <c r="AC274" s="669"/>
      <c r="AD274"/>
      <c r="AE274"/>
      <c r="AF274"/>
      <c r="AG274"/>
      <c r="AH274"/>
      <c r="AI274"/>
      <c r="AJ274" s="669"/>
    </row>
    <row r="275" spans="1:38" x14ac:dyDescent="0.2">
      <c r="A275"/>
      <c r="B275"/>
      <c r="C275"/>
      <c r="D275" s="669"/>
      <c r="E275" s="669"/>
      <c r="F275" s="669"/>
      <c r="G275" s="669"/>
      <c r="H275"/>
      <c r="I275"/>
      <c r="J275"/>
      <c r="K275"/>
      <c r="L275" s="669"/>
      <c r="M275" s="669"/>
      <c r="N275" s="669"/>
      <c r="O275" s="669"/>
      <c r="P275"/>
      <c r="Q275"/>
      <c r="R275"/>
      <c r="S275"/>
      <c r="T275"/>
      <c r="U275"/>
      <c r="V275"/>
      <c r="W275"/>
      <c r="X275"/>
      <c r="Y275"/>
      <c r="Z275" s="669"/>
      <c r="AA275" s="669"/>
      <c r="AB275" s="669"/>
      <c r="AC275" s="669"/>
      <c r="AD275"/>
      <c r="AE275"/>
      <c r="AF275"/>
      <c r="AG275"/>
      <c r="AH275"/>
      <c r="AI275"/>
      <c r="AJ275" s="669"/>
    </row>
    <row r="276" spans="1:38" x14ac:dyDescent="0.2">
      <c r="A276"/>
      <c r="B276"/>
      <c r="C276"/>
      <c r="D276" s="669"/>
      <c r="E276" s="669"/>
      <c r="F276" s="669"/>
      <c r="G276" s="669"/>
      <c r="H276"/>
      <c r="I276"/>
      <c r="J276"/>
      <c r="K276"/>
      <c r="L276" s="669"/>
      <c r="M276" s="669"/>
      <c r="N276" s="669"/>
      <c r="O276" s="669"/>
      <c r="P276"/>
      <c r="Q276"/>
      <c r="R276"/>
      <c r="S276"/>
      <c r="T276"/>
      <c r="U276"/>
      <c r="Z276" s="669"/>
      <c r="AA276" s="669"/>
      <c r="AB276" s="669"/>
      <c r="AC276" s="669"/>
      <c r="AD276"/>
      <c r="AE276"/>
      <c r="AF276"/>
      <c r="AG276"/>
      <c r="AH276"/>
      <c r="AI276"/>
      <c r="AJ276" s="669"/>
    </row>
    <row r="277" spans="1:38" x14ac:dyDescent="0.2">
      <c r="A277"/>
      <c r="B277"/>
      <c r="C277"/>
      <c r="D277" s="669"/>
      <c r="E277" s="669"/>
      <c r="F277" s="669"/>
      <c r="G277" s="669"/>
      <c r="H277"/>
      <c r="I277"/>
      <c r="J277"/>
      <c r="K277"/>
      <c r="L277" s="669"/>
      <c r="M277" s="669"/>
      <c r="N277" s="669"/>
      <c r="O277" s="669"/>
      <c r="P277"/>
      <c r="Q277"/>
      <c r="R277"/>
      <c r="S277"/>
      <c r="T277"/>
      <c r="U277"/>
      <c r="Z277" s="669"/>
      <c r="AA277" s="669"/>
      <c r="AB277" s="669"/>
      <c r="AC277" s="669"/>
      <c r="AD277"/>
      <c r="AE277"/>
      <c r="AF277"/>
      <c r="AG277"/>
      <c r="AH277"/>
      <c r="AI277"/>
      <c r="AJ277" s="669"/>
    </row>
    <row r="278" spans="1:38" x14ac:dyDescent="0.2">
      <c r="A278"/>
      <c r="B278"/>
      <c r="C278"/>
      <c r="D278" s="669"/>
      <c r="E278" s="669"/>
      <c r="F278" s="669"/>
      <c r="G278" s="669"/>
      <c r="H278"/>
      <c r="I278"/>
      <c r="J278"/>
      <c r="K278"/>
      <c r="L278" s="669"/>
      <c r="M278" s="669"/>
      <c r="N278" s="669"/>
      <c r="O278" s="669"/>
      <c r="P278"/>
      <c r="Q278"/>
      <c r="R278"/>
      <c r="S278"/>
      <c r="T278"/>
      <c r="U278"/>
      <c r="V278"/>
      <c r="W278"/>
      <c r="X278"/>
      <c r="Y278"/>
      <c r="Z278" s="669"/>
      <c r="AA278" s="669"/>
      <c r="AB278" s="669"/>
      <c r="AC278" s="669"/>
      <c r="AD278"/>
      <c r="AE278"/>
      <c r="AF278"/>
      <c r="AG278"/>
      <c r="AH278"/>
      <c r="AI278"/>
      <c r="AJ278" s="669"/>
    </row>
    <row r="279" spans="1:38" x14ac:dyDescent="0.2">
      <c r="A279"/>
      <c r="B279"/>
      <c r="C279"/>
      <c r="D279" s="669"/>
      <c r="E279" s="669"/>
      <c r="F279" s="669"/>
      <c r="G279" s="669"/>
      <c r="H279"/>
      <c r="I279"/>
      <c r="J279"/>
      <c r="K279"/>
      <c r="L279" s="669"/>
      <c r="M279" s="669"/>
      <c r="N279" s="669"/>
      <c r="O279" s="669"/>
      <c r="P279"/>
      <c r="Q279"/>
      <c r="R279"/>
      <c r="S279"/>
      <c r="T279"/>
      <c r="U279"/>
      <c r="V279"/>
      <c r="W279"/>
      <c r="X279"/>
      <c r="Y279"/>
      <c r="Z279" s="669"/>
      <c r="AA279" s="669"/>
      <c r="AB279" s="669"/>
      <c r="AC279" s="669"/>
      <c r="AD279"/>
      <c r="AE279"/>
      <c r="AF279"/>
      <c r="AG279"/>
      <c r="AH279"/>
      <c r="AI279"/>
      <c r="AJ279" s="669"/>
      <c r="AK279"/>
    </row>
    <row r="280" spans="1:38" x14ac:dyDescent="0.2">
      <c r="A280"/>
      <c r="B280"/>
      <c r="C280"/>
      <c r="D280" s="669"/>
      <c r="E280" s="669"/>
      <c r="F280" s="669"/>
      <c r="G280" s="669"/>
      <c r="H280"/>
      <c r="I280"/>
      <c r="J280"/>
      <c r="K280"/>
      <c r="L280" s="669"/>
      <c r="M280" s="669"/>
      <c r="N280" s="669"/>
      <c r="O280" s="669"/>
      <c r="P280"/>
      <c r="Q280"/>
      <c r="R280"/>
      <c r="S280"/>
      <c r="T280"/>
      <c r="U280"/>
      <c r="V280"/>
      <c r="W280"/>
      <c r="X280"/>
      <c r="Y280"/>
      <c r="Z280" s="669"/>
      <c r="AA280" s="669"/>
      <c r="AB280" s="669"/>
      <c r="AC280" s="669"/>
      <c r="AD280"/>
      <c r="AE280"/>
      <c r="AF280"/>
      <c r="AG280"/>
      <c r="AH280"/>
      <c r="AI280"/>
      <c r="AJ280" s="669"/>
      <c r="AL280"/>
    </row>
    <row r="281" spans="1:38" x14ac:dyDescent="0.2">
      <c r="A281"/>
      <c r="B281"/>
      <c r="C281"/>
      <c r="D281" s="669"/>
      <c r="E281" s="669"/>
      <c r="F281" s="669"/>
      <c r="G281" s="669"/>
      <c r="H281"/>
      <c r="I281"/>
      <c r="J281"/>
      <c r="K281"/>
      <c r="L281" s="669"/>
      <c r="M281" s="669"/>
      <c r="N281" s="669"/>
      <c r="O281" s="669"/>
      <c r="P281"/>
      <c r="Q281"/>
      <c r="R281"/>
      <c r="S281"/>
      <c r="T281"/>
      <c r="U281"/>
      <c r="V281"/>
      <c r="W281"/>
      <c r="X281"/>
      <c r="Y281"/>
      <c r="Z281" s="669"/>
      <c r="AA281" s="669"/>
      <c r="AB281" s="669"/>
      <c r="AC281" s="669"/>
      <c r="AD281"/>
      <c r="AE281"/>
      <c r="AF281"/>
      <c r="AG281"/>
      <c r="AH281"/>
      <c r="AI281"/>
      <c r="AJ281" s="669"/>
    </row>
    <row r="282" spans="1:38" x14ac:dyDescent="0.2">
      <c r="A282"/>
      <c r="B282"/>
      <c r="C282"/>
      <c r="D282" s="669"/>
      <c r="E282" s="669"/>
      <c r="F282" s="669"/>
      <c r="G282" s="669"/>
      <c r="H282"/>
      <c r="I282"/>
      <c r="J282"/>
      <c r="L282" s="669"/>
      <c r="M282" s="669"/>
      <c r="N282" s="669"/>
      <c r="O282" s="669"/>
      <c r="P282"/>
      <c r="Q282"/>
      <c r="R282"/>
      <c r="S282"/>
      <c r="T282"/>
      <c r="U282"/>
      <c r="V282"/>
      <c r="W282"/>
      <c r="X282"/>
      <c r="Y282"/>
      <c r="Z282" s="669"/>
      <c r="AA282" s="669"/>
      <c r="AB282" s="669"/>
      <c r="AC282" s="669"/>
      <c r="AD282"/>
      <c r="AE282"/>
      <c r="AF282"/>
      <c r="AG282"/>
      <c r="AH282"/>
      <c r="AI282"/>
      <c r="AJ282" s="669"/>
    </row>
    <row r="283" spans="1:38" x14ac:dyDescent="0.2">
      <c r="A283"/>
      <c r="B283"/>
      <c r="C283"/>
      <c r="D283" s="669"/>
      <c r="E283" s="669"/>
      <c r="F283" s="669"/>
      <c r="G283" s="669"/>
      <c r="H283"/>
      <c r="I283"/>
      <c r="J283"/>
      <c r="K283"/>
      <c r="L283" s="669"/>
      <c r="M283" s="669"/>
      <c r="N283" s="669"/>
      <c r="O283" s="669"/>
      <c r="P283"/>
      <c r="Q283"/>
      <c r="R283"/>
      <c r="S283"/>
      <c r="T283"/>
      <c r="U283"/>
      <c r="Z283" s="669"/>
      <c r="AA283" s="669"/>
      <c r="AB283" s="669"/>
      <c r="AC283" s="669"/>
      <c r="AD283"/>
      <c r="AE283"/>
      <c r="AF283"/>
      <c r="AG283"/>
      <c r="AH283"/>
      <c r="AI283"/>
      <c r="AJ283" s="669"/>
    </row>
    <row r="284" spans="1:38" x14ac:dyDescent="0.2">
      <c r="A284"/>
      <c r="B284"/>
      <c r="C284"/>
      <c r="D284" s="669"/>
      <c r="E284" s="669"/>
      <c r="F284" s="669"/>
      <c r="G284" s="669"/>
      <c r="H284"/>
      <c r="I284"/>
      <c r="J284"/>
      <c r="K284"/>
      <c r="L284" s="669"/>
      <c r="M284" s="669"/>
      <c r="N284" s="669"/>
      <c r="O284" s="669"/>
      <c r="P284"/>
      <c r="Q284"/>
      <c r="R284"/>
      <c r="S284"/>
      <c r="T284"/>
      <c r="U284"/>
      <c r="Z284" s="669"/>
      <c r="AA284" s="669"/>
      <c r="AB284" s="669"/>
      <c r="AC284" s="669"/>
      <c r="AD284"/>
      <c r="AE284"/>
      <c r="AF284"/>
      <c r="AG284"/>
      <c r="AH284"/>
      <c r="AI284"/>
      <c r="AJ284" s="669"/>
    </row>
    <row r="285" spans="1:38" x14ac:dyDescent="0.2">
      <c r="A285"/>
      <c r="B285"/>
      <c r="C285"/>
      <c r="D285" s="669"/>
      <c r="E285" s="669"/>
      <c r="F285" s="669"/>
      <c r="G285" s="669"/>
      <c r="H285"/>
      <c r="I285"/>
      <c r="J285"/>
      <c r="K285"/>
      <c r="L285" s="669"/>
      <c r="M285" s="669"/>
      <c r="N285" s="669"/>
      <c r="O285" s="669"/>
      <c r="P285"/>
      <c r="Q285"/>
      <c r="R285"/>
      <c r="S285"/>
      <c r="T285"/>
      <c r="U285"/>
      <c r="Z285" s="669"/>
      <c r="AA285" s="669"/>
      <c r="AB285" s="669"/>
      <c r="AC285" s="669"/>
      <c r="AD285"/>
      <c r="AE285"/>
      <c r="AF285"/>
      <c r="AG285"/>
      <c r="AH285"/>
      <c r="AI285"/>
      <c r="AJ285" s="669"/>
    </row>
    <row r="286" spans="1:38" x14ac:dyDescent="0.2">
      <c r="A286"/>
      <c r="B286"/>
      <c r="C286"/>
      <c r="D286" s="669"/>
      <c r="E286" s="669"/>
      <c r="F286" s="669"/>
      <c r="G286" s="669"/>
      <c r="H286"/>
      <c r="I286"/>
      <c r="J286"/>
      <c r="K286"/>
      <c r="L286" s="669"/>
      <c r="M286" s="669"/>
      <c r="N286" s="669"/>
      <c r="O286" s="669"/>
      <c r="P286"/>
      <c r="Q286"/>
      <c r="R286"/>
      <c r="S286"/>
      <c r="T286"/>
      <c r="U286"/>
      <c r="Z286" s="669"/>
      <c r="AA286" s="669"/>
      <c r="AB286" s="669"/>
      <c r="AC286" s="669"/>
      <c r="AD286"/>
      <c r="AE286"/>
      <c r="AF286"/>
      <c r="AG286"/>
      <c r="AH286"/>
      <c r="AI286"/>
      <c r="AJ286" s="669"/>
    </row>
    <row r="287" spans="1:38" x14ac:dyDescent="0.2">
      <c r="A287"/>
      <c r="B287"/>
      <c r="C287"/>
      <c r="D287" s="669"/>
      <c r="E287" s="669"/>
      <c r="F287" s="669"/>
      <c r="G287" s="669"/>
      <c r="H287"/>
      <c r="I287"/>
      <c r="J287"/>
      <c r="K287"/>
      <c r="L287" s="669"/>
      <c r="M287" s="669"/>
      <c r="N287" s="669"/>
      <c r="O287" s="669"/>
      <c r="P287"/>
      <c r="Q287"/>
      <c r="R287"/>
      <c r="S287"/>
      <c r="T287"/>
      <c r="U287"/>
      <c r="Z287" s="669"/>
      <c r="AA287" s="669"/>
      <c r="AB287" s="669"/>
      <c r="AC287" s="669"/>
      <c r="AD287"/>
      <c r="AE287"/>
      <c r="AF287"/>
      <c r="AG287"/>
      <c r="AH287"/>
      <c r="AI287"/>
      <c r="AJ287" s="669"/>
    </row>
    <row r="288" spans="1:38" x14ac:dyDescent="0.2">
      <c r="A288"/>
      <c r="B288"/>
      <c r="C288"/>
      <c r="D288" s="669"/>
      <c r="E288" s="669"/>
      <c r="F288" s="669"/>
      <c r="G288" s="669"/>
      <c r="H288"/>
      <c r="I288"/>
      <c r="J288"/>
      <c r="K288"/>
      <c r="L288" s="669"/>
      <c r="M288" s="669"/>
      <c r="N288" s="669"/>
      <c r="O288" s="669"/>
      <c r="P288"/>
      <c r="Q288"/>
      <c r="R288"/>
      <c r="S288"/>
      <c r="T288"/>
      <c r="U288"/>
      <c r="V288"/>
      <c r="W288"/>
      <c r="X288"/>
      <c r="Y288"/>
      <c r="Z288" s="669"/>
      <c r="AA288" s="669"/>
      <c r="AB288" s="669"/>
      <c r="AC288" s="669"/>
      <c r="AD288"/>
      <c r="AE288"/>
      <c r="AF288"/>
      <c r="AG288"/>
      <c r="AH288"/>
      <c r="AI288"/>
      <c r="AJ288" s="669"/>
    </row>
    <row r="289" spans="1:36" x14ac:dyDescent="0.2">
      <c r="A289"/>
      <c r="B289"/>
      <c r="C289"/>
      <c r="D289" s="669"/>
      <c r="E289" s="669"/>
      <c r="F289" s="669"/>
      <c r="G289" s="669"/>
      <c r="H289"/>
      <c r="I289"/>
      <c r="J289"/>
      <c r="K289"/>
      <c r="L289" s="669"/>
      <c r="M289" s="669"/>
      <c r="N289" s="669"/>
      <c r="O289" s="669"/>
      <c r="P289"/>
      <c r="Q289"/>
      <c r="R289"/>
      <c r="S289"/>
      <c r="T289"/>
      <c r="U289"/>
      <c r="V289"/>
      <c r="W289"/>
      <c r="X289"/>
      <c r="Y289"/>
      <c r="Z289" s="669"/>
      <c r="AA289" s="669"/>
      <c r="AB289" s="669"/>
      <c r="AC289" s="669"/>
      <c r="AD289"/>
      <c r="AE289"/>
      <c r="AF289"/>
      <c r="AG289"/>
      <c r="AH289"/>
      <c r="AI289"/>
      <c r="AJ289" s="669"/>
    </row>
    <row r="290" spans="1:36" x14ac:dyDescent="0.2">
      <c r="A290"/>
      <c r="B290"/>
      <c r="C290"/>
      <c r="D290" s="669"/>
      <c r="E290" s="669"/>
      <c r="F290" s="669"/>
      <c r="G290" s="669"/>
      <c r="H290"/>
      <c r="I290"/>
      <c r="J290"/>
      <c r="K290"/>
      <c r="L290" s="669"/>
      <c r="M290" s="669"/>
      <c r="N290" s="669"/>
      <c r="O290" s="669"/>
      <c r="P290"/>
      <c r="Q290"/>
      <c r="R290"/>
      <c r="S290"/>
      <c r="T290"/>
      <c r="U290"/>
      <c r="V290"/>
      <c r="W290"/>
      <c r="X290"/>
      <c r="Y290"/>
      <c r="Z290" s="669"/>
      <c r="AA290" s="669"/>
      <c r="AB290" s="669"/>
      <c r="AC290" s="669"/>
      <c r="AD290"/>
      <c r="AE290"/>
      <c r="AF290"/>
      <c r="AG290"/>
      <c r="AH290"/>
      <c r="AI290"/>
      <c r="AJ290" s="669"/>
    </row>
    <row r="291" spans="1:36" x14ac:dyDescent="0.2">
      <c r="A291"/>
      <c r="B291"/>
      <c r="C291"/>
      <c r="D291" s="669"/>
      <c r="E291" s="669"/>
      <c r="F291" s="669"/>
      <c r="G291" s="669"/>
      <c r="H291"/>
      <c r="I291"/>
      <c r="J291"/>
      <c r="K291"/>
      <c r="L291" s="669"/>
      <c r="M291" s="669"/>
      <c r="N291" s="669"/>
      <c r="O291" s="669"/>
      <c r="P291"/>
      <c r="Q291"/>
      <c r="R291"/>
      <c r="S291"/>
      <c r="T291"/>
      <c r="U291"/>
      <c r="Z291" s="669"/>
      <c r="AA291" s="669"/>
      <c r="AB291" s="669"/>
      <c r="AC291" s="669"/>
      <c r="AD291"/>
      <c r="AE291"/>
      <c r="AF291"/>
      <c r="AG291"/>
      <c r="AH291"/>
      <c r="AI291"/>
      <c r="AJ291" s="669"/>
    </row>
    <row r="292" spans="1:36" x14ac:dyDescent="0.2">
      <c r="A292"/>
      <c r="B292"/>
      <c r="C292"/>
      <c r="D292" s="669"/>
      <c r="E292" s="669"/>
      <c r="F292" s="669"/>
      <c r="G292" s="669"/>
      <c r="H292"/>
      <c r="I292"/>
      <c r="J292"/>
      <c r="K292"/>
      <c r="L292" s="669"/>
      <c r="M292" s="669"/>
      <c r="N292" s="669"/>
      <c r="O292" s="669"/>
      <c r="P292"/>
      <c r="Q292"/>
      <c r="R292"/>
      <c r="S292"/>
      <c r="T292"/>
      <c r="U292"/>
      <c r="V292"/>
      <c r="W292"/>
      <c r="X292"/>
      <c r="Y292"/>
      <c r="Z292" s="669"/>
      <c r="AA292" s="669"/>
      <c r="AB292" s="669"/>
      <c r="AC292" s="669"/>
      <c r="AD292"/>
      <c r="AF292"/>
      <c r="AG292"/>
      <c r="AH292"/>
      <c r="AI292"/>
      <c r="AJ292" s="669"/>
    </row>
    <row r="293" spans="1:36" x14ac:dyDescent="0.2">
      <c r="A293"/>
      <c r="B293"/>
      <c r="C293"/>
      <c r="D293" s="669"/>
      <c r="E293" s="669"/>
      <c r="F293" s="669"/>
      <c r="G293" s="669"/>
      <c r="H293"/>
      <c r="I293"/>
      <c r="J293"/>
      <c r="K293"/>
      <c r="L293" s="669"/>
      <c r="M293" s="669"/>
      <c r="N293" s="669"/>
      <c r="O293" s="669"/>
      <c r="P293"/>
      <c r="Q293"/>
      <c r="R293"/>
      <c r="S293"/>
      <c r="T293"/>
      <c r="U293"/>
      <c r="Z293" s="669"/>
      <c r="AA293" s="669"/>
      <c r="AB293" s="669"/>
      <c r="AC293" s="669"/>
      <c r="AD293"/>
      <c r="AE293"/>
      <c r="AF293"/>
      <c r="AG293"/>
      <c r="AH293"/>
      <c r="AI293"/>
      <c r="AJ293" s="669"/>
    </row>
    <row r="294" spans="1:36" x14ac:dyDescent="0.2">
      <c r="A294"/>
      <c r="B294"/>
      <c r="C294"/>
      <c r="D294" s="669"/>
      <c r="E294" s="669"/>
      <c r="F294" s="669"/>
      <c r="G294" s="669"/>
      <c r="H294"/>
      <c r="I294"/>
      <c r="J294"/>
      <c r="K294"/>
      <c r="L294" s="669"/>
      <c r="M294" s="669"/>
      <c r="N294" s="669"/>
      <c r="O294" s="669"/>
      <c r="P294"/>
      <c r="Q294"/>
      <c r="R294"/>
      <c r="S294"/>
      <c r="T294"/>
      <c r="U294"/>
      <c r="V294"/>
      <c r="W294"/>
      <c r="X294"/>
      <c r="Z294" s="669"/>
      <c r="AA294" s="669"/>
      <c r="AB294" s="669"/>
      <c r="AC294" s="669"/>
      <c r="AD294"/>
      <c r="AE294"/>
      <c r="AF294"/>
      <c r="AG294"/>
      <c r="AH294"/>
      <c r="AI294"/>
      <c r="AJ294" s="669"/>
    </row>
    <row r="295" spans="1:36" x14ac:dyDescent="0.2">
      <c r="A295"/>
      <c r="B295"/>
      <c r="C295"/>
      <c r="D295" s="669"/>
      <c r="E295" s="669"/>
      <c r="F295" s="669"/>
      <c r="G295" s="669"/>
      <c r="H295"/>
      <c r="I295"/>
      <c r="J295"/>
      <c r="K295"/>
      <c r="L295" s="669"/>
      <c r="M295" s="669"/>
      <c r="N295" s="669"/>
      <c r="O295" s="669"/>
      <c r="P295"/>
      <c r="Q295"/>
      <c r="R295"/>
      <c r="S295"/>
      <c r="T295"/>
      <c r="U295"/>
      <c r="V295"/>
      <c r="W295"/>
      <c r="X295"/>
      <c r="Y295"/>
      <c r="Z295" s="669"/>
      <c r="AA295" s="669"/>
      <c r="AB295" s="669"/>
      <c r="AC295" s="669"/>
      <c r="AD295"/>
      <c r="AE295"/>
      <c r="AF295"/>
      <c r="AG295"/>
      <c r="AH295"/>
      <c r="AI295"/>
      <c r="AJ295" s="669"/>
    </row>
    <row r="296" spans="1:36" x14ac:dyDescent="0.2">
      <c r="A296"/>
      <c r="B296"/>
      <c r="C296"/>
      <c r="D296" s="669"/>
      <c r="E296" s="669"/>
      <c r="F296" s="669"/>
      <c r="G296" s="669"/>
      <c r="H296"/>
      <c r="I296"/>
      <c r="J296"/>
      <c r="K296"/>
      <c r="L296" s="669"/>
      <c r="M296" s="669"/>
      <c r="N296" s="669"/>
      <c r="O296" s="669"/>
      <c r="P296"/>
      <c r="Q296"/>
      <c r="R296"/>
      <c r="S296"/>
      <c r="T296"/>
      <c r="U296"/>
      <c r="Z296" s="669"/>
      <c r="AA296" s="669"/>
      <c r="AB296" s="669"/>
      <c r="AC296" s="669"/>
      <c r="AD296"/>
      <c r="AE296"/>
      <c r="AF296"/>
      <c r="AG296"/>
      <c r="AH296"/>
      <c r="AI296"/>
      <c r="AJ296" s="669"/>
    </row>
    <row r="297" spans="1:36" x14ac:dyDescent="0.2">
      <c r="A297"/>
      <c r="B297"/>
      <c r="C297"/>
      <c r="D297" s="669"/>
      <c r="E297" s="669"/>
      <c r="F297" s="669"/>
      <c r="G297" s="669"/>
      <c r="H297"/>
      <c r="I297"/>
      <c r="J297"/>
      <c r="K297"/>
      <c r="L297" s="669"/>
      <c r="M297" s="669"/>
      <c r="N297" s="669"/>
      <c r="O297" s="669"/>
      <c r="P297"/>
      <c r="Q297"/>
      <c r="R297"/>
      <c r="S297"/>
      <c r="T297"/>
      <c r="U297"/>
      <c r="V297"/>
      <c r="W297"/>
      <c r="X297"/>
      <c r="Y297"/>
      <c r="Z297" s="669"/>
      <c r="AA297" s="669"/>
      <c r="AB297" s="669"/>
      <c r="AC297" s="669"/>
      <c r="AD297"/>
      <c r="AE297"/>
      <c r="AF297"/>
      <c r="AG297"/>
      <c r="AH297"/>
      <c r="AI297"/>
      <c r="AJ297" s="669"/>
    </row>
    <row r="298" spans="1:36" x14ac:dyDescent="0.2">
      <c r="A298"/>
      <c r="B298"/>
      <c r="C298"/>
      <c r="D298" s="669"/>
      <c r="E298" s="669"/>
      <c r="F298" s="669"/>
      <c r="G298" s="669"/>
      <c r="H298"/>
      <c r="I298"/>
      <c r="J298"/>
      <c r="K298"/>
      <c r="L298" s="669"/>
      <c r="M298" s="669"/>
      <c r="N298" s="669"/>
      <c r="O298" s="669"/>
      <c r="P298"/>
      <c r="Q298"/>
      <c r="R298"/>
      <c r="S298"/>
      <c r="T298"/>
      <c r="U298"/>
      <c r="V298"/>
      <c r="W298"/>
      <c r="X298"/>
      <c r="Y298"/>
      <c r="Z298" s="669"/>
      <c r="AA298" s="669"/>
      <c r="AB298" s="669"/>
      <c r="AC298" s="669"/>
      <c r="AD298"/>
      <c r="AE298"/>
      <c r="AF298"/>
      <c r="AG298"/>
      <c r="AH298"/>
      <c r="AI298"/>
      <c r="AJ298" s="669"/>
    </row>
    <row r="299" spans="1:36" x14ac:dyDescent="0.2">
      <c r="A299"/>
      <c r="B299"/>
      <c r="C299"/>
      <c r="D299" s="669"/>
      <c r="E299" s="669"/>
      <c r="F299" s="669"/>
      <c r="G299" s="669"/>
      <c r="H299"/>
      <c r="I299"/>
      <c r="J299"/>
      <c r="K299"/>
      <c r="L299" s="669"/>
      <c r="M299" s="669"/>
      <c r="N299" s="669"/>
      <c r="O299" s="669"/>
      <c r="P299"/>
      <c r="Q299"/>
      <c r="R299"/>
      <c r="S299"/>
      <c r="T299"/>
      <c r="U299"/>
      <c r="V299"/>
      <c r="W299"/>
      <c r="X299"/>
      <c r="Y299"/>
      <c r="Z299" s="669"/>
      <c r="AA299" s="669"/>
      <c r="AB299" s="669"/>
      <c r="AC299" s="669"/>
      <c r="AD299"/>
      <c r="AE299"/>
      <c r="AF299"/>
      <c r="AG299"/>
      <c r="AH299"/>
      <c r="AI299"/>
      <c r="AJ299" s="669"/>
    </row>
    <row r="300" spans="1:36" x14ac:dyDescent="0.2">
      <c r="A300"/>
      <c r="B300"/>
      <c r="C300"/>
      <c r="D300" s="669"/>
      <c r="E300" s="669"/>
      <c r="F300" s="669"/>
      <c r="G300" s="669"/>
      <c r="H300"/>
      <c r="I300"/>
      <c r="J300"/>
      <c r="K300"/>
      <c r="L300" s="669"/>
      <c r="M300" s="669"/>
      <c r="N300" s="669"/>
      <c r="O300" s="669"/>
      <c r="P300"/>
      <c r="Q300"/>
      <c r="R300"/>
      <c r="S300"/>
      <c r="T300"/>
      <c r="U300"/>
      <c r="V300"/>
      <c r="W300"/>
      <c r="X300"/>
      <c r="Y300"/>
      <c r="Z300" s="669"/>
      <c r="AA300" s="669"/>
      <c r="AB300" s="669"/>
      <c r="AC300" s="669"/>
      <c r="AD300"/>
      <c r="AE300"/>
      <c r="AF300"/>
      <c r="AG300"/>
      <c r="AH300"/>
      <c r="AI300"/>
      <c r="AJ300" s="669"/>
    </row>
    <row r="301" spans="1:36" x14ac:dyDescent="0.2">
      <c r="A301"/>
      <c r="B301"/>
      <c r="C301"/>
      <c r="D301" s="669"/>
      <c r="E301" s="669"/>
      <c r="F301" s="669"/>
      <c r="G301" s="669"/>
      <c r="H301"/>
      <c r="I301"/>
      <c r="J301"/>
      <c r="K301"/>
      <c r="L301" s="669"/>
      <c r="M301" s="669"/>
      <c r="N301" s="669"/>
      <c r="O301" s="669"/>
      <c r="P301"/>
      <c r="Q301"/>
      <c r="R301"/>
      <c r="S301"/>
      <c r="T301"/>
      <c r="U301"/>
      <c r="V301"/>
      <c r="W301"/>
      <c r="X301"/>
      <c r="Y301"/>
      <c r="Z301" s="669"/>
      <c r="AA301" s="669"/>
      <c r="AB301" s="669"/>
      <c r="AC301" s="669"/>
      <c r="AD301"/>
      <c r="AE301"/>
      <c r="AF301"/>
      <c r="AG301"/>
      <c r="AJ301" s="669"/>
    </row>
    <row r="302" spans="1:36" x14ac:dyDescent="0.2">
      <c r="A302"/>
      <c r="B302"/>
      <c r="C302"/>
      <c r="D302" s="669"/>
      <c r="E302" s="669"/>
      <c r="F302" s="669"/>
      <c r="G302" s="669"/>
      <c r="H302"/>
      <c r="I302"/>
      <c r="J302"/>
      <c r="K302"/>
      <c r="L302" s="669"/>
      <c r="M302" s="669"/>
      <c r="N302" s="669"/>
      <c r="O302" s="669"/>
      <c r="P302"/>
      <c r="Q302"/>
      <c r="R302"/>
      <c r="S302"/>
      <c r="T302"/>
      <c r="U302"/>
      <c r="Z302" s="669"/>
      <c r="AA302" s="669"/>
      <c r="AB302" s="669"/>
      <c r="AC302" s="669"/>
      <c r="AD302"/>
      <c r="AF302"/>
      <c r="AG302"/>
      <c r="AH302"/>
      <c r="AI302"/>
      <c r="AJ302" s="669"/>
    </row>
    <row r="303" spans="1:36" x14ac:dyDescent="0.2">
      <c r="A303"/>
      <c r="B303"/>
      <c r="C303"/>
      <c r="D303" s="669"/>
      <c r="E303" s="669"/>
      <c r="F303" s="669"/>
      <c r="G303" s="669"/>
      <c r="H303"/>
      <c r="I303"/>
      <c r="J303"/>
      <c r="K303"/>
      <c r="L303" s="669"/>
      <c r="M303" s="669"/>
      <c r="N303" s="669"/>
      <c r="O303" s="669"/>
      <c r="P303"/>
      <c r="Q303"/>
      <c r="R303"/>
      <c r="S303"/>
      <c r="T303"/>
      <c r="U303"/>
      <c r="V303"/>
      <c r="W303"/>
      <c r="X303"/>
      <c r="Y303"/>
      <c r="Z303" s="669"/>
      <c r="AA303" s="669"/>
      <c r="AB303" s="669"/>
      <c r="AC303" s="669"/>
      <c r="AD303"/>
      <c r="AE303"/>
      <c r="AF303"/>
      <c r="AG303"/>
      <c r="AH303"/>
      <c r="AI303"/>
      <c r="AJ303" s="669"/>
    </row>
    <row r="304" spans="1:36" x14ac:dyDescent="0.2">
      <c r="A304"/>
      <c r="B304"/>
      <c r="C304"/>
      <c r="D304" s="669"/>
      <c r="E304" s="669"/>
      <c r="F304" s="669"/>
      <c r="G304" s="669"/>
      <c r="H304"/>
      <c r="I304"/>
      <c r="J304"/>
      <c r="K304"/>
      <c r="L304" s="669"/>
      <c r="M304" s="669"/>
      <c r="N304" s="669"/>
      <c r="O304" s="669"/>
      <c r="P304"/>
      <c r="Q304"/>
      <c r="R304"/>
      <c r="S304"/>
      <c r="T304"/>
      <c r="U304"/>
      <c r="Z304" s="669"/>
      <c r="AA304" s="669"/>
      <c r="AB304" s="669"/>
      <c r="AC304" s="669"/>
      <c r="AD304"/>
      <c r="AE304"/>
      <c r="AF304"/>
      <c r="AG304"/>
      <c r="AH304"/>
      <c r="AI304"/>
      <c r="AJ304" s="669"/>
    </row>
    <row r="305" spans="1:36" x14ac:dyDescent="0.2">
      <c r="A305"/>
      <c r="B305"/>
      <c r="C305"/>
      <c r="D305" s="669"/>
      <c r="E305" s="669"/>
      <c r="F305" s="669"/>
      <c r="G305" s="669"/>
      <c r="H305"/>
      <c r="I305"/>
      <c r="J305"/>
      <c r="K305"/>
      <c r="L305" s="669"/>
      <c r="M305" s="669"/>
      <c r="N305" s="669"/>
      <c r="O305" s="669"/>
      <c r="P305"/>
      <c r="Q305"/>
      <c r="R305"/>
      <c r="S305"/>
      <c r="T305"/>
      <c r="U305"/>
      <c r="Z305" s="669"/>
      <c r="AA305" s="669"/>
      <c r="AB305" s="669"/>
      <c r="AC305" s="669"/>
      <c r="AD305"/>
      <c r="AE305"/>
      <c r="AF305"/>
      <c r="AG305"/>
      <c r="AH305"/>
      <c r="AI305"/>
      <c r="AJ305" s="669"/>
    </row>
    <row r="306" spans="1:36" x14ac:dyDescent="0.2">
      <c r="A306"/>
      <c r="B306"/>
      <c r="C306"/>
      <c r="D306" s="669"/>
      <c r="E306" s="669"/>
      <c r="F306" s="669"/>
      <c r="G306" s="669"/>
      <c r="H306"/>
      <c r="I306"/>
      <c r="J306"/>
      <c r="K306"/>
      <c r="L306" s="669"/>
      <c r="M306" s="669"/>
      <c r="N306" s="669"/>
      <c r="O306" s="669"/>
      <c r="P306"/>
      <c r="Q306"/>
      <c r="R306"/>
      <c r="S306"/>
      <c r="T306"/>
      <c r="U306"/>
      <c r="V306"/>
      <c r="W306"/>
      <c r="X306"/>
      <c r="Y306"/>
      <c r="Z306" s="669"/>
      <c r="AA306" s="669"/>
      <c r="AB306" s="669"/>
      <c r="AC306" s="669"/>
      <c r="AD306"/>
      <c r="AE306"/>
      <c r="AF306"/>
      <c r="AG306"/>
      <c r="AH306"/>
      <c r="AI306"/>
      <c r="AJ306" s="669"/>
    </row>
    <row r="307" spans="1:36" x14ac:dyDescent="0.2">
      <c r="A307"/>
      <c r="B307"/>
      <c r="C307"/>
      <c r="D307" s="669"/>
      <c r="E307" s="669"/>
      <c r="F307" s="669"/>
      <c r="G307" s="669"/>
      <c r="H307"/>
      <c r="I307"/>
      <c r="J307"/>
      <c r="K307"/>
      <c r="L307" s="669"/>
      <c r="M307" s="669"/>
      <c r="N307" s="669"/>
      <c r="O307" s="669"/>
      <c r="P307"/>
      <c r="Q307"/>
      <c r="R307"/>
      <c r="S307"/>
      <c r="T307"/>
      <c r="U307"/>
      <c r="V307"/>
      <c r="W307"/>
      <c r="X307"/>
      <c r="Y307"/>
      <c r="Z307" s="669"/>
      <c r="AA307" s="669"/>
      <c r="AB307" s="669"/>
      <c r="AC307" s="669"/>
      <c r="AD307"/>
      <c r="AE307"/>
      <c r="AF307"/>
      <c r="AG307"/>
      <c r="AH307"/>
      <c r="AI307"/>
      <c r="AJ307" s="669"/>
    </row>
    <row r="308" spans="1:36" x14ac:dyDescent="0.2">
      <c r="A308"/>
      <c r="B308"/>
      <c r="C308"/>
      <c r="D308" s="669"/>
      <c r="E308" s="669"/>
      <c r="F308" s="669"/>
      <c r="G308" s="669"/>
      <c r="H308"/>
      <c r="I308"/>
      <c r="J308"/>
      <c r="K308"/>
      <c r="L308" s="669"/>
      <c r="M308" s="669"/>
      <c r="N308" s="669"/>
      <c r="O308" s="669"/>
      <c r="P308"/>
      <c r="Q308"/>
      <c r="R308"/>
      <c r="S308"/>
      <c r="T308"/>
      <c r="U308"/>
      <c r="Z308" s="669"/>
      <c r="AA308" s="669"/>
      <c r="AB308" s="669"/>
      <c r="AC308" s="669"/>
      <c r="AD308"/>
      <c r="AE308"/>
      <c r="AF308"/>
      <c r="AG308"/>
      <c r="AH308"/>
      <c r="AI308"/>
      <c r="AJ308" s="669"/>
    </row>
    <row r="309" spans="1:36" x14ac:dyDescent="0.2">
      <c r="A309"/>
      <c r="B309"/>
      <c r="C309"/>
      <c r="D309" s="669"/>
      <c r="E309" s="669"/>
      <c r="F309" s="669"/>
      <c r="G309" s="669"/>
      <c r="H309"/>
      <c r="I309"/>
      <c r="J309"/>
      <c r="K309"/>
      <c r="L309" s="669"/>
      <c r="M309" s="669"/>
      <c r="N309" s="669"/>
      <c r="O309" s="669"/>
      <c r="P309"/>
      <c r="Q309"/>
      <c r="R309"/>
      <c r="S309"/>
      <c r="T309"/>
      <c r="U309"/>
      <c r="V309"/>
      <c r="W309"/>
      <c r="X309"/>
      <c r="Y309"/>
      <c r="Z309" s="669"/>
      <c r="AA309" s="669"/>
      <c r="AB309" s="669"/>
      <c r="AC309" s="669"/>
      <c r="AD309"/>
      <c r="AE309"/>
      <c r="AF309"/>
      <c r="AG309"/>
      <c r="AH309"/>
      <c r="AI309"/>
      <c r="AJ309" s="669"/>
    </row>
    <row r="310" spans="1:36" x14ac:dyDescent="0.2">
      <c r="A310"/>
      <c r="B310"/>
      <c r="C310"/>
      <c r="D310" s="669"/>
      <c r="E310" s="669"/>
      <c r="F310" s="669"/>
      <c r="G310" s="669"/>
      <c r="H310"/>
      <c r="I310"/>
      <c r="J310"/>
      <c r="K310"/>
      <c r="L310" s="669"/>
      <c r="M310" s="669"/>
      <c r="N310" s="669"/>
      <c r="O310" s="669"/>
      <c r="P310"/>
      <c r="Q310"/>
      <c r="R310"/>
      <c r="S310"/>
      <c r="T310"/>
      <c r="U310"/>
      <c r="V310"/>
      <c r="W310"/>
      <c r="X310"/>
      <c r="Y310"/>
      <c r="Z310" s="669"/>
      <c r="AA310" s="669"/>
      <c r="AB310" s="669"/>
      <c r="AC310" s="669"/>
      <c r="AD310"/>
      <c r="AE310"/>
      <c r="AF310"/>
      <c r="AG310"/>
      <c r="AH310"/>
      <c r="AI310"/>
      <c r="AJ310" s="669"/>
    </row>
    <row r="311" spans="1:36" x14ac:dyDescent="0.2">
      <c r="A311"/>
      <c r="B311"/>
      <c r="C311"/>
      <c r="D311" s="669"/>
      <c r="E311" s="669"/>
      <c r="F311" s="669"/>
      <c r="G311" s="669"/>
      <c r="H311"/>
      <c r="I311"/>
      <c r="J311"/>
      <c r="K311"/>
      <c r="L311" s="669"/>
      <c r="M311" s="669"/>
      <c r="N311" s="669"/>
      <c r="O311" s="669"/>
      <c r="P311"/>
      <c r="Q311"/>
      <c r="V311"/>
      <c r="W311"/>
      <c r="X311"/>
      <c r="Y311"/>
      <c r="Z311" s="669"/>
      <c r="AA311" s="669"/>
      <c r="AB311" s="669"/>
      <c r="AC311" s="669"/>
      <c r="AD311"/>
      <c r="AE311"/>
      <c r="AF311"/>
      <c r="AG311"/>
      <c r="AH311"/>
      <c r="AI311"/>
      <c r="AJ311" s="669"/>
    </row>
    <row r="312" spans="1:36" x14ac:dyDescent="0.2">
      <c r="A312"/>
      <c r="B312"/>
      <c r="C312"/>
      <c r="D312" s="669"/>
      <c r="E312" s="669"/>
      <c r="F312" s="669"/>
      <c r="G312" s="669"/>
      <c r="H312"/>
      <c r="I312"/>
      <c r="J312"/>
      <c r="K312"/>
      <c r="L312" s="669"/>
      <c r="M312" s="669"/>
      <c r="N312" s="669"/>
      <c r="O312" s="669"/>
      <c r="P312"/>
      <c r="Q312"/>
      <c r="R312"/>
      <c r="S312"/>
      <c r="T312"/>
      <c r="U312"/>
      <c r="Z312" s="669"/>
      <c r="AA312" s="669"/>
      <c r="AB312" s="669"/>
      <c r="AC312" s="669"/>
      <c r="AD312"/>
      <c r="AE312"/>
      <c r="AF312"/>
      <c r="AG312"/>
      <c r="AH312"/>
      <c r="AI312"/>
      <c r="AJ312" s="669"/>
    </row>
    <row r="313" spans="1:36" x14ac:dyDescent="0.2">
      <c r="A313"/>
      <c r="B313"/>
      <c r="C313"/>
      <c r="D313" s="669"/>
      <c r="E313" s="669"/>
      <c r="F313" s="669"/>
      <c r="G313" s="669"/>
      <c r="H313"/>
      <c r="I313"/>
      <c r="J313"/>
      <c r="K313"/>
      <c r="L313" s="669"/>
      <c r="M313" s="669"/>
      <c r="N313" s="669"/>
      <c r="O313" s="669"/>
      <c r="P313"/>
      <c r="Q313"/>
      <c r="R313"/>
      <c r="S313"/>
      <c r="T313"/>
      <c r="U313"/>
      <c r="V313"/>
      <c r="W313"/>
      <c r="X313"/>
      <c r="Y313"/>
      <c r="Z313" s="669"/>
      <c r="AA313" s="669"/>
      <c r="AB313" s="669"/>
      <c r="AC313" s="669"/>
      <c r="AD313"/>
      <c r="AJ313" s="669"/>
    </row>
    <row r="314" spans="1:36" x14ac:dyDescent="0.2">
      <c r="A314"/>
      <c r="B314"/>
      <c r="C314"/>
      <c r="D314" s="669"/>
      <c r="E314" s="669"/>
      <c r="F314" s="669"/>
      <c r="G314" s="669"/>
      <c r="H314"/>
      <c r="I314"/>
      <c r="J314"/>
      <c r="K314"/>
      <c r="L314" s="669"/>
      <c r="M314" s="669"/>
      <c r="N314" s="669"/>
      <c r="O314" s="669"/>
      <c r="P314"/>
      <c r="Q314"/>
      <c r="R314"/>
      <c r="S314"/>
      <c r="T314"/>
      <c r="U314"/>
      <c r="V314"/>
      <c r="W314"/>
      <c r="X314"/>
      <c r="Y314"/>
      <c r="Z314" s="669"/>
      <c r="AA314" s="669"/>
      <c r="AB314" s="669"/>
      <c r="AC314" s="669"/>
      <c r="AD314"/>
      <c r="AE314"/>
      <c r="AF314"/>
      <c r="AG314"/>
      <c r="AH314"/>
      <c r="AI314"/>
      <c r="AJ314" s="669"/>
    </row>
    <row r="315" spans="1:36" x14ac:dyDescent="0.2">
      <c r="A315"/>
      <c r="B315"/>
      <c r="C315"/>
      <c r="D315" s="669"/>
      <c r="E315" s="669"/>
      <c r="F315" s="669"/>
      <c r="G315" s="669"/>
      <c r="H315"/>
      <c r="I315"/>
      <c r="J315"/>
      <c r="K315"/>
      <c r="L315" s="669"/>
      <c r="M315" s="669"/>
      <c r="N315" s="669"/>
      <c r="O315" s="669"/>
      <c r="P315"/>
      <c r="Q315"/>
      <c r="R315"/>
      <c r="S315"/>
      <c r="T315"/>
      <c r="U315"/>
      <c r="V315"/>
      <c r="W315"/>
      <c r="X315"/>
      <c r="Y315"/>
      <c r="Z315" s="669"/>
      <c r="AA315" s="669"/>
      <c r="AB315" s="669"/>
      <c r="AC315" s="669"/>
      <c r="AD315"/>
      <c r="AE315"/>
      <c r="AF315"/>
      <c r="AG315"/>
      <c r="AH315"/>
      <c r="AI315"/>
      <c r="AJ315" s="669"/>
    </row>
    <row r="316" spans="1:36" x14ac:dyDescent="0.2">
      <c r="A316"/>
      <c r="B316"/>
      <c r="C316"/>
      <c r="D316" s="669"/>
      <c r="E316" s="669"/>
      <c r="F316" s="669"/>
      <c r="G316" s="669"/>
      <c r="H316"/>
      <c r="I316"/>
      <c r="J316"/>
      <c r="K316"/>
      <c r="L316" s="669"/>
      <c r="M316" s="669"/>
      <c r="N316" s="669"/>
      <c r="O316" s="669"/>
      <c r="P316"/>
      <c r="Q316"/>
      <c r="R316"/>
      <c r="S316"/>
      <c r="T316"/>
      <c r="U316"/>
      <c r="V316"/>
      <c r="W316"/>
      <c r="X316"/>
      <c r="Y316"/>
      <c r="Z316" s="669"/>
      <c r="AA316" s="669"/>
      <c r="AB316" s="669"/>
      <c r="AC316" s="669"/>
      <c r="AD316"/>
      <c r="AE316"/>
      <c r="AF316"/>
      <c r="AG316"/>
      <c r="AH316"/>
      <c r="AI316"/>
      <c r="AJ316" s="669"/>
    </row>
    <row r="317" spans="1:36" x14ac:dyDescent="0.2">
      <c r="A317"/>
      <c r="B317"/>
      <c r="C317"/>
      <c r="D317" s="669"/>
      <c r="E317" s="669"/>
      <c r="F317" s="669"/>
      <c r="G317" s="669"/>
      <c r="H317"/>
      <c r="I317"/>
      <c r="J317"/>
      <c r="L317" s="669"/>
      <c r="M317" s="669"/>
      <c r="N317" s="669"/>
      <c r="O317" s="669"/>
      <c r="P317"/>
      <c r="Q317"/>
      <c r="R317"/>
      <c r="S317"/>
      <c r="T317"/>
      <c r="U317"/>
      <c r="Z317" s="669"/>
      <c r="AA317" s="669"/>
      <c r="AB317" s="669"/>
      <c r="AC317" s="669"/>
      <c r="AD317"/>
      <c r="AE317"/>
      <c r="AF317"/>
      <c r="AG317"/>
      <c r="AH317"/>
      <c r="AI317"/>
      <c r="AJ317" s="669"/>
    </row>
    <row r="318" spans="1:36" x14ac:dyDescent="0.2">
      <c r="A318"/>
      <c r="B318"/>
      <c r="C318"/>
      <c r="D318" s="669"/>
      <c r="E318" s="669"/>
      <c r="F318" s="669"/>
      <c r="G318" s="669"/>
      <c r="H318"/>
      <c r="I318"/>
      <c r="J318"/>
      <c r="K318"/>
      <c r="L318" s="669"/>
      <c r="M318" s="669"/>
      <c r="N318" s="669"/>
      <c r="O318" s="669"/>
      <c r="P318"/>
      <c r="Q318"/>
      <c r="R318"/>
      <c r="S318"/>
      <c r="T318"/>
      <c r="U318"/>
      <c r="V318"/>
      <c r="W318"/>
      <c r="X318"/>
      <c r="Y318"/>
      <c r="Z318" s="669"/>
      <c r="AA318" s="669"/>
      <c r="AB318" s="669"/>
      <c r="AC318" s="669"/>
      <c r="AD318"/>
      <c r="AE318"/>
      <c r="AF318"/>
      <c r="AG318"/>
      <c r="AH318"/>
      <c r="AI318"/>
      <c r="AJ318" s="669"/>
    </row>
    <row r="319" spans="1:36" x14ac:dyDescent="0.2">
      <c r="A319"/>
      <c r="B319"/>
      <c r="C319"/>
      <c r="D319" s="669"/>
      <c r="E319" s="669"/>
      <c r="F319" s="669"/>
      <c r="G319" s="669"/>
      <c r="H319"/>
      <c r="I319"/>
      <c r="J319"/>
      <c r="K319"/>
      <c r="L319" s="669"/>
      <c r="M319" s="669"/>
      <c r="N319" s="669"/>
      <c r="O319" s="669"/>
      <c r="P319"/>
      <c r="Q319"/>
      <c r="R319"/>
      <c r="S319"/>
      <c r="T319"/>
      <c r="U319"/>
      <c r="V319"/>
      <c r="W319"/>
      <c r="X319"/>
      <c r="Y319"/>
      <c r="Z319" s="669"/>
      <c r="AA319" s="669"/>
      <c r="AB319" s="669"/>
      <c r="AC319" s="669"/>
      <c r="AD319"/>
      <c r="AE319"/>
      <c r="AF319"/>
      <c r="AG319"/>
      <c r="AH319"/>
      <c r="AI319"/>
      <c r="AJ319" s="669"/>
    </row>
    <row r="320" spans="1:36" x14ac:dyDescent="0.2">
      <c r="A320"/>
      <c r="B320"/>
      <c r="C320"/>
      <c r="D320" s="669"/>
      <c r="E320" s="669"/>
      <c r="F320" s="669"/>
      <c r="G320" s="669"/>
      <c r="H320"/>
      <c r="I320"/>
      <c r="J320"/>
      <c r="K320"/>
      <c r="L320" s="669"/>
      <c r="M320" s="669"/>
      <c r="N320" s="669"/>
      <c r="O320" s="669"/>
      <c r="P320"/>
      <c r="Q320"/>
      <c r="V320"/>
      <c r="W320"/>
      <c r="X320"/>
      <c r="Y320"/>
      <c r="Z320" s="669"/>
      <c r="AA320" s="669"/>
      <c r="AB320" s="669"/>
      <c r="AC320" s="669"/>
      <c r="AD320"/>
      <c r="AE320"/>
      <c r="AF320"/>
      <c r="AG320"/>
      <c r="AH320"/>
      <c r="AI320"/>
      <c r="AJ320" s="669"/>
    </row>
    <row r="321" spans="1:38" x14ac:dyDescent="0.2">
      <c r="A321"/>
      <c r="B321"/>
      <c r="C321"/>
      <c r="D321" s="669"/>
      <c r="E321" s="669"/>
      <c r="F321" s="669"/>
      <c r="G321" s="669"/>
      <c r="H321"/>
      <c r="I321"/>
      <c r="J321"/>
      <c r="K321"/>
      <c r="L321" s="669"/>
      <c r="M321" s="669"/>
      <c r="N321" s="669"/>
      <c r="O321" s="669"/>
      <c r="P321"/>
      <c r="Q321"/>
      <c r="R321"/>
      <c r="S321"/>
      <c r="T321"/>
      <c r="U321"/>
      <c r="V321"/>
      <c r="W321"/>
      <c r="X321"/>
      <c r="Y321"/>
      <c r="Z321" s="669"/>
      <c r="AA321" s="669"/>
      <c r="AB321" s="669"/>
      <c r="AC321" s="669"/>
      <c r="AD321"/>
      <c r="AE321"/>
      <c r="AF321"/>
      <c r="AG321"/>
      <c r="AH321"/>
      <c r="AI321"/>
      <c r="AJ321" s="669"/>
    </row>
    <row r="322" spans="1:38" x14ac:dyDescent="0.2">
      <c r="A322"/>
      <c r="B322"/>
      <c r="C322"/>
      <c r="D322" s="669"/>
      <c r="E322" s="669"/>
      <c r="F322" s="669"/>
      <c r="G322" s="669"/>
      <c r="H322"/>
      <c r="I322"/>
      <c r="J322"/>
      <c r="K322"/>
      <c r="L322" s="669"/>
      <c r="M322" s="669"/>
      <c r="N322" s="669"/>
      <c r="O322" s="669"/>
      <c r="P322"/>
      <c r="Q322"/>
      <c r="V322"/>
      <c r="W322"/>
      <c r="X322"/>
      <c r="Y322"/>
      <c r="Z322" s="669"/>
      <c r="AA322" s="669"/>
      <c r="AB322" s="669"/>
      <c r="AC322" s="669"/>
      <c r="AE322"/>
      <c r="AF322"/>
      <c r="AG322"/>
      <c r="AH322"/>
      <c r="AI322"/>
      <c r="AJ322" s="669"/>
    </row>
    <row r="323" spans="1:38" x14ac:dyDescent="0.2">
      <c r="A323"/>
      <c r="B323"/>
      <c r="C323"/>
      <c r="D323" s="669"/>
      <c r="E323" s="669"/>
      <c r="F323" s="669"/>
      <c r="G323" s="669"/>
      <c r="H323"/>
      <c r="I323"/>
      <c r="J323"/>
      <c r="K323"/>
      <c r="L323" s="669"/>
      <c r="M323" s="669"/>
      <c r="N323" s="669"/>
      <c r="O323" s="669"/>
      <c r="P323"/>
      <c r="Q323"/>
      <c r="R323"/>
      <c r="S323"/>
      <c r="T323"/>
      <c r="U323"/>
      <c r="V323"/>
      <c r="W323"/>
      <c r="X323"/>
      <c r="Y323"/>
      <c r="Z323" s="669"/>
      <c r="AA323" s="669"/>
      <c r="AB323" s="669"/>
      <c r="AC323" s="669"/>
      <c r="AD323"/>
      <c r="AE323"/>
      <c r="AF323"/>
      <c r="AG323"/>
      <c r="AH323"/>
      <c r="AI323"/>
      <c r="AJ323" s="669"/>
    </row>
    <row r="324" spans="1:38" x14ac:dyDescent="0.2">
      <c r="A324"/>
      <c r="B324"/>
      <c r="C324"/>
      <c r="D324" s="669"/>
      <c r="E324" s="669"/>
      <c r="F324" s="669"/>
      <c r="G324" s="669"/>
      <c r="H324"/>
      <c r="I324"/>
      <c r="J324"/>
      <c r="K324"/>
      <c r="L324" s="669"/>
      <c r="M324" s="669"/>
      <c r="N324" s="669"/>
      <c r="O324" s="669"/>
      <c r="P324"/>
      <c r="Q324"/>
      <c r="R324"/>
      <c r="S324"/>
      <c r="T324"/>
      <c r="U324"/>
      <c r="V324"/>
      <c r="W324"/>
      <c r="X324"/>
      <c r="Y324"/>
      <c r="Z324" s="669"/>
      <c r="AA324" s="669"/>
      <c r="AB324" s="669"/>
      <c r="AC324" s="669"/>
      <c r="AD324"/>
      <c r="AE324"/>
      <c r="AF324"/>
      <c r="AG324"/>
      <c r="AH324"/>
      <c r="AI324"/>
      <c r="AJ324" s="669"/>
    </row>
    <row r="325" spans="1:38" x14ac:dyDescent="0.2">
      <c r="A325"/>
      <c r="B325"/>
      <c r="C325"/>
      <c r="D325" s="669"/>
      <c r="E325" s="669"/>
      <c r="F325" s="669"/>
      <c r="G325" s="669"/>
      <c r="H325"/>
      <c r="I325"/>
      <c r="J325"/>
      <c r="K325"/>
      <c r="L325" s="669"/>
      <c r="M325" s="669"/>
      <c r="N325" s="669"/>
      <c r="O325" s="669"/>
      <c r="P325"/>
      <c r="Q325"/>
      <c r="R325"/>
      <c r="S325"/>
      <c r="T325"/>
      <c r="U325"/>
      <c r="V325"/>
      <c r="Z325" s="669"/>
      <c r="AA325" s="669"/>
      <c r="AB325" s="669"/>
      <c r="AC325" s="669"/>
      <c r="AD325"/>
      <c r="AE325"/>
      <c r="AF325"/>
      <c r="AG325"/>
      <c r="AH325"/>
      <c r="AI325"/>
      <c r="AJ325" s="669"/>
    </row>
    <row r="326" spans="1:38" x14ac:dyDescent="0.2">
      <c r="A326"/>
      <c r="B326"/>
      <c r="C326"/>
      <c r="D326" s="669"/>
      <c r="E326" s="669"/>
      <c r="F326" s="669"/>
      <c r="G326" s="669"/>
      <c r="H326"/>
      <c r="I326"/>
      <c r="J326"/>
      <c r="K326"/>
      <c r="L326" s="669"/>
      <c r="M326" s="669"/>
      <c r="N326" s="669"/>
      <c r="O326" s="669"/>
      <c r="P326"/>
      <c r="Q326"/>
      <c r="R326"/>
      <c r="S326"/>
      <c r="T326"/>
      <c r="U326"/>
      <c r="Z326" s="669"/>
      <c r="AA326" s="669"/>
      <c r="AB326" s="669"/>
      <c r="AC326" s="669"/>
      <c r="AD326"/>
      <c r="AE326"/>
      <c r="AF326"/>
      <c r="AG326"/>
      <c r="AH326"/>
      <c r="AI326"/>
      <c r="AJ326" s="669"/>
    </row>
    <row r="327" spans="1:38" x14ac:dyDescent="0.2">
      <c r="A327"/>
      <c r="B327"/>
      <c r="C327"/>
      <c r="D327" s="669"/>
      <c r="E327" s="669"/>
      <c r="F327" s="669"/>
      <c r="G327" s="669"/>
      <c r="H327"/>
      <c r="I327"/>
      <c r="J327"/>
      <c r="K327"/>
      <c r="L327" s="669"/>
      <c r="M327" s="669"/>
      <c r="N327" s="669"/>
      <c r="O327" s="669"/>
      <c r="P327"/>
      <c r="Q327"/>
      <c r="R327"/>
      <c r="S327"/>
      <c r="T327"/>
      <c r="U327"/>
      <c r="Z327" s="669"/>
      <c r="AA327" s="669"/>
      <c r="AB327" s="669"/>
      <c r="AC327" s="669"/>
      <c r="AD327"/>
      <c r="AE327"/>
      <c r="AF327"/>
      <c r="AG327"/>
      <c r="AH327"/>
      <c r="AI327"/>
      <c r="AJ327" s="669"/>
    </row>
    <row r="328" spans="1:38" x14ac:dyDescent="0.2">
      <c r="A328"/>
      <c r="B328"/>
      <c r="C328"/>
      <c r="D328" s="669"/>
      <c r="E328" s="669"/>
      <c r="F328" s="669"/>
      <c r="G328" s="669"/>
      <c r="H328"/>
      <c r="I328"/>
      <c r="J328"/>
      <c r="K328"/>
      <c r="L328" s="669"/>
      <c r="M328" s="669"/>
      <c r="N328" s="669"/>
      <c r="O328" s="669"/>
      <c r="P328"/>
      <c r="Q328"/>
      <c r="R328"/>
      <c r="S328"/>
      <c r="T328"/>
      <c r="U328"/>
      <c r="V328"/>
      <c r="W328"/>
      <c r="X328"/>
      <c r="Y328"/>
      <c r="Z328" s="669"/>
      <c r="AA328" s="669"/>
      <c r="AB328" s="669"/>
      <c r="AC328" s="669"/>
      <c r="AD328"/>
      <c r="AE328"/>
      <c r="AF328"/>
      <c r="AG328"/>
      <c r="AH328"/>
      <c r="AI328"/>
      <c r="AJ328" s="669"/>
    </row>
    <row r="329" spans="1:38" x14ac:dyDescent="0.2">
      <c r="A329"/>
      <c r="B329"/>
      <c r="C329"/>
      <c r="D329" s="669"/>
      <c r="E329" s="669"/>
      <c r="F329" s="669"/>
      <c r="G329" s="669"/>
      <c r="H329"/>
      <c r="I329"/>
      <c r="J329"/>
      <c r="K329"/>
      <c r="L329" s="669"/>
      <c r="M329" s="669"/>
      <c r="N329" s="669"/>
      <c r="O329" s="669"/>
      <c r="P329"/>
      <c r="Q329"/>
      <c r="R329"/>
      <c r="S329"/>
      <c r="T329"/>
      <c r="U329"/>
      <c r="V329"/>
      <c r="W329"/>
      <c r="X329"/>
      <c r="Y329"/>
      <c r="Z329" s="669"/>
      <c r="AA329" s="669"/>
      <c r="AB329" s="669"/>
      <c r="AC329" s="669"/>
      <c r="AD329"/>
      <c r="AE329"/>
      <c r="AF329"/>
      <c r="AG329"/>
      <c r="AH329"/>
      <c r="AI329"/>
      <c r="AJ329" s="669"/>
    </row>
    <row r="330" spans="1:38" x14ac:dyDescent="0.2">
      <c r="A330"/>
      <c r="B330"/>
      <c r="C330"/>
      <c r="D330" s="669"/>
      <c r="E330" s="669"/>
      <c r="F330" s="669"/>
      <c r="G330" s="669"/>
      <c r="H330"/>
      <c r="I330"/>
      <c r="J330"/>
      <c r="K330"/>
      <c r="L330" s="669"/>
      <c r="M330" s="669"/>
      <c r="N330" s="669"/>
      <c r="O330" s="669"/>
      <c r="P330"/>
      <c r="Q330"/>
      <c r="R330"/>
      <c r="S330"/>
      <c r="T330"/>
      <c r="U330"/>
      <c r="V330"/>
      <c r="W330"/>
      <c r="X330"/>
      <c r="Y330"/>
      <c r="Z330" s="669"/>
      <c r="AA330" s="669"/>
      <c r="AB330" s="669"/>
      <c r="AC330" s="669"/>
      <c r="AD330"/>
      <c r="AE330"/>
      <c r="AF330"/>
      <c r="AG330"/>
      <c r="AH330"/>
      <c r="AI330"/>
      <c r="AJ330" s="669"/>
    </row>
    <row r="331" spans="1:38" x14ac:dyDescent="0.2">
      <c r="A331"/>
      <c r="B331"/>
      <c r="C331"/>
      <c r="D331" s="669"/>
      <c r="E331" s="669"/>
      <c r="F331" s="669"/>
      <c r="G331" s="669"/>
      <c r="H331"/>
      <c r="I331"/>
      <c r="J331"/>
      <c r="K331"/>
      <c r="L331" s="669"/>
      <c r="M331" s="669"/>
      <c r="N331" s="669"/>
      <c r="O331" s="669"/>
      <c r="P331"/>
      <c r="Q331"/>
      <c r="R331"/>
      <c r="S331"/>
      <c r="T331"/>
      <c r="U331"/>
      <c r="Z331" s="669"/>
      <c r="AA331" s="669"/>
      <c r="AB331" s="669"/>
      <c r="AC331" s="669"/>
      <c r="AD331"/>
      <c r="AE331"/>
      <c r="AF331"/>
      <c r="AG331"/>
      <c r="AH331"/>
      <c r="AI331"/>
      <c r="AJ331" s="669"/>
    </row>
    <row r="332" spans="1:38" x14ac:dyDescent="0.2">
      <c r="A332"/>
      <c r="B332"/>
      <c r="C332"/>
      <c r="D332" s="669"/>
      <c r="E332" s="669"/>
      <c r="F332" s="669"/>
      <c r="G332" s="669"/>
      <c r="H332"/>
      <c r="I332"/>
      <c r="J332"/>
      <c r="K332"/>
      <c r="L332" s="669"/>
      <c r="M332" s="669"/>
      <c r="N332" s="669"/>
      <c r="O332" s="669"/>
      <c r="P332"/>
      <c r="Q332"/>
      <c r="R332"/>
      <c r="S332"/>
      <c r="T332"/>
      <c r="U332"/>
      <c r="V332"/>
      <c r="W332"/>
      <c r="X332"/>
      <c r="Y332"/>
      <c r="Z332" s="669"/>
      <c r="AA332" s="669"/>
      <c r="AB332" s="669"/>
      <c r="AC332" s="669"/>
      <c r="AD332"/>
      <c r="AE332"/>
      <c r="AF332"/>
      <c r="AG332"/>
      <c r="AH332"/>
      <c r="AI332"/>
      <c r="AJ332" s="669"/>
    </row>
    <row r="333" spans="1:38" x14ac:dyDescent="0.2">
      <c r="A333"/>
      <c r="B333"/>
      <c r="C333"/>
      <c r="D333" s="669"/>
      <c r="E333" s="669"/>
      <c r="F333" s="669"/>
      <c r="G333" s="669"/>
      <c r="H333"/>
      <c r="I333"/>
      <c r="J333"/>
      <c r="K333"/>
      <c r="L333" s="669"/>
      <c r="M333" s="669"/>
      <c r="N333" s="669"/>
      <c r="O333" s="669"/>
      <c r="P333"/>
      <c r="Q333"/>
      <c r="R333"/>
      <c r="S333"/>
      <c r="T333"/>
      <c r="U333"/>
      <c r="V333"/>
      <c r="W333"/>
      <c r="X333"/>
      <c r="Y333"/>
      <c r="Z333" s="669"/>
      <c r="AA333" s="669"/>
      <c r="AB333" s="669"/>
      <c r="AC333" s="669"/>
      <c r="AD333"/>
      <c r="AE333"/>
      <c r="AF333"/>
      <c r="AG333"/>
      <c r="AH333"/>
      <c r="AI333"/>
      <c r="AJ333" s="669"/>
      <c r="AK333"/>
    </row>
    <row r="334" spans="1:38" x14ac:dyDescent="0.2">
      <c r="A334"/>
      <c r="B334"/>
      <c r="C334"/>
      <c r="D334" s="669"/>
      <c r="E334" s="669"/>
      <c r="F334" s="669"/>
      <c r="G334" s="669"/>
      <c r="H334"/>
      <c r="I334"/>
      <c r="J334"/>
      <c r="K334"/>
      <c r="L334" s="669"/>
      <c r="M334" s="669"/>
      <c r="N334" s="669"/>
      <c r="O334" s="669"/>
      <c r="P334"/>
      <c r="Q334"/>
      <c r="R334"/>
      <c r="S334"/>
      <c r="T334"/>
      <c r="U334"/>
      <c r="V334"/>
      <c r="W334"/>
      <c r="X334"/>
      <c r="Y334"/>
      <c r="Z334" s="669"/>
      <c r="AA334" s="669"/>
      <c r="AB334" s="669"/>
      <c r="AC334" s="669"/>
      <c r="AD334"/>
      <c r="AE334"/>
      <c r="AF334"/>
      <c r="AG334"/>
      <c r="AH334"/>
      <c r="AI334"/>
      <c r="AJ334" s="669"/>
      <c r="AK334"/>
    </row>
    <row r="335" spans="1:38" x14ac:dyDescent="0.2">
      <c r="A335"/>
      <c r="B335"/>
      <c r="C335"/>
      <c r="D335" s="669"/>
      <c r="E335" s="669"/>
      <c r="F335" s="669"/>
      <c r="G335" s="669"/>
      <c r="H335"/>
      <c r="I335"/>
      <c r="J335"/>
      <c r="K335"/>
      <c r="L335" s="669"/>
      <c r="M335" s="669"/>
      <c r="N335" s="669"/>
      <c r="O335" s="669"/>
      <c r="P335"/>
      <c r="Q335"/>
      <c r="R335"/>
      <c r="S335"/>
      <c r="T335"/>
      <c r="U335"/>
      <c r="V335"/>
      <c r="W335"/>
      <c r="X335"/>
      <c r="Y335"/>
      <c r="Z335" s="669"/>
      <c r="AA335" s="669"/>
      <c r="AB335" s="669"/>
      <c r="AC335" s="669"/>
      <c r="AD335"/>
      <c r="AE335"/>
      <c r="AF335"/>
      <c r="AG335"/>
      <c r="AH335"/>
      <c r="AI335"/>
      <c r="AJ335" s="669"/>
    </row>
    <row r="336" spans="1:38" x14ac:dyDescent="0.2">
      <c r="A336"/>
      <c r="B336"/>
      <c r="C336"/>
      <c r="D336" s="669"/>
      <c r="E336" s="669"/>
      <c r="F336" s="669"/>
      <c r="G336" s="669"/>
      <c r="H336"/>
      <c r="I336"/>
      <c r="J336"/>
      <c r="K336"/>
      <c r="L336" s="669"/>
      <c r="M336" s="669"/>
      <c r="N336" s="669"/>
      <c r="O336" s="669"/>
      <c r="P336"/>
      <c r="Q336"/>
      <c r="R336"/>
      <c r="S336"/>
      <c r="T336"/>
      <c r="U336"/>
      <c r="V336"/>
      <c r="W336"/>
      <c r="X336"/>
      <c r="Y336"/>
      <c r="Z336" s="669"/>
      <c r="AA336" s="669"/>
      <c r="AB336" s="669"/>
      <c r="AC336" s="669"/>
      <c r="AD336"/>
      <c r="AE336"/>
      <c r="AF336"/>
      <c r="AG336"/>
      <c r="AH336"/>
      <c r="AI336"/>
      <c r="AJ336" s="669"/>
      <c r="AL336"/>
    </row>
    <row r="337" spans="1:36" x14ac:dyDescent="0.2">
      <c r="A337"/>
      <c r="B337"/>
      <c r="C337"/>
      <c r="D337" s="669"/>
      <c r="E337" s="669"/>
      <c r="F337" s="669"/>
      <c r="G337" s="669"/>
      <c r="H337"/>
      <c r="I337"/>
      <c r="J337"/>
      <c r="K337"/>
      <c r="L337" s="669"/>
      <c r="M337" s="669"/>
      <c r="N337" s="669"/>
      <c r="O337" s="669"/>
      <c r="P337"/>
      <c r="Q337"/>
      <c r="R337"/>
      <c r="S337"/>
      <c r="T337"/>
      <c r="U337"/>
      <c r="V337"/>
      <c r="W337"/>
      <c r="X337"/>
      <c r="Y337"/>
      <c r="Z337" s="669"/>
      <c r="AA337" s="669"/>
      <c r="AB337" s="669"/>
      <c r="AC337" s="669"/>
      <c r="AD337"/>
      <c r="AE337"/>
      <c r="AF337"/>
      <c r="AG337"/>
      <c r="AH337"/>
      <c r="AI337"/>
      <c r="AJ337" s="669"/>
    </row>
    <row r="338" spans="1:36" x14ac:dyDescent="0.2">
      <c r="A338"/>
      <c r="B338"/>
      <c r="C338"/>
      <c r="D338" s="669"/>
      <c r="E338" s="669"/>
      <c r="F338" s="669"/>
      <c r="G338" s="669"/>
      <c r="H338"/>
      <c r="I338"/>
      <c r="J338"/>
      <c r="K338"/>
      <c r="L338" s="669"/>
      <c r="M338" s="669"/>
      <c r="N338" s="669"/>
      <c r="O338" s="669"/>
      <c r="P338"/>
      <c r="Q338"/>
      <c r="R338"/>
      <c r="S338"/>
      <c r="T338"/>
      <c r="U338"/>
      <c r="V338"/>
      <c r="W338"/>
      <c r="X338"/>
      <c r="Y338"/>
      <c r="Z338" s="669"/>
      <c r="AA338" s="669"/>
      <c r="AB338" s="669"/>
      <c r="AC338" s="669"/>
      <c r="AD338"/>
      <c r="AE338"/>
      <c r="AF338"/>
      <c r="AG338"/>
      <c r="AH338"/>
      <c r="AI338"/>
      <c r="AJ338" s="669"/>
    </row>
    <row r="339" spans="1:36" x14ac:dyDescent="0.2">
      <c r="A339"/>
      <c r="B339"/>
      <c r="C339"/>
      <c r="D339" s="669"/>
      <c r="E339" s="669"/>
      <c r="F339" s="669"/>
      <c r="G339" s="669"/>
      <c r="H339"/>
      <c r="I339"/>
      <c r="J339"/>
      <c r="K339"/>
      <c r="L339" s="669"/>
      <c r="M339" s="669"/>
      <c r="N339" s="669"/>
      <c r="O339" s="669"/>
      <c r="P339"/>
      <c r="R339"/>
      <c r="V339"/>
      <c r="Z339" s="669"/>
      <c r="AA339" s="669"/>
      <c r="AB339" s="669"/>
      <c r="AC339" s="669"/>
      <c r="AD339"/>
      <c r="AE339"/>
      <c r="AF339"/>
      <c r="AG339"/>
      <c r="AH339"/>
      <c r="AI339"/>
      <c r="AJ339" s="669"/>
    </row>
    <row r="340" spans="1:36" x14ac:dyDescent="0.2">
      <c r="A340"/>
      <c r="B340"/>
      <c r="C340"/>
      <c r="D340" s="669"/>
      <c r="E340" s="669"/>
      <c r="F340" s="669"/>
      <c r="G340" s="669"/>
      <c r="H340"/>
      <c r="I340"/>
      <c r="J340"/>
      <c r="K340"/>
      <c r="L340" s="669"/>
      <c r="M340" s="669"/>
      <c r="N340" s="669"/>
      <c r="O340" s="669"/>
      <c r="P340"/>
      <c r="Q340"/>
      <c r="R340"/>
      <c r="V340"/>
      <c r="Z340" s="669"/>
      <c r="AA340" s="669"/>
      <c r="AB340" s="669"/>
      <c r="AC340" s="669"/>
      <c r="AD340"/>
      <c r="AE340"/>
      <c r="AF340"/>
      <c r="AG340"/>
      <c r="AH340"/>
      <c r="AI340"/>
      <c r="AJ340" s="669"/>
    </row>
    <row r="341" spans="1:36" x14ac:dyDescent="0.2">
      <c r="A341"/>
      <c r="B341"/>
      <c r="C341"/>
      <c r="D341" s="669"/>
      <c r="E341" s="669"/>
      <c r="F341" s="669"/>
      <c r="G341" s="669"/>
      <c r="H341"/>
      <c r="I341"/>
      <c r="J341"/>
      <c r="K341"/>
      <c r="L341" s="669"/>
      <c r="M341" s="669"/>
      <c r="N341" s="669"/>
      <c r="O341" s="669"/>
      <c r="P341"/>
      <c r="Q341"/>
      <c r="R341"/>
      <c r="S341"/>
      <c r="T341"/>
      <c r="U341"/>
      <c r="V341"/>
      <c r="W341"/>
      <c r="X341"/>
      <c r="Y341"/>
      <c r="Z341" s="669"/>
      <c r="AA341" s="669"/>
      <c r="AB341" s="669"/>
      <c r="AC341" s="669"/>
      <c r="AD341"/>
      <c r="AE341"/>
      <c r="AF341"/>
      <c r="AG341"/>
      <c r="AH341"/>
      <c r="AI341"/>
      <c r="AJ341" s="669"/>
    </row>
    <row r="342" spans="1:36" x14ac:dyDescent="0.2">
      <c r="A342"/>
      <c r="B342"/>
      <c r="C342"/>
      <c r="D342" s="669"/>
      <c r="E342" s="669"/>
      <c r="F342" s="669"/>
      <c r="G342" s="669"/>
      <c r="H342"/>
      <c r="I342"/>
      <c r="J342"/>
      <c r="K342"/>
      <c r="L342" s="669"/>
      <c r="M342" s="669"/>
      <c r="N342" s="669"/>
      <c r="O342" s="669"/>
      <c r="P342"/>
      <c r="Q342"/>
      <c r="R342"/>
      <c r="S342"/>
      <c r="T342"/>
      <c r="U342"/>
      <c r="V342"/>
      <c r="W342"/>
      <c r="X342"/>
      <c r="Y342"/>
      <c r="Z342" s="669"/>
      <c r="AA342" s="669"/>
      <c r="AB342" s="669"/>
      <c r="AC342" s="669"/>
      <c r="AD342"/>
      <c r="AE342"/>
      <c r="AF342"/>
      <c r="AG342"/>
      <c r="AH342"/>
      <c r="AI342"/>
      <c r="AJ342" s="669"/>
    </row>
    <row r="343" spans="1:36" x14ac:dyDescent="0.2">
      <c r="A343"/>
      <c r="B343"/>
      <c r="C343"/>
      <c r="D343" s="669"/>
      <c r="E343" s="669"/>
      <c r="F343" s="669"/>
      <c r="G343" s="669"/>
      <c r="H343"/>
      <c r="I343"/>
      <c r="J343"/>
      <c r="K343"/>
      <c r="L343" s="669"/>
      <c r="M343" s="669"/>
      <c r="N343" s="669"/>
      <c r="O343" s="669"/>
      <c r="P343"/>
      <c r="Q343"/>
      <c r="R343"/>
      <c r="S343"/>
      <c r="T343"/>
      <c r="U343"/>
      <c r="V343"/>
      <c r="W343"/>
      <c r="X343"/>
      <c r="Y343"/>
      <c r="Z343" s="669"/>
      <c r="AA343" s="669"/>
      <c r="AB343" s="669"/>
      <c r="AC343" s="669"/>
      <c r="AD343"/>
      <c r="AE343"/>
      <c r="AF343"/>
      <c r="AG343"/>
      <c r="AH343"/>
      <c r="AI343"/>
      <c r="AJ343" s="669"/>
    </row>
    <row r="344" spans="1:36" x14ac:dyDescent="0.2">
      <c r="A344"/>
      <c r="B344"/>
      <c r="C344"/>
      <c r="D344" s="669"/>
      <c r="E344" s="669"/>
      <c r="F344" s="669"/>
      <c r="G344" s="669"/>
      <c r="H344"/>
      <c r="I344"/>
      <c r="J344"/>
      <c r="K344"/>
      <c r="L344" s="669"/>
      <c r="M344" s="669"/>
      <c r="N344" s="669"/>
      <c r="O344" s="669"/>
      <c r="P344"/>
      <c r="Q344"/>
      <c r="R344"/>
      <c r="S344"/>
      <c r="T344"/>
      <c r="U344"/>
      <c r="V344"/>
      <c r="W344"/>
      <c r="X344"/>
      <c r="Y344"/>
      <c r="Z344" s="669"/>
      <c r="AA344" s="669"/>
      <c r="AB344" s="669"/>
      <c r="AC344" s="669"/>
      <c r="AD344"/>
      <c r="AE344"/>
      <c r="AF344"/>
      <c r="AG344"/>
      <c r="AH344"/>
      <c r="AI344"/>
      <c r="AJ344" s="669"/>
    </row>
    <row r="345" spans="1:36" x14ac:dyDescent="0.2">
      <c r="A345"/>
      <c r="B345"/>
      <c r="C345"/>
      <c r="D345" s="669"/>
      <c r="E345" s="669"/>
      <c r="F345" s="669"/>
      <c r="G345" s="669"/>
      <c r="H345"/>
      <c r="I345"/>
      <c r="J345"/>
      <c r="K345"/>
      <c r="L345" s="669"/>
      <c r="M345" s="669"/>
      <c r="N345" s="669"/>
      <c r="O345" s="669"/>
      <c r="P345"/>
      <c r="Q345"/>
      <c r="R345"/>
      <c r="S345"/>
      <c r="T345"/>
      <c r="U345"/>
      <c r="V345"/>
      <c r="W345"/>
      <c r="X345"/>
      <c r="Y345"/>
      <c r="Z345" s="669"/>
      <c r="AA345" s="669"/>
      <c r="AB345" s="669"/>
      <c r="AC345" s="669"/>
      <c r="AD345"/>
      <c r="AE345"/>
      <c r="AF345"/>
      <c r="AG345"/>
      <c r="AH345"/>
      <c r="AI345"/>
      <c r="AJ345" s="669"/>
    </row>
    <row r="346" spans="1:36" x14ac:dyDescent="0.2">
      <c r="A346"/>
      <c r="B346"/>
      <c r="C346"/>
      <c r="D346" s="669"/>
      <c r="E346" s="669"/>
      <c r="F346" s="669"/>
      <c r="G346" s="669"/>
      <c r="H346"/>
      <c r="I346"/>
      <c r="J346"/>
      <c r="K346"/>
      <c r="L346" s="669"/>
      <c r="M346" s="669"/>
      <c r="N346" s="669"/>
      <c r="O346" s="669"/>
      <c r="R346"/>
      <c r="V346"/>
      <c r="Z346" s="669"/>
      <c r="AA346" s="669"/>
      <c r="AB346" s="669"/>
      <c r="AC346" s="669"/>
      <c r="AD346"/>
      <c r="AE346"/>
      <c r="AF346"/>
      <c r="AG346"/>
      <c r="AH346"/>
      <c r="AI346"/>
      <c r="AJ346" s="669"/>
    </row>
    <row r="347" spans="1:36" x14ac:dyDescent="0.2">
      <c r="A347"/>
      <c r="B347"/>
      <c r="C347"/>
      <c r="D347" s="669"/>
      <c r="E347" s="669"/>
      <c r="F347" s="669"/>
      <c r="G347" s="669"/>
      <c r="H347"/>
      <c r="I347"/>
      <c r="J347"/>
      <c r="K347"/>
      <c r="L347" s="669"/>
      <c r="M347" s="669"/>
      <c r="N347" s="669"/>
      <c r="O347" s="669"/>
      <c r="R347"/>
      <c r="V347"/>
      <c r="Z347" s="669"/>
      <c r="AA347" s="669"/>
      <c r="AB347" s="669"/>
      <c r="AC347" s="669"/>
      <c r="AD347"/>
      <c r="AE347"/>
      <c r="AF347"/>
      <c r="AG347"/>
      <c r="AH347"/>
      <c r="AI347"/>
      <c r="AJ347" s="669"/>
    </row>
    <row r="348" spans="1:36" x14ac:dyDescent="0.2">
      <c r="A348"/>
      <c r="B348"/>
      <c r="C348"/>
      <c r="D348" s="669"/>
      <c r="E348" s="669"/>
      <c r="F348" s="669"/>
      <c r="G348" s="669"/>
      <c r="H348"/>
      <c r="I348"/>
      <c r="J348"/>
      <c r="K348"/>
      <c r="L348" s="669"/>
      <c r="M348" s="669"/>
      <c r="N348" s="669"/>
      <c r="O348" s="669"/>
      <c r="P348"/>
      <c r="Q348"/>
      <c r="R348"/>
      <c r="S348"/>
      <c r="T348"/>
      <c r="U348"/>
      <c r="V348"/>
      <c r="W348"/>
      <c r="X348"/>
      <c r="Y348"/>
      <c r="Z348" s="669"/>
      <c r="AA348" s="669"/>
      <c r="AB348" s="669"/>
      <c r="AC348" s="669"/>
      <c r="AD348"/>
      <c r="AE348"/>
      <c r="AF348"/>
      <c r="AG348"/>
      <c r="AH348"/>
      <c r="AI348"/>
      <c r="AJ348" s="669"/>
    </row>
    <row r="349" spans="1:36" x14ac:dyDescent="0.2">
      <c r="A349"/>
      <c r="B349"/>
      <c r="C349"/>
      <c r="D349" s="669"/>
      <c r="E349" s="669"/>
      <c r="F349" s="669"/>
      <c r="G349" s="669"/>
      <c r="H349"/>
      <c r="I349"/>
      <c r="J349"/>
      <c r="K349"/>
      <c r="L349" s="669"/>
      <c r="M349" s="669"/>
      <c r="N349" s="669"/>
      <c r="O349" s="669"/>
      <c r="P349"/>
      <c r="Q349"/>
      <c r="R349"/>
      <c r="S349"/>
      <c r="T349"/>
      <c r="U349"/>
      <c r="Z349" s="669"/>
      <c r="AA349" s="669"/>
      <c r="AB349" s="669"/>
      <c r="AC349" s="669"/>
      <c r="AD349"/>
      <c r="AE349"/>
      <c r="AF349"/>
      <c r="AG349"/>
      <c r="AH349"/>
      <c r="AI349"/>
      <c r="AJ349" s="669"/>
    </row>
    <row r="350" spans="1:36" x14ac:dyDescent="0.2">
      <c r="A350"/>
      <c r="B350"/>
      <c r="C350"/>
      <c r="D350" s="669"/>
      <c r="E350" s="669"/>
      <c r="F350" s="669"/>
      <c r="G350" s="669"/>
      <c r="H350"/>
      <c r="I350"/>
      <c r="J350"/>
      <c r="K350"/>
      <c r="L350" s="669"/>
      <c r="M350" s="669"/>
      <c r="N350" s="669"/>
      <c r="O350" s="669"/>
      <c r="P350"/>
      <c r="Q350"/>
      <c r="R350"/>
      <c r="S350"/>
      <c r="T350"/>
      <c r="U350"/>
      <c r="V350"/>
      <c r="W350"/>
      <c r="X350"/>
      <c r="Y350"/>
      <c r="Z350" s="669"/>
      <c r="AA350" s="669"/>
      <c r="AB350" s="669"/>
      <c r="AC350" s="669"/>
      <c r="AD350"/>
      <c r="AE350"/>
      <c r="AF350"/>
      <c r="AG350"/>
      <c r="AH350"/>
      <c r="AI350"/>
      <c r="AJ350" s="669"/>
    </row>
    <row r="351" spans="1:36" x14ac:dyDescent="0.2">
      <c r="A351"/>
      <c r="B351"/>
      <c r="C351"/>
      <c r="D351" s="669"/>
      <c r="E351" s="669"/>
      <c r="F351" s="669"/>
      <c r="G351" s="669"/>
      <c r="H351"/>
      <c r="I351"/>
      <c r="J351"/>
      <c r="K351"/>
      <c r="L351" s="669"/>
      <c r="M351" s="669"/>
      <c r="N351" s="669"/>
      <c r="O351" s="669"/>
      <c r="P351"/>
      <c r="Q351"/>
      <c r="R351"/>
      <c r="S351"/>
      <c r="T351"/>
      <c r="U351"/>
      <c r="V351"/>
      <c r="W351"/>
      <c r="X351"/>
      <c r="Y351"/>
      <c r="Z351" s="669"/>
      <c r="AA351" s="669"/>
      <c r="AB351" s="669"/>
      <c r="AC351" s="669"/>
      <c r="AD351"/>
      <c r="AF351"/>
      <c r="AG351"/>
      <c r="AH351"/>
      <c r="AI351"/>
      <c r="AJ351" s="669"/>
    </row>
    <row r="352" spans="1:36" x14ac:dyDescent="0.2">
      <c r="A352"/>
      <c r="B352"/>
      <c r="C352"/>
      <c r="D352" s="669"/>
      <c r="E352" s="669"/>
      <c r="F352" s="669"/>
      <c r="G352" s="669"/>
      <c r="H352"/>
      <c r="I352"/>
      <c r="J352"/>
      <c r="K352"/>
      <c r="L352" s="669"/>
      <c r="M352" s="669"/>
      <c r="N352" s="669"/>
      <c r="O352" s="669"/>
      <c r="P352"/>
      <c r="Q352"/>
      <c r="R352"/>
      <c r="S352"/>
      <c r="T352"/>
      <c r="U352"/>
      <c r="V352"/>
      <c r="W352"/>
      <c r="X352"/>
      <c r="Y352"/>
      <c r="Z352" s="669"/>
      <c r="AA352" s="669"/>
      <c r="AB352" s="669"/>
      <c r="AC352" s="669"/>
      <c r="AD352"/>
      <c r="AE352"/>
      <c r="AF352"/>
      <c r="AG352"/>
      <c r="AH352"/>
      <c r="AI352"/>
      <c r="AJ352" s="669"/>
    </row>
    <row r="353" spans="1:36" x14ac:dyDescent="0.2">
      <c r="A353"/>
      <c r="B353"/>
      <c r="C353"/>
      <c r="D353" s="669"/>
      <c r="E353" s="669"/>
      <c r="F353" s="669"/>
      <c r="G353" s="669"/>
      <c r="H353"/>
      <c r="I353"/>
      <c r="J353"/>
      <c r="K353"/>
      <c r="L353" s="669"/>
      <c r="M353" s="669"/>
      <c r="N353" s="669"/>
      <c r="O353" s="669"/>
      <c r="P353"/>
      <c r="Q353"/>
      <c r="R353"/>
      <c r="S353"/>
      <c r="T353"/>
      <c r="U353"/>
      <c r="Z353" s="669"/>
      <c r="AA353" s="669"/>
      <c r="AB353" s="669"/>
      <c r="AC353" s="669"/>
      <c r="AD353"/>
      <c r="AE353"/>
      <c r="AF353"/>
      <c r="AG353"/>
      <c r="AH353"/>
      <c r="AI353"/>
      <c r="AJ353" s="669"/>
    </row>
    <row r="354" spans="1:36" x14ac:dyDescent="0.2">
      <c r="A354"/>
      <c r="B354"/>
      <c r="C354"/>
      <c r="D354" s="669"/>
      <c r="E354" s="669"/>
      <c r="F354" s="669"/>
      <c r="G354" s="669"/>
      <c r="H354"/>
      <c r="I354"/>
      <c r="J354"/>
      <c r="K354"/>
      <c r="L354" s="669"/>
      <c r="M354" s="669"/>
      <c r="N354" s="669"/>
      <c r="O354" s="669"/>
      <c r="P354"/>
      <c r="Q354"/>
      <c r="R354"/>
      <c r="S354"/>
      <c r="T354"/>
      <c r="U354"/>
      <c r="V354"/>
      <c r="W354"/>
      <c r="X354"/>
      <c r="Y354"/>
      <c r="Z354" s="669"/>
      <c r="AA354" s="669"/>
      <c r="AB354" s="669"/>
      <c r="AC354" s="669"/>
      <c r="AD354"/>
      <c r="AE354"/>
      <c r="AF354"/>
      <c r="AG354"/>
      <c r="AH354"/>
      <c r="AI354"/>
      <c r="AJ354" s="669"/>
    </row>
    <row r="355" spans="1:36" x14ac:dyDescent="0.2">
      <c r="A355"/>
      <c r="B355"/>
      <c r="C355"/>
      <c r="D355" s="669"/>
      <c r="E355" s="669"/>
      <c r="F355" s="669"/>
      <c r="G355" s="669"/>
      <c r="H355"/>
      <c r="I355"/>
      <c r="J355"/>
      <c r="K355"/>
      <c r="L355" s="669"/>
      <c r="M355" s="669"/>
      <c r="N355" s="669"/>
      <c r="O355" s="669"/>
      <c r="P355"/>
      <c r="Q355"/>
      <c r="R355"/>
      <c r="S355"/>
      <c r="T355"/>
      <c r="U355"/>
      <c r="Z355" s="669"/>
      <c r="AA355" s="669"/>
      <c r="AB355" s="669"/>
      <c r="AC355" s="669"/>
      <c r="AD355"/>
      <c r="AE355"/>
      <c r="AF355"/>
      <c r="AG355"/>
      <c r="AH355"/>
      <c r="AI355"/>
      <c r="AJ355" s="669"/>
    </row>
    <row r="356" spans="1:36" x14ac:dyDescent="0.2">
      <c r="A356"/>
      <c r="B356"/>
      <c r="C356"/>
      <c r="D356" s="669"/>
      <c r="E356" s="669"/>
      <c r="F356" s="669"/>
      <c r="G356" s="669"/>
      <c r="H356"/>
      <c r="I356"/>
      <c r="J356"/>
      <c r="K356"/>
      <c r="L356" s="669"/>
      <c r="M356" s="669"/>
      <c r="N356" s="669"/>
      <c r="O356" s="669"/>
      <c r="P356"/>
      <c r="Q356"/>
      <c r="R356"/>
      <c r="S356"/>
      <c r="T356"/>
      <c r="U356"/>
      <c r="Z356" s="669"/>
      <c r="AA356" s="669"/>
      <c r="AB356" s="669"/>
      <c r="AC356" s="669"/>
      <c r="AD356"/>
      <c r="AE356"/>
      <c r="AF356"/>
      <c r="AG356"/>
      <c r="AH356"/>
      <c r="AI356"/>
      <c r="AJ356" s="669"/>
    </row>
    <row r="357" spans="1:36" x14ac:dyDescent="0.2">
      <c r="A357"/>
      <c r="B357"/>
      <c r="C357"/>
      <c r="D357" s="669"/>
      <c r="E357" s="669"/>
      <c r="F357" s="669"/>
      <c r="G357" s="669"/>
      <c r="H357"/>
      <c r="I357"/>
      <c r="J357"/>
      <c r="K357"/>
      <c r="L357" s="669"/>
      <c r="M357" s="669"/>
      <c r="N357" s="669"/>
      <c r="O357" s="669"/>
      <c r="P357"/>
      <c r="Q357"/>
      <c r="R357"/>
      <c r="S357"/>
      <c r="T357"/>
      <c r="U357"/>
      <c r="V357"/>
      <c r="W357"/>
      <c r="X357"/>
      <c r="Y357"/>
      <c r="Z357" s="669"/>
      <c r="AA357" s="669"/>
      <c r="AB357" s="669"/>
      <c r="AC357" s="669"/>
      <c r="AD357"/>
      <c r="AE357"/>
      <c r="AF357"/>
      <c r="AG357"/>
      <c r="AH357"/>
      <c r="AI357"/>
      <c r="AJ357" s="669"/>
    </row>
    <row r="358" spans="1:36" x14ac:dyDescent="0.2">
      <c r="A358"/>
      <c r="B358"/>
      <c r="C358"/>
      <c r="D358" s="669"/>
      <c r="E358" s="669"/>
      <c r="F358" s="669"/>
      <c r="G358" s="669"/>
      <c r="H358"/>
      <c r="I358"/>
      <c r="J358"/>
      <c r="K358"/>
      <c r="L358" s="669"/>
      <c r="M358" s="669"/>
      <c r="N358" s="669"/>
      <c r="O358" s="669"/>
      <c r="P358"/>
      <c r="Q358"/>
      <c r="R358"/>
      <c r="S358"/>
      <c r="T358"/>
      <c r="U358"/>
      <c r="V358"/>
      <c r="W358"/>
      <c r="X358"/>
      <c r="Y358"/>
      <c r="Z358" s="669"/>
      <c r="AA358" s="669"/>
      <c r="AB358" s="669"/>
      <c r="AC358" s="669"/>
      <c r="AD358"/>
      <c r="AE358"/>
      <c r="AF358"/>
      <c r="AG358"/>
      <c r="AH358"/>
      <c r="AI358"/>
      <c r="AJ358" s="669"/>
    </row>
    <row r="359" spans="1:36" x14ac:dyDescent="0.2">
      <c r="A359"/>
      <c r="B359"/>
      <c r="C359"/>
      <c r="D359" s="669"/>
      <c r="E359" s="669"/>
      <c r="F359" s="669"/>
      <c r="G359" s="669"/>
      <c r="H359"/>
      <c r="I359"/>
      <c r="J359"/>
      <c r="L359" s="669"/>
      <c r="M359" s="669"/>
      <c r="N359" s="669"/>
      <c r="O359" s="669"/>
      <c r="P359"/>
      <c r="Q359"/>
      <c r="R359"/>
      <c r="S359"/>
      <c r="T359"/>
      <c r="U359"/>
      <c r="V359"/>
      <c r="W359"/>
      <c r="X359"/>
      <c r="Y359"/>
      <c r="Z359" s="669"/>
      <c r="AA359" s="669"/>
      <c r="AB359" s="669"/>
      <c r="AC359" s="669"/>
      <c r="AD359"/>
      <c r="AE359"/>
      <c r="AF359"/>
      <c r="AG359"/>
      <c r="AH359"/>
      <c r="AI359"/>
      <c r="AJ359" s="669"/>
    </row>
    <row r="360" spans="1:36" x14ac:dyDescent="0.2">
      <c r="A360"/>
      <c r="B360"/>
      <c r="C360"/>
      <c r="D360" s="669"/>
      <c r="E360" s="669"/>
      <c r="F360" s="669"/>
      <c r="G360" s="669"/>
      <c r="H360"/>
      <c r="I360"/>
      <c r="J360"/>
      <c r="L360" s="669"/>
      <c r="M360" s="669"/>
      <c r="N360" s="669"/>
      <c r="O360" s="669"/>
      <c r="P360"/>
      <c r="Q360"/>
      <c r="R360"/>
      <c r="S360"/>
      <c r="T360"/>
      <c r="U360"/>
      <c r="V360"/>
      <c r="W360"/>
      <c r="X360"/>
      <c r="Y360"/>
      <c r="Z360" s="669"/>
      <c r="AA360" s="669"/>
      <c r="AB360" s="669"/>
      <c r="AC360" s="669"/>
      <c r="AD360"/>
      <c r="AE360"/>
      <c r="AF360"/>
      <c r="AG360"/>
      <c r="AH360"/>
      <c r="AI360"/>
      <c r="AJ360" s="669"/>
    </row>
    <row r="361" spans="1:36" x14ac:dyDescent="0.2">
      <c r="A361"/>
      <c r="B361"/>
      <c r="C361"/>
      <c r="D361" s="669"/>
      <c r="E361" s="669"/>
      <c r="F361" s="669"/>
      <c r="G361" s="669"/>
      <c r="H361"/>
      <c r="I361"/>
      <c r="J361"/>
      <c r="L361" s="669"/>
      <c r="M361" s="669"/>
      <c r="N361" s="669"/>
      <c r="O361" s="669"/>
      <c r="P361"/>
      <c r="Q361"/>
      <c r="R361"/>
      <c r="S361"/>
      <c r="T361"/>
      <c r="U361"/>
      <c r="V361"/>
      <c r="W361"/>
      <c r="X361"/>
      <c r="Y361"/>
      <c r="Z361" s="669"/>
      <c r="AA361" s="669"/>
      <c r="AB361" s="669"/>
      <c r="AC361" s="669"/>
      <c r="AD361"/>
      <c r="AE361"/>
      <c r="AF361"/>
      <c r="AG361"/>
      <c r="AH361"/>
      <c r="AI361"/>
      <c r="AJ361" s="669"/>
    </row>
    <row r="362" spans="1:36" x14ac:dyDescent="0.2">
      <c r="A362"/>
      <c r="B362"/>
      <c r="C362"/>
      <c r="D362" s="669"/>
      <c r="E362" s="669"/>
      <c r="F362" s="669"/>
      <c r="G362" s="669"/>
      <c r="H362"/>
      <c r="I362"/>
      <c r="J362"/>
      <c r="L362" s="669"/>
      <c r="M362" s="669"/>
      <c r="N362" s="669"/>
      <c r="O362" s="669"/>
      <c r="P362"/>
      <c r="Q362"/>
      <c r="R362"/>
      <c r="S362"/>
      <c r="T362"/>
      <c r="U362"/>
      <c r="V362"/>
      <c r="W362"/>
      <c r="X362"/>
      <c r="Y362"/>
      <c r="Z362" s="669"/>
      <c r="AA362" s="669"/>
      <c r="AB362" s="669"/>
      <c r="AC362" s="669"/>
      <c r="AD362"/>
      <c r="AE362"/>
      <c r="AF362"/>
      <c r="AG362"/>
      <c r="AH362"/>
      <c r="AI362"/>
      <c r="AJ362" s="669"/>
    </row>
    <row r="363" spans="1:36" x14ac:dyDescent="0.2">
      <c r="A363"/>
      <c r="B363"/>
      <c r="C363"/>
      <c r="D363" s="669"/>
      <c r="E363" s="669"/>
      <c r="F363" s="669"/>
      <c r="G363" s="669"/>
      <c r="H363"/>
      <c r="I363"/>
      <c r="J363"/>
      <c r="K363"/>
      <c r="L363" s="669"/>
      <c r="M363" s="669"/>
      <c r="N363" s="669"/>
      <c r="O363" s="669"/>
      <c r="P363"/>
      <c r="Q363"/>
      <c r="R363"/>
      <c r="S363"/>
      <c r="T363"/>
      <c r="U363"/>
      <c r="V363"/>
      <c r="W363"/>
      <c r="X363"/>
      <c r="Y363"/>
      <c r="Z363" s="669"/>
      <c r="AA363" s="669"/>
      <c r="AB363" s="669"/>
      <c r="AC363" s="669"/>
      <c r="AE363"/>
      <c r="AF363"/>
      <c r="AG363"/>
      <c r="AH363"/>
      <c r="AI363"/>
      <c r="AJ363" s="669"/>
    </row>
    <row r="364" spans="1:36" x14ac:dyDescent="0.2">
      <c r="A364"/>
      <c r="B364"/>
      <c r="C364"/>
      <c r="D364" s="669"/>
      <c r="E364" s="669"/>
      <c r="F364" s="669"/>
      <c r="G364" s="669"/>
      <c r="H364"/>
      <c r="I364"/>
      <c r="J364"/>
      <c r="K364"/>
      <c r="L364" s="669"/>
      <c r="M364" s="669"/>
      <c r="N364" s="669"/>
      <c r="O364" s="669"/>
      <c r="P364"/>
      <c r="Q364"/>
      <c r="R364"/>
      <c r="S364"/>
      <c r="T364"/>
      <c r="U364"/>
      <c r="V364"/>
      <c r="W364"/>
      <c r="X364"/>
      <c r="Y364"/>
      <c r="Z364" s="669"/>
      <c r="AA364" s="669"/>
      <c r="AB364" s="669"/>
      <c r="AC364" s="669"/>
      <c r="AD364"/>
      <c r="AE364"/>
      <c r="AF364"/>
      <c r="AG364"/>
      <c r="AH364"/>
      <c r="AI364"/>
      <c r="AJ364" s="669"/>
    </row>
    <row r="365" spans="1:36" x14ac:dyDescent="0.2">
      <c r="A365"/>
      <c r="B365"/>
      <c r="C365"/>
      <c r="D365" s="669"/>
      <c r="E365" s="669"/>
      <c r="F365" s="669"/>
      <c r="G365" s="669"/>
      <c r="H365"/>
      <c r="I365"/>
      <c r="J365"/>
      <c r="L365" s="669"/>
      <c r="M365" s="669"/>
      <c r="N365" s="669"/>
      <c r="O365" s="669"/>
      <c r="P365"/>
      <c r="Q365"/>
      <c r="R365"/>
      <c r="S365"/>
      <c r="T365"/>
      <c r="U365"/>
      <c r="V365"/>
      <c r="W365"/>
      <c r="X365"/>
      <c r="Y365"/>
      <c r="Z365" s="669"/>
      <c r="AA365" s="669"/>
      <c r="AB365" s="669"/>
      <c r="AC365" s="669"/>
      <c r="AD365"/>
      <c r="AE365"/>
      <c r="AF365"/>
      <c r="AG365"/>
      <c r="AH365"/>
      <c r="AI365"/>
      <c r="AJ365" s="669"/>
    </row>
    <row r="366" spans="1:36" x14ac:dyDescent="0.2">
      <c r="A366"/>
      <c r="B366"/>
      <c r="C366"/>
      <c r="D366" s="669"/>
      <c r="E366" s="669"/>
      <c r="F366" s="669"/>
      <c r="G366" s="669"/>
      <c r="H366"/>
      <c r="I366"/>
      <c r="J366"/>
      <c r="L366" s="669"/>
      <c r="M366" s="669"/>
      <c r="N366" s="669"/>
      <c r="O366" s="669"/>
      <c r="P366"/>
      <c r="Q366"/>
      <c r="R366"/>
      <c r="S366"/>
      <c r="T366"/>
      <c r="U366"/>
      <c r="V366"/>
      <c r="W366"/>
      <c r="X366"/>
      <c r="Y366"/>
      <c r="Z366" s="669"/>
      <c r="AA366" s="669"/>
      <c r="AB366" s="669"/>
      <c r="AC366" s="669"/>
      <c r="AD366"/>
      <c r="AE366"/>
      <c r="AF366"/>
      <c r="AG366"/>
      <c r="AH366"/>
      <c r="AI366"/>
      <c r="AJ366" s="669"/>
    </row>
    <row r="367" spans="1:36" x14ac:dyDescent="0.2">
      <c r="A367"/>
      <c r="B367"/>
      <c r="C367"/>
      <c r="D367" s="669"/>
      <c r="E367" s="669"/>
      <c r="F367" s="669"/>
      <c r="G367" s="669"/>
      <c r="H367"/>
      <c r="I367"/>
      <c r="J367"/>
      <c r="L367" s="669"/>
      <c r="M367" s="669"/>
      <c r="N367" s="669"/>
      <c r="O367" s="669"/>
      <c r="P367"/>
      <c r="Q367"/>
      <c r="R367"/>
      <c r="S367"/>
      <c r="T367"/>
      <c r="U367"/>
      <c r="V367"/>
      <c r="W367"/>
      <c r="X367"/>
      <c r="Y367"/>
      <c r="Z367" s="669"/>
      <c r="AA367" s="669"/>
      <c r="AB367" s="669"/>
      <c r="AC367" s="669"/>
      <c r="AD367"/>
      <c r="AE367"/>
      <c r="AF367"/>
      <c r="AG367"/>
      <c r="AH367"/>
      <c r="AI367"/>
      <c r="AJ367" s="669"/>
    </row>
    <row r="368" spans="1:36" x14ac:dyDescent="0.2">
      <c r="A368"/>
      <c r="B368"/>
      <c r="C368"/>
      <c r="D368" s="669"/>
      <c r="E368" s="669"/>
      <c r="F368" s="669"/>
      <c r="G368" s="669"/>
      <c r="H368"/>
      <c r="I368"/>
      <c r="J368"/>
      <c r="L368" s="669"/>
      <c r="M368" s="669"/>
      <c r="N368" s="669"/>
      <c r="O368" s="669"/>
      <c r="P368"/>
      <c r="Q368"/>
      <c r="R368"/>
      <c r="S368"/>
      <c r="T368"/>
      <c r="U368"/>
      <c r="V368"/>
      <c r="W368"/>
      <c r="X368"/>
      <c r="Y368"/>
      <c r="Z368" s="669"/>
      <c r="AA368" s="669"/>
      <c r="AB368" s="669"/>
      <c r="AC368" s="669"/>
      <c r="AI368"/>
      <c r="AJ368" s="669"/>
    </row>
    <row r="369" spans="1:36" x14ac:dyDescent="0.2">
      <c r="A369"/>
      <c r="B369"/>
      <c r="C369"/>
      <c r="D369" s="669"/>
      <c r="E369" s="669"/>
      <c r="F369" s="669"/>
      <c r="G369" s="669"/>
      <c r="H369"/>
      <c r="I369"/>
      <c r="J369"/>
      <c r="L369" s="669"/>
      <c r="M369" s="669"/>
      <c r="N369" s="669"/>
      <c r="O369" s="669"/>
      <c r="P369"/>
      <c r="Q369"/>
      <c r="R369"/>
      <c r="S369"/>
      <c r="T369"/>
      <c r="U369"/>
      <c r="V369"/>
      <c r="W369"/>
      <c r="X369"/>
      <c r="Y369"/>
      <c r="Z369" s="669"/>
      <c r="AA369" s="669"/>
      <c r="AB369" s="669"/>
      <c r="AC369" s="669"/>
      <c r="AD369"/>
      <c r="AE369"/>
      <c r="AF369"/>
      <c r="AG369"/>
      <c r="AH369"/>
      <c r="AI369"/>
      <c r="AJ369" s="669"/>
    </row>
    <row r="370" spans="1:36" x14ac:dyDescent="0.2">
      <c r="A370"/>
      <c r="B370"/>
      <c r="C370"/>
      <c r="D370" s="669"/>
      <c r="E370" s="669"/>
      <c r="F370" s="669"/>
      <c r="G370" s="669"/>
      <c r="H370"/>
      <c r="I370"/>
      <c r="J370"/>
      <c r="K370"/>
      <c r="L370" s="669"/>
      <c r="M370" s="669"/>
      <c r="N370" s="669"/>
      <c r="O370" s="669"/>
      <c r="P370"/>
      <c r="Q370"/>
      <c r="R370"/>
      <c r="S370"/>
      <c r="T370"/>
      <c r="U370"/>
      <c r="V370"/>
      <c r="W370"/>
      <c r="X370"/>
      <c r="Y370"/>
      <c r="Z370" s="669"/>
      <c r="AA370" s="669"/>
      <c r="AB370" s="669"/>
      <c r="AC370" s="669"/>
      <c r="AD370"/>
      <c r="AE370"/>
      <c r="AF370"/>
      <c r="AG370"/>
      <c r="AH370"/>
      <c r="AI370"/>
      <c r="AJ370" s="669"/>
    </row>
    <row r="371" spans="1:36" x14ac:dyDescent="0.2">
      <c r="A371"/>
      <c r="B371"/>
      <c r="C371"/>
      <c r="D371" s="669"/>
      <c r="E371" s="669"/>
      <c r="F371" s="669"/>
      <c r="G371" s="669"/>
      <c r="H371"/>
      <c r="I371"/>
      <c r="J371"/>
      <c r="L371" s="669"/>
      <c r="M371" s="669"/>
      <c r="N371" s="669"/>
      <c r="O371" s="669"/>
      <c r="Q371"/>
      <c r="R371"/>
      <c r="S371"/>
      <c r="T371"/>
      <c r="U371"/>
      <c r="Z371" s="669"/>
      <c r="AA371" s="669"/>
      <c r="AB371" s="669"/>
      <c r="AC371" s="669"/>
      <c r="AD371"/>
      <c r="AE371"/>
      <c r="AF371"/>
      <c r="AG371"/>
      <c r="AH371"/>
      <c r="AI371"/>
      <c r="AJ371" s="669"/>
    </row>
    <row r="372" spans="1:36" x14ac:dyDescent="0.2">
      <c r="A372"/>
      <c r="B372"/>
      <c r="C372"/>
      <c r="D372" s="669"/>
      <c r="E372" s="669"/>
      <c r="F372" s="669"/>
      <c r="G372" s="669"/>
      <c r="H372"/>
      <c r="I372"/>
      <c r="J372"/>
      <c r="L372" s="669"/>
      <c r="M372" s="669"/>
      <c r="N372" s="669"/>
      <c r="O372" s="669"/>
      <c r="P372"/>
      <c r="Q372"/>
      <c r="R372"/>
      <c r="S372"/>
      <c r="T372"/>
      <c r="U372"/>
      <c r="Z372" s="669"/>
      <c r="AA372" s="669"/>
      <c r="AB372" s="669"/>
      <c r="AC372" s="669"/>
      <c r="AD372"/>
      <c r="AE372"/>
      <c r="AF372"/>
      <c r="AG372"/>
      <c r="AH372"/>
      <c r="AI372"/>
      <c r="AJ372" s="669"/>
    </row>
    <row r="373" spans="1:36" x14ac:dyDescent="0.2">
      <c r="A373"/>
      <c r="B373"/>
      <c r="C373"/>
      <c r="D373" s="669"/>
      <c r="E373" s="669"/>
      <c r="F373" s="669"/>
      <c r="G373" s="669"/>
      <c r="H373"/>
      <c r="I373"/>
      <c r="J373"/>
      <c r="K373"/>
      <c r="L373" s="669"/>
      <c r="M373" s="669"/>
      <c r="N373" s="669"/>
      <c r="O373" s="669"/>
      <c r="P373"/>
      <c r="Q373"/>
      <c r="R373"/>
      <c r="S373"/>
      <c r="T373"/>
      <c r="U373"/>
      <c r="Z373" s="669"/>
      <c r="AA373" s="669"/>
      <c r="AB373" s="669"/>
      <c r="AC373" s="669"/>
      <c r="AD373"/>
      <c r="AE373"/>
      <c r="AF373"/>
      <c r="AG373"/>
      <c r="AH373"/>
      <c r="AI373"/>
      <c r="AJ373" s="669"/>
    </row>
    <row r="374" spans="1:36" x14ac:dyDescent="0.2">
      <c r="A374"/>
      <c r="B374"/>
      <c r="C374"/>
      <c r="D374" s="669"/>
      <c r="E374" s="669"/>
      <c r="F374" s="669"/>
      <c r="G374" s="669"/>
      <c r="H374"/>
      <c r="I374"/>
      <c r="J374"/>
      <c r="L374" s="669"/>
      <c r="M374" s="669"/>
      <c r="N374" s="669"/>
      <c r="O374" s="669"/>
      <c r="P374"/>
      <c r="Q374"/>
      <c r="R374"/>
      <c r="S374"/>
      <c r="T374"/>
      <c r="U374"/>
      <c r="Z374" s="669"/>
      <c r="AA374" s="669"/>
      <c r="AB374" s="669"/>
      <c r="AC374" s="669"/>
      <c r="AD374"/>
      <c r="AE374"/>
      <c r="AF374"/>
      <c r="AG374"/>
      <c r="AH374"/>
      <c r="AI374"/>
      <c r="AJ374" s="669"/>
    </row>
    <row r="375" spans="1:36" x14ac:dyDescent="0.2">
      <c r="A375"/>
      <c r="B375"/>
      <c r="C375"/>
      <c r="D375" s="669"/>
      <c r="E375" s="669"/>
      <c r="F375" s="669"/>
      <c r="G375" s="669"/>
      <c r="H375"/>
      <c r="I375"/>
      <c r="J375"/>
      <c r="L375" s="669"/>
      <c r="M375" s="669"/>
      <c r="N375" s="669"/>
      <c r="O375" s="669"/>
      <c r="P375"/>
      <c r="Q375"/>
      <c r="R375"/>
      <c r="S375"/>
      <c r="T375"/>
      <c r="U375"/>
      <c r="Z375" s="669"/>
      <c r="AA375" s="669"/>
      <c r="AB375" s="669"/>
      <c r="AC375" s="669"/>
      <c r="AD375"/>
      <c r="AE375"/>
      <c r="AF375"/>
      <c r="AG375"/>
      <c r="AH375"/>
      <c r="AI375"/>
      <c r="AJ375" s="669"/>
    </row>
    <row r="376" spans="1:36" x14ac:dyDescent="0.2">
      <c r="A376"/>
      <c r="B376"/>
      <c r="C376"/>
      <c r="D376" s="669"/>
      <c r="E376" s="669"/>
      <c r="F376" s="669"/>
      <c r="G376" s="669"/>
      <c r="H376"/>
      <c r="I376"/>
      <c r="J376"/>
      <c r="K376"/>
      <c r="L376" s="669"/>
      <c r="M376" s="669"/>
      <c r="N376" s="669"/>
      <c r="O376" s="669"/>
      <c r="P376"/>
      <c r="Q376"/>
      <c r="R376"/>
      <c r="S376"/>
      <c r="T376"/>
      <c r="U376"/>
      <c r="Z376" s="669"/>
      <c r="AA376" s="669"/>
      <c r="AB376" s="669"/>
      <c r="AC376" s="669"/>
      <c r="AD376"/>
      <c r="AE376"/>
      <c r="AF376"/>
      <c r="AG376"/>
      <c r="AH376"/>
      <c r="AI376"/>
      <c r="AJ376" s="669"/>
    </row>
    <row r="377" spans="1:36" x14ac:dyDescent="0.2">
      <c r="A377"/>
      <c r="B377"/>
      <c r="C377"/>
      <c r="D377" s="669"/>
      <c r="E377" s="669"/>
      <c r="F377" s="669"/>
      <c r="G377" s="669"/>
      <c r="H377"/>
      <c r="I377"/>
      <c r="J377"/>
      <c r="L377" s="669"/>
      <c r="M377" s="669"/>
      <c r="N377" s="669"/>
      <c r="O377" s="669"/>
      <c r="P377"/>
      <c r="Q377"/>
      <c r="R377"/>
      <c r="S377"/>
      <c r="T377"/>
      <c r="U377"/>
      <c r="Z377" s="669"/>
      <c r="AA377" s="669"/>
      <c r="AB377" s="669"/>
      <c r="AC377" s="669"/>
      <c r="AD377"/>
      <c r="AE377"/>
      <c r="AF377"/>
      <c r="AG377"/>
      <c r="AH377"/>
      <c r="AI377"/>
      <c r="AJ377" s="669"/>
    </row>
    <row r="378" spans="1:36" x14ac:dyDescent="0.2">
      <c r="A378"/>
      <c r="B378"/>
      <c r="C378"/>
      <c r="D378" s="669"/>
      <c r="E378" s="669"/>
      <c r="F378" s="669"/>
      <c r="G378" s="669"/>
      <c r="H378"/>
      <c r="I378"/>
      <c r="J378"/>
      <c r="K378"/>
      <c r="L378" s="669"/>
      <c r="M378" s="669"/>
      <c r="N378" s="669"/>
      <c r="O378" s="669"/>
      <c r="P378"/>
      <c r="Q378"/>
      <c r="R378"/>
      <c r="S378"/>
      <c r="T378"/>
      <c r="U378"/>
      <c r="Z378" s="669"/>
      <c r="AA378" s="669"/>
      <c r="AB378" s="669"/>
      <c r="AC378" s="669"/>
      <c r="AD378"/>
      <c r="AF378"/>
      <c r="AG378"/>
      <c r="AH378"/>
      <c r="AI378"/>
      <c r="AJ378" s="669"/>
    </row>
    <row r="379" spans="1:36" x14ac:dyDescent="0.2">
      <c r="A379"/>
      <c r="B379"/>
      <c r="C379"/>
      <c r="D379" s="669"/>
      <c r="E379" s="669"/>
      <c r="F379" s="669"/>
      <c r="G379" s="669"/>
      <c r="H379"/>
      <c r="I379"/>
      <c r="J379"/>
      <c r="K379"/>
      <c r="L379" s="669"/>
      <c r="M379" s="669"/>
      <c r="N379" s="669"/>
      <c r="O379" s="669"/>
      <c r="P379"/>
      <c r="Q379"/>
      <c r="R379"/>
      <c r="S379"/>
      <c r="T379"/>
      <c r="U379"/>
      <c r="Z379" s="669"/>
      <c r="AA379" s="669"/>
      <c r="AB379" s="669"/>
      <c r="AC379" s="669"/>
      <c r="AD379"/>
      <c r="AF379"/>
      <c r="AG379"/>
      <c r="AH379"/>
      <c r="AI379"/>
      <c r="AJ379" s="669"/>
    </row>
    <row r="380" spans="1:36" x14ac:dyDescent="0.2">
      <c r="A380"/>
      <c r="B380"/>
      <c r="C380"/>
      <c r="D380" s="669"/>
      <c r="E380" s="669"/>
      <c r="F380" s="669"/>
      <c r="G380" s="669"/>
      <c r="H380"/>
      <c r="I380"/>
      <c r="J380"/>
      <c r="K380"/>
      <c r="L380" s="669"/>
      <c r="M380" s="669"/>
      <c r="N380" s="669"/>
      <c r="O380" s="669"/>
      <c r="P380"/>
      <c r="Q380"/>
      <c r="R380"/>
      <c r="S380"/>
      <c r="T380"/>
      <c r="U380"/>
      <c r="Z380" s="669"/>
      <c r="AA380" s="669"/>
      <c r="AB380" s="669"/>
      <c r="AC380" s="669"/>
      <c r="AD380"/>
      <c r="AE380"/>
      <c r="AF380"/>
      <c r="AG380"/>
      <c r="AH380"/>
      <c r="AI380"/>
      <c r="AJ380" s="669"/>
    </row>
    <row r="381" spans="1:36" x14ac:dyDescent="0.2">
      <c r="A381"/>
      <c r="B381"/>
      <c r="C381"/>
      <c r="D381" s="669"/>
      <c r="E381" s="669"/>
      <c r="F381" s="669"/>
      <c r="G381" s="669"/>
      <c r="H381"/>
      <c r="I381"/>
      <c r="J381"/>
      <c r="K381"/>
      <c r="L381" s="669"/>
      <c r="M381" s="669"/>
      <c r="N381" s="669"/>
      <c r="O381" s="669"/>
      <c r="P381"/>
      <c r="Q381"/>
      <c r="R381"/>
      <c r="S381"/>
      <c r="T381"/>
      <c r="U381"/>
      <c r="Z381" s="669"/>
      <c r="AA381" s="669"/>
      <c r="AB381" s="669"/>
      <c r="AC381" s="669"/>
      <c r="AD381"/>
      <c r="AE381"/>
      <c r="AF381"/>
      <c r="AG381"/>
      <c r="AH381"/>
      <c r="AI381"/>
      <c r="AJ381" s="669"/>
    </row>
    <row r="382" spans="1:36" x14ac:dyDescent="0.2">
      <c r="A382"/>
      <c r="B382"/>
      <c r="C382"/>
      <c r="D382" s="669"/>
      <c r="E382" s="669"/>
      <c r="F382" s="669"/>
      <c r="G382" s="669"/>
      <c r="H382"/>
      <c r="I382"/>
      <c r="J382"/>
      <c r="K382"/>
      <c r="L382" s="669"/>
      <c r="M382" s="669"/>
      <c r="N382" s="669"/>
      <c r="O382" s="669"/>
      <c r="P382"/>
      <c r="Q382"/>
      <c r="R382"/>
      <c r="S382"/>
      <c r="T382"/>
      <c r="U382"/>
      <c r="Z382" s="669"/>
      <c r="AA382" s="669"/>
      <c r="AB382" s="669"/>
      <c r="AC382" s="669"/>
      <c r="AD382"/>
      <c r="AE382"/>
      <c r="AF382"/>
      <c r="AG382"/>
      <c r="AH382"/>
      <c r="AI382"/>
      <c r="AJ382" s="669"/>
    </row>
    <row r="383" spans="1:36" x14ac:dyDescent="0.2">
      <c r="A383"/>
      <c r="B383"/>
      <c r="C383"/>
      <c r="D383" s="669"/>
      <c r="E383" s="669"/>
      <c r="F383" s="669"/>
      <c r="G383" s="669"/>
      <c r="H383"/>
      <c r="I383"/>
      <c r="J383"/>
      <c r="K383"/>
      <c r="L383" s="669"/>
      <c r="M383" s="669"/>
      <c r="N383" s="669"/>
      <c r="O383" s="669"/>
      <c r="P383"/>
      <c r="Q383"/>
      <c r="R383"/>
      <c r="S383"/>
      <c r="T383"/>
      <c r="U383"/>
      <c r="Z383" s="669"/>
      <c r="AA383" s="669"/>
      <c r="AB383" s="669"/>
      <c r="AC383" s="669"/>
      <c r="AD383"/>
      <c r="AE383"/>
      <c r="AF383"/>
      <c r="AG383"/>
      <c r="AH383"/>
      <c r="AI383"/>
      <c r="AJ383" s="669"/>
    </row>
    <row r="384" spans="1:36" x14ac:dyDescent="0.2">
      <c r="A384"/>
      <c r="B384"/>
      <c r="C384"/>
      <c r="D384" s="669"/>
      <c r="E384" s="669"/>
      <c r="F384" s="669"/>
      <c r="G384" s="669"/>
      <c r="H384"/>
      <c r="I384"/>
      <c r="J384"/>
      <c r="K384"/>
      <c r="L384" s="669"/>
      <c r="M384" s="669"/>
      <c r="N384" s="669"/>
      <c r="O384" s="669"/>
      <c r="P384"/>
      <c r="Q384"/>
      <c r="R384"/>
      <c r="S384"/>
      <c r="T384"/>
      <c r="U384"/>
      <c r="Z384" s="669"/>
      <c r="AA384" s="669"/>
      <c r="AB384" s="669"/>
      <c r="AC384" s="669"/>
      <c r="AD384"/>
      <c r="AE384"/>
      <c r="AF384"/>
      <c r="AG384"/>
      <c r="AH384"/>
      <c r="AI384"/>
      <c r="AJ384" s="669"/>
    </row>
    <row r="385" spans="1:38" x14ac:dyDescent="0.2">
      <c r="A385"/>
      <c r="B385"/>
      <c r="C385"/>
      <c r="D385" s="669"/>
      <c r="E385" s="669"/>
      <c r="F385" s="669"/>
      <c r="G385" s="669"/>
      <c r="H385"/>
      <c r="I385"/>
      <c r="J385"/>
      <c r="K385"/>
      <c r="L385" s="669"/>
      <c r="M385" s="669"/>
      <c r="N385" s="669"/>
      <c r="O385" s="669"/>
      <c r="P385"/>
      <c r="Q385"/>
      <c r="R385"/>
      <c r="S385"/>
      <c r="T385"/>
      <c r="U385"/>
      <c r="Z385" s="669"/>
      <c r="AA385" s="669"/>
      <c r="AB385" s="669"/>
      <c r="AC385" s="669"/>
      <c r="AD385"/>
      <c r="AE385"/>
      <c r="AF385"/>
      <c r="AG385"/>
      <c r="AH385"/>
      <c r="AI385"/>
      <c r="AJ385" s="669"/>
    </row>
    <row r="386" spans="1:38" x14ac:dyDescent="0.2">
      <c r="A386"/>
      <c r="B386"/>
      <c r="C386"/>
      <c r="D386" s="669"/>
      <c r="E386" s="669"/>
      <c r="F386" s="669"/>
      <c r="G386" s="669"/>
      <c r="H386"/>
      <c r="I386"/>
      <c r="J386"/>
      <c r="K386"/>
      <c r="L386" s="669"/>
      <c r="M386" s="669"/>
      <c r="N386" s="669"/>
      <c r="O386" s="669"/>
      <c r="P386"/>
      <c r="Q386"/>
      <c r="R386"/>
      <c r="S386"/>
      <c r="T386"/>
      <c r="U386"/>
      <c r="Z386" s="669"/>
      <c r="AA386" s="669"/>
      <c r="AB386" s="669"/>
      <c r="AC386" s="669"/>
      <c r="AD386"/>
      <c r="AE386"/>
      <c r="AF386"/>
      <c r="AG386"/>
      <c r="AH386"/>
      <c r="AI386"/>
      <c r="AJ386" s="669"/>
    </row>
    <row r="387" spans="1:38" x14ac:dyDescent="0.2">
      <c r="A387"/>
      <c r="B387"/>
      <c r="C387"/>
      <c r="D387" s="669"/>
      <c r="E387" s="669"/>
      <c r="F387" s="669"/>
      <c r="G387" s="669"/>
      <c r="H387"/>
      <c r="I387"/>
      <c r="J387"/>
      <c r="K387"/>
      <c r="L387" s="669"/>
      <c r="M387" s="669"/>
      <c r="N387" s="669"/>
      <c r="O387" s="669"/>
      <c r="P387"/>
      <c r="Q387"/>
      <c r="R387"/>
      <c r="S387"/>
      <c r="T387"/>
      <c r="U387"/>
      <c r="Z387" s="669"/>
      <c r="AA387" s="669"/>
      <c r="AB387" s="669"/>
      <c r="AC387" s="669"/>
      <c r="AD387"/>
      <c r="AE387"/>
      <c r="AF387"/>
      <c r="AG387"/>
      <c r="AH387"/>
      <c r="AI387"/>
      <c r="AJ387" s="669"/>
    </row>
    <row r="388" spans="1:38" x14ac:dyDescent="0.2">
      <c r="A388"/>
      <c r="B388"/>
      <c r="C388"/>
      <c r="D388" s="669"/>
      <c r="E388" s="669"/>
      <c r="F388" s="669"/>
      <c r="G388" s="669"/>
      <c r="H388"/>
      <c r="I388"/>
      <c r="J388"/>
      <c r="K388"/>
      <c r="L388" s="669"/>
      <c r="M388" s="669"/>
      <c r="N388" s="669"/>
      <c r="O388" s="669"/>
      <c r="P388"/>
      <c r="Q388"/>
      <c r="R388"/>
      <c r="S388"/>
      <c r="T388"/>
      <c r="U388"/>
      <c r="Z388" s="669"/>
      <c r="AA388" s="669"/>
      <c r="AB388" s="669"/>
      <c r="AC388" s="669"/>
      <c r="AD388"/>
      <c r="AE388"/>
      <c r="AF388"/>
      <c r="AG388"/>
      <c r="AH388"/>
      <c r="AI388"/>
      <c r="AJ388" s="669"/>
    </row>
    <row r="389" spans="1:38" x14ac:dyDescent="0.2">
      <c r="A389"/>
      <c r="B389"/>
      <c r="C389"/>
      <c r="D389" s="669"/>
      <c r="E389" s="669"/>
      <c r="F389" s="669"/>
      <c r="G389" s="669"/>
      <c r="H389"/>
      <c r="I389"/>
      <c r="J389"/>
      <c r="K389"/>
      <c r="L389" s="669"/>
      <c r="M389" s="669"/>
      <c r="N389" s="669"/>
      <c r="O389" s="669"/>
      <c r="P389"/>
      <c r="Q389"/>
      <c r="R389"/>
      <c r="S389"/>
      <c r="T389"/>
      <c r="U389"/>
      <c r="Z389" s="669"/>
      <c r="AA389" s="669"/>
      <c r="AB389" s="669"/>
      <c r="AC389" s="669"/>
      <c r="AD389"/>
      <c r="AE389"/>
      <c r="AF389"/>
      <c r="AG389"/>
      <c r="AH389"/>
      <c r="AI389"/>
      <c r="AJ389" s="669"/>
    </row>
    <row r="390" spans="1:38" x14ac:dyDescent="0.2">
      <c r="A390"/>
      <c r="B390"/>
      <c r="C390"/>
      <c r="D390" s="669"/>
      <c r="E390" s="669"/>
      <c r="F390" s="669"/>
      <c r="G390" s="669"/>
      <c r="H390"/>
      <c r="I390"/>
      <c r="J390"/>
      <c r="L390" s="669"/>
      <c r="M390" s="669"/>
      <c r="N390" s="669"/>
      <c r="O390" s="669"/>
      <c r="P390"/>
      <c r="Q390"/>
      <c r="R390"/>
      <c r="S390"/>
      <c r="T390"/>
      <c r="U390"/>
      <c r="Z390" s="669"/>
      <c r="AA390" s="669"/>
      <c r="AB390" s="669"/>
      <c r="AC390" s="669"/>
      <c r="AD390"/>
      <c r="AE390"/>
      <c r="AF390"/>
      <c r="AG390"/>
      <c r="AH390"/>
      <c r="AI390"/>
      <c r="AJ390" s="669"/>
    </row>
    <row r="391" spans="1:38" x14ac:dyDescent="0.2">
      <c r="A391"/>
      <c r="B391"/>
      <c r="C391"/>
      <c r="D391" s="669"/>
      <c r="E391" s="669"/>
      <c r="F391" s="669"/>
      <c r="G391" s="669"/>
      <c r="H391"/>
      <c r="I391"/>
      <c r="J391"/>
      <c r="K391"/>
      <c r="L391" s="669"/>
      <c r="M391" s="669"/>
      <c r="N391" s="669"/>
      <c r="O391" s="669"/>
      <c r="P391"/>
      <c r="Q391"/>
      <c r="R391"/>
      <c r="S391"/>
      <c r="T391"/>
      <c r="U391"/>
      <c r="Z391" s="669"/>
      <c r="AA391" s="669"/>
      <c r="AB391" s="669"/>
      <c r="AC391" s="669"/>
      <c r="AD391"/>
      <c r="AE391"/>
      <c r="AF391"/>
      <c r="AG391"/>
      <c r="AH391"/>
      <c r="AI391"/>
      <c r="AJ391" s="669"/>
    </row>
    <row r="392" spans="1:38" x14ac:dyDescent="0.2">
      <c r="A392"/>
      <c r="B392"/>
      <c r="C392"/>
      <c r="D392" s="669"/>
      <c r="E392" s="669"/>
      <c r="F392" s="669"/>
      <c r="G392" s="669"/>
      <c r="H392"/>
      <c r="I392"/>
      <c r="J392"/>
      <c r="K392"/>
      <c r="L392" s="669"/>
      <c r="M392" s="669"/>
      <c r="N392" s="669"/>
      <c r="O392" s="669"/>
      <c r="P392"/>
      <c r="Q392"/>
      <c r="R392"/>
      <c r="S392"/>
      <c r="T392"/>
      <c r="U392"/>
      <c r="Z392" s="669"/>
      <c r="AA392" s="669"/>
      <c r="AB392" s="669"/>
      <c r="AC392" s="669"/>
      <c r="AD392"/>
      <c r="AE392"/>
      <c r="AF392"/>
      <c r="AG392"/>
      <c r="AH392"/>
      <c r="AI392"/>
      <c r="AJ392" s="669"/>
    </row>
    <row r="393" spans="1:38" x14ac:dyDescent="0.2">
      <c r="A393"/>
      <c r="B393"/>
      <c r="C393"/>
      <c r="D393" s="669"/>
      <c r="E393" s="669"/>
      <c r="F393" s="669"/>
      <c r="G393" s="669"/>
      <c r="H393"/>
      <c r="I393"/>
      <c r="J393"/>
      <c r="K393"/>
      <c r="L393" s="669"/>
      <c r="M393" s="669"/>
      <c r="N393" s="669"/>
      <c r="O393" s="669"/>
      <c r="P393"/>
      <c r="Q393"/>
      <c r="R393"/>
      <c r="S393"/>
      <c r="T393"/>
      <c r="U393"/>
      <c r="V393"/>
      <c r="W393"/>
      <c r="X393"/>
      <c r="Y393"/>
      <c r="Z393" s="669"/>
      <c r="AA393" s="669"/>
      <c r="AB393" s="669"/>
      <c r="AC393" s="669"/>
      <c r="AD393"/>
      <c r="AE393"/>
      <c r="AF393"/>
      <c r="AG393"/>
      <c r="AH393"/>
      <c r="AI393"/>
      <c r="AJ393" s="669"/>
    </row>
    <row r="394" spans="1:38" x14ac:dyDescent="0.2">
      <c r="A394"/>
      <c r="B394"/>
      <c r="C394"/>
      <c r="D394" s="669"/>
      <c r="E394" s="669"/>
      <c r="F394" s="669"/>
      <c r="G394" s="669"/>
      <c r="H394"/>
      <c r="I394"/>
      <c r="J394"/>
      <c r="K394"/>
      <c r="L394" s="669"/>
      <c r="M394" s="669"/>
      <c r="N394" s="669"/>
      <c r="O394" s="669"/>
      <c r="P394"/>
      <c r="Q394"/>
      <c r="R394"/>
      <c r="S394"/>
      <c r="T394"/>
      <c r="U394"/>
      <c r="Z394" s="669"/>
      <c r="AA394" s="669"/>
      <c r="AB394" s="669"/>
      <c r="AC394" s="669"/>
      <c r="AD394"/>
      <c r="AE394"/>
      <c r="AF394"/>
      <c r="AG394"/>
      <c r="AH394"/>
      <c r="AI394"/>
      <c r="AJ394" s="669"/>
    </row>
    <row r="395" spans="1:38" x14ac:dyDescent="0.2">
      <c r="A395"/>
      <c r="B395"/>
      <c r="C395"/>
      <c r="D395" s="669"/>
      <c r="E395" s="669"/>
      <c r="F395" s="669"/>
      <c r="G395" s="669"/>
      <c r="H395"/>
      <c r="I395"/>
      <c r="J395"/>
      <c r="K395"/>
      <c r="L395" s="669"/>
      <c r="M395" s="669"/>
      <c r="N395" s="669"/>
      <c r="O395" s="669"/>
      <c r="P395"/>
      <c r="Q395"/>
      <c r="R395"/>
      <c r="S395"/>
      <c r="T395"/>
      <c r="U395"/>
      <c r="Z395" s="669"/>
      <c r="AA395" s="669"/>
      <c r="AB395" s="669"/>
      <c r="AC395" s="669"/>
      <c r="AD395"/>
      <c r="AE395"/>
      <c r="AF395"/>
      <c r="AG395"/>
      <c r="AH395"/>
      <c r="AI395"/>
      <c r="AJ395" s="669"/>
    </row>
    <row r="396" spans="1:38" x14ac:dyDescent="0.2">
      <c r="A396"/>
      <c r="B396"/>
      <c r="C396"/>
      <c r="D396" s="669"/>
      <c r="E396" s="669"/>
      <c r="F396" s="669"/>
      <c r="G396" s="669"/>
      <c r="H396"/>
      <c r="I396"/>
      <c r="J396"/>
      <c r="K396"/>
      <c r="L396" s="669"/>
      <c r="M396" s="669"/>
      <c r="N396" s="669"/>
      <c r="O396" s="669"/>
      <c r="P396"/>
      <c r="Q396"/>
      <c r="R396"/>
      <c r="S396"/>
      <c r="T396"/>
      <c r="U396"/>
      <c r="V396"/>
      <c r="W396"/>
      <c r="X396"/>
      <c r="Y396"/>
      <c r="Z396" s="669"/>
      <c r="AA396" s="669"/>
      <c r="AB396" s="669"/>
      <c r="AC396" s="669"/>
      <c r="AD396"/>
      <c r="AE396"/>
      <c r="AF396"/>
      <c r="AG396"/>
      <c r="AH396"/>
      <c r="AI396"/>
      <c r="AJ396" s="669"/>
      <c r="AK396"/>
    </row>
    <row r="397" spans="1:38" x14ac:dyDescent="0.2">
      <c r="A397"/>
      <c r="B397"/>
      <c r="C397"/>
      <c r="D397" s="669"/>
      <c r="E397" s="669"/>
      <c r="F397" s="669"/>
      <c r="G397" s="669"/>
      <c r="H397"/>
      <c r="I397"/>
      <c r="J397"/>
      <c r="K397"/>
      <c r="L397" s="669"/>
      <c r="M397" s="669"/>
      <c r="N397" s="669"/>
      <c r="O397" s="669"/>
      <c r="P397"/>
      <c r="Q397"/>
      <c r="R397"/>
      <c r="S397"/>
      <c r="T397"/>
      <c r="U397"/>
      <c r="V397"/>
      <c r="W397"/>
      <c r="X397"/>
      <c r="Y397"/>
      <c r="Z397" s="669"/>
      <c r="AA397" s="669"/>
      <c r="AB397" s="669"/>
      <c r="AC397" s="669"/>
      <c r="AD397"/>
      <c r="AE397"/>
      <c r="AF397"/>
      <c r="AG397"/>
      <c r="AH397"/>
      <c r="AI397"/>
      <c r="AJ397" s="669"/>
    </row>
    <row r="398" spans="1:38" x14ac:dyDescent="0.2">
      <c r="A398"/>
      <c r="B398"/>
      <c r="C398"/>
      <c r="D398" s="669"/>
      <c r="E398" s="669"/>
      <c r="F398" s="669"/>
      <c r="G398" s="669"/>
      <c r="H398"/>
      <c r="I398"/>
      <c r="J398"/>
      <c r="K398"/>
      <c r="L398" s="669"/>
      <c r="M398" s="669"/>
      <c r="N398" s="669"/>
      <c r="O398" s="669"/>
      <c r="P398"/>
      <c r="Q398"/>
      <c r="R398"/>
      <c r="S398"/>
      <c r="T398"/>
      <c r="U398"/>
      <c r="V398"/>
      <c r="W398"/>
      <c r="X398"/>
      <c r="Y398"/>
      <c r="Z398" s="669"/>
      <c r="AA398" s="669"/>
      <c r="AB398" s="669"/>
      <c r="AC398" s="669"/>
      <c r="AD398"/>
      <c r="AE398"/>
      <c r="AF398"/>
      <c r="AG398"/>
      <c r="AH398"/>
      <c r="AI398"/>
      <c r="AJ398" s="669"/>
      <c r="AK398"/>
    </row>
    <row r="399" spans="1:38" x14ac:dyDescent="0.2">
      <c r="A399"/>
      <c r="B399"/>
      <c r="C399"/>
      <c r="D399" s="669"/>
      <c r="E399" s="669"/>
      <c r="F399" s="669"/>
      <c r="G399" s="669"/>
      <c r="H399"/>
      <c r="I399"/>
      <c r="J399"/>
      <c r="K399"/>
      <c r="L399" s="669"/>
      <c r="M399" s="669"/>
      <c r="N399" s="669"/>
      <c r="O399" s="669"/>
      <c r="P399"/>
      <c r="Q399"/>
      <c r="R399"/>
      <c r="S399"/>
      <c r="T399"/>
      <c r="U399"/>
      <c r="V399"/>
      <c r="W399"/>
      <c r="X399"/>
      <c r="Y399"/>
      <c r="Z399" s="669"/>
      <c r="AA399" s="669"/>
      <c r="AB399" s="669"/>
      <c r="AC399" s="669"/>
      <c r="AD399"/>
      <c r="AE399"/>
      <c r="AF399"/>
      <c r="AG399"/>
      <c r="AH399"/>
      <c r="AI399"/>
      <c r="AJ399" s="669"/>
      <c r="AL399"/>
    </row>
    <row r="400" spans="1:38" x14ac:dyDescent="0.2">
      <c r="A400"/>
      <c r="B400"/>
      <c r="C400"/>
      <c r="D400" s="669"/>
      <c r="E400" s="669"/>
      <c r="F400" s="669"/>
      <c r="G400" s="669"/>
      <c r="H400"/>
      <c r="I400"/>
      <c r="J400"/>
      <c r="K400"/>
      <c r="L400" s="669"/>
      <c r="M400" s="669"/>
      <c r="N400" s="669"/>
      <c r="O400" s="669"/>
      <c r="P400"/>
      <c r="Q400"/>
      <c r="R400"/>
      <c r="S400"/>
      <c r="T400"/>
      <c r="U400"/>
      <c r="Z400" s="669"/>
      <c r="AA400" s="669"/>
      <c r="AB400" s="669"/>
      <c r="AC400" s="669"/>
      <c r="AD400"/>
      <c r="AE400"/>
      <c r="AF400"/>
      <c r="AG400"/>
      <c r="AH400"/>
      <c r="AI400"/>
      <c r="AJ400" s="669"/>
    </row>
    <row r="401" spans="1:36" x14ac:dyDescent="0.2">
      <c r="A401"/>
      <c r="B401"/>
      <c r="C401"/>
      <c r="D401" s="669"/>
      <c r="E401" s="669"/>
      <c r="F401" s="669"/>
      <c r="G401" s="669"/>
      <c r="H401"/>
      <c r="I401"/>
      <c r="J401"/>
      <c r="K401"/>
      <c r="L401" s="669"/>
      <c r="M401" s="669"/>
      <c r="N401" s="669"/>
      <c r="O401" s="669"/>
      <c r="P401"/>
      <c r="Q401"/>
      <c r="R401"/>
      <c r="S401"/>
      <c r="T401"/>
      <c r="U401"/>
      <c r="Z401" s="669"/>
      <c r="AA401" s="669"/>
      <c r="AB401" s="669"/>
      <c r="AC401" s="669"/>
      <c r="AD401"/>
      <c r="AE401"/>
      <c r="AF401"/>
      <c r="AG401"/>
      <c r="AH401"/>
      <c r="AI401"/>
      <c r="AJ401" s="669"/>
    </row>
    <row r="402" spans="1:36" x14ac:dyDescent="0.2">
      <c r="A402"/>
      <c r="B402"/>
      <c r="C402"/>
      <c r="D402" s="669"/>
      <c r="E402" s="669"/>
      <c r="F402" s="669"/>
      <c r="G402" s="669"/>
      <c r="H402"/>
      <c r="I402"/>
      <c r="J402"/>
      <c r="K402"/>
      <c r="L402" s="669"/>
      <c r="M402" s="669"/>
      <c r="N402" s="669"/>
      <c r="O402" s="669"/>
      <c r="P402"/>
      <c r="Q402"/>
      <c r="R402"/>
      <c r="S402"/>
      <c r="T402"/>
      <c r="U402"/>
      <c r="V402"/>
      <c r="W402"/>
      <c r="X402"/>
      <c r="Y402"/>
      <c r="Z402" s="669"/>
      <c r="AA402" s="669"/>
      <c r="AB402" s="669"/>
      <c r="AC402" s="669"/>
      <c r="AD402"/>
      <c r="AE402"/>
      <c r="AF402"/>
      <c r="AG402"/>
      <c r="AH402"/>
      <c r="AI402"/>
      <c r="AJ402" s="669"/>
    </row>
    <row r="403" spans="1:36" x14ac:dyDescent="0.2">
      <c r="A403"/>
      <c r="B403"/>
      <c r="C403"/>
      <c r="D403" s="669"/>
      <c r="E403" s="669"/>
      <c r="F403" s="669"/>
      <c r="G403" s="669"/>
      <c r="H403"/>
      <c r="I403"/>
      <c r="J403"/>
      <c r="K403"/>
      <c r="L403" s="669"/>
      <c r="M403" s="669"/>
      <c r="N403" s="669"/>
      <c r="O403" s="669"/>
      <c r="P403"/>
      <c r="Q403"/>
      <c r="R403"/>
      <c r="S403"/>
      <c r="T403"/>
      <c r="U403"/>
      <c r="Z403" s="669"/>
      <c r="AA403" s="669"/>
      <c r="AB403" s="669"/>
      <c r="AC403" s="669"/>
      <c r="AD403"/>
      <c r="AE403"/>
      <c r="AF403"/>
      <c r="AG403"/>
      <c r="AH403"/>
      <c r="AI403"/>
      <c r="AJ403" s="669"/>
    </row>
    <row r="404" spans="1:36" x14ac:dyDescent="0.2">
      <c r="A404"/>
      <c r="B404"/>
      <c r="C404"/>
      <c r="D404" s="669"/>
      <c r="E404" s="669"/>
      <c r="F404" s="669"/>
      <c r="G404" s="669"/>
      <c r="H404"/>
      <c r="I404"/>
      <c r="J404"/>
      <c r="K404"/>
      <c r="L404" s="669"/>
      <c r="M404" s="669"/>
      <c r="N404" s="669"/>
      <c r="O404" s="669"/>
      <c r="P404"/>
      <c r="Q404"/>
      <c r="R404"/>
      <c r="S404"/>
      <c r="T404"/>
      <c r="U404"/>
      <c r="Z404" s="669"/>
      <c r="AA404" s="669"/>
      <c r="AB404" s="669"/>
      <c r="AC404" s="669"/>
      <c r="AD404"/>
      <c r="AE404"/>
      <c r="AF404"/>
      <c r="AG404"/>
      <c r="AH404"/>
      <c r="AI404"/>
      <c r="AJ404" s="669"/>
    </row>
    <row r="405" spans="1:36" x14ac:dyDescent="0.2">
      <c r="A405"/>
      <c r="B405"/>
      <c r="C405"/>
      <c r="D405" s="669"/>
      <c r="E405" s="669"/>
      <c r="F405" s="669"/>
      <c r="G405" s="669"/>
      <c r="H405"/>
      <c r="I405"/>
      <c r="J405"/>
      <c r="K405"/>
      <c r="L405" s="669"/>
      <c r="M405" s="669"/>
      <c r="N405" s="669"/>
      <c r="O405" s="669"/>
      <c r="P405"/>
      <c r="Q405"/>
      <c r="R405"/>
      <c r="S405"/>
      <c r="T405"/>
      <c r="U405"/>
      <c r="Z405" s="669"/>
      <c r="AA405" s="669"/>
      <c r="AB405" s="669"/>
      <c r="AC405" s="669"/>
      <c r="AD405"/>
      <c r="AE405"/>
      <c r="AF405"/>
      <c r="AG405"/>
      <c r="AH405"/>
      <c r="AI405"/>
      <c r="AJ405" s="669"/>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9" t="s">
        <v>956</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5"/>
    </row>
    <row r="4" spans="1:22" s="291" customFormat="1" x14ac:dyDescent="0.2">
      <c r="A4" s="334"/>
      <c r="B4" s="144"/>
      <c r="C4" s="145" t="s">
        <v>232</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5"/>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5"/>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5"/>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5"/>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5"/>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5"/>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5"/>
    </row>
    <row r="11" spans="1:22" s="291" customFormat="1" x14ac:dyDescent="0.2">
      <c r="A11" s="334"/>
      <c r="B11" s="144"/>
      <c r="C11" s="153" t="s">
        <v>53</v>
      </c>
      <c r="D11" s="493"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5"/>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5"/>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327</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5"/>
    </row>
    <row r="14" spans="1:22" s="291" customFormat="1" x14ac:dyDescent="0.2">
      <c r="A14" s="334"/>
      <c r="B14" s="144"/>
      <c r="C14" s="153" t="s">
        <v>88</v>
      </c>
      <c r="D14" s="493" t="e">
        <f>VLOOKUP("certificate_number",DaqbookServiceRecord[], 2, FALSE)</f>
        <v>#N/A</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5"/>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5"/>
    </row>
    <row r="16" spans="1:22" s="291" customFormat="1" x14ac:dyDescent="0.2">
      <c r="A16" s="334"/>
      <c r="B16" s="158"/>
      <c r="C16" s="196" t="s">
        <v>266</v>
      </c>
      <c r="D16" s="309"/>
      <c r="E16" s="316"/>
      <c r="F16" s="156" t="s">
        <v>77</v>
      </c>
      <c r="G16" s="441" t="s">
        <v>271</v>
      </c>
      <c r="H16" s="442"/>
      <c r="I16" s="316"/>
      <c r="J16" s="508" t="s">
        <v>165</v>
      </c>
      <c r="K16" s="509"/>
      <c r="L16" s="297"/>
      <c r="M16" s="316"/>
      <c r="N16" s="462">
        <v>12</v>
      </c>
      <c r="O16" s="149"/>
      <c r="P16" s="571" t="str">
        <f>VLOOKUP(N16,Alerts[],3,FALSE)</f>
        <v/>
      </c>
      <c r="Q16" s="572"/>
      <c r="R16" s="463" t="str" cm="1">
        <f t="array" ref="R16">IFZERO(VLOOKUP(N16,Alerts[],4,FALSE),"")</f>
        <v/>
      </c>
      <c r="S16" s="150" t="str" cm="1">
        <f t="array" ref="S16">IFZERO(VLOOKUP(N16,Alerts[],5,FALSE),"")</f>
        <v/>
      </c>
      <c r="T16" s="495"/>
    </row>
    <row r="17" spans="1:22" s="291" customFormat="1" x14ac:dyDescent="0.2">
      <c r="A17" s="334"/>
      <c r="B17" s="144"/>
      <c r="C17" s="145" t="s">
        <v>64</v>
      </c>
      <c r="D17" s="310"/>
      <c r="E17" s="316"/>
      <c r="F17" s="157" t="s">
        <v>96</v>
      </c>
      <c r="G17" s="414" t="str">
        <f>IF(ISBLANK(Load),"",Load)</f>
        <v/>
      </c>
      <c r="H17" s="316"/>
      <c r="I17" s="317"/>
      <c r="J17" s="508" t="s">
        <v>166</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5"/>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5"/>
    </row>
    <row r="19" spans="1:22" s="291" customFormat="1" x14ac:dyDescent="0.2">
      <c r="A19" s="334"/>
      <c r="B19" s="144"/>
      <c r="C19" s="145" t="s">
        <v>10</v>
      </c>
      <c r="D19" s="485">
        <v>10</v>
      </c>
      <c r="E19" s="316"/>
      <c r="F19" s="157" t="s">
        <v>79</v>
      </c>
      <c r="G19" s="544" t="str">
        <f>IF(K15="Salt",0, IF(OR(K15="Hot",K15="SIM Load Hot"),IF(OR(D26="",D28=""),"N/A",IF(ISBLANK(D26),"N/A",D28-D26)),"N/A"))</f>
        <v>N/A</v>
      </c>
      <c r="H19" s="545"/>
      <c r="I19" s="343" t="str">
        <f>IF(G19="N/A","N/A",IF(G19=0,"&lt;2",ROUND(IF(LEN(G19)&gt;3,G19*1440,RIGHT(TEXT(G19,"hh:mm"),2)),0))&amp;" MINUTES")</f>
        <v>N/A</v>
      </c>
      <c r="J19" s="497">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5"/>
      <c r="U19" s="299" t="s">
        <v>955</v>
      </c>
      <c r="V19" s="299">
        <f>L20</f>
        <v>1</v>
      </c>
    </row>
    <row r="20" spans="1:22" s="291" customFormat="1" ht="13.7" customHeight="1" x14ac:dyDescent="0.2">
      <c r="A20" s="192"/>
      <c r="B20" s="548" t="str">
        <f>IF(E20=TRUE,"SAT Tolerance (per AMS2750):","SAT Tolerance (per BAC5621):")</f>
        <v>SAT Tolerance (per BAC5621):</v>
      </c>
      <c r="C20" s="549"/>
      <c r="D20" s="412" t="str">
        <f>G94</f>
        <v>±3°F</v>
      </c>
      <c r="E20" s="477" t="b">
        <v>0</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5"/>
      <c r="U20" s="299" t="s">
        <v>954</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5"/>
      <c r="U21" s="299" t="s">
        <v>953</v>
      </c>
      <c r="V21" s="498">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5"/>
      <c r="U22" s="299" t="s">
        <v>952</v>
      </c>
      <c r="V22" s="299">
        <f>V20+1</f>
        <v>1</v>
      </c>
    </row>
    <row r="23" spans="1:22" s="291" customFormat="1" x14ac:dyDescent="0.2">
      <c r="A23" s="334"/>
      <c r="B23" s="144"/>
      <c r="C23" s="444" t="s">
        <v>917</v>
      </c>
      <c r="D23" s="295"/>
      <c r="E23" s="316"/>
      <c r="F23" s="163" t="s">
        <v>97</v>
      </c>
      <c r="G23" s="525" t="s">
        <v>375</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5"/>
      <c r="U23" s="299" t="s">
        <v>951</v>
      </c>
      <c r="V23" s="299">
        <f>V20+V21</f>
        <v>40</v>
      </c>
    </row>
    <row r="24" spans="1:22" s="291" customFormat="1" x14ac:dyDescent="0.2">
      <c r="A24" s="334"/>
      <c r="B24" s="550" t="s">
        <v>556</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5"/>
      <c r="U24" s="299" t="s">
        <v>950</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5"/>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5"/>
    </row>
    <row r="27" spans="1:22" s="291" customFormat="1" x14ac:dyDescent="0.2">
      <c r="A27" s="334"/>
      <c r="B27" s="164">
        <v>10</v>
      </c>
      <c r="C27" s="145" t="s">
        <v>61</v>
      </c>
      <c r="D27" s="305"/>
      <c r="E27" s="318"/>
      <c r="F27" s="252" t="s">
        <v>274</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5"/>
    </row>
    <row r="28" spans="1:22" s="291" customFormat="1" x14ac:dyDescent="0.2">
      <c r="A28" s="334"/>
      <c r="B28" s="165">
        <v>30</v>
      </c>
      <c r="C28" s="161" t="s">
        <v>62</v>
      </c>
      <c r="D28" s="305"/>
      <c r="E28" s="318"/>
      <c r="F28" s="252" t="s">
        <v>275</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5"/>
    </row>
    <row r="29" spans="1:22" s="291" customFormat="1" x14ac:dyDescent="0.2">
      <c r="A29" s="334"/>
      <c r="B29" s="164">
        <v>40</v>
      </c>
      <c r="C29" s="145" t="s">
        <v>73</v>
      </c>
      <c r="D29" s="166" t="str">
        <f>(IF(OR(D27="",D28=""),"",IF(ISBLANK(D27),"",D28-D27)))</f>
        <v/>
      </c>
      <c r="E29" s="346" t="str">
        <f>IFERROR(IF(D29=0,"&lt;2",ROUND(IF(LEN(D29)&gt;3,D29*1440,TEXT(D29,"hh:mm")),0)) &amp;" MINUTES","")</f>
        <v/>
      </c>
      <c r="F29" s="320" t="s">
        <v>276</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5"/>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5"/>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5"/>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5"/>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5"/>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6"/>
    </row>
    <row r="35" spans="1:23" s="291" customFormat="1" ht="12.75" customHeight="1" thickBot="1" x14ac:dyDescent="0.25">
      <c r="A35" s="500"/>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6"/>
    </row>
    <row r="36" spans="1:23" s="291" customFormat="1" ht="13.5" thickBot="1" x14ac:dyDescent="0.25">
      <c r="A36" s="501" t="s">
        <v>926</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6"/>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6"/>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6"/>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6"/>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6"/>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6"/>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6"/>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6"/>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6"/>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332</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333</v>
      </c>
      <c r="N47" s="314" t="s">
        <v>334</v>
      </c>
      <c r="O47" s="361"/>
      <c r="P47" s="512" t="s">
        <v>335</v>
      </c>
      <c r="Q47" s="512"/>
      <c r="R47" s="432" t="s">
        <v>336</v>
      </c>
      <c r="S47" s="320"/>
      <c r="T47" s="320"/>
      <c r="U47" s="320"/>
    </row>
    <row r="48" spans="1:23" x14ac:dyDescent="0.2">
      <c r="A48" s="334"/>
      <c r="B48" s="358"/>
      <c r="C48" s="430" t="s">
        <v>34</v>
      </c>
      <c r="D48" s="303"/>
      <c r="E48" s="303"/>
      <c r="F48" s="303"/>
      <c r="G48" s="303"/>
      <c r="H48" s="303"/>
      <c r="I48" s="303"/>
      <c r="J48" s="360"/>
      <c r="K48" s="360"/>
      <c r="L48" s="360"/>
      <c r="M48" s="513" t="s">
        <v>337</v>
      </c>
      <c r="N48" s="513"/>
      <c r="O48" s="362"/>
      <c r="P48" s="514" t="s">
        <v>384</v>
      </c>
      <c r="Q48" s="515"/>
      <c r="R48" s="516"/>
      <c r="S48" s="363"/>
      <c r="T48" s="321"/>
      <c r="U48" s="514" t="s">
        <v>387</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861</v>
      </c>
      <c r="L49" s="360"/>
      <c r="M49" s="252" t="s">
        <v>338</v>
      </c>
      <c r="N49" s="313" t="str">
        <f>IF(PB="","",PB)</f>
        <v/>
      </c>
      <c r="O49" s="330"/>
      <c r="P49" s="517" t="s">
        <v>389</v>
      </c>
      <c r="Q49" s="518"/>
      <c r="R49" s="519"/>
      <c r="S49" s="433"/>
      <c r="T49" s="322"/>
      <c r="U49" s="517" t="s">
        <v>388</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339</v>
      </c>
      <c r="N50" s="313" t="str">
        <f>IF(Integral="","",Integral)</f>
        <v/>
      </c>
      <c r="O50" s="330"/>
      <c r="P50" s="520" t="s">
        <v>340</v>
      </c>
      <c r="Q50" s="521"/>
      <c r="R50" s="522"/>
      <c r="S50" s="366"/>
      <c r="T50" s="323"/>
      <c r="U50" s="520" t="s">
        <v>340</v>
      </c>
      <c r="V50" s="521"/>
      <c r="W50" s="522"/>
      <c r="X50" s="320"/>
    </row>
    <row r="51" spans="1:24" x14ac:dyDescent="0.2">
      <c r="A51" s="334"/>
      <c r="B51" s="367"/>
      <c r="C51" s="429" t="s">
        <v>57</v>
      </c>
      <c r="D51" s="303"/>
      <c r="E51" s="303"/>
      <c r="F51" s="303"/>
      <c r="G51" s="303"/>
      <c r="H51" s="303"/>
      <c r="I51" s="303"/>
      <c r="J51" s="360"/>
      <c r="K51" s="368"/>
      <c r="L51" s="360"/>
      <c r="M51" s="416" t="s">
        <v>341</v>
      </c>
      <c r="N51" s="313" t="str">
        <f>IF(Derivative="","",Derivative)</f>
        <v/>
      </c>
      <c r="O51" s="316"/>
      <c r="P51" s="517" t="s">
        <v>385</v>
      </c>
      <c r="Q51" s="518"/>
      <c r="R51" s="519"/>
      <c r="S51" s="433"/>
      <c r="T51" s="324"/>
      <c r="U51" s="517" t="s">
        <v>390</v>
      </c>
      <c r="V51" s="518"/>
      <c r="W51" s="519"/>
      <c r="X51" s="304"/>
    </row>
    <row r="52" spans="1:24" x14ac:dyDescent="0.2">
      <c r="A52" s="334"/>
      <c r="B52" s="358"/>
      <c r="C52" s="429" t="s">
        <v>347</v>
      </c>
      <c r="D52" s="303"/>
      <c r="E52" s="303"/>
      <c r="F52" s="303"/>
      <c r="G52" s="303"/>
      <c r="H52" s="303"/>
      <c r="I52" s="303"/>
      <c r="J52" s="360"/>
      <c r="K52" s="368"/>
      <c r="L52" s="360"/>
      <c r="M52" s="416" t="s">
        <v>342</v>
      </c>
      <c r="N52" s="313" t="str">
        <f>IF(Other1="","",Other1)</f>
        <v/>
      </c>
      <c r="O52" s="330"/>
      <c r="P52" s="520" t="s">
        <v>340</v>
      </c>
      <c r="Q52" s="521"/>
      <c r="R52" s="522"/>
      <c r="S52" s="366"/>
      <c r="T52" s="325"/>
      <c r="U52" s="520" t="s">
        <v>340</v>
      </c>
      <c r="V52" s="521"/>
      <c r="W52" s="522"/>
      <c r="X52" s="320"/>
    </row>
    <row r="53" spans="1:24" ht="12.75" customHeight="1" x14ac:dyDescent="0.2">
      <c r="A53" s="334"/>
      <c r="B53" s="358"/>
      <c r="C53" s="429" t="s">
        <v>58</v>
      </c>
      <c r="D53" s="308"/>
      <c r="E53" s="308"/>
      <c r="F53" s="308"/>
      <c r="G53" s="308"/>
      <c r="H53" s="308"/>
      <c r="I53" s="308"/>
      <c r="J53" s="360"/>
      <c r="K53" s="369"/>
      <c r="L53" s="369"/>
      <c r="M53" s="417" t="s">
        <v>342</v>
      </c>
      <c r="N53" s="313" t="str">
        <f>IF(Other2="","",Other2)</f>
        <v/>
      </c>
      <c r="O53" s="330"/>
      <c r="P53" s="565" t="s">
        <v>386</v>
      </c>
      <c r="Q53" s="566"/>
      <c r="R53" s="567"/>
      <c r="S53" s="434"/>
      <c r="T53" s="326"/>
      <c r="U53" s="565" t="s">
        <v>391</v>
      </c>
      <c r="V53" s="566"/>
      <c r="W53" s="567"/>
      <c r="X53" s="415"/>
    </row>
    <row r="54" spans="1:24" x14ac:dyDescent="0.2">
      <c r="A54" s="334"/>
      <c r="B54" s="358"/>
      <c r="C54" s="431" t="s">
        <v>82</v>
      </c>
      <c r="D54" s="487" t="str">
        <f>_xlfn.XLOOKUP(D$48,WireSets[serial_number],WireSets[certificate_number],"",0)</f>
        <v/>
      </c>
      <c r="E54" s="487" t="str">
        <f>_xlfn.XLOOKUP(E$48,WireSets[serial_number],WireSets[certificate_number],"",0)</f>
        <v/>
      </c>
      <c r="F54" s="487" t="str">
        <f>_xlfn.XLOOKUP(F$48,WireSets[serial_number],WireSets[certificate_number],"",0)</f>
        <v/>
      </c>
      <c r="G54" s="487" t="str">
        <f>_xlfn.XLOOKUP(G$48,WireSets[serial_number],WireSets[certificate_number],"",0)</f>
        <v/>
      </c>
      <c r="H54" s="487" t="str">
        <f>_xlfn.XLOOKUP(H$48,WireSets[serial_number],WireSets[certificate_number],"",0)</f>
        <v/>
      </c>
      <c r="I54" s="487" t="str">
        <f>_xlfn.XLOOKUP(I$48,WireSets[serial_number],WireSets[certificate_number],"",0)</f>
        <v/>
      </c>
      <c r="J54" s="370"/>
      <c r="K54" s="418"/>
      <c r="L54" s="419"/>
      <c r="M54" s="420" t="s">
        <v>369</v>
      </c>
      <c r="N54" s="312">
        <v>0</v>
      </c>
      <c r="O54" s="318"/>
      <c r="P54" s="568"/>
      <c r="Q54" s="569"/>
      <c r="R54" s="570"/>
      <c r="S54" s="371"/>
      <c r="T54" s="327"/>
      <c r="U54" s="568"/>
      <c r="V54" s="569"/>
      <c r="W54" s="570"/>
    </row>
    <row r="55" spans="1:24" x14ac:dyDescent="0.2">
      <c r="A55" s="334"/>
      <c r="B55" s="358"/>
      <c r="C55" s="431" t="s">
        <v>152</v>
      </c>
      <c r="D55" s="488" t="str">
        <f>_xlfn.XLOOKUP(D$48,WireSets[serial_number],WireSets[wire_roll_cert_number],"",0)</f>
        <v/>
      </c>
      <c r="E55" s="488" t="str">
        <f>_xlfn.XLOOKUP(E$48,WireSets[serial_number],WireSets[wire_roll_cert_number],"",0)</f>
        <v/>
      </c>
      <c r="F55" s="488" t="str">
        <f>_xlfn.XLOOKUP(F$48,WireSets[serial_number],WireSets[wire_roll_cert_number],"",0)</f>
        <v/>
      </c>
      <c r="G55" s="488" t="str">
        <f>_xlfn.XLOOKUP(G$48,WireSets[serial_number],WireSets[wire_roll_cert_number],"",0)</f>
        <v/>
      </c>
      <c r="H55" s="488" t="str">
        <f>_xlfn.XLOOKUP(H$48,WireSets[serial_number],WireSets[wire_roll_cert_number],"",0)</f>
        <v/>
      </c>
      <c r="I55" s="488" t="str">
        <f>_xlfn.XLOOKUP(I$48,WireSets[serial_number],WireSets[wire_roll_cert_number],"",0)</f>
        <v/>
      </c>
      <c r="J55" s="372"/>
      <c r="K55" s="421"/>
      <c r="L55" s="422"/>
      <c r="M55" s="423" t="s">
        <v>370</v>
      </c>
      <c r="N55" s="312">
        <v>0</v>
      </c>
      <c r="O55" s="318"/>
      <c r="P55" s="255" t="s">
        <v>343</v>
      </c>
      <c r="Q55" s="255" t="s">
        <v>14</v>
      </c>
      <c r="R55" s="263" t="s">
        <v>344</v>
      </c>
      <c r="S55" s="373"/>
      <c r="T55" s="328"/>
      <c r="U55" s="315" t="s">
        <v>345</v>
      </c>
      <c r="V55" s="255" t="s">
        <v>14</v>
      </c>
      <c r="W55" s="255" t="s">
        <v>346</v>
      </c>
    </row>
    <row r="56" spans="1:24" x14ac:dyDescent="0.2">
      <c r="A56" s="334"/>
      <c r="B56" s="374"/>
      <c r="C56" s="431" t="s">
        <v>153</v>
      </c>
      <c r="D56" s="303"/>
      <c r="E56" s="303"/>
      <c r="F56" s="303"/>
      <c r="G56" s="303"/>
      <c r="H56" s="303"/>
      <c r="I56" s="303"/>
      <c r="J56" s="375"/>
      <c r="K56" s="424"/>
      <c r="L56" s="425"/>
      <c r="M56" s="423" t="s">
        <v>371</v>
      </c>
      <c r="N56" s="312">
        <v>0</v>
      </c>
      <c r="O56" s="318"/>
      <c r="P56" s="435"/>
      <c r="Q56" s="436"/>
      <c r="R56" s="437"/>
      <c r="S56" s="376"/>
      <c r="T56" s="329"/>
      <c r="U56" s="438"/>
      <c r="V56" s="436"/>
      <c r="W56" s="435"/>
    </row>
    <row r="57" spans="1:24" x14ac:dyDescent="0.2">
      <c r="A57" s="334"/>
      <c r="B57" s="355"/>
      <c r="C57" s="252" t="s">
        <v>348</v>
      </c>
      <c r="D57" s="304"/>
      <c r="E57" s="304"/>
      <c r="F57" s="304"/>
      <c r="G57" s="304"/>
      <c r="H57" s="304"/>
      <c r="I57" s="304"/>
      <c r="J57" s="316"/>
      <c r="K57" s="426"/>
      <c r="L57" s="427"/>
      <c r="M57" s="428" t="s">
        <v>372</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163</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161</v>
      </c>
      <c r="E60" s="311"/>
      <c r="F60" s="182" t="s">
        <v>159</v>
      </c>
      <c r="G60" s="183"/>
      <c r="H60" s="183"/>
      <c r="I60" s="183"/>
      <c r="J60" s="184"/>
      <c r="K60" s="311"/>
      <c r="L60" s="185" t="s">
        <v>160</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162</v>
      </c>
      <c r="E61" s="311"/>
      <c r="F61" s="187" t="s">
        <v>164</v>
      </c>
      <c r="G61" s="188"/>
      <c r="H61" s="188"/>
      <c r="I61" s="189"/>
      <c r="J61" s="311"/>
      <c r="K61" s="190" t="s">
        <v>160</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367</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4"/>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909</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907</v>
      </c>
      <c r="G85" t="s">
        <v>151</v>
      </c>
      <c r="H85" t="s">
        <v>150</v>
      </c>
      <c r="I85" s="39" t="s">
        <v>908</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267</v>
      </c>
      <c r="G93" s="398">
        <f>VLOOKUP(G97,G86:H91,2,FALSE)</f>
        <v>3</v>
      </c>
      <c r="H93" s="399" t="s">
        <v>268</v>
      </c>
      <c r="I93" s="400"/>
      <c r="J93" s="393"/>
      <c r="K93" s="394"/>
      <c r="L93" s="395"/>
      <c r="M93" s="390"/>
      <c r="N93" s="391"/>
      <c r="O93" s="391"/>
      <c r="P93" s="391"/>
      <c r="Q93" s="390"/>
      <c r="R93" s="316"/>
      <c r="S93" s="316"/>
    </row>
    <row r="94" spans="1:19" x14ac:dyDescent="0.2">
      <c r="A94" s="387"/>
      <c r="B94" s="388"/>
      <c r="C94" s="389"/>
      <c r="D94" s="390"/>
      <c r="E94" s="396"/>
      <c r="F94" s="401"/>
      <c r="G94" s="402" t="str">
        <f>F93&amp;G93&amp;H93</f>
        <v>±3°F</v>
      </c>
      <c r="H94" s="403"/>
      <c r="J94" s="393"/>
      <c r="K94" s="394"/>
      <c r="L94" s="395"/>
      <c r="M94" s="390"/>
      <c r="N94" s="391"/>
      <c r="O94" s="391"/>
      <c r="P94" s="391"/>
      <c r="Q94" s="390"/>
      <c r="R94" s="316"/>
      <c r="S94" s="316"/>
    </row>
    <row r="95" spans="1:19" x14ac:dyDescent="0.2">
      <c r="A95" s="387"/>
      <c r="B95" s="388"/>
      <c r="C95" s="389"/>
      <c r="D95" s="390"/>
      <c r="E95" s="392"/>
      <c r="F95" s="393"/>
      <c r="G95" s="394">
        <f>ROUNDDOWN(G93,2-(1+INT(LOG10(ABS(G93)))))</f>
        <v>3</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925</v>
      </c>
      <c r="G97" s="389"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10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MAoy6w9GYQGhpKMFRbfCK6LnKHveu59Gz1nPQ1J4zOsA7KO46MA5YD1CVqKr8QEV8YA84wOenclNhTM+1UbB+A==" saltValue="mlkjT4iqcJt//feV9FvCnA=="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5"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943</v>
      </c>
      <c r="B1" s="1" t="s">
        <v>942</v>
      </c>
    </row>
    <row r="2" spans="1:2" x14ac:dyDescent="0.2">
      <c r="A2" t="s">
        <v>944</v>
      </c>
      <c r="B2" t="b">
        <v>1</v>
      </c>
    </row>
  </sheetData>
  <sheetProtection algorithmName="SHA-512" hashValue="lk3UfbHZyjhKxpXMONAmDH9x3jHZiWxIcbILwdu+0xNzI7CJ+pBS5M1aOsdGBIWZNMi2xxBf+N+jdrn/kjDHpQ==" saltValue="yXT3NXipfaxhrTxnFsQQq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9"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892</v>
      </c>
      <c r="C2" s="48" t="s">
        <v>893</v>
      </c>
      <c r="D2" s="48" t="s">
        <v>894</v>
      </c>
      <c r="E2" s="48" t="s">
        <v>399</v>
      </c>
      <c r="F2" s="48" t="s">
        <v>895</v>
      </c>
      <c r="G2" s="48" t="s">
        <v>896</v>
      </c>
      <c r="H2" s="48" t="s">
        <v>897</v>
      </c>
      <c r="I2" s="48" t="s">
        <v>898</v>
      </c>
      <c r="J2" s="48" t="s">
        <v>899</v>
      </c>
      <c r="K2" s="48" t="s">
        <v>400</v>
      </c>
      <c r="L2" s="48" t="s">
        <v>900</v>
      </c>
      <c r="M2" s="48" t="s">
        <v>901</v>
      </c>
      <c r="N2" s="48" t="s">
        <v>902</v>
      </c>
      <c r="O2" s="48" t="s">
        <v>903</v>
      </c>
      <c r="P2" s="52"/>
      <c r="Q2" s="443" t="s">
        <v>14</v>
      </c>
      <c r="R2" s="48" t="s">
        <v>878</v>
      </c>
      <c r="S2" s="48" t="s">
        <v>879</v>
      </c>
      <c r="T2" s="48" t="s">
        <v>880</v>
      </c>
      <c r="U2" s="48" t="s">
        <v>881</v>
      </c>
      <c r="V2" s="48" t="s">
        <v>882</v>
      </c>
      <c r="W2" s="48" t="s">
        <v>883</v>
      </c>
      <c r="X2" s="48" t="s">
        <v>884</v>
      </c>
      <c r="Y2" s="48" t="s">
        <v>885</v>
      </c>
      <c r="Z2" s="48" t="s">
        <v>886</v>
      </c>
      <c r="AA2" s="48" t="s">
        <v>887</v>
      </c>
      <c r="AB2" s="48" t="s">
        <v>888</v>
      </c>
      <c r="AC2" s="48" t="s">
        <v>889</v>
      </c>
      <c r="AD2" s="48" t="s">
        <v>890</v>
      </c>
      <c r="AE2" s="48" t="s">
        <v>891</v>
      </c>
      <c r="AF2" s="52"/>
      <c r="AG2" s="443" t="s">
        <v>14</v>
      </c>
      <c r="AH2" s="87" t="s">
        <v>866</v>
      </c>
      <c r="AI2" s="87" t="s">
        <v>867</v>
      </c>
      <c r="AJ2" s="87" t="s">
        <v>868</v>
      </c>
      <c r="AK2" s="87" t="s">
        <v>869</v>
      </c>
      <c r="AL2" s="87" t="s">
        <v>870</v>
      </c>
      <c r="AM2" s="87" t="s">
        <v>871</v>
      </c>
      <c r="AN2" s="87" t="s">
        <v>872</v>
      </c>
      <c r="AO2" s="87" t="s">
        <v>873</v>
      </c>
      <c r="AP2" s="87" t="s">
        <v>874</v>
      </c>
      <c r="AQ2" s="87" t="s">
        <v>875</v>
      </c>
      <c r="AR2" s="87" t="s">
        <v>876</v>
      </c>
      <c r="AS2" s="87" t="s">
        <v>877</v>
      </c>
    </row>
    <row r="3" spans="1:45" x14ac:dyDescent="0.2">
      <c r="B3" s="490"/>
      <c r="C3" s="490"/>
      <c r="D3" s="490"/>
      <c r="E3" s="490"/>
      <c r="F3" s="490"/>
      <c r="G3" s="490"/>
      <c r="H3" s="490"/>
      <c r="I3" s="490"/>
      <c r="J3" s="490"/>
      <c r="K3" s="490"/>
      <c r="L3" s="491"/>
      <c r="M3" s="491"/>
      <c r="N3" s="491"/>
      <c r="O3" s="486"/>
      <c r="Q3" s="489"/>
      <c r="R3" s="490"/>
      <c r="S3" s="490"/>
      <c r="T3" s="490"/>
      <c r="U3" s="490"/>
      <c r="V3" s="490"/>
      <c r="W3" s="490"/>
      <c r="X3" s="490"/>
      <c r="Y3" s="490"/>
      <c r="Z3" s="490"/>
      <c r="AA3" s="490"/>
      <c r="AD3" s="492"/>
      <c r="AE3" s="486"/>
      <c r="AG3" s="489"/>
      <c r="AH3" s="490"/>
      <c r="AI3" s="490"/>
      <c r="AJ3" s="490"/>
      <c r="AK3" s="490"/>
      <c r="AL3" s="490"/>
      <c r="AM3" s="490"/>
      <c r="AN3" s="490"/>
      <c r="AO3" s="490"/>
      <c r="AP3" s="490"/>
      <c r="AQ3" s="490"/>
    </row>
    <row r="4" spans="1:45" x14ac:dyDescent="0.2">
      <c r="Q4" s="489"/>
      <c r="AG4" s="489"/>
    </row>
    <row r="5" spans="1:45" x14ac:dyDescent="0.2">
      <c r="Q5" s="489"/>
      <c r="AG5" s="489"/>
    </row>
    <row r="6" spans="1:45" x14ac:dyDescent="0.2">
      <c r="Q6" s="489"/>
      <c r="AG6" s="489"/>
    </row>
    <row r="7" spans="1:45" x14ac:dyDescent="0.2">
      <c r="Q7" s="489"/>
      <c r="AG7" s="489"/>
    </row>
    <row r="8" spans="1:45" x14ac:dyDescent="0.2">
      <c r="Q8" s="489"/>
      <c r="AG8" s="489"/>
    </row>
    <row r="9" spans="1:45" x14ac:dyDescent="0.2">
      <c r="Q9" s="489"/>
      <c r="AG9" s="489"/>
    </row>
    <row r="10" spans="1:45" x14ac:dyDescent="0.2">
      <c r="Q10" s="489"/>
      <c r="AG10" s="489"/>
    </row>
    <row r="11" spans="1:45" x14ac:dyDescent="0.2">
      <c r="Q11" s="489"/>
      <c r="AG11" s="489"/>
    </row>
    <row r="12" spans="1:45" x14ac:dyDescent="0.2">
      <c r="Q12" s="489"/>
      <c r="AG12" s="489"/>
    </row>
    <row r="13" spans="1:45" x14ac:dyDescent="0.2">
      <c r="Q13" s="489"/>
      <c r="AG13" s="489"/>
    </row>
    <row r="14" spans="1:45" x14ac:dyDescent="0.2">
      <c r="Q14" s="489"/>
      <c r="AG14" s="489"/>
    </row>
    <row r="15" spans="1:45" x14ac:dyDescent="0.2">
      <c r="Q15" s="489"/>
      <c r="AG15" s="489"/>
    </row>
    <row r="16" spans="1:45" x14ac:dyDescent="0.2">
      <c r="Q16" s="489"/>
      <c r="AG16" s="489"/>
    </row>
    <row r="17" spans="17:33" x14ac:dyDescent="0.2">
      <c r="Q17" s="489"/>
      <c r="AG17" s="489"/>
    </row>
    <row r="18" spans="17:33" x14ac:dyDescent="0.2">
      <c r="Q18" s="489"/>
      <c r="AG18" s="489"/>
    </row>
    <row r="19" spans="17:33" x14ac:dyDescent="0.2">
      <c r="Q19" s="489"/>
      <c r="AG19" s="489"/>
    </row>
    <row r="20" spans="17:33" x14ac:dyDescent="0.2">
      <c r="Q20" s="489"/>
      <c r="AG20" s="489"/>
    </row>
    <row r="21" spans="17:33" x14ac:dyDescent="0.2">
      <c r="Q21" s="489"/>
      <c r="AG21" s="489"/>
    </row>
    <row r="22" spans="17:33" x14ac:dyDescent="0.2">
      <c r="Q22" s="489"/>
      <c r="AG22" s="489"/>
    </row>
    <row r="23" spans="17:33" x14ac:dyDescent="0.2">
      <c r="Q23" s="489"/>
      <c r="AG23" s="489"/>
    </row>
    <row r="24" spans="17:33" x14ac:dyDescent="0.2">
      <c r="Q24" s="489"/>
      <c r="AG24" s="489"/>
    </row>
    <row r="25" spans="17:33" x14ac:dyDescent="0.2">
      <c r="Q25" s="489"/>
      <c r="AG25" s="489"/>
    </row>
    <row r="26" spans="17:33" x14ac:dyDescent="0.2">
      <c r="Q26" s="489"/>
      <c r="AG26" s="489"/>
    </row>
    <row r="27" spans="17:33" x14ac:dyDescent="0.2">
      <c r="Q27" s="489"/>
      <c r="AG27" s="489"/>
    </row>
    <row r="28" spans="17:33" x14ac:dyDescent="0.2">
      <c r="Q28" s="489"/>
      <c r="AG28" s="489"/>
    </row>
    <row r="29" spans="17:33" x14ac:dyDescent="0.2">
      <c r="Q29" s="489"/>
      <c r="AG29" s="489"/>
    </row>
    <row r="30" spans="17:33" x14ac:dyDescent="0.2">
      <c r="Q30" s="489"/>
      <c r="AG30" s="489"/>
    </row>
    <row r="31" spans="17:33" x14ac:dyDescent="0.2">
      <c r="Q31" s="489"/>
      <c r="AG31" s="489"/>
    </row>
    <row r="32" spans="17:33" x14ac:dyDescent="0.2">
      <c r="Q32" s="489"/>
      <c r="AG32" s="489"/>
    </row>
    <row r="33" spans="17:33" x14ac:dyDescent="0.2">
      <c r="Q33" s="489"/>
      <c r="AG33" s="489"/>
    </row>
    <row r="34" spans="17:33" x14ac:dyDescent="0.2">
      <c r="Q34" s="489"/>
      <c r="AG34" s="489"/>
    </row>
    <row r="35" spans="17:33" x14ac:dyDescent="0.2">
      <c r="Q35" s="489"/>
      <c r="AG35" s="489"/>
    </row>
    <row r="36" spans="17:33" x14ac:dyDescent="0.2">
      <c r="Q36" s="489"/>
      <c r="AG36" s="489"/>
    </row>
    <row r="37" spans="17:33" x14ac:dyDescent="0.2">
      <c r="Q37" s="489"/>
      <c r="AG37" s="489"/>
    </row>
    <row r="38" spans="17:33" x14ac:dyDescent="0.2">
      <c r="Q38" s="489"/>
      <c r="AG38" s="489"/>
    </row>
    <row r="39" spans="17:33" x14ac:dyDescent="0.2">
      <c r="Q39" s="489"/>
      <c r="AG39" s="489"/>
    </row>
    <row r="40" spans="17:33" x14ac:dyDescent="0.2">
      <c r="Q40" s="489"/>
      <c r="AG40" s="489"/>
    </row>
    <row r="41" spans="17:33" x14ac:dyDescent="0.2">
      <c r="Q41" s="489"/>
      <c r="AG41" s="489"/>
    </row>
    <row r="42" spans="17:33" x14ac:dyDescent="0.2">
      <c r="Q42" s="489"/>
      <c r="AG42" s="489"/>
    </row>
    <row r="43" spans="17:33" x14ac:dyDescent="0.2">
      <c r="Q43" s="489"/>
      <c r="AG43" s="489"/>
    </row>
    <row r="44" spans="17:33" x14ac:dyDescent="0.2">
      <c r="Q44" s="489"/>
      <c r="AG44" s="489"/>
    </row>
    <row r="45" spans="17:33" x14ac:dyDescent="0.2">
      <c r="Q45" s="489"/>
      <c r="AG45" s="489"/>
    </row>
    <row r="46" spans="17:33" x14ac:dyDescent="0.2">
      <c r="Q46" s="489"/>
      <c r="AG46" s="489"/>
    </row>
    <row r="47" spans="17:33" x14ac:dyDescent="0.2">
      <c r="Q47" s="489"/>
      <c r="AG47" s="489"/>
    </row>
    <row r="48" spans="17:33" x14ac:dyDescent="0.2">
      <c r="Q48" s="489"/>
      <c r="AG48" s="489"/>
    </row>
    <row r="49" spans="17:33" x14ac:dyDescent="0.2">
      <c r="Q49" s="489"/>
      <c r="AG49" s="489"/>
    </row>
    <row r="50" spans="17:33" x14ac:dyDescent="0.2">
      <c r="Q50" s="489"/>
      <c r="AG50" s="489"/>
    </row>
    <row r="51" spans="17:33" x14ac:dyDescent="0.2">
      <c r="Q51" s="489"/>
      <c r="AG51" s="489"/>
    </row>
    <row r="52" spans="17:33" x14ac:dyDescent="0.2">
      <c r="Q52" s="489"/>
      <c r="AG52" s="489"/>
    </row>
    <row r="53" spans="17:33" x14ac:dyDescent="0.2">
      <c r="Q53" s="489"/>
      <c r="AG53" s="489"/>
    </row>
    <row r="54" spans="17:33" x14ac:dyDescent="0.2">
      <c r="Q54" s="489"/>
      <c r="AG54" s="489"/>
    </row>
    <row r="55" spans="17:33" x14ac:dyDescent="0.2">
      <c r="Q55" s="489"/>
      <c r="AG55" s="489"/>
    </row>
    <row r="56" spans="17:33" x14ac:dyDescent="0.2">
      <c r="Q56" s="489"/>
      <c r="AG56" s="489"/>
    </row>
    <row r="57" spans="17:33" x14ac:dyDescent="0.2">
      <c r="Q57" s="489"/>
      <c r="AG57" s="489"/>
    </row>
    <row r="58" spans="17:33" x14ac:dyDescent="0.2">
      <c r="Q58" s="489"/>
      <c r="AG58" s="489"/>
    </row>
    <row r="59" spans="17:33" x14ac:dyDescent="0.2">
      <c r="Q59" s="489"/>
      <c r="AG59" s="489"/>
    </row>
    <row r="60" spans="17:33" x14ac:dyDescent="0.2">
      <c r="Q60" s="489"/>
      <c r="AG60" s="489"/>
    </row>
    <row r="61" spans="17:33" x14ac:dyDescent="0.2">
      <c r="Q61" s="489"/>
      <c r="AG61" s="489"/>
    </row>
    <row r="62" spans="17:33" x14ac:dyDescent="0.2">
      <c r="Q62" s="489"/>
      <c r="AG62" s="489"/>
    </row>
    <row r="63" spans="17:33" x14ac:dyDescent="0.2">
      <c r="Q63" s="489"/>
      <c r="AG63" s="489"/>
    </row>
    <row r="64" spans="17:33" x14ac:dyDescent="0.2">
      <c r="Q64" s="489"/>
      <c r="AG64" s="489"/>
    </row>
    <row r="65" spans="17:33" x14ac:dyDescent="0.2">
      <c r="Q65" s="489"/>
      <c r="AG65" s="489"/>
    </row>
    <row r="66" spans="17:33" x14ac:dyDescent="0.2">
      <c r="Q66" s="489"/>
      <c r="AG66" s="489"/>
    </row>
    <row r="67" spans="17:33" x14ac:dyDescent="0.2">
      <c r="Q67" s="489"/>
      <c r="AG67" s="489"/>
    </row>
    <row r="68" spans="17:33" x14ac:dyDescent="0.2">
      <c r="Q68" s="489"/>
      <c r="AG68" s="489"/>
    </row>
    <row r="69" spans="17:33" x14ac:dyDescent="0.2">
      <c r="Q69" s="489"/>
      <c r="AG69" s="489"/>
    </row>
    <row r="70" spans="17:33" x14ac:dyDescent="0.2">
      <c r="Q70" s="489"/>
      <c r="AG70" s="489"/>
    </row>
    <row r="71" spans="17:33" x14ac:dyDescent="0.2">
      <c r="Q71" s="489"/>
      <c r="AG71" s="489"/>
    </row>
    <row r="72" spans="17:33" x14ac:dyDescent="0.2">
      <c r="Q72" s="489"/>
      <c r="AG72" s="489"/>
    </row>
    <row r="73" spans="17:33" x14ac:dyDescent="0.2">
      <c r="Q73" s="489"/>
      <c r="AG73" s="489"/>
    </row>
    <row r="74" spans="17:33" x14ac:dyDescent="0.2">
      <c r="Q74" s="489"/>
      <c r="AG74" s="489"/>
    </row>
    <row r="75" spans="17:33" x14ac:dyDescent="0.2">
      <c r="Q75" s="489"/>
      <c r="AG75" s="489"/>
    </row>
    <row r="76" spans="17:33" x14ac:dyDescent="0.2">
      <c r="Q76" s="489"/>
      <c r="AG76" s="489"/>
    </row>
    <row r="77" spans="17:33" x14ac:dyDescent="0.2">
      <c r="Q77" s="489"/>
      <c r="AG77" s="489"/>
    </row>
    <row r="78" spans="17:33" x14ac:dyDescent="0.2">
      <c r="Q78" s="489"/>
      <c r="AG78" s="489"/>
    </row>
    <row r="79" spans="17:33" x14ac:dyDescent="0.2">
      <c r="Q79" s="489"/>
      <c r="AG79" s="489"/>
    </row>
    <row r="80" spans="17:33" x14ac:dyDescent="0.2">
      <c r="Q80" s="489"/>
      <c r="AG80" s="489"/>
    </row>
    <row r="81" spans="17:33" x14ac:dyDescent="0.2">
      <c r="Q81" s="489"/>
      <c r="AG81" s="489"/>
    </row>
    <row r="82" spans="17:33" x14ac:dyDescent="0.2">
      <c r="Q82" s="489"/>
      <c r="AG82" s="489"/>
    </row>
    <row r="83" spans="17:33" x14ac:dyDescent="0.2">
      <c r="Q83" s="489"/>
      <c r="AG83" s="489"/>
    </row>
    <row r="84" spans="17:33" x14ac:dyDescent="0.2">
      <c r="Q84" s="489"/>
      <c r="AG84" s="489"/>
    </row>
    <row r="85" spans="17:33" x14ac:dyDescent="0.2">
      <c r="Q85" s="489"/>
      <c r="AG85" s="489"/>
    </row>
    <row r="86" spans="17:33" x14ac:dyDescent="0.2">
      <c r="Q86" s="489"/>
      <c r="AG86" s="489"/>
    </row>
    <row r="87" spans="17:33" x14ac:dyDescent="0.2">
      <c r="Q87" s="489"/>
      <c r="AG87" s="489"/>
    </row>
    <row r="88" spans="17:33" x14ac:dyDescent="0.2">
      <c r="Q88" s="489"/>
      <c r="AG88" s="489"/>
    </row>
    <row r="89" spans="17:33" x14ac:dyDescent="0.2">
      <c r="Q89" s="489"/>
      <c r="AG89" s="489"/>
    </row>
    <row r="90" spans="17:33" x14ac:dyDescent="0.2">
      <c r="Q90" s="489"/>
      <c r="AG90" s="489"/>
    </row>
    <row r="91" spans="17:33" x14ac:dyDescent="0.2">
      <c r="Q91" s="489"/>
      <c r="AG91" s="489"/>
    </row>
    <row r="92" spans="17:33" x14ac:dyDescent="0.2">
      <c r="Q92" s="489"/>
      <c r="AG92" s="489"/>
    </row>
    <row r="93" spans="17:33" x14ac:dyDescent="0.2">
      <c r="Q93" s="489"/>
      <c r="AG93" s="489"/>
    </row>
    <row r="94" spans="17:33" x14ac:dyDescent="0.2">
      <c r="Q94" s="489"/>
      <c r="AG94" s="489"/>
    </row>
    <row r="95" spans="17:33" x14ac:dyDescent="0.2">
      <c r="Q95" s="489"/>
      <c r="AG95" s="489"/>
    </row>
    <row r="96" spans="17:33" x14ac:dyDescent="0.2">
      <c r="Q96" s="489"/>
      <c r="AG96" s="489"/>
    </row>
    <row r="97" spans="17:33" x14ac:dyDescent="0.2">
      <c r="Q97" s="489"/>
      <c r="AG97" s="489"/>
    </row>
    <row r="98" spans="17:33" x14ac:dyDescent="0.2">
      <c r="Q98" s="489"/>
      <c r="AG98" s="489"/>
    </row>
    <row r="99" spans="17:33" x14ac:dyDescent="0.2">
      <c r="Q99" s="489"/>
      <c r="AG99" s="489"/>
    </row>
    <row r="100" spans="17:33" x14ac:dyDescent="0.2">
      <c r="Q100" s="489"/>
      <c r="AG100" s="489"/>
    </row>
    <row r="101" spans="17:33" x14ac:dyDescent="0.2">
      <c r="Q101" s="489"/>
      <c r="AG101" s="489"/>
    </row>
    <row r="102" spans="17:33" x14ac:dyDescent="0.2">
      <c r="Q102" s="489"/>
      <c r="AG102" s="489"/>
    </row>
    <row r="103" spans="17:33" x14ac:dyDescent="0.2">
      <c r="Q103" s="489"/>
      <c r="AG103" s="489"/>
    </row>
    <row r="104" spans="17:33" x14ac:dyDescent="0.2">
      <c r="Q104" s="489"/>
      <c r="AG104" s="489"/>
    </row>
    <row r="105" spans="17:33" x14ac:dyDescent="0.2">
      <c r="Q105" s="489"/>
      <c r="AG105" s="489"/>
    </row>
    <row r="106" spans="17:33" x14ac:dyDescent="0.2">
      <c r="Q106" s="489"/>
      <c r="AG106" s="489"/>
    </row>
    <row r="107" spans="17:33" x14ac:dyDescent="0.2">
      <c r="Q107" s="489"/>
      <c r="AG107" s="489"/>
    </row>
    <row r="108" spans="17:33" x14ac:dyDescent="0.2">
      <c r="Q108" s="489"/>
      <c r="AG108" s="489"/>
    </row>
    <row r="109" spans="17:33" x14ac:dyDescent="0.2">
      <c r="Q109" s="489"/>
      <c r="AG109" s="489"/>
    </row>
    <row r="110" spans="17:33" x14ac:dyDescent="0.2">
      <c r="Q110" s="489"/>
      <c r="AG110" s="489"/>
    </row>
    <row r="111" spans="17:33" x14ac:dyDescent="0.2">
      <c r="Q111" s="489"/>
      <c r="AG111" s="489"/>
    </row>
    <row r="112" spans="17:33" x14ac:dyDescent="0.2">
      <c r="Q112" s="489"/>
      <c r="AG112" s="489"/>
    </row>
    <row r="113" spans="17:33" x14ac:dyDescent="0.2">
      <c r="Q113" s="489"/>
      <c r="AG113" s="489"/>
    </row>
    <row r="114" spans="17:33" x14ac:dyDescent="0.2">
      <c r="Q114" s="489"/>
      <c r="AG114" s="489"/>
    </row>
    <row r="115" spans="17:33" x14ac:dyDescent="0.2">
      <c r="Q115" s="489"/>
      <c r="AG115" s="489"/>
    </row>
    <row r="116" spans="17:33" x14ac:dyDescent="0.2">
      <c r="Q116" s="489"/>
      <c r="AG116" s="489"/>
    </row>
    <row r="117" spans="17:33" x14ac:dyDescent="0.2">
      <c r="Q117" s="489"/>
      <c r="AG117" s="489"/>
    </row>
    <row r="118" spans="17:33" x14ac:dyDescent="0.2">
      <c r="Q118" s="489"/>
      <c r="AG118" s="489"/>
    </row>
    <row r="119" spans="17:33" x14ac:dyDescent="0.2">
      <c r="Q119" s="489"/>
      <c r="AG119" s="489"/>
    </row>
    <row r="120" spans="17:33" x14ac:dyDescent="0.2">
      <c r="Q120" s="489"/>
      <c r="AG120" s="489"/>
    </row>
    <row r="121" spans="17:33" x14ac:dyDescent="0.2">
      <c r="Q121" s="489"/>
      <c r="AG121" s="489"/>
    </row>
    <row r="122" spans="17:33" x14ac:dyDescent="0.2">
      <c r="Q122" s="489"/>
      <c r="AG122" s="489"/>
    </row>
    <row r="123" spans="17:33" x14ac:dyDescent="0.2">
      <c r="Q123" s="489"/>
      <c r="AG123" s="489"/>
    </row>
    <row r="124" spans="17:33" x14ac:dyDescent="0.2">
      <c r="Q124" s="489"/>
      <c r="AG124" s="489"/>
    </row>
    <row r="125" spans="17:33" x14ac:dyDescent="0.2">
      <c r="Q125" s="489"/>
      <c r="AG125" s="489"/>
    </row>
    <row r="126" spans="17:33" x14ac:dyDescent="0.2">
      <c r="Q126" s="489"/>
      <c r="AG126" s="489"/>
    </row>
    <row r="127" spans="17:33" x14ac:dyDescent="0.2">
      <c r="Q127" s="489"/>
      <c r="AG127" s="489"/>
    </row>
    <row r="128" spans="17:33" x14ac:dyDescent="0.2">
      <c r="Q128" s="489"/>
      <c r="AG128" s="489"/>
    </row>
    <row r="129" spans="17:33" x14ac:dyDescent="0.2">
      <c r="Q129" s="489"/>
      <c r="AG129" s="489"/>
    </row>
    <row r="130" spans="17:33" x14ac:dyDescent="0.2">
      <c r="Q130" s="489"/>
      <c r="AG130" s="489"/>
    </row>
    <row r="131" spans="17:33" x14ac:dyDescent="0.2">
      <c r="Q131" s="489"/>
      <c r="AG131" s="489"/>
    </row>
    <row r="132" spans="17:33" x14ac:dyDescent="0.2">
      <c r="Q132" s="489"/>
      <c r="AG132" s="489"/>
    </row>
    <row r="133" spans="17:33" x14ac:dyDescent="0.2">
      <c r="Q133" s="489"/>
      <c r="AG133" s="489"/>
    </row>
    <row r="134" spans="17:33" x14ac:dyDescent="0.2">
      <c r="Q134" s="489"/>
      <c r="AG134" s="489"/>
    </row>
    <row r="135" spans="17:33" x14ac:dyDescent="0.2">
      <c r="Q135" s="489"/>
      <c r="AG135" s="489"/>
    </row>
    <row r="136" spans="17:33" x14ac:dyDescent="0.2">
      <c r="Q136" s="489"/>
      <c r="AG136" s="489"/>
    </row>
    <row r="137" spans="17:33" x14ac:dyDescent="0.2">
      <c r="Q137" s="489"/>
      <c r="AG137" s="489"/>
    </row>
    <row r="138" spans="17:33" x14ac:dyDescent="0.2">
      <c r="Q138" s="489"/>
      <c r="AG138" s="489"/>
    </row>
    <row r="139" spans="17:33" x14ac:dyDescent="0.2">
      <c r="Q139" s="489"/>
      <c r="AG139" s="489"/>
    </row>
    <row r="140" spans="17:33" x14ac:dyDescent="0.2">
      <c r="Q140" s="489"/>
      <c r="AG140" s="489"/>
    </row>
    <row r="141" spans="17:33" x14ac:dyDescent="0.2">
      <c r="Q141" s="489"/>
      <c r="AG141" s="489"/>
    </row>
    <row r="142" spans="17:33" x14ac:dyDescent="0.2">
      <c r="Q142" s="489"/>
      <c r="AG142" s="489"/>
    </row>
    <row r="143" spans="17:33" x14ac:dyDescent="0.2">
      <c r="Q143" s="489"/>
      <c r="AG143" s="489"/>
    </row>
    <row r="144" spans="17:33" x14ac:dyDescent="0.2">
      <c r="Q144" s="489"/>
      <c r="AG144" s="489"/>
    </row>
    <row r="145" spans="17:33" x14ac:dyDescent="0.2">
      <c r="Q145" s="489"/>
      <c r="AG145" s="489"/>
    </row>
    <row r="146" spans="17:33" x14ac:dyDescent="0.2">
      <c r="Q146" s="489"/>
      <c r="AG146" s="489"/>
    </row>
    <row r="147" spans="17:33" x14ac:dyDescent="0.2">
      <c r="Q147" s="489"/>
      <c r="AG147" s="489"/>
    </row>
    <row r="148" spans="17:33" x14ac:dyDescent="0.2">
      <c r="Q148" s="489"/>
      <c r="AG148" s="489"/>
    </row>
    <row r="149" spans="17:33" x14ac:dyDescent="0.2">
      <c r="Q149" s="489"/>
      <c r="AG149" s="489"/>
    </row>
    <row r="150" spans="17:33" x14ac:dyDescent="0.2">
      <c r="Q150" s="489"/>
      <c r="AG150" s="489"/>
    </row>
    <row r="151" spans="17:33" x14ac:dyDescent="0.2">
      <c r="Q151" s="489"/>
      <c r="AG151" s="489"/>
    </row>
    <row r="152" spans="17:33" x14ac:dyDescent="0.2">
      <c r="Q152" s="489"/>
      <c r="AG152" s="489"/>
    </row>
    <row r="153" spans="17:33" x14ac:dyDescent="0.2">
      <c r="Q153" s="489"/>
      <c r="AG153" s="489"/>
    </row>
    <row r="154" spans="17:33" x14ac:dyDescent="0.2">
      <c r="Q154" s="489"/>
      <c r="AG154" s="489"/>
    </row>
    <row r="155" spans="17:33" x14ac:dyDescent="0.2">
      <c r="Q155" s="489"/>
      <c r="AG155" s="489"/>
    </row>
    <row r="156" spans="17:33" x14ac:dyDescent="0.2">
      <c r="Q156" s="489"/>
      <c r="AG156" s="489"/>
    </row>
    <row r="157" spans="17:33" x14ac:dyDescent="0.2">
      <c r="Q157" s="489"/>
      <c r="AG157" s="489"/>
    </row>
    <row r="158" spans="17:33" x14ac:dyDescent="0.2">
      <c r="Q158" s="489"/>
      <c r="AG158" s="489"/>
    </row>
    <row r="159" spans="17:33" x14ac:dyDescent="0.2">
      <c r="Q159" s="489"/>
      <c r="AG159" s="489"/>
    </row>
    <row r="160" spans="17:33" x14ac:dyDescent="0.2">
      <c r="Q160" s="489"/>
      <c r="AG160" s="489"/>
    </row>
    <row r="161" spans="17:33" x14ac:dyDescent="0.2">
      <c r="Q161" s="489"/>
      <c r="AG161" s="489"/>
    </row>
    <row r="162" spans="17:33" x14ac:dyDescent="0.2">
      <c r="Q162" s="489"/>
      <c r="AG162" s="489"/>
    </row>
    <row r="163" spans="17:33" x14ac:dyDescent="0.2">
      <c r="Q163" s="489"/>
      <c r="AG163" s="489"/>
    </row>
    <row r="164" spans="17:33" x14ac:dyDescent="0.2">
      <c r="Q164" s="489"/>
      <c r="AG164" s="489"/>
    </row>
    <row r="165" spans="17:33" x14ac:dyDescent="0.2">
      <c r="Q165" s="489"/>
      <c r="AG165" s="489"/>
    </row>
    <row r="166" spans="17:33" x14ac:dyDescent="0.2">
      <c r="Q166" s="489"/>
      <c r="AG166" s="489"/>
    </row>
    <row r="167" spans="17:33" x14ac:dyDescent="0.2">
      <c r="Q167" s="489"/>
      <c r="AG167" s="489"/>
    </row>
    <row r="168" spans="17:33" x14ac:dyDescent="0.2">
      <c r="Q168" s="489"/>
      <c r="AG168" s="489"/>
    </row>
    <row r="169" spans="17:33" x14ac:dyDescent="0.2">
      <c r="Q169" s="489"/>
      <c r="AG169" s="489"/>
    </row>
    <row r="170" spans="17:33" x14ac:dyDescent="0.2">
      <c r="Q170" s="489"/>
      <c r="AG170" s="489"/>
    </row>
    <row r="171" spans="17:33" x14ac:dyDescent="0.2">
      <c r="Q171" s="489"/>
      <c r="AG171" s="489"/>
    </row>
    <row r="172" spans="17:33" x14ac:dyDescent="0.2">
      <c r="Q172" s="489"/>
      <c r="AG172" s="489"/>
    </row>
    <row r="173" spans="17:33" x14ac:dyDescent="0.2">
      <c r="Q173" s="489"/>
      <c r="AG173" s="489"/>
    </row>
    <row r="174" spans="17:33" x14ac:dyDescent="0.2">
      <c r="Q174" s="489"/>
      <c r="AG174" s="489"/>
    </row>
    <row r="175" spans="17:33" x14ac:dyDescent="0.2">
      <c r="Q175" s="489"/>
      <c r="AG175" s="489"/>
    </row>
    <row r="176" spans="17:33" x14ac:dyDescent="0.2">
      <c r="Q176" s="489"/>
      <c r="AG176" s="489"/>
    </row>
    <row r="177" spans="17:33" x14ac:dyDescent="0.2">
      <c r="Q177" s="489"/>
      <c r="AG177" s="489"/>
    </row>
    <row r="178" spans="17:33" x14ac:dyDescent="0.2">
      <c r="Q178" s="489"/>
      <c r="AG178" s="489"/>
    </row>
    <row r="179" spans="17:33" x14ac:dyDescent="0.2">
      <c r="Q179" s="489"/>
      <c r="AG179" s="489"/>
    </row>
    <row r="180" spans="17:33" x14ac:dyDescent="0.2">
      <c r="Q180" s="489"/>
      <c r="AG180" s="489"/>
    </row>
    <row r="181" spans="17:33" x14ac:dyDescent="0.2">
      <c r="Q181" s="489"/>
      <c r="AG181" s="489"/>
    </row>
    <row r="182" spans="17:33" x14ac:dyDescent="0.2">
      <c r="Q182" s="489"/>
      <c r="AG182" s="489"/>
    </row>
    <row r="183" spans="17:33" x14ac:dyDescent="0.2">
      <c r="Q183" s="489"/>
      <c r="AG183" s="489"/>
    </row>
    <row r="184" spans="17:33" x14ac:dyDescent="0.2">
      <c r="Q184" s="489"/>
      <c r="AG184" s="489"/>
    </row>
    <row r="185" spans="17:33" x14ac:dyDescent="0.2">
      <c r="Q185" s="489"/>
      <c r="AG185" s="489"/>
    </row>
    <row r="186" spans="17:33" x14ac:dyDescent="0.2">
      <c r="Q186" s="489"/>
      <c r="AG186" s="489"/>
    </row>
    <row r="187" spans="17:33" x14ac:dyDescent="0.2">
      <c r="Q187" s="489"/>
      <c r="AG187" s="489"/>
    </row>
    <row r="188" spans="17:33" x14ac:dyDescent="0.2">
      <c r="Q188" s="489"/>
      <c r="AG188" s="489"/>
    </row>
    <row r="189" spans="17:33" x14ac:dyDescent="0.2">
      <c r="Q189" s="489"/>
      <c r="AG189" s="489"/>
    </row>
    <row r="190" spans="17:33" x14ac:dyDescent="0.2">
      <c r="Q190" s="489"/>
      <c r="AG190" s="489"/>
    </row>
    <row r="191" spans="17:33" x14ac:dyDescent="0.2">
      <c r="Q191" s="489"/>
      <c r="AG191" s="489"/>
    </row>
    <row r="192" spans="17:33" x14ac:dyDescent="0.2">
      <c r="Q192" s="489"/>
      <c r="AG192" s="489"/>
    </row>
    <row r="193" spans="17:33" x14ac:dyDescent="0.2">
      <c r="Q193" s="489"/>
      <c r="AG193" s="489"/>
    </row>
    <row r="194" spans="17:33" x14ac:dyDescent="0.2">
      <c r="Q194" s="489"/>
      <c r="AG194" s="489"/>
    </row>
    <row r="195" spans="17:33" x14ac:dyDescent="0.2">
      <c r="Q195" s="489"/>
      <c r="AG195" s="489"/>
    </row>
    <row r="196" spans="17:33" x14ac:dyDescent="0.2">
      <c r="Q196" s="489"/>
      <c r="AG196" s="489"/>
    </row>
    <row r="197" spans="17:33" x14ac:dyDescent="0.2">
      <c r="Q197" s="489"/>
      <c r="AG197" s="489"/>
    </row>
    <row r="198" spans="17:33" x14ac:dyDescent="0.2">
      <c r="Q198" s="489"/>
      <c r="AG198" s="489"/>
    </row>
    <row r="199" spans="17:33" x14ac:dyDescent="0.2">
      <c r="Q199" s="489"/>
      <c r="AG199" s="489"/>
    </row>
    <row r="200" spans="17:33" x14ac:dyDescent="0.2">
      <c r="Q200" s="489"/>
      <c r="AG200" s="489"/>
    </row>
    <row r="201" spans="17:33" x14ac:dyDescent="0.2">
      <c r="Q201" s="489"/>
      <c r="AG201" s="489"/>
    </row>
    <row r="202" spans="17:33" x14ac:dyDescent="0.2">
      <c r="Q202" s="489"/>
      <c r="AG202" s="489"/>
    </row>
    <row r="203" spans="17:33" x14ac:dyDescent="0.2">
      <c r="Q203" s="489"/>
      <c r="AG203" s="489"/>
    </row>
    <row r="204" spans="17:33" x14ac:dyDescent="0.2">
      <c r="Q204" s="489"/>
      <c r="AG204" s="489"/>
    </row>
    <row r="205" spans="17:33" x14ac:dyDescent="0.2">
      <c r="Q205" s="489"/>
      <c r="AG205" s="489"/>
    </row>
    <row r="206" spans="17:33" x14ac:dyDescent="0.2">
      <c r="Q206" s="489"/>
      <c r="AG206" s="489"/>
    </row>
    <row r="207" spans="17:33" x14ac:dyDescent="0.2">
      <c r="Q207" s="489"/>
      <c r="AG207" s="489"/>
    </row>
    <row r="208" spans="17:33" x14ac:dyDescent="0.2">
      <c r="Q208" s="489"/>
      <c r="AG208" s="489"/>
    </row>
    <row r="209" spans="17:33" x14ac:dyDescent="0.2">
      <c r="Q209" s="489"/>
      <c r="AG209" s="489"/>
    </row>
    <row r="210" spans="17:33" x14ac:dyDescent="0.2">
      <c r="Q210" s="489"/>
      <c r="AG210" s="489"/>
    </row>
    <row r="211" spans="17:33" x14ac:dyDescent="0.2">
      <c r="Q211" s="489"/>
      <c r="AG211" s="489"/>
    </row>
    <row r="212" spans="17:33" x14ac:dyDescent="0.2">
      <c r="Q212" s="489"/>
      <c r="AG212" s="489"/>
    </row>
    <row r="213" spans="17:33" x14ac:dyDescent="0.2">
      <c r="Q213" s="489"/>
      <c r="AG213" s="489"/>
    </row>
    <row r="214" spans="17:33" x14ac:dyDescent="0.2">
      <c r="Q214" s="489"/>
      <c r="AG214" s="489"/>
    </row>
    <row r="215" spans="17:33" x14ac:dyDescent="0.2">
      <c r="Q215" s="489"/>
      <c r="AG215" s="489"/>
    </row>
    <row r="216" spans="17:33" x14ac:dyDescent="0.2">
      <c r="Q216" s="489"/>
      <c r="AG216" s="489"/>
    </row>
    <row r="217" spans="17:33" x14ac:dyDescent="0.2">
      <c r="Q217" s="489"/>
      <c r="AG217" s="489"/>
    </row>
    <row r="218" spans="17:33" x14ac:dyDescent="0.2">
      <c r="Q218" s="489"/>
      <c r="AG218" s="489"/>
    </row>
    <row r="219" spans="17:33" x14ac:dyDescent="0.2">
      <c r="Q219" s="489"/>
      <c r="AG219" s="489"/>
    </row>
    <row r="220" spans="17:33" x14ac:dyDescent="0.2">
      <c r="Q220" s="489"/>
      <c r="AG220" s="489"/>
    </row>
    <row r="221" spans="17:33" x14ac:dyDescent="0.2">
      <c r="Q221" s="489"/>
      <c r="AG221" s="489"/>
    </row>
    <row r="222" spans="17:33" x14ac:dyDescent="0.2">
      <c r="Q222" s="489"/>
      <c r="AG222" s="489"/>
    </row>
    <row r="223" spans="17:33" x14ac:dyDescent="0.2">
      <c r="Q223" s="489"/>
      <c r="AG223" s="489"/>
    </row>
    <row r="224" spans="17:33" x14ac:dyDescent="0.2">
      <c r="Q224" s="489"/>
      <c r="AG224" s="489"/>
    </row>
    <row r="225" spans="17:33" x14ac:dyDescent="0.2">
      <c r="Q225" s="489"/>
      <c r="AG225" s="489"/>
    </row>
    <row r="226" spans="17:33" x14ac:dyDescent="0.2">
      <c r="Q226" s="489"/>
      <c r="AG226" s="489"/>
    </row>
    <row r="227" spans="17:33" x14ac:dyDescent="0.2">
      <c r="Q227" s="489"/>
      <c r="AG227" s="489"/>
    </row>
    <row r="228" spans="17:33" x14ac:dyDescent="0.2">
      <c r="Q228" s="489"/>
      <c r="AG228" s="489"/>
    </row>
    <row r="229" spans="17:33" x14ac:dyDescent="0.2">
      <c r="Q229" s="489"/>
      <c r="AG229" s="489"/>
    </row>
    <row r="230" spans="17:33" x14ac:dyDescent="0.2">
      <c r="Q230" s="489"/>
      <c r="AG230" s="489"/>
    </row>
    <row r="231" spans="17:33" x14ac:dyDescent="0.2">
      <c r="Q231" s="489"/>
      <c r="AG231" s="489"/>
    </row>
    <row r="232" spans="17:33" x14ac:dyDescent="0.2">
      <c r="Q232" s="489"/>
      <c r="AG232" s="489"/>
    </row>
    <row r="233" spans="17:33" x14ac:dyDescent="0.2">
      <c r="Q233" s="489"/>
      <c r="AG233" s="489"/>
    </row>
    <row r="234" spans="17:33" x14ac:dyDescent="0.2">
      <c r="Q234" s="489"/>
      <c r="AG234" s="489"/>
    </row>
    <row r="235" spans="17:33" x14ac:dyDescent="0.2">
      <c r="Q235" s="489"/>
      <c r="AG235" s="489"/>
    </row>
    <row r="236" spans="17:33" x14ac:dyDescent="0.2">
      <c r="Q236" s="489"/>
      <c r="AG236" s="489"/>
    </row>
    <row r="237" spans="17:33" x14ac:dyDescent="0.2">
      <c r="Q237" s="489"/>
      <c r="AG237" s="489"/>
    </row>
    <row r="238" spans="17:33" x14ac:dyDescent="0.2">
      <c r="Q238" s="489"/>
      <c r="AG238" s="489"/>
    </row>
    <row r="239" spans="17:33" x14ac:dyDescent="0.2">
      <c r="Q239" s="489"/>
      <c r="AG239" s="489"/>
    </row>
    <row r="240" spans="17:33" x14ac:dyDescent="0.2">
      <c r="Q240" s="489"/>
      <c r="AG240" s="489"/>
    </row>
    <row r="241" spans="17:33" x14ac:dyDescent="0.2">
      <c r="Q241" s="489"/>
      <c r="AG241" s="489"/>
    </row>
    <row r="242" spans="17:33" x14ac:dyDescent="0.2">
      <c r="Q242" s="489"/>
      <c r="AG242" s="489"/>
    </row>
    <row r="243" spans="17:33" x14ac:dyDescent="0.2">
      <c r="Q243" s="489"/>
      <c r="AG243" s="489"/>
    </row>
    <row r="244" spans="17:33" x14ac:dyDescent="0.2">
      <c r="Q244" s="489"/>
      <c r="AG244" s="489"/>
    </row>
    <row r="245" spans="17:33" x14ac:dyDescent="0.2">
      <c r="Q245" s="489"/>
      <c r="AG245" s="489"/>
    </row>
    <row r="246" spans="17:33" x14ac:dyDescent="0.2">
      <c r="Q246" s="489"/>
      <c r="AG246" s="489"/>
    </row>
    <row r="247" spans="17:33" x14ac:dyDescent="0.2">
      <c r="Q247" s="489"/>
      <c r="AG247" s="489"/>
    </row>
    <row r="248" spans="17:33" x14ac:dyDescent="0.2">
      <c r="Q248" s="489"/>
      <c r="AG248" s="489"/>
    </row>
    <row r="249" spans="17:33" x14ac:dyDescent="0.2">
      <c r="Q249" s="489"/>
      <c r="AG249" s="489"/>
    </row>
    <row r="250" spans="17:33" x14ac:dyDescent="0.2">
      <c r="Q250" s="489"/>
      <c r="AG250" s="489"/>
    </row>
    <row r="251" spans="17:33" x14ac:dyDescent="0.2">
      <c r="Q251" s="489"/>
      <c r="AG251" s="489"/>
    </row>
    <row r="252" spans="17:33" x14ac:dyDescent="0.2">
      <c r="Q252" s="489"/>
      <c r="AG252" s="489"/>
    </row>
    <row r="253" spans="17:33" x14ac:dyDescent="0.2">
      <c r="Q253" s="489"/>
      <c r="AG253" s="489"/>
    </row>
    <row r="254" spans="17:33" x14ac:dyDescent="0.2">
      <c r="Q254" s="489"/>
      <c r="AG254" s="489"/>
    </row>
    <row r="255" spans="17:33" x14ac:dyDescent="0.2">
      <c r="Q255" s="489"/>
      <c r="AG255" s="489"/>
    </row>
    <row r="256" spans="17:33" x14ac:dyDescent="0.2">
      <c r="Q256" s="489"/>
      <c r="AG256" s="489"/>
    </row>
    <row r="257" spans="17:33" x14ac:dyDescent="0.2">
      <c r="Q257" s="489"/>
      <c r="AG257" s="489"/>
    </row>
    <row r="258" spans="17:33" x14ac:dyDescent="0.2">
      <c r="Q258" s="489"/>
      <c r="AG258" s="489"/>
    </row>
    <row r="259" spans="17:33" x14ac:dyDescent="0.2">
      <c r="Q259" s="489"/>
      <c r="AG259" s="489"/>
    </row>
    <row r="260" spans="17:33" x14ac:dyDescent="0.2">
      <c r="Q260" s="489"/>
      <c r="AG260" s="489"/>
    </row>
    <row r="261" spans="17:33" x14ac:dyDescent="0.2">
      <c r="Q261" s="489"/>
      <c r="AG261" s="489"/>
    </row>
    <row r="262" spans="17:33" x14ac:dyDescent="0.2">
      <c r="Q262" s="489"/>
      <c r="AG262" s="489"/>
    </row>
    <row r="263" spans="17:33" x14ac:dyDescent="0.2">
      <c r="Q263" s="489"/>
      <c r="AG263" s="489"/>
    </row>
    <row r="264" spans="17:33" x14ac:dyDescent="0.2">
      <c r="Q264" s="489"/>
      <c r="AG264" s="489"/>
    </row>
    <row r="265" spans="17:33" x14ac:dyDescent="0.2">
      <c r="Q265" s="489"/>
      <c r="AG265" s="489"/>
    </row>
    <row r="266" spans="17:33" x14ac:dyDescent="0.2">
      <c r="Q266" s="489"/>
      <c r="AG266" s="489"/>
    </row>
    <row r="267" spans="17:33" x14ac:dyDescent="0.2">
      <c r="Q267" s="489"/>
      <c r="AG267" s="489"/>
    </row>
    <row r="268" spans="17:33" x14ac:dyDescent="0.2">
      <c r="Q268" s="489"/>
      <c r="AG268" s="489"/>
    </row>
    <row r="269" spans="17:33" x14ac:dyDescent="0.2">
      <c r="Q269" s="489"/>
      <c r="AG269" s="489"/>
    </row>
    <row r="270" spans="17:33" x14ac:dyDescent="0.2">
      <c r="Q270" s="489"/>
      <c r="AG270" s="489"/>
    </row>
    <row r="271" spans="17:33" x14ac:dyDescent="0.2">
      <c r="Q271" s="489"/>
      <c r="AG271" s="489"/>
    </row>
    <row r="272" spans="17:33" x14ac:dyDescent="0.2">
      <c r="Q272" s="489"/>
      <c r="AG272" s="489"/>
    </row>
    <row r="273" spans="17:33" x14ac:dyDescent="0.2">
      <c r="Q273" s="489"/>
      <c r="AG273" s="489"/>
    </row>
    <row r="274" spans="17:33" x14ac:dyDescent="0.2">
      <c r="Q274" s="489"/>
      <c r="AG274" s="489"/>
    </row>
    <row r="275" spans="17:33" x14ac:dyDescent="0.2">
      <c r="Q275" s="489"/>
      <c r="AG275" s="489"/>
    </row>
    <row r="276" spans="17:33" x14ac:dyDescent="0.2">
      <c r="Q276" s="489"/>
      <c r="AG276" s="489"/>
    </row>
    <row r="277" spans="17:33" x14ac:dyDescent="0.2">
      <c r="Q277" s="489"/>
      <c r="AG277" s="489"/>
    </row>
    <row r="278" spans="17:33" x14ac:dyDescent="0.2">
      <c r="Q278" s="489"/>
      <c r="AG278" s="489"/>
    </row>
    <row r="279" spans="17:33" x14ac:dyDescent="0.2">
      <c r="Q279" s="489"/>
      <c r="AG279" s="489"/>
    </row>
    <row r="280" spans="17:33" x14ac:dyDescent="0.2">
      <c r="Q280" s="489"/>
      <c r="AG280" s="489"/>
    </row>
    <row r="281" spans="17:33" x14ac:dyDescent="0.2">
      <c r="Q281" s="489"/>
      <c r="AG281" s="489"/>
    </row>
    <row r="282" spans="17:33" x14ac:dyDescent="0.2">
      <c r="Q282" s="489"/>
      <c r="AG282" s="489"/>
    </row>
    <row r="283" spans="17:33" x14ac:dyDescent="0.2">
      <c r="Q283" s="489"/>
      <c r="AG283" s="489"/>
    </row>
    <row r="284" spans="17:33" x14ac:dyDescent="0.2">
      <c r="Q284" s="489"/>
      <c r="AG284" s="489"/>
    </row>
    <row r="285" spans="17:33" x14ac:dyDescent="0.2">
      <c r="Q285" s="489"/>
      <c r="AG285" s="489"/>
    </row>
    <row r="286" spans="17:33" x14ac:dyDescent="0.2">
      <c r="Q286" s="489"/>
      <c r="AG286" s="489"/>
    </row>
    <row r="287" spans="17:33" x14ac:dyDescent="0.2">
      <c r="Q287" s="489"/>
      <c r="AG287" s="489"/>
    </row>
    <row r="288" spans="17:33" x14ac:dyDescent="0.2">
      <c r="Q288" s="489"/>
      <c r="AG288" s="489"/>
    </row>
    <row r="289" spans="17:33" x14ac:dyDescent="0.2">
      <c r="Q289" s="489"/>
      <c r="AG289" s="489"/>
    </row>
    <row r="290" spans="17:33" x14ac:dyDescent="0.2">
      <c r="Q290" s="489"/>
      <c r="AG290" s="489"/>
    </row>
    <row r="291" spans="17:33" x14ac:dyDescent="0.2">
      <c r="Q291" s="489"/>
      <c r="AG291" s="489"/>
    </row>
    <row r="292" spans="17:33" x14ac:dyDescent="0.2">
      <c r="Q292" s="489"/>
      <c r="AG292" s="489"/>
    </row>
    <row r="293" spans="17:33" x14ac:dyDescent="0.2">
      <c r="Q293" s="489"/>
      <c r="AG293" s="489"/>
    </row>
    <row r="294" spans="17:33" x14ac:dyDescent="0.2">
      <c r="Q294" s="489"/>
      <c r="AG294" s="489"/>
    </row>
    <row r="295" spans="17:33" x14ac:dyDescent="0.2">
      <c r="Q295" s="489"/>
      <c r="AG295" s="489"/>
    </row>
    <row r="296" spans="17:33" x14ac:dyDescent="0.2">
      <c r="Q296" s="489"/>
      <c r="AG296" s="489"/>
    </row>
    <row r="297" spans="17:33" x14ac:dyDescent="0.2">
      <c r="Q297" s="489"/>
      <c r="AG297" s="489"/>
    </row>
    <row r="298" spans="17:33" x14ac:dyDescent="0.2">
      <c r="Q298" s="489"/>
      <c r="AG298" s="489"/>
    </row>
    <row r="299" spans="17:33" x14ac:dyDescent="0.2">
      <c r="Q299" s="489"/>
      <c r="AG299" s="489"/>
    </row>
    <row r="300" spans="17:33" x14ac:dyDescent="0.2">
      <c r="Q300" s="489"/>
      <c r="AG300" s="489"/>
    </row>
    <row r="301" spans="17:33" x14ac:dyDescent="0.2">
      <c r="Q301" s="489"/>
      <c r="AG301" s="489"/>
    </row>
    <row r="302" spans="17:33" x14ac:dyDescent="0.2">
      <c r="Q302" s="489"/>
      <c r="AG302" s="489"/>
    </row>
    <row r="303" spans="17:33" x14ac:dyDescent="0.2">
      <c r="Q303" s="489"/>
      <c r="AG303" s="489"/>
    </row>
    <row r="304" spans="17:33" x14ac:dyDescent="0.2">
      <c r="Q304" s="489"/>
      <c r="AG304" s="489"/>
    </row>
    <row r="305" spans="17:33" x14ac:dyDescent="0.2">
      <c r="Q305" s="489"/>
      <c r="AG305" s="489"/>
    </row>
    <row r="306" spans="17:33" x14ac:dyDescent="0.2">
      <c r="Q306" s="489"/>
      <c r="AG306" s="489"/>
    </row>
    <row r="307" spans="17:33" x14ac:dyDescent="0.2">
      <c r="Q307" s="489"/>
      <c r="AG307" s="489"/>
    </row>
    <row r="308" spans="17:33" x14ac:dyDescent="0.2">
      <c r="Q308" s="489"/>
      <c r="AG308" s="489"/>
    </row>
    <row r="309" spans="17:33" x14ac:dyDescent="0.2">
      <c r="Q309" s="489"/>
      <c r="AG309" s="489"/>
    </row>
    <row r="310" spans="17:33" x14ac:dyDescent="0.2">
      <c r="Q310" s="489"/>
      <c r="AG310" s="489"/>
    </row>
    <row r="311" spans="17:33" x14ac:dyDescent="0.2">
      <c r="Q311" s="489"/>
      <c r="AG311" s="489"/>
    </row>
    <row r="312" spans="17:33" x14ac:dyDescent="0.2">
      <c r="Q312" s="489"/>
      <c r="AG312" s="489"/>
    </row>
    <row r="313" spans="17:33" x14ac:dyDescent="0.2">
      <c r="Q313" s="489"/>
      <c r="AG313" s="489"/>
    </row>
    <row r="314" spans="17:33" x14ac:dyDescent="0.2">
      <c r="Q314" s="489"/>
      <c r="AG314" s="489"/>
    </row>
    <row r="315" spans="17:33" x14ac:dyDescent="0.2">
      <c r="Q315" s="489"/>
      <c r="AG315" s="489"/>
    </row>
    <row r="316" spans="17:33" x14ac:dyDescent="0.2">
      <c r="Q316" s="489"/>
      <c r="AG316" s="489"/>
    </row>
    <row r="317" spans="17:33" x14ac:dyDescent="0.2">
      <c r="Q317" s="489"/>
      <c r="AG317" s="489"/>
    </row>
    <row r="318" spans="17:33" x14ac:dyDescent="0.2">
      <c r="Q318" s="489"/>
      <c r="AG318" s="489"/>
    </row>
    <row r="319" spans="17:33" x14ac:dyDescent="0.2">
      <c r="Q319" s="489"/>
      <c r="AG319" s="489"/>
    </row>
    <row r="320" spans="17:33" x14ac:dyDescent="0.2">
      <c r="Q320" s="489"/>
      <c r="AG320" s="489"/>
    </row>
    <row r="321" spans="17:33" x14ac:dyDescent="0.2">
      <c r="Q321" s="489"/>
      <c r="AG321" s="489"/>
    </row>
    <row r="322" spans="17:33" x14ac:dyDescent="0.2">
      <c r="Q322" s="489"/>
      <c r="AG322" s="489"/>
    </row>
    <row r="323" spans="17:33" x14ac:dyDescent="0.2">
      <c r="Q323" s="489"/>
      <c r="AG323" s="489"/>
    </row>
    <row r="324" spans="17:33" x14ac:dyDescent="0.2">
      <c r="Q324" s="489"/>
      <c r="AG324" s="489"/>
    </row>
    <row r="325" spans="17:33" x14ac:dyDescent="0.2">
      <c r="Q325" s="489"/>
      <c r="AG325" s="489"/>
    </row>
    <row r="326" spans="17:33" x14ac:dyDescent="0.2">
      <c r="Q326" s="489"/>
      <c r="AG326" s="489"/>
    </row>
    <row r="327" spans="17:33" x14ac:dyDescent="0.2">
      <c r="Q327" s="489"/>
      <c r="AG327" s="489"/>
    </row>
    <row r="328" spans="17:33" x14ac:dyDescent="0.2">
      <c r="Q328" s="489"/>
      <c r="AG328" s="489"/>
    </row>
    <row r="329" spans="17:33" x14ac:dyDescent="0.2">
      <c r="Q329" s="489"/>
      <c r="AG329" s="489"/>
    </row>
    <row r="330" spans="17:33" x14ac:dyDescent="0.2">
      <c r="Q330" s="489"/>
      <c r="AG330" s="489"/>
    </row>
    <row r="331" spans="17:33" x14ac:dyDescent="0.2">
      <c r="Q331" s="489"/>
      <c r="AG331" s="489"/>
    </row>
    <row r="332" spans="17:33" x14ac:dyDescent="0.2">
      <c r="Q332" s="489"/>
      <c r="AG332" s="489"/>
    </row>
    <row r="333" spans="17:33" x14ac:dyDescent="0.2">
      <c r="Q333" s="489"/>
      <c r="AG333" s="489"/>
    </row>
    <row r="334" spans="17:33" x14ac:dyDescent="0.2">
      <c r="Q334" s="489"/>
      <c r="AG334" s="489"/>
    </row>
    <row r="335" spans="17:33" x14ac:dyDescent="0.2">
      <c r="Q335" s="489"/>
      <c r="AG335" s="489"/>
    </row>
    <row r="336" spans="17:33" x14ac:dyDescent="0.2">
      <c r="Q336" s="489"/>
      <c r="AG336" s="489"/>
    </row>
    <row r="337" spans="17:33" x14ac:dyDescent="0.2">
      <c r="Q337" s="489"/>
      <c r="AG337" s="489"/>
    </row>
    <row r="338" spans="17:33" x14ac:dyDescent="0.2">
      <c r="Q338" s="489"/>
      <c r="AG338" s="489"/>
    </row>
    <row r="339" spans="17:33" x14ac:dyDescent="0.2">
      <c r="Q339" s="489"/>
      <c r="AG339" s="489"/>
    </row>
    <row r="340" spans="17:33" x14ac:dyDescent="0.2">
      <c r="Q340" s="489"/>
      <c r="AG340" s="489"/>
    </row>
    <row r="341" spans="17:33" x14ac:dyDescent="0.2">
      <c r="Q341" s="489"/>
      <c r="AG341" s="489"/>
    </row>
    <row r="342" spans="17:33" x14ac:dyDescent="0.2">
      <c r="Q342" s="489"/>
      <c r="AG342" s="489"/>
    </row>
    <row r="343" spans="17:33" x14ac:dyDescent="0.2">
      <c r="Q343" s="489"/>
      <c r="AG343" s="489"/>
    </row>
    <row r="344" spans="17:33" x14ac:dyDescent="0.2">
      <c r="Q344" s="489"/>
      <c r="AG344" s="489"/>
    </row>
    <row r="345" spans="17:33" x14ac:dyDescent="0.2">
      <c r="Q345" s="489"/>
      <c r="AG345" s="489"/>
    </row>
    <row r="346" spans="17:33" x14ac:dyDescent="0.2">
      <c r="Q346" s="489"/>
      <c r="AG346" s="489"/>
    </row>
    <row r="347" spans="17:33" x14ac:dyDescent="0.2">
      <c r="Q347" s="489"/>
      <c r="AG347" s="489"/>
    </row>
    <row r="348" spans="17:33" x14ac:dyDescent="0.2">
      <c r="Q348" s="489"/>
      <c r="AG348" s="489"/>
    </row>
    <row r="349" spans="17:33" x14ac:dyDescent="0.2">
      <c r="Q349" s="489"/>
      <c r="AG349" s="489"/>
    </row>
    <row r="350" spans="17:33" x14ac:dyDescent="0.2">
      <c r="Q350" s="489"/>
      <c r="AG350" s="489"/>
    </row>
    <row r="351" spans="17:33" x14ac:dyDescent="0.2">
      <c r="Q351" s="489"/>
      <c r="AG351" s="489"/>
    </row>
    <row r="352" spans="17:33" x14ac:dyDescent="0.2">
      <c r="Q352" s="489"/>
      <c r="AG352" s="489"/>
    </row>
    <row r="353" spans="17:33" x14ac:dyDescent="0.2">
      <c r="Q353" s="489"/>
      <c r="AG353" s="489"/>
    </row>
    <row r="354" spans="17:33" x14ac:dyDescent="0.2">
      <c r="Q354" s="489"/>
      <c r="AG354" s="489"/>
    </row>
    <row r="355" spans="17:33" x14ac:dyDescent="0.2">
      <c r="Q355" s="489"/>
      <c r="AG355" s="489"/>
    </row>
    <row r="356" spans="17:33" x14ac:dyDescent="0.2">
      <c r="Q356" s="489"/>
      <c r="AG356" s="489"/>
    </row>
    <row r="357" spans="17:33" x14ac:dyDescent="0.2">
      <c r="Q357" s="489"/>
      <c r="AG357" s="489"/>
    </row>
    <row r="358" spans="17:33" x14ac:dyDescent="0.2">
      <c r="Q358" s="489"/>
      <c r="AG358" s="489"/>
    </row>
    <row r="359" spans="17:33" x14ac:dyDescent="0.2">
      <c r="Q359" s="489"/>
      <c r="AG359" s="489"/>
    </row>
    <row r="360" spans="17:33" x14ac:dyDescent="0.2">
      <c r="Q360" s="489"/>
      <c r="AG360" s="489"/>
    </row>
    <row r="361" spans="17:33" x14ac:dyDescent="0.2">
      <c r="Q361" s="489"/>
      <c r="AG361" s="489"/>
    </row>
    <row r="362" spans="17:33" x14ac:dyDescent="0.2">
      <c r="Q362" s="489"/>
      <c r="AG362" s="489"/>
    </row>
    <row r="363" spans="17:33" x14ac:dyDescent="0.2">
      <c r="Q363" s="489"/>
      <c r="AG363" s="489"/>
    </row>
    <row r="364" spans="17:33" x14ac:dyDescent="0.2">
      <c r="Q364" s="489"/>
      <c r="AG364" s="489"/>
    </row>
    <row r="365" spans="17:33" x14ac:dyDescent="0.2">
      <c r="Q365" s="489"/>
      <c r="AG365" s="489"/>
    </row>
    <row r="366" spans="17:33" x14ac:dyDescent="0.2">
      <c r="Q366" s="489"/>
      <c r="AG366" s="489"/>
    </row>
    <row r="367" spans="17:33" x14ac:dyDescent="0.2">
      <c r="Q367" s="489"/>
      <c r="AG367" s="489"/>
    </row>
    <row r="368" spans="17:33" x14ac:dyDescent="0.2">
      <c r="Q368" s="489"/>
      <c r="AG368" s="489"/>
    </row>
    <row r="369" spans="17:33" x14ac:dyDescent="0.2">
      <c r="Q369" s="489"/>
      <c r="AG369" s="489"/>
    </row>
    <row r="370" spans="17:33" x14ac:dyDescent="0.2">
      <c r="Q370" s="489"/>
      <c r="AG370" s="489"/>
    </row>
    <row r="371" spans="17:33" x14ac:dyDescent="0.2">
      <c r="Q371" s="489"/>
      <c r="AG371" s="489"/>
    </row>
    <row r="372" spans="17:33" x14ac:dyDescent="0.2">
      <c r="Q372" s="489"/>
      <c r="AG372" s="489"/>
    </row>
    <row r="373" spans="17:33" x14ac:dyDescent="0.2">
      <c r="Q373" s="489"/>
      <c r="AG373" s="489"/>
    </row>
    <row r="374" spans="17:33" x14ac:dyDescent="0.2">
      <c r="Q374" s="489"/>
      <c r="AG374" s="489"/>
    </row>
    <row r="375" spans="17:33" x14ac:dyDescent="0.2">
      <c r="Q375" s="489"/>
      <c r="AG375" s="489"/>
    </row>
    <row r="376" spans="17:33" x14ac:dyDescent="0.2">
      <c r="Q376" s="489"/>
      <c r="AG376" s="489"/>
    </row>
    <row r="377" spans="17:33" x14ac:dyDescent="0.2">
      <c r="Q377" s="489"/>
      <c r="AG377" s="489"/>
    </row>
    <row r="378" spans="17:33" x14ac:dyDescent="0.2">
      <c r="Q378" s="489"/>
      <c r="AG378" s="489"/>
    </row>
    <row r="379" spans="17:33" x14ac:dyDescent="0.2">
      <c r="Q379" s="489"/>
      <c r="AG379" s="489"/>
    </row>
    <row r="380" spans="17:33" x14ac:dyDescent="0.2">
      <c r="Q380" s="489"/>
      <c r="AG380" s="489"/>
    </row>
    <row r="381" spans="17:33" x14ac:dyDescent="0.2">
      <c r="Q381" s="489"/>
      <c r="AG381" s="489"/>
    </row>
    <row r="382" spans="17:33" x14ac:dyDescent="0.2">
      <c r="Q382" s="489"/>
      <c r="AG382" s="489"/>
    </row>
    <row r="383" spans="17:33" x14ac:dyDescent="0.2">
      <c r="Q383" s="489"/>
      <c r="AG383" s="489"/>
    </row>
    <row r="384" spans="17:33" x14ac:dyDescent="0.2">
      <c r="Q384" s="489"/>
      <c r="AG384" s="489"/>
    </row>
    <row r="385" spans="17:33" x14ac:dyDescent="0.2">
      <c r="Q385" s="489"/>
      <c r="AG385" s="489"/>
    </row>
    <row r="386" spans="17:33" x14ac:dyDescent="0.2">
      <c r="Q386" s="489"/>
      <c r="AG386" s="489"/>
    </row>
    <row r="387" spans="17:33" x14ac:dyDescent="0.2">
      <c r="Q387" s="489"/>
      <c r="AG387" s="489"/>
    </row>
    <row r="388" spans="17:33" x14ac:dyDescent="0.2">
      <c r="Q388" s="489"/>
      <c r="AG388" s="489"/>
    </row>
    <row r="389" spans="17:33" x14ac:dyDescent="0.2">
      <c r="Q389" s="489"/>
      <c r="AG389" s="489"/>
    </row>
    <row r="390" spans="17:33" x14ac:dyDescent="0.2">
      <c r="Q390" s="489"/>
      <c r="AG390" s="489"/>
    </row>
    <row r="391" spans="17:33" x14ac:dyDescent="0.2">
      <c r="Q391" s="489"/>
      <c r="AG391" s="489"/>
    </row>
    <row r="392" spans="17:33" x14ac:dyDescent="0.2">
      <c r="Q392" s="489"/>
      <c r="AG392" s="489"/>
    </row>
    <row r="393" spans="17:33" x14ac:dyDescent="0.2">
      <c r="Q393" s="489"/>
      <c r="AG393" s="489"/>
    </row>
    <row r="394" spans="17:33" x14ac:dyDescent="0.2">
      <c r="Q394" s="489"/>
      <c r="AG394" s="489"/>
    </row>
    <row r="395" spans="17:33" x14ac:dyDescent="0.2">
      <c r="Q395" s="489"/>
      <c r="AG395" s="489"/>
    </row>
    <row r="396" spans="17:33" x14ac:dyDescent="0.2">
      <c r="Q396" s="489"/>
      <c r="AG396" s="489"/>
    </row>
    <row r="397" spans="17:33" x14ac:dyDescent="0.2">
      <c r="Q397" s="489"/>
      <c r="AG397" s="489"/>
    </row>
    <row r="398" spans="17:33" x14ac:dyDescent="0.2">
      <c r="Q398" s="489"/>
      <c r="AG398" s="489"/>
    </row>
    <row r="399" spans="17:33" x14ac:dyDescent="0.2">
      <c r="Q399" s="489"/>
      <c r="AG399" s="489"/>
    </row>
    <row r="400" spans="17:33" x14ac:dyDescent="0.2">
      <c r="Q400" s="489"/>
      <c r="AG400" s="489"/>
    </row>
    <row r="401" spans="17:33" x14ac:dyDescent="0.2">
      <c r="Q401" s="489"/>
      <c r="AG401" s="489"/>
    </row>
    <row r="402" spans="17:33" x14ac:dyDescent="0.2">
      <c r="Q402" s="489"/>
      <c r="AG402" s="489"/>
    </row>
    <row r="403" spans="17:33" x14ac:dyDescent="0.2">
      <c r="Q403" s="489"/>
      <c r="AG403" s="489"/>
    </row>
    <row r="404" spans="17:33" x14ac:dyDescent="0.2">
      <c r="Q404" s="489"/>
      <c r="AG404" s="489"/>
    </row>
    <row r="405" spans="17:33" x14ac:dyDescent="0.2">
      <c r="Q405" s="489"/>
      <c r="AG405" s="489"/>
    </row>
    <row r="406" spans="17:33" x14ac:dyDescent="0.2">
      <c r="Q406" s="489"/>
      <c r="AG406" s="489"/>
    </row>
    <row r="407" spans="17:33" x14ac:dyDescent="0.2">
      <c r="Q407" s="489"/>
      <c r="AG407" s="489"/>
    </row>
    <row r="408" spans="17:33" x14ac:dyDescent="0.2">
      <c r="Q408" s="489"/>
      <c r="AG408" s="489"/>
    </row>
    <row r="409" spans="17:33" x14ac:dyDescent="0.2">
      <c r="Q409" s="489"/>
      <c r="AG409" s="489"/>
    </row>
    <row r="410" spans="17:33" x14ac:dyDescent="0.2">
      <c r="Q410" s="489"/>
      <c r="AG410" s="489"/>
    </row>
    <row r="411" spans="17:33" x14ac:dyDescent="0.2">
      <c r="Q411" s="489"/>
      <c r="AG411" s="489"/>
    </row>
    <row r="412" spans="17:33" x14ac:dyDescent="0.2">
      <c r="Q412" s="489"/>
      <c r="AG412" s="489"/>
    </row>
    <row r="413" spans="17:33" x14ac:dyDescent="0.2">
      <c r="Q413" s="489"/>
      <c r="AG413" s="489"/>
    </row>
    <row r="414" spans="17:33" x14ac:dyDescent="0.2">
      <c r="Q414" s="489"/>
      <c r="AG414" s="489"/>
    </row>
    <row r="415" spans="17:33" x14ac:dyDescent="0.2">
      <c r="Q415" s="489"/>
      <c r="AG415" s="489"/>
    </row>
    <row r="416" spans="17:33" x14ac:dyDescent="0.2">
      <c r="Q416" s="489"/>
      <c r="AG416" s="489"/>
    </row>
    <row r="417" spans="17:33" x14ac:dyDescent="0.2">
      <c r="Q417" s="489"/>
      <c r="AG417" s="489"/>
    </row>
    <row r="418" spans="17:33" x14ac:dyDescent="0.2">
      <c r="Q418" s="489"/>
      <c r="AG418" s="489"/>
    </row>
    <row r="419" spans="17:33" x14ac:dyDescent="0.2">
      <c r="Q419" s="489"/>
      <c r="AG419" s="489"/>
    </row>
    <row r="420" spans="17:33" x14ac:dyDescent="0.2">
      <c r="Q420" s="489"/>
      <c r="AG420" s="489"/>
    </row>
    <row r="421" spans="17:33" x14ac:dyDescent="0.2">
      <c r="Q421" s="489"/>
      <c r="AG421" s="489"/>
    </row>
    <row r="422" spans="17:33" x14ac:dyDescent="0.2">
      <c r="Q422" s="489"/>
      <c r="AG422" s="489"/>
    </row>
    <row r="423" spans="17:33" x14ac:dyDescent="0.2">
      <c r="Q423" s="489"/>
      <c r="AG423" s="489"/>
    </row>
    <row r="424" spans="17:33" x14ac:dyDescent="0.2">
      <c r="Q424" s="489"/>
      <c r="AG424" s="489"/>
    </row>
    <row r="425" spans="17:33" x14ac:dyDescent="0.2">
      <c r="Q425" s="489"/>
      <c r="AG425" s="489"/>
    </row>
    <row r="426" spans="17:33" x14ac:dyDescent="0.2">
      <c r="Q426" s="489"/>
      <c r="AG426" s="489"/>
    </row>
    <row r="427" spans="17:33" x14ac:dyDescent="0.2">
      <c r="Q427" s="489"/>
      <c r="AG427" s="489"/>
    </row>
    <row r="428" spans="17:33" x14ac:dyDescent="0.2">
      <c r="Q428" s="489"/>
      <c r="AG428" s="489"/>
    </row>
    <row r="429" spans="17:33" x14ac:dyDescent="0.2">
      <c r="Q429" s="489"/>
      <c r="AG429" s="489"/>
    </row>
    <row r="430" spans="17:33" x14ac:dyDescent="0.2">
      <c r="Q430" s="489"/>
      <c r="AG430" s="489"/>
    </row>
    <row r="431" spans="17:33" x14ac:dyDescent="0.2">
      <c r="Q431" s="489"/>
      <c r="AG431" s="489"/>
    </row>
    <row r="432" spans="17:33" x14ac:dyDescent="0.2">
      <c r="Q432" s="489"/>
      <c r="AG432" s="489"/>
    </row>
    <row r="433" spans="17:33" x14ac:dyDescent="0.2">
      <c r="Q433" s="489"/>
      <c r="AG433" s="489"/>
    </row>
    <row r="434" spans="17:33" x14ac:dyDescent="0.2">
      <c r="Q434" s="489"/>
      <c r="AG434" s="489"/>
    </row>
    <row r="435" spans="17:33" x14ac:dyDescent="0.2">
      <c r="Q435" s="489"/>
      <c r="AG435" s="489"/>
    </row>
    <row r="436" spans="17:33" x14ac:dyDescent="0.2">
      <c r="Q436" s="489"/>
      <c r="AG436" s="489"/>
    </row>
    <row r="437" spans="17:33" x14ac:dyDescent="0.2">
      <c r="Q437" s="489"/>
      <c r="AG437" s="489"/>
    </row>
    <row r="438" spans="17:33" x14ac:dyDescent="0.2">
      <c r="Q438" s="489"/>
      <c r="AG438" s="489"/>
    </row>
    <row r="439" spans="17:33" x14ac:dyDescent="0.2">
      <c r="Q439" s="489"/>
      <c r="AG439" s="489"/>
    </row>
    <row r="440" spans="17:33" x14ac:dyDescent="0.2">
      <c r="Q440" s="489"/>
      <c r="AG440" s="489"/>
    </row>
    <row r="441" spans="17:33" x14ac:dyDescent="0.2">
      <c r="Q441" s="489"/>
      <c r="AG441" s="489"/>
    </row>
    <row r="442" spans="17:33" x14ac:dyDescent="0.2">
      <c r="Q442" s="489"/>
      <c r="AG442" s="489"/>
    </row>
    <row r="443" spans="17:33" x14ac:dyDescent="0.2">
      <c r="Q443" s="489"/>
      <c r="AG443" s="489"/>
    </row>
    <row r="444" spans="17:33" x14ac:dyDescent="0.2">
      <c r="Q444" s="489"/>
      <c r="AG444" s="489"/>
    </row>
    <row r="445" spans="17:33" x14ac:dyDescent="0.2">
      <c r="Q445" s="489"/>
      <c r="AG445" s="489"/>
    </row>
    <row r="446" spans="17:33" x14ac:dyDescent="0.2">
      <c r="Q446" s="489"/>
      <c r="AG446" s="489"/>
    </row>
    <row r="447" spans="17:33" x14ac:dyDescent="0.2">
      <c r="Q447" s="489"/>
      <c r="AG447" s="489"/>
    </row>
    <row r="448" spans="17:33" x14ac:dyDescent="0.2">
      <c r="Q448" s="489"/>
      <c r="AG448" s="489"/>
    </row>
    <row r="449" spans="17:33" x14ac:dyDescent="0.2">
      <c r="Q449" s="489"/>
      <c r="AG449" s="489"/>
    </row>
    <row r="450" spans="17:33" x14ac:dyDescent="0.2">
      <c r="Q450" s="489"/>
      <c r="AG450" s="489"/>
    </row>
    <row r="451" spans="17:33" x14ac:dyDescent="0.2">
      <c r="Q451" s="489"/>
      <c r="AG451" s="489"/>
    </row>
    <row r="452" spans="17:33" x14ac:dyDescent="0.2">
      <c r="Q452" s="489"/>
      <c r="AG452" s="489"/>
    </row>
    <row r="453" spans="17:33" x14ac:dyDescent="0.2">
      <c r="Q453" s="489"/>
      <c r="AG453" s="489"/>
    </row>
    <row r="454" spans="17:33" x14ac:dyDescent="0.2">
      <c r="Q454" s="489"/>
      <c r="AG454" s="489"/>
    </row>
    <row r="455" spans="17:33" x14ac:dyDescent="0.2">
      <c r="Q455" s="489"/>
      <c r="AG455" s="489"/>
    </row>
    <row r="456" spans="17:33" x14ac:dyDescent="0.2">
      <c r="Q456" s="489"/>
      <c r="AG456" s="489"/>
    </row>
    <row r="457" spans="17:33" x14ac:dyDescent="0.2">
      <c r="Q457" s="489"/>
      <c r="AG457" s="489"/>
    </row>
    <row r="458" spans="17:33" x14ac:dyDescent="0.2">
      <c r="Q458" s="489"/>
      <c r="AG458" s="489"/>
    </row>
    <row r="459" spans="17:33" x14ac:dyDescent="0.2">
      <c r="Q459" s="489"/>
      <c r="AG459" s="489"/>
    </row>
    <row r="460" spans="17:33" x14ac:dyDescent="0.2">
      <c r="Q460" s="489"/>
      <c r="AG460" s="489"/>
    </row>
    <row r="461" spans="17:33" x14ac:dyDescent="0.2">
      <c r="Q461" s="489"/>
      <c r="AG461" s="489"/>
    </row>
    <row r="462" spans="17:33" x14ac:dyDescent="0.2">
      <c r="Q462" s="489"/>
      <c r="AG462" s="489"/>
    </row>
    <row r="463" spans="17:33" x14ac:dyDescent="0.2">
      <c r="Q463" s="489"/>
      <c r="AG463" s="489"/>
    </row>
    <row r="464" spans="17:33" x14ac:dyDescent="0.2">
      <c r="Q464" s="489"/>
      <c r="AG464" s="489"/>
    </row>
    <row r="465" spans="17:33" x14ac:dyDescent="0.2">
      <c r="Q465" s="489"/>
      <c r="AG465" s="489"/>
    </row>
    <row r="466" spans="17:33" x14ac:dyDescent="0.2">
      <c r="Q466" s="489"/>
      <c r="AG466" s="489"/>
    </row>
    <row r="467" spans="17:33" x14ac:dyDescent="0.2">
      <c r="Q467" s="489"/>
      <c r="AG467" s="489"/>
    </row>
    <row r="468" spans="17:33" x14ac:dyDescent="0.2">
      <c r="Q468" s="489"/>
      <c r="AG468" s="489"/>
    </row>
    <row r="469" spans="17:33" x14ac:dyDescent="0.2">
      <c r="Q469" s="489"/>
      <c r="AG469" s="489"/>
    </row>
    <row r="470" spans="17:33" x14ac:dyDescent="0.2">
      <c r="Q470" s="489"/>
      <c r="AG470" s="489"/>
    </row>
    <row r="471" spans="17:33" x14ac:dyDescent="0.2">
      <c r="Q471" s="489"/>
      <c r="AG471" s="489"/>
    </row>
    <row r="472" spans="17:33" x14ac:dyDescent="0.2">
      <c r="Q472" s="489"/>
      <c r="AG472" s="489"/>
    </row>
    <row r="473" spans="17:33" x14ac:dyDescent="0.2">
      <c r="Q473" s="489"/>
      <c r="AG473" s="489"/>
    </row>
    <row r="474" spans="17:33" x14ac:dyDescent="0.2">
      <c r="Q474" s="489"/>
      <c r="AG474" s="489"/>
    </row>
    <row r="475" spans="17:33" x14ac:dyDescent="0.2">
      <c r="Q475" s="489"/>
      <c r="AG475" s="489"/>
    </row>
    <row r="476" spans="17:33" x14ac:dyDescent="0.2">
      <c r="Q476" s="489"/>
      <c r="AG476" s="489"/>
    </row>
    <row r="477" spans="17:33" x14ac:dyDescent="0.2">
      <c r="Q477" s="489"/>
      <c r="AG477" s="489"/>
    </row>
    <row r="478" spans="17:33" x14ac:dyDescent="0.2">
      <c r="Q478" s="489"/>
      <c r="AG478" s="489"/>
    </row>
    <row r="479" spans="17:33" x14ac:dyDescent="0.2">
      <c r="Q479" s="489"/>
      <c r="AG479" s="489"/>
    </row>
    <row r="480" spans="17:33" x14ac:dyDescent="0.2">
      <c r="Q480" s="489"/>
      <c r="AG480" s="489"/>
    </row>
    <row r="481" spans="17:33" x14ac:dyDescent="0.2">
      <c r="Q481" s="489"/>
      <c r="AG481" s="489"/>
    </row>
    <row r="482" spans="17:33" x14ac:dyDescent="0.2">
      <c r="Q482" s="489"/>
      <c r="AG482" s="489"/>
    </row>
    <row r="483" spans="17:33" x14ac:dyDescent="0.2">
      <c r="Q483" s="489"/>
      <c r="AG483" s="489"/>
    </row>
    <row r="484" spans="17:33" x14ac:dyDescent="0.2">
      <c r="Q484" s="489"/>
      <c r="AG484" s="489"/>
    </row>
    <row r="485" spans="17:33" x14ac:dyDescent="0.2">
      <c r="Q485" s="489"/>
      <c r="AG485" s="489"/>
    </row>
    <row r="486" spans="17:33" x14ac:dyDescent="0.2">
      <c r="Q486" s="489"/>
      <c r="AG486" s="489"/>
    </row>
    <row r="487" spans="17:33" x14ac:dyDescent="0.2">
      <c r="Q487" s="489"/>
      <c r="AG487" s="489"/>
    </row>
    <row r="488" spans="17:33" x14ac:dyDescent="0.2">
      <c r="Q488" s="489"/>
      <c r="AG488" s="489"/>
    </row>
    <row r="489" spans="17:33" x14ac:dyDescent="0.2">
      <c r="Q489" s="489"/>
      <c r="AG489" s="489"/>
    </row>
    <row r="490" spans="17:33" x14ac:dyDescent="0.2">
      <c r="Q490" s="489"/>
      <c r="AG490" s="489"/>
    </row>
    <row r="491" spans="17:33" x14ac:dyDescent="0.2">
      <c r="Q491" s="489"/>
      <c r="AG491" s="489"/>
    </row>
    <row r="492" spans="17:33" x14ac:dyDescent="0.2">
      <c r="Q492" s="489"/>
      <c r="AG492" s="489"/>
    </row>
    <row r="493" spans="17:33" x14ac:dyDescent="0.2">
      <c r="Q493" s="489"/>
      <c r="AG493" s="489"/>
    </row>
    <row r="494" spans="17:33" x14ac:dyDescent="0.2">
      <c r="Q494" s="489"/>
      <c r="AG494" s="489"/>
    </row>
    <row r="495" spans="17:33" x14ac:dyDescent="0.2">
      <c r="Q495" s="489"/>
      <c r="AG495" s="489"/>
    </row>
    <row r="496" spans="17:33" x14ac:dyDescent="0.2">
      <c r="Q496" s="489"/>
      <c r="AG496" s="489"/>
    </row>
    <row r="497" spans="17:33" x14ac:dyDescent="0.2">
      <c r="Q497" s="489"/>
      <c r="AG497" s="489"/>
    </row>
    <row r="498" spans="17:33" x14ac:dyDescent="0.2">
      <c r="Q498" s="489"/>
      <c r="AG498" s="489"/>
    </row>
    <row r="499" spans="17:33" x14ac:dyDescent="0.2">
      <c r="Q499" s="489"/>
      <c r="AG499" s="489"/>
    </row>
    <row r="500" spans="17:33" x14ac:dyDescent="0.2">
      <c r="Q500" s="489"/>
      <c r="AG500" s="489"/>
    </row>
    <row r="501" spans="17:33" x14ac:dyDescent="0.2">
      <c r="Q501" s="489"/>
      <c r="AG501" s="489"/>
    </row>
    <row r="502" spans="17:33" x14ac:dyDescent="0.2">
      <c r="Q502" s="489"/>
      <c r="AG502" s="489"/>
    </row>
    <row r="503" spans="17:33" x14ac:dyDescent="0.2">
      <c r="Q503" s="489"/>
      <c r="AG503" s="489"/>
    </row>
    <row r="504" spans="17:33" x14ac:dyDescent="0.2">
      <c r="Q504" s="489"/>
      <c r="AG504" s="489"/>
    </row>
    <row r="505" spans="17:33" x14ac:dyDescent="0.2">
      <c r="Q505" s="489"/>
      <c r="AG505" s="489"/>
    </row>
    <row r="506" spans="17:33" x14ac:dyDescent="0.2">
      <c r="Q506" s="489"/>
      <c r="AG506" s="489"/>
    </row>
    <row r="507" spans="17:33" x14ac:dyDescent="0.2">
      <c r="Q507" s="489"/>
      <c r="AG507" s="489"/>
    </row>
    <row r="508" spans="17:33" x14ac:dyDescent="0.2">
      <c r="Q508" s="489"/>
      <c r="AG508" s="489"/>
    </row>
    <row r="509" spans="17:33" x14ac:dyDescent="0.2">
      <c r="Q509" s="489"/>
      <c r="AG509" s="489"/>
    </row>
    <row r="510" spans="17:33" x14ac:dyDescent="0.2">
      <c r="Q510" s="489"/>
      <c r="AG510" s="489"/>
    </row>
    <row r="511" spans="17:33" x14ac:dyDescent="0.2">
      <c r="Q511" s="489"/>
      <c r="AG511" s="489"/>
    </row>
    <row r="512" spans="17:33" x14ac:dyDescent="0.2">
      <c r="Q512" s="489"/>
      <c r="AG512" s="489"/>
    </row>
    <row r="513" spans="17:33" x14ac:dyDescent="0.2">
      <c r="Q513" s="489"/>
      <c r="AG513" s="489"/>
    </row>
    <row r="514" spans="17:33" x14ac:dyDescent="0.2">
      <c r="Q514" s="489"/>
      <c r="AG514" s="489"/>
    </row>
    <row r="515" spans="17:33" x14ac:dyDescent="0.2">
      <c r="Q515" s="489"/>
      <c r="AG515" s="489"/>
    </row>
    <row r="516" spans="17:33" x14ac:dyDescent="0.2">
      <c r="Q516" s="489"/>
      <c r="AG516" s="489"/>
    </row>
    <row r="517" spans="17:33" x14ac:dyDescent="0.2">
      <c r="Q517" s="489"/>
      <c r="AG517" s="489"/>
    </row>
    <row r="518" spans="17:33" x14ac:dyDescent="0.2">
      <c r="Q518" s="489"/>
      <c r="AG518" s="489"/>
    </row>
    <row r="519" spans="17:33" x14ac:dyDescent="0.2">
      <c r="Q519" s="489"/>
      <c r="AG519" s="489"/>
    </row>
    <row r="520" spans="17:33" x14ac:dyDescent="0.2">
      <c r="Q520" s="489"/>
      <c r="AG520" s="489"/>
    </row>
    <row r="521" spans="17:33" x14ac:dyDescent="0.2">
      <c r="Q521" s="489"/>
      <c r="AG521" s="489"/>
    </row>
    <row r="522" spans="17:33" x14ac:dyDescent="0.2">
      <c r="Q522" s="489"/>
      <c r="AG522" s="489"/>
    </row>
    <row r="523" spans="17:33" x14ac:dyDescent="0.2">
      <c r="Q523" s="489"/>
      <c r="AG523" s="489"/>
    </row>
    <row r="524" spans="17:33" x14ac:dyDescent="0.2">
      <c r="Q524" s="489"/>
      <c r="AG524" s="489"/>
    </row>
    <row r="525" spans="17:33" x14ac:dyDescent="0.2">
      <c r="Q525" s="489"/>
      <c r="AG525" s="489"/>
    </row>
    <row r="526" spans="17:33" x14ac:dyDescent="0.2">
      <c r="Q526" s="489"/>
      <c r="AG526" s="489"/>
    </row>
    <row r="527" spans="17:33" x14ac:dyDescent="0.2">
      <c r="Q527" s="489"/>
      <c r="AG527" s="489"/>
    </row>
    <row r="528" spans="17:33" x14ac:dyDescent="0.2">
      <c r="Q528" s="489"/>
      <c r="AG528" s="489"/>
    </row>
    <row r="529" spans="17:33" x14ac:dyDescent="0.2">
      <c r="Q529" s="489"/>
      <c r="AG529" s="489"/>
    </row>
    <row r="530" spans="17:33" x14ac:dyDescent="0.2">
      <c r="Q530" s="489"/>
      <c r="AG530" s="489"/>
    </row>
    <row r="531" spans="17:33" x14ac:dyDescent="0.2">
      <c r="Q531" s="489"/>
      <c r="AG531" s="489"/>
    </row>
    <row r="532" spans="17:33" x14ac:dyDescent="0.2">
      <c r="Q532" s="489"/>
      <c r="AG532" s="489"/>
    </row>
    <row r="533" spans="17:33" x14ac:dyDescent="0.2">
      <c r="Q533" s="489"/>
      <c r="AG533" s="489"/>
    </row>
    <row r="534" spans="17:33" x14ac:dyDescent="0.2">
      <c r="Q534" s="489"/>
      <c r="AG534" s="489"/>
    </row>
    <row r="535" spans="17:33" x14ac:dyDescent="0.2">
      <c r="Q535" s="489"/>
      <c r="AG535" s="489"/>
    </row>
    <row r="536" spans="17:33" x14ac:dyDescent="0.2">
      <c r="Q536" s="489"/>
      <c r="AG536" s="489"/>
    </row>
    <row r="537" spans="17:33" x14ac:dyDescent="0.2">
      <c r="Q537" s="489"/>
      <c r="AG537" s="489"/>
    </row>
    <row r="538" spans="17:33" x14ac:dyDescent="0.2">
      <c r="Q538" s="489"/>
      <c r="AG538" s="489"/>
    </row>
    <row r="539" spans="17:33" x14ac:dyDescent="0.2">
      <c r="Q539" s="489"/>
      <c r="AG539" s="489"/>
    </row>
    <row r="540" spans="17:33" x14ac:dyDescent="0.2">
      <c r="Q540" s="489"/>
      <c r="AG540" s="489"/>
    </row>
    <row r="541" spans="17:33" x14ac:dyDescent="0.2">
      <c r="Q541" s="489"/>
      <c r="AG541" s="489"/>
    </row>
    <row r="542" spans="17:33" x14ac:dyDescent="0.2">
      <c r="Q542" s="489"/>
      <c r="AG542" s="489"/>
    </row>
    <row r="543" spans="17:33" x14ac:dyDescent="0.2">
      <c r="Q543" s="489"/>
      <c r="AG543" s="489"/>
    </row>
    <row r="544" spans="17:33" x14ac:dyDescent="0.2">
      <c r="Q544" s="489"/>
      <c r="AG544" s="489"/>
    </row>
    <row r="545" spans="17:33" x14ac:dyDescent="0.2">
      <c r="Q545" s="489"/>
      <c r="AG545" s="489"/>
    </row>
    <row r="546" spans="17:33" x14ac:dyDescent="0.2">
      <c r="Q546" s="489"/>
      <c r="AG546" s="489"/>
    </row>
    <row r="547" spans="17:33" x14ac:dyDescent="0.2">
      <c r="Q547" s="489"/>
      <c r="AG547" s="489"/>
    </row>
    <row r="548" spans="17:33" x14ac:dyDescent="0.2">
      <c r="Q548" s="489"/>
      <c r="AG548" s="489"/>
    </row>
    <row r="549" spans="17:33" x14ac:dyDescent="0.2">
      <c r="Q549" s="489"/>
      <c r="AG549" s="489"/>
    </row>
    <row r="550" spans="17:33" x14ac:dyDescent="0.2">
      <c r="Q550" s="489"/>
      <c r="AG550" s="489"/>
    </row>
    <row r="551" spans="17:33" x14ac:dyDescent="0.2">
      <c r="Q551" s="489"/>
      <c r="AG551" s="489"/>
    </row>
    <row r="552" spans="17:33" x14ac:dyDescent="0.2">
      <c r="Q552" s="489"/>
      <c r="AG552" s="489"/>
    </row>
    <row r="553" spans="17:33" x14ac:dyDescent="0.2">
      <c r="Q553" s="489"/>
      <c r="AG553" s="489"/>
    </row>
    <row r="554" spans="17:33" x14ac:dyDescent="0.2">
      <c r="Q554" s="489"/>
      <c r="AG554" s="489"/>
    </row>
    <row r="555" spans="17:33" x14ac:dyDescent="0.2">
      <c r="Q555" s="489"/>
      <c r="AG555" s="489"/>
    </row>
    <row r="556" spans="17:33" x14ac:dyDescent="0.2">
      <c r="Q556" s="489"/>
      <c r="AG556" s="489"/>
    </row>
    <row r="557" spans="17:33" x14ac:dyDescent="0.2">
      <c r="Q557" s="489"/>
      <c r="AG557" s="489"/>
    </row>
    <row r="558" spans="17:33" x14ac:dyDescent="0.2">
      <c r="Q558" s="489"/>
      <c r="AG558" s="489"/>
    </row>
    <row r="559" spans="17:33" x14ac:dyDescent="0.2">
      <c r="Q559" s="489"/>
      <c r="AG559" s="489"/>
    </row>
    <row r="560" spans="17:33" x14ac:dyDescent="0.2">
      <c r="AG560" s="489"/>
    </row>
    <row r="561" spans="33:33" x14ac:dyDescent="0.2">
      <c r="AG561" s="489"/>
    </row>
    <row r="562" spans="33:33" x14ac:dyDescent="0.2">
      <c r="AG562" s="489"/>
    </row>
    <row r="563" spans="33:33" x14ac:dyDescent="0.2">
      <c r="AG563" s="489"/>
    </row>
    <row r="564" spans="33:33" x14ac:dyDescent="0.2">
      <c r="AG564" s="489"/>
    </row>
    <row r="565" spans="33:33" x14ac:dyDescent="0.2">
      <c r="AG565" s="489"/>
    </row>
    <row r="566" spans="33:33" x14ac:dyDescent="0.2">
      <c r="AG566" s="489"/>
    </row>
    <row r="567" spans="33:33" x14ac:dyDescent="0.2">
      <c r="AG567" s="489"/>
    </row>
    <row r="568" spans="33:33" x14ac:dyDescent="0.2">
      <c r="AG568" s="489"/>
    </row>
    <row r="569" spans="33:33" x14ac:dyDescent="0.2">
      <c r="AG569" s="489"/>
    </row>
    <row r="570" spans="33:33" x14ac:dyDescent="0.2">
      <c r="AG570" s="489"/>
    </row>
    <row r="571" spans="33:33" x14ac:dyDescent="0.2">
      <c r="AG571" s="489"/>
    </row>
    <row r="572" spans="33:33" x14ac:dyDescent="0.2">
      <c r="AG572" s="489"/>
    </row>
    <row r="573" spans="33:33" x14ac:dyDescent="0.2">
      <c r="AG573" s="489"/>
    </row>
    <row r="574" spans="33:33" x14ac:dyDescent="0.2">
      <c r="AG574" s="489"/>
    </row>
    <row r="575" spans="33:33" x14ac:dyDescent="0.2">
      <c r="AG575" s="489"/>
    </row>
    <row r="576" spans="33:33" x14ac:dyDescent="0.2">
      <c r="AG576" s="489"/>
    </row>
    <row r="577" spans="33:33" x14ac:dyDescent="0.2">
      <c r="AG577" s="489"/>
    </row>
    <row r="578" spans="33:33" x14ac:dyDescent="0.2">
      <c r="AG578" s="489"/>
    </row>
    <row r="579" spans="33:33" x14ac:dyDescent="0.2">
      <c r="AG579" s="489"/>
    </row>
    <row r="580" spans="33:33" x14ac:dyDescent="0.2">
      <c r="AG580" s="489"/>
    </row>
    <row r="581" spans="33:33" x14ac:dyDescent="0.2">
      <c r="AG581" s="489"/>
    </row>
    <row r="582" spans="33:33" x14ac:dyDescent="0.2">
      <c r="AG582" s="489"/>
    </row>
    <row r="583" spans="33:33" x14ac:dyDescent="0.2">
      <c r="AG583" s="489"/>
    </row>
    <row r="584" spans="33:33" x14ac:dyDescent="0.2">
      <c r="AG584" s="489"/>
    </row>
    <row r="585" spans="33:33" x14ac:dyDescent="0.2">
      <c r="AG585" s="489"/>
    </row>
    <row r="586" spans="33:33" x14ac:dyDescent="0.2">
      <c r="AG586" s="489"/>
    </row>
    <row r="587" spans="33:33" x14ac:dyDescent="0.2">
      <c r="AG587" s="489"/>
    </row>
    <row r="588" spans="33:33" x14ac:dyDescent="0.2">
      <c r="AG588" s="489"/>
    </row>
    <row r="589" spans="33:33" x14ac:dyDescent="0.2">
      <c r="AG589" s="489"/>
    </row>
    <row r="590" spans="33:33" x14ac:dyDescent="0.2">
      <c r="AG590" s="489"/>
    </row>
    <row r="591" spans="33:33" x14ac:dyDescent="0.2">
      <c r="AG591" s="489"/>
    </row>
    <row r="592" spans="33:33" x14ac:dyDescent="0.2">
      <c r="AG592" s="489"/>
    </row>
    <row r="593" spans="33:33" x14ac:dyDescent="0.2">
      <c r="AG593" s="489"/>
    </row>
    <row r="594" spans="33:33" x14ac:dyDescent="0.2">
      <c r="AG594" s="489"/>
    </row>
    <row r="595" spans="33:33" x14ac:dyDescent="0.2">
      <c r="AG595" s="489"/>
    </row>
    <row r="596" spans="33:33" x14ac:dyDescent="0.2">
      <c r="AG596" s="489"/>
    </row>
    <row r="597" spans="33:33" x14ac:dyDescent="0.2">
      <c r="AG597" s="489"/>
    </row>
    <row r="598" spans="33:33" x14ac:dyDescent="0.2">
      <c r="AG598" s="489"/>
    </row>
    <row r="599" spans="33:33" x14ac:dyDescent="0.2">
      <c r="AG599" s="489"/>
    </row>
    <row r="600" spans="33:33" x14ac:dyDescent="0.2">
      <c r="AG600" s="489"/>
    </row>
    <row r="601" spans="33:33" x14ac:dyDescent="0.2">
      <c r="AG601" s="489"/>
    </row>
    <row r="602" spans="33:33" x14ac:dyDescent="0.2">
      <c r="AG602" s="489"/>
    </row>
    <row r="603" spans="33:33" x14ac:dyDescent="0.2">
      <c r="AG603" s="489"/>
    </row>
    <row r="604" spans="33:33" x14ac:dyDescent="0.2">
      <c r="AG604" s="489"/>
    </row>
    <row r="605" spans="33:33" x14ac:dyDescent="0.2">
      <c r="AG605" s="489"/>
    </row>
    <row r="606" spans="33:33" x14ac:dyDescent="0.2">
      <c r="AG606" s="489"/>
    </row>
    <row r="607" spans="33:33" x14ac:dyDescent="0.2">
      <c r="AG607" s="489"/>
    </row>
    <row r="608" spans="33:33" x14ac:dyDescent="0.2">
      <c r="AG608" s="489"/>
    </row>
    <row r="609" spans="33:33" x14ac:dyDescent="0.2">
      <c r="AG609" s="489"/>
    </row>
    <row r="610" spans="33:33" x14ac:dyDescent="0.2">
      <c r="AG610" s="489"/>
    </row>
    <row r="611" spans="33:33" x14ac:dyDescent="0.2">
      <c r="AG611" s="489"/>
    </row>
    <row r="612" spans="33:33" x14ac:dyDescent="0.2">
      <c r="AG612" s="489"/>
    </row>
    <row r="613" spans="33:33" x14ac:dyDescent="0.2">
      <c r="AG613" s="489"/>
    </row>
    <row r="614" spans="33:33" x14ac:dyDescent="0.2">
      <c r="AG614" s="489"/>
    </row>
    <row r="615" spans="33:33" x14ac:dyDescent="0.2">
      <c r="AG615" s="489"/>
    </row>
    <row r="616" spans="33:33" x14ac:dyDescent="0.2">
      <c r="AG616" s="489"/>
    </row>
    <row r="617" spans="33:33" x14ac:dyDescent="0.2">
      <c r="AG617" s="489"/>
    </row>
    <row r="618" spans="33:33" x14ac:dyDescent="0.2">
      <c r="AG618" s="489"/>
    </row>
    <row r="619" spans="33:33" x14ac:dyDescent="0.2">
      <c r="AG619" s="489"/>
    </row>
    <row r="620" spans="33:33" x14ac:dyDescent="0.2">
      <c r="AG620" s="489"/>
    </row>
    <row r="621" spans="33:33" x14ac:dyDescent="0.2">
      <c r="AG621" s="489"/>
    </row>
    <row r="622" spans="33:33" x14ac:dyDescent="0.2">
      <c r="AG622" s="489"/>
    </row>
    <row r="623" spans="33:33" x14ac:dyDescent="0.2">
      <c r="AG623" s="489"/>
    </row>
    <row r="624" spans="33:33" x14ac:dyDescent="0.2">
      <c r="AG624" s="489"/>
    </row>
    <row r="625" spans="33:33" x14ac:dyDescent="0.2">
      <c r="AG625" s="489"/>
    </row>
    <row r="626" spans="33:33" x14ac:dyDescent="0.2">
      <c r="AG626" s="489"/>
    </row>
    <row r="627" spans="33:33" x14ac:dyDescent="0.2">
      <c r="AG627" s="489"/>
    </row>
    <row r="628" spans="33:33" x14ac:dyDescent="0.2">
      <c r="AG628" s="489"/>
    </row>
    <row r="629" spans="33:33" x14ac:dyDescent="0.2">
      <c r="AG629" s="489"/>
    </row>
    <row r="630" spans="33:33" x14ac:dyDescent="0.2">
      <c r="AG630" s="489"/>
    </row>
    <row r="631" spans="33:33" x14ac:dyDescent="0.2">
      <c r="AG631" s="489"/>
    </row>
    <row r="632" spans="33:33" x14ac:dyDescent="0.2">
      <c r="AG632" s="489"/>
    </row>
    <row r="633" spans="33:33" x14ac:dyDescent="0.2">
      <c r="AG633" s="489"/>
    </row>
    <row r="634" spans="33:33" x14ac:dyDescent="0.2">
      <c r="AG634" s="489"/>
    </row>
    <row r="635" spans="33:33" x14ac:dyDescent="0.2">
      <c r="AG635" s="489"/>
    </row>
    <row r="636" spans="33:33" x14ac:dyDescent="0.2">
      <c r="AG636" s="489"/>
    </row>
    <row r="637" spans="33:33" x14ac:dyDescent="0.2">
      <c r="AG637" s="489"/>
    </row>
    <row r="638" spans="33:33" x14ac:dyDescent="0.2">
      <c r="AG638" s="489"/>
    </row>
    <row r="639" spans="33:33" x14ac:dyDescent="0.2">
      <c r="AG639" s="489"/>
    </row>
    <row r="640" spans="33:33" x14ac:dyDescent="0.2">
      <c r="AG640" s="489"/>
    </row>
    <row r="641" spans="33:33" x14ac:dyDescent="0.2">
      <c r="AG641" s="489"/>
    </row>
    <row r="642" spans="33:33" x14ac:dyDescent="0.2">
      <c r="AG642" s="489"/>
    </row>
    <row r="643" spans="33:33" x14ac:dyDescent="0.2">
      <c r="AG643" s="489"/>
    </row>
    <row r="644" spans="33:33" x14ac:dyDescent="0.2">
      <c r="AG644" s="489"/>
    </row>
    <row r="645" spans="33:33" x14ac:dyDescent="0.2">
      <c r="AG645" s="489"/>
    </row>
    <row r="646" spans="33:33" x14ac:dyDescent="0.2">
      <c r="AG646" s="489"/>
    </row>
    <row r="647" spans="33:33" x14ac:dyDescent="0.2">
      <c r="AG647" s="489"/>
    </row>
    <row r="648" spans="33:33" x14ac:dyDescent="0.2">
      <c r="AG648" s="489"/>
    </row>
    <row r="649" spans="33:33" x14ac:dyDescent="0.2">
      <c r="AG649" s="489"/>
    </row>
    <row r="650" spans="33:33" x14ac:dyDescent="0.2">
      <c r="AG650" s="489"/>
    </row>
    <row r="651" spans="33:33" x14ac:dyDescent="0.2">
      <c r="AG651" s="489"/>
    </row>
    <row r="652" spans="33:33" x14ac:dyDescent="0.2">
      <c r="AG652" s="489"/>
    </row>
    <row r="653" spans="33:33" x14ac:dyDescent="0.2">
      <c r="AG653" s="489"/>
    </row>
    <row r="654" spans="33:33" x14ac:dyDescent="0.2">
      <c r="AG654" s="489"/>
    </row>
    <row r="655" spans="33:33" x14ac:dyDescent="0.2">
      <c r="AG655" s="489"/>
    </row>
    <row r="656" spans="33:33" x14ac:dyDescent="0.2">
      <c r="AG656" s="489"/>
    </row>
    <row r="657" spans="33:33" x14ac:dyDescent="0.2">
      <c r="AG657" s="489"/>
    </row>
    <row r="658" spans="33:33" x14ac:dyDescent="0.2">
      <c r="AG658" s="489"/>
    </row>
    <row r="659" spans="33:33" x14ac:dyDescent="0.2">
      <c r="AG659" s="489"/>
    </row>
    <row r="660" spans="33:33" x14ac:dyDescent="0.2">
      <c r="AG660" s="489"/>
    </row>
    <row r="661" spans="33:33" x14ac:dyDescent="0.2">
      <c r="AG661" s="489"/>
    </row>
    <row r="662" spans="33:33" x14ac:dyDescent="0.2">
      <c r="AG662" s="489"/>
    </row>
    <row r="663" spans="33:33" x14ac:dyDescent="0.2">
      <c r="AG663" s="489"/>
    </row>
    <row r="664" spans="33:33" x14ac:dyDescent="0.2">
      <c r="AG664" s="489"/>
    </row>
    <row r="665" spans="33:33" x14ac:dyDescent="0.2">
      <c r="AG665" s="489"/>
    </row>
    <row r="666" spans="33:33" x14ac:dyDescent="0.2">
      <c r="AG666" s="489"/>
    </row>
    <row r="667" spans="33:33" x14ac:dyDescent="0.2">
      <c r="AG667" s="489"/>
    </row>
    <row r="668" spans="33:33" x14ac:dyDescent="0.2">
      <c r="AG668" s="489"/>
    </row>
    <row r="669" spans="33:33" x14ac:dyDescent="0.2">
      <c r="AG669" s="489"/>
    </row>
    <row r="670" spans="33:33" x14ac:dyDescent="0.2">
      <c r="AG670" s="489"/>
    </row>
    <row r="671" spans="33:33" x14ac:dyDescent="0.2">
      <c r="AG671" s="489"/>
    </row>
    <row r="672" spans="33:33" x14ac:dyDescent="0.2">
      <c r="AG672" s="489"/>
    </row>
    <row r="673" spans="33:33" x14ac:dyDescent="0.2">
      <c r="AG673" s="489"/>
    </row>
    <row r="674" spans="33:33" x14ac:dyDescent="0.2">
      <c r="AG674" s="489"/>
    </row>
    <row r="675" spans="33:33" x14ac:dyDescent="0.2">
      <c r="AG675" s="489"/>
    </row>
    <row r="676" spans="33:33" x14ac:dyDescent="0.2">
      <c r="AG676" s="489"/>
    </row>
    <row r="677" spans="33:33" x14ac:dyDescent="0.2">
      <c r="AG677" s="489"/>
    </row>
    <row r="678" spans="33:33" x14ac:dyDescent="0.2">
      <c r="AG678" s="489"/>
    </row>
    <row r="679" spans="33:33" x14ac:dyDescent="0.2">
      <c r="AG679" s="489"/>
    </row>
    <row r="680" spans="33:33" x14ac:dyDescent="0.2">
      <c r="AG680" s="489"/>
    </row>
    <row r="681" spans="33:33" x14ac:dyDescent="0.2">
      <c r="AG681" s="489"/>
    </row>
    <row r="682" spans="33:33" x14ac:dyDescent="0.2">
      <c r="AG682" s="489"/>
    </row>
    <row r="683" spans="33:33" x14ac:dyDescent="0.2">
      <c r="AG683" s="489"/>
    </row>
    <row r="684" spans="33:33" x14ac:dyDescent="0.2">
      <c r="AG684" s="489"/>
    </row>
    <row r="685" spans="33:33" x14ac:dyDescent="0.2">
      <c r="AG685" s="489"/>
    </row>
    <row r="686" spans="33:33" x14ac:dyDescent="0.2">
      <c r="AG686" s="489"/>
    </row>
    <row r="687" spans="33:33" x14ac:dyDescent="0.2">
      <c r="AG687" s="489"/>
    </row>
    <row r="688" spans="33:33" x14ac:dyDescent="0.2">
      <c r="AG688" s="489"/>
    </row>
    <row r="689" spans="33:33" x14ac:dyDescent="0.2">
      <c r="AG689" s="489"/>
    </row>
    <row r="690" spans="33:33" x14ac:dyDescent="0.2">
      <c r="AG690" s="489"/>
    </row>
    <row r="691" spans="33:33" x14ac:dyDescent="0.2">
      <c r="AG691" s="489"/>
    </row>
    <row r="692" spans="33:33" x14ac:dyDescent="0.2">
      <c r="AG692" s="489"/>
    </row>
    <row r="693" spans="33:33" x14ac:dyDescent="0.2">
      <c r="AG693" s="489"/>
    </row>
    <row r="694" spans="33:33" x14ac:dyDescent="0.2">
      <c r="AG694" s="489"/>
    </row>
    <row r="695" spans="33:33" x14ac:dyDescent="0.2">
      <c r="AG695" s="489"/>
    </row>
    <row r="696" spans="33:33" x14ac:dyDescent="0.2">
      <c r="AG696" s="489"/>
    </row>
    <row r="697" spans="33:33" x14ac:dyDescent="0.2">
      <c r="AG697" s="489"/>
    </row>
    <row r="698" spans="33:33" x14ac:dyDescent="0.2">
      <c r="AG698" s="489"/>
    </row>
    <row r="699" spans="33:33" x14ac:dyDescent="0.2">
      <c r="AG699" s="489"/>
    </row>
    <row r="700" spans="33:33" x14ac:dyDescent="0.2">
      <c r="AG700" s="489"/>
    </row>
    <row r="701" spans="33:33" x14ac:dyDescent="0.2">
      <c r="AG701" s="489"/>
    </row>
    <row r="702" spans="33:33" x14ac:dyDescent="0.2">
      <c r="AG702" s="489"/>
    </row>
    <row r="703" spans="33:33" x14ac:dyDescent="0.2">
      <c r="AG703" s="489"/>
    </row>
    <row r="704" spans="33:33" x14ac:dyDescent="0.2">
      <c r="AG704" s="489"/>
    </row>
    <row r="705" spans="33:33" x14ac:dyDescent="0.2">
      <c r="AG705" s="489"/>
    </row>
    <row r="706" spans="33:33" x14ac:dyDescent="0.2">
      <c r="AG706" s="489"/>
    </row>
    <row r="707" spans="33:33" x14ac:dyDescent="0.2">
      <c r="AG707" s="489"/>
    </row>
    <row r="708" spans="33:33" x14ac:dyDescent="0.2">
      <c r="AG708" s="489"/>
    </row>
    <row r="709" spans="33:33" x14ac:dyDescent="0.2">
      <c r="AG709" s="489"/>
    </row>
    <row r="710" spans="33:33" x14ac:dyDescent="0.2">
      <c r="AG710" s="489"/>
    </row>
    <row r="711" spans="33:33" x14ac:dyDescent="0.2">
      <c r="AG711" s="489"/>
    </row>
    <row r="712" spans="33:33" x14ac:dyDescent="0.2">
      <c r="AG712" s="489"/>
    </row>
    <row r="713" spans="33:33" x14ac:dyDescent="0.2">
      <c r="AG713" s="489"/>
    </row>
    <row r="714" spans="33:33" x14ac:dyDescent="0.2">
      <c r="AG714" s="489"/>
    </row>
    <row r="715" spans="33:33" x14ac:dyDescent="0.2">
      <c r="AG715" s="489"/>
    </row>
    <row r="716" spans="33:33" x14ac:dyDescent="0.2">
      <c r="AG716" s="489"/>
    </row>
    <row r="717" spans="33:33" x14ac:dyDescent="0.2">
      <c r="AG717" s="489"/>
    </row>
    <row r="718" spans="33:33" x14ac:dyDescent="0.2">
      <c r="AG718" s="489"/>
    </row>
    <row r="719" spans="33:33" x14ac:dyDescent="0.2">
      <c r="AG719" s="489"/>
    </row>
    <row r="720" spans="33:33" x14ac:dyDescent="0.2">
      <c r="AG720" s="489"/>
    </row>
    <row r="721" spans="33:33" x14ac:dyDescent="0.2">
      <c r="AG721" s="489"/>
    </row>
    <row r="722" spans="33:33" x14ac:dyDescent="0.2">
      <c r="AG722" s="489"/>
    </row>
    <row r="723" spans="33:33" x14ac:dyDescent="0.2">
      <c r="AG723" s="489"/>
    </row>
    <row r="724" spans="33:33" x14ac:dyDescent="0.2">
      <c r="AG724" s="489"/>
    </row>
    <row r="725" spans="33:33" x14ac:dyDescent="0.2">
      <c r="AG725" s="489"/>
    </row>
    <row r="726" spans="33:33" x14ac:dyDescent="0.2">
      <c r="AG726" s="489"/>
    </row>
    <row r="727" spans="33:33" x14ac:dyDescent="0.2">
      <c r="AG727" s="489"/>
    </row>
    <row r="728" spans="33:33" x14ac:dyDescent="0.2">
      <c r="AG728" s="489"/>
    </row>
    <row r="729" spans="33:33" x14ac:dyDescent="0.2">
      <c r="AG729" s="489"/>
    </row>
    <row r="730" spans="33:33" x14ac:dyDescent="0.2">
      <c r="AG730" s="489"/>
    </row>
    <row r="731" spans="33:33" x14ac:dyDescent="0.2">
      <c r="AG731" s="489"/>
    </row>
    <row r="732" spans="33:33" x14ac:dyDescent="0.2">
      <c r="AG732" s="489"/>
    </row>
    <row r="733" spans="33:33" x14ac:dyDescent="0.2">
      <c r="AG733" s="489"/>
    </row>
    <row r="734" spans="33:33" x14ac:dyDescent="0.2">
      <c r="AG734" s="489"/>
    </row>
    <row r="735" spans="33:33" x14ac:dyDescent="0.2">
      <c r="AG735" s="489"/>
    </row>
    <row r="736" spans="33:33" x14ac:dyDescent="0.2">
      <c r="AG736" s="489"/>
    </row>
    <row r="737" spans="33:33" x14ac:dyDescent="0.2">
      <c r="AG737" s="489"/>
    </row>
    <row r="738" spans="33:33" x14ac:dyDescent="0.2">
      <c r="AG738" s="489"/>
    </row>
    <row r="739" spans="33:33" x14ac:dyDescent="0.2">
      <c r="AG739" s="489"/>
    </row>
    <row r="740" spans="33:33" x14ac:dyDescent="0.2">
      <c r="AG740" s="489"/>
    </row>
    <row r="741" spans="33:33" x14ac:dyDescent="0.2">
      <c r="AG741" s="489"/>
    </row>
    <row r="742" spans="33:33" x14ac:dyDescent="0.2">
      <c r="AG742" s="489"/>
    </row>
    <row r="743" spans="33:33" x14ac:dyDescent="0.2">
      <c r="AG743" s="489"/>
    </row>
    <row r="744" spans="33:33" x14ac:dyDescent="0.2">
      <c r="AG744" s="489"/>
    </row>
    <row r="745" spans="33:33" x14ac:dyDescent="0.2">
      <c r="AG745" s="489"/>
    </row>
    <row r="746" spans="33:33" x14ac:dyDescent="0.2">
      <c r="AG746" s="489"/>
    </row>
    <row r="747" spans="33:33" x14ac:dyDescent="0.2">
      <c r="AG747" s="489"/>
    </row>
    <row r="748" spans="33:33" x14ac:dyDescent="0.2">
      <c r="AG748" s="489"/>
    </row>
    <row r="749" spans="33:33" x14ac:dyDescent="0.2">
      <c r="AG749" s="489"/>
    </row>
    <row r="750" spans="33:33" x14ac:dyDescent="0.2">
      <c r="AG750" s="489"/>
    </row>
    <row r="751" spans="33:33" x14ac:dyDescent="0.2">
      <c r="AG751" s="489"/>
    </row>
    <row r="752" spans="33:33" x14ac:dyDescent="0.2">
      <c r="AG752" s="489"/>
    </row>
    <row r="753" spans="33:33" x14ac:dyDescent="0.2">
      <c r="AG753" s="489"/>
    </row>
    <row r="754" spans="33:33" x14ac:dyDescent="0.2">
      <c r="AG754" s="489"/>
    </row>
    <row r="755" spans="33:33" x14ac:dyDescent="0.2">
      <c r="AG755" s="489"/>
    </row>
    <row r="756" spans="33:33" x14ac:dyDescent="0.2">
      <c r="AG756" s="489"/>
    </row>
    <row r="757" spans="33:33" x14ac:dyDescent="0.2">
      <c r="AG757" s="489"/>
    </row>
    <row r="758" spans="33:33" x14ac:dyDescent="0.2">
      <c r="AG758" s="489"/>
    </row>
    <row r="759" spans="33:33" x14ac:dyDescent="0.2">
      <c r="AG759" s="489"/>
    </row>
    <row r="760" spans="33:33" x14ac:dyDescent="0.2">
      <c r="AG760" s="489"/>
    </row>
    <row r="761" spans="33:33" x14ac:dyDescent="0.2">
      <c r="AG761" s="489"/>
    </row>
    <row r="762" spans="33:33" x14ac:dyDescent="0.2">
      <c r="AG762" s="489"/>
    </row>
    <row r="763" spans="33:33" x14ac:dyDescent="0.2">
      <c r="AG763" s="489"/>
    </row>
    <row r="764" spans="33:33" x14ac:dyDescent="0.2">
      <c r="AG764" s="489"/>
    </row>
    <row r="765" spans="33:33" x14ac:dyDescent="0.2">
      <c r="AG765" s="489"/>
    </row>
    <row r="766" spans="33:33" x14ac:dyDescent="0.2">
      <c r="AG766" s="489"/>
    </row>
    <row r="767" spans="33:33" x14ac:dyDescent="0.2">
      <c r="AG767" s="489"/>
    </row>
    <row r="768" spans="33:33" x14ac:dyDescent="0.2">
      <c r="AG768" s="489"/>
    </row>
    <row r="769" spans="33:33" x14ac:dyDescent="0.2">
      <c r="AG769" s="489"/>
    </row>
    <row r="770" spans="33:33" x14ac:dyDescent="0.2">
      <c r="AG770" s="489"/>
    </row>
    <row r="771" spans="33:33" x14ac:dyDescent="0.2">
      <c r="AG771" s="489"/>
    </row>
    <row r="772" spans="33:33" x14ac:dyDescent="0.2">
      <c r="AG772" s="489"/>
    </row>
    <row r="773" spans="33:33" x14ac:dyDescent="0.2">
      <c r="AG773" s="489"/>
    </row>
    <row r="774" spans="33:33" x14ac:dyDescent="0.2">
      <c r="AG774" s="489"/>
    </row>
    <row r="775" spans="33:33" x14ac:dyDescent="0.2">
      <c r="AG775" s="489"/>
    </row>
    <row r="776" spans="33:33" x14ac:dyDescent="0.2">
      <c r="AG776" s="489"/>
    </row>
    <row r="777" spans="33:33" x14ac:dyDescent="0.2">
      <c r="AG777" s="489"/>
    </row>
    <row r="778" spans="33:33" x14ac:dyDescent="0.2">
      <c r="AG778" s="489"/>
    </row>
    <row r="779" spans="33:33" x14ac:dyDescent="0.2">
      <c r="AG779" s="489"/>
    </row>
    <row r="780" spans="33:33" x14ac:dyDescent="0.2">
      <c r="AG780" s="489"/>
    </row>
    <row r="781" spans="33:33" x14ac:dyDescent="0.2">
      <c r="AG781" s="489"/>
    </row>
    <row r="782" spans="33:33" x14ac:dyDescent="0.2">
      <c r="AG782" s="489"/>
    </row>
    <row r="783" spans="33:33" x14ac:dyDescent="0.2">
      <c r="AG783" s="489"/>
    </row>
    <row r="784" spans="33:33" x14ac:dyDescent="0.2">
      <c r="AG784" s="489"/>
    </row>
    <row r="785" spans="33:33" x14ac:dyDescent="0.2">
      <c r="AG785" s="489"/>
    </row>
    <row r="786" spans="33:33" x14ac:dyDescent="0.2">
      <c r="AG786" s="489"/>
    </row>
    <row r="787" spans="33:33" x14ac:dyDescent="0.2">
      <c r="AG787" s="489"/>
    </row>
    <row r="788" spans="33:33" x14ac:dyDescent="0.2">
      <c r="AG788" s="489"/>
    </row>
    <row r="789" spans="33:33" x14ac:dyDescent="0.2">
      <c r="AG789" s="489"/>
    </row>
    <row r="790" spans="33:33" x14ac:dyDescent="0.2">
      <c r="AG790" s="489"/>
    </row>
    <row r="791" spans="33:33" x14ac:dyDescent="0.2">
      <c r="AG791" s="489"/>
    </row>
    <row r="792" spans="33:33" x14ac:dyDescent="0.2">
      <c r="AG792" s="489"/>
    </row>
    <row r="793" spans="33:33" x14ac:dyDescent="0.2">
      <c r="AG793" s="489"/>
    </row>
    <row r="794" spans="33:33" x14ac:dyDescent="0.2">
      <c r="AG794" s="489"/>
    </row>
    <row r="795" spans="33:33" x14ac:dyDescent="0.2">
      <c r="AG795" s="489"/>
    </row>
    <row r="796" spans="33:33" x14ac:dyDescent="0.2">
      <c r="AG796" s="489"/>
    </row>
    <row r="797" spans="33:33" x14ac:dyDescent="0.2">
      <c r="AG797" s="489"/>
    </row>
    <row r="798" spans="33:33" x14ac:dyDescent="0.2">
      <c r="AG798" s="489"/>
    </row>
    <row r="799" spans="33:33" x14ac:dyDescent="0.2">
      <c r="AG799" s="489"/>
    </row>
    <row r="800" spans="33:33" x14ac:dyDescent="0.2">
      <c r="AG800" s="489"/>
    </row>
    <row r="801" spans="33:33" x14ac:dyDescent="0.2">
      <c r="AG801" s="489"/>
    </row>
    <row r="802" spans="33:33" x14ac:dyDescent="0.2">
      <c r="AG802" s="489"/>
    </row>
    <row r="803" spans="33:33" x14ac:dyDescent="0.2">
      <c r="AG803" s="489"/>
    </row>
    <row r="804" spans="33:33" x14ac:dyDescent="0.2">
      <c r="AG804" s="489"/>
    </row>
    <row r="805" spans="33:33" x14ac:dyDescent="0.2">
      <c r="AG805" s="489"/>
    </row>
    <row r="806" spans="33:33" x14ac:dyDescent="0.2">
      <c r="AG806" s="489"/>
    </row>
    <row r="807" spans="33:33" x14ac:dyDescent="0.2">
      <c r="AG807" s="489"/>
    </row>
    <row r="808" spans="33:33" x14ac:dyDescent="0.2">
      <c r="AG808" s="489"/>
    </row>
    <row r="809" spans="33:33" x14ac:dyDescent="0.2">
      <c r="AG809" s="489"/>
    </row>
    <row r="810" spans="33:33" x14ac:dyDescent="0.2">
      <c r="AG810" s="489"/>
    </row>
    <row r="811" spans="33:33" x14ac:dyDescent="0.2">
      <c r="AG811" s="489"/>
    </row>
    <row r="812" spans="33:33" x14ac:dyDescent="0.2">
      <c r="AG812" s="489"/>
    </row>
    <row r="813" spans="33:33" x14ac:dyDescent="0.2">
      <c r="AG813" s="489"/>
    </row>
    <row r="814" spans="33:33" x14ac:dyDescent="0.2">
      <c r="AG814" s="489"/>
    </row>
    <row r="815" spans="33:33" x14ac:dyDescent="0.2">
      <c r="AG815" s="489"/>
    </row>
    <row r="816" spans="33:33" x14ac:dyDescent="0.2">
      <c r="AG816" s="489"/>
    </row>
    <row r="817" spans="33:33" x14ac:dyDescent="0.2">
      <c r="AG817" s="489"/>
    </row>
    <row r="818" spans="33:33" x14ac:dyDescent="0.2">
      <c r="AG818" s="489"/>
    </row>
    <row r="819" spans="33:33" x14ac:dyDescent="0.2">
      <c r="AG819" s="489"/>
    </row>
    <row r="820" spans="33:33" x14ac:dyDescent="0.2">
      <c r="AG820" s="489"/>
    </row>
    <row r="821" spans="33:33" x14ac:dyDescent="0.2">
      <c r="AG821" s="489"/>
    </row>
    <row r="822" spans="33:33" x14ac:dyDescent="0.2">
      <c r="AG822" s="489"/>
    </row>
    <row r="823" spans="33:33" x14ac:dyDescent="0.2">
      <c r="AG823" s="489"/>
    </row>
    <row r="824" spans="33:33" x14ac:dyDescent="0.2">
      <c r="AG824" s="489"/>
    </row>
    <row r="825" spans="33:33" x14ac:dyDescent="0.2">
      <c r="AG825" s="489"/>
    </row>
    <row r="826" spans="33:33" x14ac:dyDescent="0.2">
      <c r="AG826" s="489"/>
    </row>
    <row r="827" spans="33:33" x14ac:dyDescent="0.2">
      <c r="AG827" s="489"/>
    </row>
    <row r="828" spans="33:33" x14ac:dyDescent="0.2">
      <c r="AG828" s="489"/>
    </row>
    <row r="829" spans="33:33" x14ac:dyDescent="0.2">
      <c r="AG829" s="489"/>
    </row>
    <row r="830" spans="33:33" x14ac:dyDescent="0.2">
      <c r="AG830" s="489"/>
    </row>
    <row r="831" spans="33:33" x14ac:dyDescent="0.2">
      <c r="AG831" s="489"/>
    </row>
    <row r="832" spans="33:33" x14ac:dyDescent="0.2">
      <c r="AG832" s="489"/>
    </row>
    <row r="833" spans="33:33" x14ac:dyDescent="0.2">
      <c r="AG833" s="489"/>
    </row>
    <row r="834" spans="33:33" x14ac:dyDescent="0.2">
      <c r="AG834" s="489"/>
    </row>
    <row r="835" spans="33:33" x14ac:dyDescent="0.2">
      <c r="AG835" s="489"/>
    </row>
    <row r="836" spans="33:33" x14ac:dyDescent="0.2">
      <c r="AG836" s="489"/>
    </row>
    <row r="837" spans="33:33" x14ac:dyDescent="0.2">
      <c r="AG837" s="489"/>
    </row>
    <row r="838" spans="33:33" x14ac:dyDescent="0.2">
      <c r="AG838" s="489"/>
    </row>
    <row r="839" spans="33:33" x14ac:dyDescent="0.2">
      <c r="AG839" s="489"/>
    </row>
    <row r="840" spans="33:33" x14ac:dyDescent="0.2">
      <c r="AG840" s="489"/>
    </row>
    <row r="841" spans="33:33" x14ac:dyDescent="0.2">
      <c r="AG841" s="489"/>
    </row>
    <row r="842" spans="33:33" x14ac:dyDescent="0.2">
      <c r="AG842" s="489"/>
    </row>
    <row r="843" spans="33:33" x14ac:dyDescent="0.2">
      <c r="AG843" s="489"/>
    </row>
    <row r="844" spans="33:33" x14ac:dyDescent="0.2">
      <c r="AG844" s="489"/>
    </row>
    <row r="845" spans="33:33" x14ac:dyDescent="0.2">
      <c r="AG845" s="489"/>
    </row>
    <row r="846" spans="33:33" x14ac:dyDescent="0.2">
      <c r="AG846" s="489"/>
    </row>
    <row r="847" spans="33:33" x14ac:dyDescent="0.2">
      <c r="AG847" s="489"/>
    </row>
    <row r="848" spans="33:33" x14ac:dyDescent="0.2">
      <c r="AG848" s="489"/>
    </row>
    <row r="849" spans="33:33" x14ac:dyDescent="0.2">
      <c r="AG849" s="489"/>
    </row>
    <row r="850" spans="33:33" x14ac:dyDescent="0.2">
      <c r="AG850" s="489"/>
    </row>
    <row r="851" spans="33:33" x14ac:dyDescent="0.2">
      <c r="AG851" s="489"/>
    </row>
    <row r="852" spans="33:33" x14ac:dyDescent="0.2">
      <c r="AG852" s="489"/>
    </row>
    <row r="853" spans="33:33" x14ac:dyDescent="0.2">
      <c r="AG853" s="489"/>
    </row>
    <row r="854" spans="33:33" x14ac:dyDescent="0.2">
      <c r="AG854" s="489"/>
    </row>
    <row r="855" spans="33:33" x14ac:dyDescent="0.2">
      <c r="AG855" s="489"/>
    </row>
    <row r="856" spans="33:33" x14ac:dyDescent="0.2">
      <c r="AG856" s="489"/>
    </row>
    <row r="857" spans="33:33" x14ac:dyDescent="0.2">
      <c r="AG857" s="489"/>
    </row>
    <row r="858" spans="33:33" x14ac:dyDescent="0.2">
      <c r="AG858" s="489"/>
    </row>
    <row r="859" spans="33:33" x14ac:dyDescent="0.2">
      <c r="AG859" s="489"/>
    </row>
    <row r="860" spans="33:33" x14ac:dyDescent="0.2">
      <c r="AG860" s="489"/>
    </row>
    <row r="861" spans="33:33" x14ac:dyDescent="0.2">
      <c r="AG861" s="489"/>
    </row>
    <row r="862" spans="33:33" x14ac:dyDescent="0.2">
      <c r="AG862" s="489"/>
    </row>
    <row r="863" spans="33:33" x14ac:dyDescent="0.2">
      <c r="AG863" s="489"/>
    </row>
    <row r="864" spans="33:33" x14ac:dyDescent="0.2">
      <c r="AG864" s="489"/>
    </row>
    <row r="865" spans="33:33" x14ac:dyDescent="0.2">
      <c r="AG865" s="489"/>
    </row>
    <row r="866" spans="33:33" x14ac:dyDescent="0.2">
      <c r="AG866" s="489"/>
    </row>
    <row r="867" spans="33:33" x14ac:dyDescent="0.2">
      <c r="AG867" s="489"/>
    </row>
    <row r="868" spans="33:33" x14ac:dyDescent="0.2">
      <c r="AG868" s="489"/>
    </row>
    <row r="869" spans="33:33" x14ac:dyDescent="0.2">
      <c r="AG869" s="489"/>
    </row>
    <row r="870" spans="33:33" x14ac:dyDescent="0.2">
      <c r="AG870" s="489"/>
    </row>
    <row r="871" spans="33:33" x14ac:dyDescent="0.2">
      <c r="AG871" s="489"/>
    </row>
    <row r="872" spans="33:33" x14ac:dyDescent="0.2">
      <c r="AG872" s="489"/>
    </row>
    <row r="873" spans="33:33" x14ac:dyDescent="0.2">
      <c r="AG873" s="489"/>
    </row>
    <row r="874" spans="33:33" x14ac:dyDescent="0.2">
      <c r="AG874" s="489"/>
    </row>
    <row r="875" spans="33:33" x14ac:dyDescent="0.2">
      <c r="AG875" s="489"/>
    </row>
    <row r="876" spans="33:33" x14ac:dyDescent="0.2">
      <c r="AG876" s="489"/>
    </row>
    <row r="877" spans="33:33" x14ac:dyDescent="0.2">
      <c r="AG877" s="489"/>
    </row>
    <row r="878" spans="33:33" x14ac:dyDescent="0.2">
      <c r="AG878" s="489"/>
    </row>
    <row r="879" spans="33:33" x14ac:dyDescent="0.2">
      <c r="AG879" s="489"/>
    </row>
    <row r="880" spans="33:33" x14ac:dyDescent="0.2">
      <c r="AG880" s="489"/>
    </row>
    <row r="881" spans="33:33" x14ac:dyDescent="0.2">
      <c r="AG881" s="489"/>
    </row>
    <row r="882" spans="33:33" x14ac:dyDescent="0.2">
      <c r="AG882" s="489"/>
    </row>
    <row r="883" spans="33:33" x14ac:dyDescent="0.2">
      <c r="AG883" s="489"/>
    </row>
    <row r="884" spans="33:33" x14ac:dyDescent="0.2">
      <c r="AG884" s="489"/>
    </row>
    <row r="885" spans="33:33" x14ac:dyDescent="0.2">
      <c r="AG885" s="489"/>
    </row>
    <row r="886" spans="33:33" x14ac:dyDescent="0.2">
      <c r="AG886" s="489"/>
    </row>
    <row r="887" spans="33:33" x14ac:dyDescent="0.2">
      <c r="AG887" s="489"/>
    </row>
    <row r="888" spans="33:33" x14ac:dyDescent="0.2">
      <c r="AG888" s="489"/>
    </row>
    <row r="889" spans="33:33" x14ac:dyDescent="0.2">
      <c r="AG889" s="489"/>
    </row>
    <row r="890" spans="33:33" x14ac:dyDescent="0.2">
      <c r="AG890" s="489"/>
    </row>
    <row r="891" spans="33:33" x14ac:dyDescent="0.2">
      <c r="AG891" s="489"/>
    </row>
    <row r="892" spans="33:33" x14ac:dyDescent="0.2">
      <c r="AG892" s="489"/>
    </row>
    <row r="893" spans="33:33" x14ac:dyDescent="0.2">
      <c r="AG893" s="489"/>
    </row>
    <row r="894" spans="33:33" x14ac:dyDescent="0.2">
      <c r="AG894" s="489"/>
    </row>
    <row r="895" spans="33:33" x14ac:dyDescent="0.2">
      <c r="AG895" s="489"/>
    </row>
    <row r="896" spans="33:33" x14ac:dyDescent="0.2">
      <c r="AG896" s="489"/>
    </row>
    <row r="897" spans="33:33" x14ac:dyDescent="0.2">
      <c r="AG897" s="489"/>
    </row>
    <row r="898" spans="33:33" x14ac:dyDescent="0.2">
      <c r="AG898" s="489"/>
    </row>
    <row r="899" spans="33:33" x14ac:dyDescent="0.2">
      <c r="AG899" s="489"/>
    </row>
    <row r="900" spans="33:33" x14ac:dyDescent="0.2">
      <c r="AG900" s="489"/>
    </row>
    <row r="901" spans="33:33" x14ac:dyDescent="0.2">
      <c r="AG901" s="489"/>
    </row>
    <row r="902" spans="33:33" x14ac:dyDescent="0.2">
      <c r="AG902" s="489"/>
    </row>
    <row r="903" spans="33:33" x14ac:dyDescent="0.2">
      <c r="AG903" s="489"/>
    </row>
    <row r="904" spans="33:33" x14ac:dyDescent="0.2">
      <c r="AG904" s="489"/>
    </row>
    <row r="905" spans="33:33" x14ac:dyDescent="0.2">
      <c r="AG905" s="489"/>
    </row>
    <row r="906" spans="33:33" x14ac:dyDescent="0.2">
      <c r="AG906" s="489"/>
    </row>
    <row r="907" spans="33:33" x14ac:dyDescent="0.2">
      <c r="AG907" s="489"/>
    </row>
    <row r="908" spans="33:33" x14ac:dyDescent="0.2">
      <c r="AG908" s="489"/>
    </row>
    <row r="909" spans="33:33" x14ac:dyDescent="0.2">
      <c r="AG909" s="489"/>
    </row>
    <row r="910" spans="33:33" x14ac:dyDescent="0.2">
      <c r="AG910" s="489"/>
    </row>
    <row r="911" spans="33:33" x14ac:dyDescent="0.2">
      <c r="AG911" s="489"/>
    </row>
    <row r="912" spans="33:33" x14ac:dyDescent="0.2">
      <c r="AG912" s="489"/>
    </row>
    <row r="913" spans="33:33" x14ac:dyDescent="0.2">
      <c r="AG913" s="489"/>
    </row>
    <row r="914" spans="33:33" x14ac:dyDescent="0.2">
      <c r="AG914" s="489"/>
    </row>
    <row r="915" spans="33:33" x14ac:dyDescent="0.2">
      <c r="AG915" s="489"/>
    </row>
    <row r="916" spans="33:33" x14ac:dyDescent="0.2">
      <c r="AG916" s="489"/>
    </row>
    <row r="917" spans="33:33" x14ac:dyDescent="0.2">
      <c r="AG917" s="489"/>
    </row>
    <row r="918" spans="33:33" x14ac:dyDescent="0.2">
      <c r="AG918" s="489"/>
    </row>
    <row r="919" spans="33:33" x14ac:dyDescent="0.2">
      <c r="AG919" s="489"/>
    </row>
    <row r="920" spans="33:33" x14ac:dyDescent="0.2">
      <c r="AG920" s="489"/>
    </row>
    <row r="921" spans="33:33" x14ac:dyDescent="0.2">
      <c r="AG921" s="489"/>
    </row>
    <row r="922" spans="33:33" x14ac:dyDescent="0.2">
      <c r="AG922" s="489"/>
    </row>
    <row r="923" spans="33:33" x14ac:dyDescent="0.2">
      <c r="AG923" s="489"/>
    </row>
    <row r="924" spans="33:33" x14ac:dyDescent="0.2">
      <c r="AG924" s="489"/>
    </row>
    <row r="925" spans="33:33" x14ac:dyDescent="0.2">
      <c r="AG925" s="489"/>
    </row>
    <row r="926" spans="33:33" x14ac:dyDescent="0.2">
      <c r="AG926" s="489"/>
    </row>
    <row r="927" spans="33:33" x14ac:dyDescent="0.2">
      <c r="AG927" s="489"/>
    </row>
  </sheetData>
  <sheetProtection algorithmName="SHA-512" hashValue="W6RRlIykUs3iqUs/3d+VFTkk/NDE7SrdK1Ss2OIYtKQYEnXoe1BGxgSCtkwSbEkP7cIKKoKeebpCn6hnhVXKMw==" saltValue="YwiIma31Hs+yMOQXRmMA/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74" t="s">
        <v>377</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378</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pVtLM8nrHuI+EZW2xZrAhhzdl2doHohhoJrVGeTTav6ugdW5caQRdOMZAGXStpC6hV16N7fAuuajcn2vX3REKg==" saltValue="99WWTmmkXTHC79IySykGF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B9" sqref="B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325</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322</v>
      </c>
      <c r="L8" s="616">
        <f>FormNumber</f>
        <v>0</v>
      </c>
      <c r="M8" s="616"/>
      <c r="N8" s="616"/>
      <c r="O8" s="616"/>
    </row>
    <row r="9" spans="1:18" ht="18" customHeight="1" x14ac:dyDescent="0.25">
      <c r="A9" s="228" t="s">
        <v>279</v>
      </c>
      <c r="B9" s="34" t="e">
        <f>Main!D5</f>
        <v>#N/A</v>
      </c>
      <c r="J9" s="81"/>
      <c r="K9" s="228" t="s">
        <v>323</v>
      </c>
      <c r="L9" s="608">
        <f>CalMethod</f>
        <v>0</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324</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10</v>
      </c>
      <c r="M15" s="228" t="s">
        <v>291</v>
      </c>
      <c r="N15" s="236">
        <f>Main!D3</f>
        <v>0</v>
      </c>
      <c r="O15" s="207"/>
    </row>
    <row r="16" spans="1:18" ht="18" customHeight="1" x14ac:dyDescent="0.25">
      <c r="A16" s="234" t="s">
        <v>282</v>
      </c>
      <c r="B16" s="609">
        <f>SerialNumber</f>
        <v>0</v>
      </c>
      <c r="C16" s="609"/>
      <c r="D16" s="609"/>
      <c r="E16" s="609"/>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600">
        <f>Class</f>
        <v>0</v>
      </c>
      <c r="C18" s="600"/>
      <c r="D18" s="600"/>
      <c r="E18" s="600"/>
      <c r="G18" s="228" t="s">
        <v>289</v>
      </c>
      <c r="H18" s="232">
        <f>CubicFeet</f>
        <v>0</v>
      </c>
      <c r="M18" s="228" t="s">
        <v>293</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10">
        <f>Controller</f>
        <v>0</v>
      </c>
      <c r="C21" s="610"/>
      <c r="D21" s="610"/>
      <c r="E21" s="610"/>
      <c r="F21" s="219" t="s">
        <v>296</v>
      </c>
      <c r="G21" s="610">
        <f>ContSN</f>
        <v>0</v>
      </c>
      <c r="H21" s="610"/>
      <c r="I21" s="610"/>
      <c r="J21" s="219" t="s">
        <v>297</v>
      </c>
      <c r="K21" s="231">
        <f>ContTol</f>
        <v>0</v>
      </c>
      <c r="L21" s="205"/>
      <c r="M21" s="219" t="s">
        <v>298</v>
      </c>
      <c r="N21" s="244" t="str">
        <f>Main!G27</f>
        <v/>
      </c>
      <c r="O21" s="206"/>
    </row>
    <row r="22" spans="1:19" ht="18" customHeight="1" x14ac:dyDescent="0.25">
      <c r="A22" s="237" t="s">
        <v>295</v>
      </c>
      <c r="B22" s="611">
        <f>_xlnm.Recorder</f>
        <v>0</v>
      </c>
      <c r="C22" s="611"/>
      <c r="D22" s="611"/>
      <c r="E22" s="611"/>
      <c r="F22" s="220" t="s">
        <v>296</v>
      </c>
      <c r="G22" s="611">
        <f>RecSN</f>
        <v>0</v>
      </c>
      <c r="H22" s="611"/>
      <c r="I22" s="611"/>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7" t="s">
        <v>307</v>
      </c>
      <c r="D27" s="607"/>
      <c r="E27" s="607"/>
      <c r="F27" s="607"/>
      <c r="G27" s="607"/>
      <c r="H27" s="607"/>
      <c r="I27" s="607"/>
      <c r="J27" s="607"/>
      <c r="K27" s="607"/>
      <c r="L27" s="607"/>
      <c r="M27" s="607"/>
      <c r="N27" s="208"/>
      <c r="O27" s="209"/>
    </row>
    <row r="28" spans="1:19" ht="8.1" customHeight="1" x14ac:dyDescent="0.2"/>
    <row r="29" spans="1:19" ht="18" customHeight="1" x14ac:dyDescent="0.2">
      <c r="A29" s="603" t="s">
        <v>277</v>
      </c>
      <c r="B29" s="604"/>
      <c r="C29" s="605"/>
      <c r="D29" s="603" t="s">
        <v>308</v>
      </c>
      <c r="E29" s="604"/>
      <c r="F29" s="604"/>
      <c r="G29" s="605"/>
      <c r="H29" s="603" t="s">
        <v>278</v>
      </c>
      <c r="I29" s="604"/>
      <c r="J29" s="604"/>
      <c r="K29" s="605"/>
      <c r="L29" s="603" t="s">
        <v>259</v>
      </c>
      <c r="M29" s="604"/>
      <c r="N29" s="604"/>
      <c r="O29" s="605"/>
    </row>
    <row r="30" spans="1:19" ht="18" customHeight="1" x14ac:dyDescent="0.2">
      <c r="A30" s="224"/>
      <c r="B30" s="214">
        <f>TestLocation</f>
        <v>0</v>
      </c>
      <c r="C30" s="225"/>
      <c r="D30" s="583" t="str">
        <f>CONCATENATE(Main!D22,"°F","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309</v>
      </c>
      <c r="B32" s="595" t="s">
        <v>310</v>
      </c>
      <c r="C32" s="595"/>
      <c r="D32" s="247" t="s">
        <v>273</v>
      </c>
      <c r="E32" s="247" t="s">
        <v>272</v>
      </c>
      <c r="F32" s="247" t="s">
        <v>311</v>
      </c>
      <c r="G32" s="81"/>
      <c r="H32" s="81"/>
      <c r="I32" s="247" t="s">
        <v>309</v>
      </c>
      <c r="J32" s="595" t="s">
        <v>310</v>
      </c>
      <c r="K32" s="595"/>
      <c r="L32" s="247" t="s">
        <v>273</v>
      </c>
      <c r="M32" s="247" t="s">
        <v>272</v>
      </c>
      <c r="N32" s="247" t="s">
        <v>311</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312</v>
      </c>
      <c r="C53" s="599"/>
      <c r="D53" s="599"/>
      <c r="E53" s="599"/>
      <c r="F53" s="599"/>
      <c r="G53" s="599"/>
      <c r="H53" s="599"/>
      <c r="I53" s="599"/>
      <c r="J53" s="599"/>
      <c r="K53" s="599"/>
      <c r="L53" s="599"/>
      <c r="M53" s="599"/>
      <c r="N53" s="599"/>
    </row>
    <row r="54" spans="1:20" ht="18" customHeight="1" x14ac:dyDescent="0.25">
      <c r="A54" s="250" t="s">
        <v>313</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321</v>
      </c>
      <c r="B60" s="598"/>
      <c r="C60" s="598"/>
      <c r="D60" s="598"/>
      <c r="E60" s="598"/>
      <c r="F60" s="598"/>
      <c r="G60" s="598"/>
      <c r="H60" s="598"/>
      <c r="I60" s="598"/>
      <c r="J60" s="598"/>
      <c r="K60" s="598"/>
      <c r="L60" s="598"/>
      <c r="M60" s="598"/>
      <c r="N60" s="598"/>
      <c r="O60" s="598"/>
    </row>
    <row r="61" spans="1:20" ht="18" customHeight="1" x14ac:dyDescent="0.2">
      <c r="A61" s="602" t="s">
        <v>314</v>
      </c>
      <c r="B61" s="602"/>
      <c r="C61" s="602"/>
      <c r="D61" s="602"/>
      <c r="E61" s="602"/>
      <c r="F61" s="615" t="s">
        <v>315</v>
      </c>
      <c r="G61" s="615"/>
      <c r="H61" s="615"/>
      <c r="I61" s="615" t="s">
        <v>316</v>
      </c>
      <c r="J61" s="615"/>
      <c r="K61" s="615" t="s">
        <v>317</v>
      </c>
      <c r="L61" s="615"/>
      <c r="M61" s="615" t="s">
        <v>318</v>
      </c>
      <c r="N61" s="615"/>
      <c r="O61" s="615"/>
      <c r="R61" s="39" t="s">
        <v>859</v>
      </c>
      <c r="T61" s="39" t="s">
        <v>860</v>
      </c>
    </row>
    <row r="62" spans="1:20" ht="18" customHeight="1" x14ac:dyDescent="0.2">
      <c r="A62" s="586" t="str">
        <f>IF(F62="","",CONCATENATE(T62," - ",R62))</f>
        <v/>
      </c>
      <c r="B62" s="587"/>
      <c r="C62" s="587"/>
      <c r="D62" s="587"/>
      <c r="E62" s="588"/>
      <c r="F62" s="586" t="str" cm="1">
        <f t="array" ref="F62">IFERROR(
  _xlfn.XLOOKUP(
    Main!D9,
    _xlfn._xlws.FILTER(AssetPool[asset_tag], AssetPool[root_category_name]="DAQ Modules"),
    _xlfn._xlws.FILTER(AssetPool[serial_number], AssetPool[root_category_name]="DAQ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373</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jM1QeG3Kd4nsPW8iuWQAp7lYMiMMu9mSCcSJfFRJ/BDGKAe92KlpJorsD9G61ln0l3oKUcLpYjbR1K1jCFGbJg==" saltValue="Ji9y0quhuLB85fMsD/AE8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927</v>
      </c>
      <c r="R1" t="s">
        <v>928</v>
      </c>
      <c r="S1" t="s">
        <v>929</v>
      </c>
      <c r="T1" t="s">
        <v>930</v>
      </c>
      <c r="U1" t="s">
        <v>931</v>
      </c>
      <c r="V1" t="s">
        <v>932</v>
      </c>
      <c r="W1" t="s">
        <v>933</v>
      </c>
      <c r="X1" t="s">
        <v>934</v>
      </c>
      <c r="Y1" t="s">
        <v>935</v>
      </c>
      <c r="Z1" t="s">
        <v>936</v>
      </c>
      <c r="AA1" t="s">
        <v>937</v>
      </c>
      <c r="AB1" t="s">
        <v>938</v>
      </c>
      <c r="AC1" t="s">
        <v>939</v>
      </c>
      <c r="AD1" t="s">
        <v>940</v>
      </c>
      <c r="AE1" t="s">
        <v>941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-10</v>
      </c>
      <c r="D1" s="114"/>
      <c r="E1" s="114">
        <f>B1-D2</f>
        <v>-5</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10</v>
      </c>
      <c r="C2" s="114">
        <f>$B$1+$B$2</f>
        <v>10</v>
      </c>
      <c r="D2" s="114">
        <f>(Main!$D$19)/2</f>
        <v>5</v>
      </c>
      <c r="E2" s="114">
        <f>B1+D2</f>
        <v>5</v>
      </c>
      <c r="F2" s="121"/>
      <c r="G2" s="121"/>
      <c r="H2" s="121"/>
      <c r="I2" s="139" t="s">
        <v>227</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169</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Zz+o/omm/X3mdZyQ50F56pz9PyuWnYam6KT1KM2xWiH1OoFZKcnnxZW0/l7q5OWvcc3SzYoPT2+Bb3yy4ASP4g==" saltValue="2RUKDR1CAyCdEb2QozPve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-10</v>
      </c>
      <c r="D1" s="114"/>
      <c r="E1" s="120">
        <f>B1-D2</f>
        <v>-5</v>
      </c>
      <c r="F1" s="34" t="s">
        <v>75</v>
      </c>
      <c r="P1" s="306" t="str">
        <f>IF(Main!$E$30="","A10",ADDRESS(13+(MATCH(Main!$E$30,Data_Sheet!$A$14:$A$903,0)),1,4))</f>
        <v>A10</v>
      </c>
      <c r="Q1" s="306">
        <f>VALUE(MID(P1, 2, LEN(P1)-1))</f>
        <v>10</v>
      </c>
    </row>
    <row r="2" spans="1:17" x14ac:dyDescent="0.2">
      <c r="B2" s="120">
        <f>Main!$D$19</f>
        <v>10</v>
      </c>
      <c r="C2" s="114">
        <f>$B$1+$B$2</f>
        <v>10</v>
      </c>
      <c r="D2" s="114">
        <f>(Main!$D$19)/2</f>
        <v>5</v>
      </c>
      <c r="E2" s="120">
        <f>B1+D2</f>
        <v>5</v>
      </c>
      <c r="I2" s="74" t="s">
        <v>227</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169</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21XWfuanS/IOjWKAGbo+lCiG+ZXlQT/y57m8gqMMWT/OujzyFBwJuvzGtB1d8Car3iuM/YnDBZ0AXFZx9ADGFw==" saltValue="TQnSihjCmrhzNBSc4/ROc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-10</v>
      </c>
      <c r="D1" s="114"/>
      <c r="E1" s="120">
        <f>B1-D2</f>
        <v>-5</v>
      </c>
      <c r="F1" s="34" t="s">
        <v>74</v>
      </c>
      <c r="P1" s="306" t="str">
        <f>IF(Main!$E$30="","A10",ADDRESS(13+(MATCH(Main!$E$30,Data_Sheet!$A$14:$A$903,0)),1,4))</f>
        <v>A10</v>
      </c>
      <c r="Q1" s="306">
        <f>VALUE(MID(P1, 2, LEN(P1)-1))</f>
        <v>10</v>
      </c>
    </row>
    <row r="2" spans="1:17" x14ac:dyDescent="0.2">
      <c r="A2" s="113"/>
      <c r="B2" s="120">
        <f>Main!$D$19</f>
        <v>10</v>
      </c>
      <c r="C2" s="114">
        <f>$B$1+$B$2</f>
        <v>10</v>
      </c>
      <c r="D2" s="114">
        <f>(Main!$D$19)/2</f>
        <v>5</v>
      </c>
      <c r="E2" s="120">
        <f>B1+D2</f>
        <v>5</v>
      </c>
      <c r="F2" s="106"/>
      <c r="I2" s="74" t="s">
        <v>227</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169</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26zJN8EeY5S1+kwRbQ8yeYMBmX2vZNSa5Vhm8Pq+XCG9l5eYju5iXlgwbagrvfUuZcZfdLECjxCw/o5X7JyKJA==" saltValue="a9tG+hH3qjjj0jEmG/Csx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f>IF(ISBLANK(Main!G95),"",Main!G95)</f>
        <v>3</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398</v>
      </c>
      <c r="U11" s="290" t="s">
        <v>399</v>
      </c>
      <c r="V11" s="290" t="s">
        <v>400</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w4AqGm9JDadH3p/1w70yNzs6zcDLn/FWfbU9qxYqQCEbomkfetTlDWW7F8gV64TlFK82vcjj2vENweBsMy5MAw==" saltValue="u7bSE+57V6ZwNx4zLpPqPA=="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865</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349</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350</v>
      </c>
      <c r="I29" s="115" t="str">
        <f>IF(Main!N47="","",Main!N47)</f>
        <v>Periodic</v>
      </c>
      <c r="J29" s="648" t="s">
        <v>351</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337</v>
      </c>
      <c r="I30" s="641"/>
      <c r="J30" s="650" t="s">
        <v>384</v>
      </c>
      <c r="K30" s="651"/>
      <c r="L30" s="652"/>
      <c r="M30" s="266"/>
      <c r="O30" s="642" t="s">
        <v>387</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352</v>
      </c>
      <c r="I31" s="256" t="str">
        <f>IF(Main!N49="","",Main!N49)</f>
        <v/>
      </c>
      <c r="J31" s="665" t="s">
        <v>392</v>
      </c>
      <c r="K31" s="666"/>
      <c r="L31" s="667"/>
      <c r="M31" s="267" t="str">
        <f>IF(Main!S49="","",Main!S49)</f>
        <v/>
      </c>
      <c r="O31" s="531" t="s">
        <v>394</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368</v>
      </c>
      <c r="I32" s="256" t="str">
        <f>IF(Main!N50="","",Main!N50)</f>
        <v/>
      </c>
      <c r="J32" s="656" t="s">
        <v>340</v>
      </c>
      <c r="K32" s="657"/>
      <c r="L32" s="658"/>
      <c r="M32" s="262"/>
      <c r="O32" s="656" t="s">
        <v>340</v>
      </c>
      <c r="P32" s="657"/>
      <c r="Q32" s="658"/>
      <c r="T32" s="39"/>
    </row>
    <row r="33" spans="1:20" ht="12.75" customHeight="1" x14ac:dyDescent="0.2">
      <c r="A33" s="646" t="s">
        <v>353</v>
      </c>
      <c r="B33" s="647"/>
      <c r="C33" s="49" t="str">
        <f>IF(Main!D52="","",Main!D52)</f>
        <v/>
      </c>
      <c r="D33" s="49" t="str">
        <f>IF(Main!E52="","",Main!E52)</f>
        <v/>
      </c>
      <c r="E33" s="49" t="str">
        <f>IF(Main!F52="","",Main!F52)</f>
        <v/>
      </c>
      <c r="F33" s="49" t="str">
        <f>IF(Main!G52="","",Main!G52)</f>
        <v/>
      </c>
      <c r="G33" s="272"/>
      <c r="H33" s="254" t="s">
        <v>354</v>
      </c>
      <c r="I33" s="256" t="str">
        <f>IF(Main!N51="","",Main!N51)</f>
        <v/>
      </c>
      <c r="J33" s="653" t="s">
        <v>393</v>
      </c>
      <c r="K33" s="654"/>
      <c r="L33" s="655"/>
      <c r="M33" s="261" t="str">
        <f>IF(Main!S51="","",Main!S51)</f>
        <v/>
      </c>
      <c r="O33" s="653" t="s">
        <v>395</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355</v>
      </c>
      <c r="I34" s="253" t="str">
        <f>IF(Main!N52="","",Main!N52)</f>
        <v/>
      </c>
      <c r="J34" s="656" t="s">
        <v>340</v>
      </c>
      <c r="K34" s="657"/>
      <c r="L34" s="658"/>
      <c r="O34" s="656" t="s">
        <v>340</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59" t="s">
        <v>396</v>
      </c>
      <c r="K35" s="660"/>
      <c r="L35" s="661"/>
      <c r="M35" s="270" t="str">
        <f>IF(Main!S53="","",Main!S53)</f>
        <v/>
      </c>
      <c r="O35" s="659" t="s">
        <v>397</v>
      </c>
      <c r="P35" s="660"/>
      <c r="Q35" s="661"/>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41ZkMjr5EgnbJuD7pPo0Sj6WcO9wzrUZzA3/x0E4Byh6M47Nox+q61OEqSRX4ox4ucOwPU8T2gWv/E03eTcjeA==" saltValue="aFH8LSzHDLWpJEFq5weEo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b4JatAQkl8bc9mi/6dz0bicRk3QBLzpBv6r7jgnncaYUfVuLIRc3o3G5erB2TrudXmRkAmiW+xKR6p1g1pPzsg==" saltValue="2r+JqADUXVqdi2HbfE+mN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562</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563</v>
      </c>
      <c r="H3" t="s">
        <v>69</v>
      </c>
      <c r="K3" t="s">
        <v>84</v>
      </c>
      <c r="M3" t="s">
        <v>95</v>
      </c>
      <c r="O3" t="s">
        <v>124</v>
      </c>
      <c r="Q3" s="39" t="s">
        <v>167</v>
      </c>
      <c r="S3" t="s">
        <v>140</v>
      </c>
      <c r="U3" s="39" t="s">
        <v>326</v>
      </c>
      <c r="Y3" t="s">
        <v>201</v>
      </c>
      <c r="AC3" s="39" t="s">
        <v>260</v>
      </c>
      <c r="AE3" s="39" t="s">
        <v>383</v>
      </c>
      <c r="AG3" s="39" t="str">
        <v>James Haven</v>
      </c>
      <c r="AH3" s="39"/>
    </row>
    <row r="4" spans="1:34" x14ac:dyDescent="0.2">
      <c r="A4" s="35" t="str">
        <v>J3</v>
      </c>
      <c r="B4" s="35" t="str">
        <v>DaqBook/2005</v>
      </c>
      <c r="C4" s="35" t="str">
        <v>807705</v>
      </c>
      <c r="D4" s="35" t="str">
        <f t="shared" si="0"/>
        <v>"J" IRON-CONSTANTAN</v>
      </c>
      <c r="E4" s="35">
        <v>28</v>
      </c>
      <c r="G4" s="39" t="s">
        <v>561</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380</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381</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382</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377</v>
      </c>
      <c r="Y13" t="s">
        <v>210</v>
      </c>
      <c r="AE13" s="39" t="s">
        <v>363</v>
      </c>
    </row>
    <row r="14" spans="1:34" x14ac:dyDescent="0.2">
      <c r="Y14" t="s">
        <v>211</v>
      </c>
      <c r="AE14" s="39" t="s">
        <v>364</v>
      </c>
    </row>
    <row r="15" spans="1:34" x14ac:dyDescent="0.2">
      <c r="Y15" t="s">
        <v>212</v>
      </c>
      <c r="AE15" s="39" t="s">
        <v>376</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M9NDGubhDADzsV2NGqS1/bdP57tY9PIIMl5obblJPhknYV74cJWh65QAchEXcvrVxzR+zcytHvPKPXLEe3X1kg==" saltValue="Vd/vkxVRFgdK98Iz4+fI7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2025-07-17T18:59:43Z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