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77ACCD1-004E-4046-B45F-85E385572E23}"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AssetPool!$A$1:$Q$64</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13" hidden="1">AggregatedUUTRangeTol!$A$1:$C$403</definedName>
    <definedName name="ExternalData_2" localSheetId="8" hidden="1">AllDaqbookOffsets!$A$1:$E$7556</definedName>
    <definedName name="ExternalData_2" localSheetId="7" hidden="1">'CorrectionFactors'!$A$1:$F$2</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Table'!$A$1:$O$1658</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UUTRangeTol!$U$2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A37" i="8"/>
  <c r="AL1" i="77" a="1"/>
  <c r="AL1" i="77" s="1"/>
  <c r="K3" i="95"/>
  <c r="K4" i="95"/>
  <c r="K5" i="95"/>
  <c r="K6" i="95"/>
  <c r="K7" i="95"/>
  <c r="K8" i="95"/>
  <c r="K9" i="95"/>
  <c r="K10" i="95"/>
  <c r="K22" i="95"/>
  <c r="K23" i="95"/>
  <c r="K25" i="95"/>
  <c r="K26" i="95"/>
  <c r="K27" i="95"/>
  <c r="K28" i="95"/>
  <c r="K29" i="95"/>
  <c r="K35" i="95"/>
  <c r="K36" i="95"/>
  <c r="K37" i="95"/>
  <c r="K38" i="95"/>
  <c r="K39" i="95"/>
  <c r="K40" i="95"/>
  <c r="K41" i="95"/>
  <c r="K42" i="95"/>
  <c r="K54" i="95"/>
  <c r="K55" i="95"/>
  <c r="K56" i="95"/>
  <c r="K57" i="95"/>
  <c r="K58" i="95"/>
  <c r="K59" i="95"/>
  <c r="K60" i="95"/>
  <c r="K61" i="95"/>
  <c r="K67" i="95"/>
  <c r="K68" i="95"/>
  <c r="K69" i="95"/>
  <c r="K70" i="95"/>
  <c r="K71" i="95"/>
  <c r="K72" i="95"/>
  <c r="K73" i="95"/>
  <c r="K74" i="95"/>
  <c r="K86" i="95"/>
  <c r="K87" i="95"/>
  <c r="K88" i="95"/>
  <c r="K89" i="95"/>
  <c r="K90" i="95"/>
  <c r="K91" i="95"/>
  <c r="K92" i="95"/>
  <c r="K93" i="95"/>
  <c r="K99" i="95"/>
  <c r="K100" i="95"/>
  <c r="K101" i="95"/>
  <c r="K102" i="95"/>
  <c r="K103" i="95"/>
  <c r="K104" i="95"/>
  <c r="K105" i="95"/>
  <c r="K106" i="95"/>
  <c r="K118" i="95"/>
  <c r="K119" i="95"/>
  <c r="K120" i="95"/>
  <c r="K121" i="95"/>
  <c r="K122" i="95"/>
  <c r="K123" i="95"/>
  <c r="K124" i="95"/>
  <c r="K125" i="95"/>
  <c r="K131" i="95"/>
  <c r="K132" i="95"/>
  <c r="K133" i="95"/>
  <c r="K134" i="95"/>
  <c r="K135" i="95"/>
  <c r="K136" i="95"/>
  <c r="K137" i="95"/>
  <c r="K138" i="95"/>
  <c r="K150" i="95"/>
  <c r="K151" i="95"/>
  <c r="K152" i="95"/>
  <c r="K153" i="95"/>
  <c r="K154" i="95"/>
  <c r="K155" i="95"/>
  <c r="K156" i="95"/>
  <c r="K157" i="95"/>
  <c r="K163" i="95"/>
  <c r="K164" i="95"/>
  <c r="K165" i="95"/>
  <c r="K166" i="95"/>
  <c r="K167" i="95"/>
  <c r="K168" i="95"/>
  <c r="K169" i="95"/>
  <c r="K170" i="95"/>
  <c r="K182" i="95"/>
  <c r="K183" i="95"/>
  <c r="K184" i="95"/>
  <c r="K185" i="95"/>
  <c r="K186" i="95"/>
  <c r="K187" i="95"/>
  <c r="K188" i="95"/>
  <c r="K189" i="95"/>
  <c r="K195" i="95"/>
  <c r="K196" i="95"/>
  <c r="K197" i="95"/>
  <c r="K198" i="95"/>
  <c r="K199" i="95"/>
  <c r="K200" i="95"/>
  <c r="K201" i="95"/>
  <c r="K202" i="95"/>
  <c r="K214" i="95"/>
  <c r="K215" i="95"/>
  <c r="K216" i="95"/>
  <c r="K217" i="95"/>
  <c r="K218" i="95"/>
  <c r="K219" i="95"/>
  <c r="K220" i="95"/>
  <c r="K221" i="95"/>
  <c r="K227" i="95"/>
  <c r="K228" i="95"/>
  <c r="K229" i="95"/>
  <c r="K230" i="95"/>
  <c r="K231" i="95"/>
  <c r="K232" i="95"/>
  <c r="K233" i="95"/>
  <c r="K234" i="95"/>
  <c r="K246" i="95"/>
  <c r="K247" i="95"/>
  <c r="K248" i="95"/>
  <c r="K249" i="95"/>
  <c r="K250" i="95"/>
  <c r="K251" i="95"/>
  <c r="K252" i="95"/>
  <c r="K253" i="95"/>
  <c r="K259" i="95"/>
  <c r="K260" i="95"/>
  <c r="K261" i="95"/>
  <c r="K262" i="95"/>
  <c r="K263" i="95"/>
  <c r="K264" i="95"/>
  <c r="K265" i="95"/>
  <c r="K266" i="95"/>
  <c r="K278" i="95"/>
  <c r="K279" i="95"/>
  <c r="K280" i="95"/>
  <c r="K281" i="95"/>
  <c r="K282" i="95"/>
  <c r="K283" i="95"/>
  <c r="K284" i="95"/>
  <c r="K285" i="95"/>
  <c r="K291" i="95"/>
  <c r="K292" i="95"/>
  <c r="K293" i="95"/>
  <c r="K294" i="95"/>
  <c r="K295" i="95"/>
  <c r="K296" i="95"/>
  <c r="K297" i="95"/>
  <c r="K298" i="95"/>
  <c r="K310" i="95"/>
  <c r="K311" i="95"/>
  <c r="K312" i="95"/>
  <c r="K313" i="95"/>
  <c r="K314" i="95"/>
  <c r="K315" i="95"/>
  <c r="K316" i="95"/>
  <c r="K317" i="95"/>
  <c r="K323" i="95"/>
  <c r="K324" i="95"/>
  <c r="K325" i="95"/>
  <c r="K326" i="95"/>
  <c r="K327" i="95"/>
  <c r="K328" i="95"/>
  <c r="K329" i="95"/>
  <c r="K330" i="95"/>
  <c r="K342" i="95"/>
  <c r="K343" i="95"/>
  <c r="K344" i="95"/>
  <c r="K345" i="95"/>
  <c r="K346" i="95"/>
  <c r="K347" i="95"/>
  <c r="K348" i="95"/>
  <c r="K349" i="95"/>
  <c r="K355" i="95"/>
  <c r="K356" i="95"/>
  <c r="K357" i="95"/>
  <c r="K358" i="95"/>
  <c r="K359" i="95"/>
  <c r="K360" i="95"/>
  <c r="K361" i="95"/>
  <c r="K362" i="95"/>
  <c r="K374" i="95"/>
  <c r="K375" i="95"/>
  <c r="K376" i="95"/>
  <c r="K377" i="95"/>
  <c r="K378" i="95"/>
  <c r="K379" i="95"/>
  <c r="K380" i="95"/>
  <c r="K381" i="95"/>
  <c r="K387" i="95"/>
  <c r="K388" i="95"/>
  <c r="K389" i="95"/>
  <c r="K390" i="95"/>
  <c r="K391" i="95"/>
  <c r="K392" i="95"/>
  <c r="K393" i="95"/>
  <c r="K394" i="95"/>
  <c r="K406" i="95"/>
  <c r="K407" i="95"/>
  <c r="K408" i="95"/>
  <c r="K409" i="95"/>
  <c r="K410" i="95"/>
  <c r="K411" i="95"/>
  <c r="K412" i="95"/>
  <c r="K413" i="95"/>
  <c r="M3" i="95"/>
  <c r="M4" i="95"/>
  <c r="M5" i="95"/>
  <c r="M6" i="95"/>
  <c r="M7" i="95"/>
  <c r="M8" i="95"/>
  <c r="M9" i="95"/>
  <c r="M24" i="95"/>
  <c r="M25" i="95"/>
  <c r="M26" i="95"/>
  <c r="M27" i="95"/>
  <c r="M28" i="95"/>
  <c r="M35" i="95"/>
  <c r="M36" i="95"/>
  <c r="M37" i="95"/>
  <c r="M38" i="95"/>
  <c r="M39" i="95"/>
  <c r="M40" i="95"/>
  <c r="M41" i="95"/>
  <c r="M56" i="95"/>
  <c r="M57" i="95"/>
  <c r="M58" i="95"/>
  <c r="M59" i="95"/>
  <c r="M60" i="95"/>
  <c r="M67" i="95"/>
  <c r="M68" i="95"/>
  <c r="M69" i="95"/>
  <c r="M70" i="95"/>
  <c r="M71" i="95"/>
  <c r="M72" i="95"/>
  <c r="M73" i="95"/>
  <c r="M88" i="95"/>
  <c r="M89" i="95"/>
  <c r="M90" i="95"/>
  <c r="M91" i="95"/>
  <c r="M92" i="95"/>
  <c r="M99" i="95"/>
  <c r="M100" i="95"/>
  <c r="M101" i="95"/>
  <c r="M102" i="95"/>
  <c r="M103" i="95"/>
  <c r="M104" i="95"/>
  <c r="M105" i="95"/>
  <c r="M120" i="95"/>
  <c r="M121" i="95"/>
  <c r="M122" i="95"/>
  <c r="M123" i="95"/>
  <c r="M124" i="95"/>
  <c r="M131" i="95"/>
  <c r="M132" i="95"/>
  <c r="M133" i="95"/>
  <c r="M134" i="95"/>
  <c r="M135" i="95"/>
  <c r="M136" i="95"/>
  <c r="M137" i="95"/>
  <c r="M152" i="95"/>
  <c r="M153" i="95"/>
  <c r="M154" i="95"/>
  <c r="M155" i="95"/>
  <c r="M156" i="95"/>
  <c r="M163" i="95"/>
  <c r="M164" i="95"/>
  <c r="M165" i="95"/>
  <c r="M166" i="95"/>
  <c r="M167" i="95"/>
  <c r="M168" i="95"/>
  <c r="M169" i="95"/>
  <c r="M184" i="95"/>
  <c r="M185" i="95"/>
  <c r="M186" i="95"/>
  <c r="M187" i="95"/>
  <c r="M188" i="95"/>
  <c r="M195" i="95"/>
  <c r="M196" i="95"/>
  <c r="M197" i="95"/>
  <c r="M198" i="95"/>
  <c r="M199" i="95"/>
  <c r="M200" i="95"/>
  <c r="M201" i="95"/>
  <c r="M216" i="95"/>
  <c r="M217" i="95"/>
  <c r="M218" i="95"/>
  <c r="M219" i="95"/>
  <c r="M220" i="95"/>
  <c r="M227" i="95"/>
  <c r="M228" i="95"/>
  <c r="M229" i="95"/>
  <c r="M230" i="95"/>
  <c r="M231" i="95"/>
  <c r="M232" i="95"/>
  <c r="M233" i="95"/>
  <c r="M248" i="95"/>
  <c r="M249" i="95"/>
  <c r="M250" i="95"/>
  <c r="M251" i="95"/>
  <c r="M252" i="95"/>
  <c r="M259" i="95"/>
  <c r="M260" i="95"/>
  <c r="M261" i="95"/>
  <c r="M262" i="95"/>
  <c r="M263" i="95"/>
  <c r="M264" i="95"/>
  <c r="M265" i="95"/>
  <c r="M280" i="95"/>
  <c r="M281" i="95"/>
  <c r="M282" i="95"/>
  <c r="M283" i="95"/>
  <c r="M284" i="95"/>
  <c r="M291" i="95"/>
  <c r="M292" i="95"/>
  <c r="M293" i="95"/>
  <c r="M294" i="95"/>
  <c r="M295" i="95"/>
  <c r="M296" i="95"/>
  <c r="M297" i="95"/>
  <c r="M312" i="95"/>
  <c r="M313" i="95"/>
  <c r="M314" i="95"/>
  <c r="M315" i="95"/>
  <c r="M316" i="95"/>
  <c r="M323" i="95"/>
  <c r="M324" i="95"/>
  <c r="M325" i="95"/>
  <c r="M326" i="95"/>
  <c r="M327" i="95"/>
  <c r="M328" i="95"/>
  <c r="M329" i="95"/>
  <c r="M344" i="95"/>
  <c r="M345" i="95"/>
  <c r="M346" i="95"/>
  <c r="M347" i="95"/>
  <c r="M348" i="95"/>
  <c r="M355" i="95"/>
  <c r="M356" i="95"/>
  <c r="M357" i="95"/>
  <c r="M358" i="95"/>
  <c r="M359" i="95"/>
  <c r="M360" i="95"/>
  <c r="M361" i="95"/>
  <c r="M376" i="95"/>
  <c r="M377" i="95"/>
  <c r="M378" i="95"/>
  <c r="M379" i="95"/>
  <c r="M380" i="95"/>
  <c r="M387" i="95"/>
  <c r="M388" i="95"/>
  <c r="M389" i="95"/>
  <c r="M390" i="95"/>
  <c r="M391" i="95"/>
  <c r="M392" i="95"/>
  <c r="M393" i="95"/>
  <c r="M408" i="95"/>
  <c r="M409" i="95"/>
  <c r="M410" i="95"/>
  <c r="M411" i="95"/>
  <c r="M412" i="95"/>
  <c r="L2" i="95"/>
  <c r="M2" i="95" s="1"/>
  <c r="L3" i="95"/>
  <c r="L4" i="95"/>
  <c r="L5" i="95"/>
  <c r="L6" i="95"/>
  <c r="L7" i="95"/>
  <c r="L8" i="95"/>
  <c r="L9" i="95"/>
  <c r="L10" i="95"/>
  <c r="M10" i="95" s="1"/>
  <c r="L11" i="95"/>
  <c r="M11" i="95" s="1"/>
  <c r="L12" i="95"/>
  <c r="M12" i="95" s="1"/>
  <c r="L13" i="95"/>
  <c r="M13" i="95" s="1"/>
  <c r="L14" i="95"/>
  <c r="M14" i="95" s="1"/>
  <c r="L15" i="95"/>
  <c r="M15" i="95" s="1"/>
  <c r="L16" i="95"/>
  <c r="M16" i="95" s="1"/>
  <c r="L17" i="95"/>
  <c r="M17" i="95" s="1"/>
  <c r="L18" i="95"/>
  <c r="M18" i="95" s="1"/>
  <c r="L19" i="95"/>
  <c r="M19" i="95" s="1"/>
  <c r="L20" i="95"/>
  <c r="M20" i="95" s="1"/>
  <c r="L21" i="95"/>
  <c r="M21" i="95" s="1"/>
  <c r="L22" i="95"/>
  <c r="M22" i="95" s="1"/>
  <c r="L23" i="95"/>
  <c r="M23" i="95" s="1"/>
  <c r="L24" i="95"/>
  <c r="L25" i="95"/>
  <c r="L26" i="95"/>
  <c r="L27" i="95"/>
  <c r="L28" i="95"/>
  <c r="L29" i="95"/>
  <c r="M29" i="95" s="1"/>
  <c r="L30" i="95"/>
  <c r="M30" i="95" s="1"/>
  <c r="L31" i="95"/>
  <c r="M31" i="95" s="1"/>
  <c r="L32" i="95"/>
  <c r="M32" i="95" s="1"/>
  <c r="L33" i="95"/>
  <c r="M33" i="95" s="1"/>
  <c r="L34" i="95"/>
  <c r="M34" i="95" s="1"/>
  <c r="L35" i="95"/>
  <c r="L36" i="95"/>
  <c r="L37" i="95"/>
  <c r="L38" i="95"/>
  <c r="L39" i="95"/>
  <c r="L40" i="95"/>
  <c r="L41" i="95"/>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L57" i="95"/>
  <c r="L58" i="95"/>
  <c r="L59" i="95"/>
  <c r="L60" i="95"/>
  <c r="L61" i="95"/>
  <c r="M61" i="95" s="1"/>
  <c r="L62" i="95"/>
  <c r="M62" i="95" s="1"/>
  <c r="L63" i="95"/>
  <c r="M63" i="95" s="1"/>
  <c r="L64" i="95"/>
  <c r="M64" i="95" s="1"/>
  <c r="L65" i="95"/>
  <c r="M65" i="95" s="1"/>
  <c r="L66" i="95"/>
  <c r="M66" i="95" s="1"/>
  <c r="L67" i="95"/>
  <c r="L68" i="95"/>
  <c r="L69" i="95"/>
  <c r="L70" i="95"/>
  <c r="L71" i="95"/>
  <c r="L72" i="95"/>
  <c r="L73" i="95"/>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L89" i="95"/>
  <c r="L90" i="95"/>
  <c r="L91" i="95"/>
  <c r="L92" i="95"/>
  <c r="L93" i="95"/>
  <c r="M93" i="95" s="1"/>
  <c r="L94" i="95"/>
  <c r="M94" i="95" s="1"/>
  <c r="L95" i="95"/>
  <c r="M95" i="95" s="1"/>
  <c r="L96" i="95"/>
  <c r="M96" i="95" s="1"/>
  <c r="L97" i="95"/>
  <c r="M97" i="95" s="1"/>
  <c r="L98" i="95"/>
  <c r="M98" i="95" s="1"/>
  <c r="L99" i="95"/>
  <c r="L100" i="95"/>
  <c r="L101" i="95"/>
  <c r="L102" i="95"/>
  <c r="L103" i="95"/>
  <c r="L104" i="95"/>
  <c r="L105" i="95"/>
  <c r="L106" i="95"/>
  <c r="M106" i="95" s="1"/>
  <c r="L107" i="95"/>
  <c r="M107" i="95" s="1"/>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L121" i="95"/>
  <c r="L122" i="95"/>
  <c r="L123" i="95"/>
  <c r="L124" i="95"/>
  <c r="L125" i="95"/>
  <c r="M125" i="95" s="1"/>
  <c r="L126" i="95"/>
  <c r="M126" i="95" s="1"/>
  <c r="L127" i="95"/>
  <c r="M127" i="95" s="1"/>
  <c r="L128" i="95"/>
  <c r="M128" i="95" s="1"/>
  <c r="L129" i="95"/>
  <c r="M129" i="95" s="1"/>
  <c r="L130" i="95"/>
  <c r="M130" i="95" s="1"/>
  <c r="L131" i="95"/>
  <c r="L132" i="95"/>
  <c r="L133" i="95"/>
  <c r="L134" i="95"/>
  <c r="L135" i="95"/>
  <c r="L136" i="95"/>
  <c r="L137" i="95"/>
  <c r="L138" i="95"/>
  <c r="M138" i="95" s="1"/>
  <c r="L139" i="95"/>
  <c r="M139" i="95" s="1"/>
  <c r="L140" i="95"/>
  <c r="M140" i="95" s="1"/>
  <c r="L141" i="95"/>
  <c r="M141" i="95" s="1"/>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L153" i="95"/>
  <c r="L154" i="95"/>
  <c r="L155" i="95"/>
  <c r="L156" i="95"/>
  <c r="L157" i="95"/>
  <c r="M157" i="95" s="1"/>
  <c r="L158" i="95"/>
  <c r="M158" i="95" s="1"/>
  <c r="L159" i="95"/>
  <c r="M159" i="95" s="1"/>
  <c r="L160" i="95"/>
  <c r="M160" i="95" s="1"/>
  <c r="L161" i="95"/>
  <c r="M161" i="95" s="1"/>
  <c r="L162" i="95"/>
  <c r="M162" i="95" s="1"/>
  <c r="L163" i="95"/>
  <c r="L164" i="95"/>
  <c r="L165" i="95"/>
  <c r="L166" i="95"/>
  <c r="L167" i="95"/>
  <c r="L168" i="95"/>
  <c r="L169" i="95"/>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L185" i="95"/>
  <c r="L186" i="95"/>
  <c r="L187" i="95"/>
  <c r="L188" i="95"/>
  <c r="L189" i="95"/>
  <c r="M189" i="95" s="1"/>
  <c r="L190" i="95"/>
  <c r="M190" i="95" s="1"/>
  <c r="L191" i="95"/>
  <c r="M191" i="95" s="1"/>
  <c r="L192" i="95"/>
  <c r="M192" i="95" s="1"/>
  <c r="L193" i="95"/>
  <c r="M193" i="95" s="1"/>
  <c r="L194" i="95"/>
  <c r="M194" i="95" s="1"/>
  <c r="L195" i="95"/>
  <c r="L196" i="95"/>
  <c r="L197" i="95"/>
  <c r="L198" i="95"/>
  <c r="L199" i="95"/>
  <c r="L200" i="95"/>
  <c r="L201" i="95"/>
  <c r="L202" i="95"/>
  <c r="M202" i="95" s="1"/>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L217" i="95"/>
  <c r="L218" i="95"/>
  <c r="L219" i="95"/>
  <c r="L220" i="95"/>
  <c r="L221" i="95"/>
  <c r="M221" i="95" s="1"/>
  <c r="L222" i="95"/>
  <c r="M222" i="95" s="1"/>
  <c r="L223" i="95"/>
  <c r="M223" i="95" s="1"/>
  <c r="L224" i="95"/>
  <c r="M224" i="95" s="1"/>
  <c r="L225" i="95"/>
  <c r="M225" i="95" s="1"/>
  <c r="L226" i="95"/>
  <c r="M226" i="95" s="1"/>
  <c r="L227" i="95"/>
  <c r="L228" i="95"/>
  <c r="L229" i="95"/>
  <c r="L230" i="95"/>
  <c r="L231" i="95"/>
  <c r="L232" i="95"/>
  <c r="L233" i="95"/>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L249" i="95"/>
  <c r="L250" i="95"/>
  <c r="L251" i="95"/>
  <c r="L252" i="95"/>
  <c r="L253" i="95"/>
  <c r="M253" i="95" s="1"/>
  <c r="L254" i="95"/>
  <c r="M254" i="95" s="1"/>
  <c r="L255" i="95"/>
  <c r="M255" i="95" s="1"/>
  <c r="L256" i="95"/>
  <c r="M256" i="95" s="1"/>
  <c r="L257" i="95"/>
  <c r="M257" i="95" s="1"/>
  <c r="L258" i="95"/>
  <c r="M258" i="95" s="1"/>
  <c r="L259" i="95"/>
  <c r="L260" i="95"/>
  <c r="L261" i="95"/>
  <c r="L262" i="95"/>
  <c r="L263" i="95"/>
  <c r="L264" i="95"/>
  <c r="L265" i="95"/>
  <c r="L266" i="95"/>
  <c r="M266" i="95" s="1"/>
  <c r="L267" i="95"/>
  <c r="M267" i="95" s="1"/>
  <c r="L268" i="95"/>
  <c r="M268" i="95" s="1"/>
  <c r="L269" i="95"/>
  <c r="M269" i="95" s="1"/>
  <c r="L270" i="95"/>
  <c r="M270" i="95" s="1"/>
  <c r="L271" i="95"/>
  <c r="M271" i="95" s="1"/>
  <c r="L272" i="95"/>
  <c r="M272" i="95" s="1"/>
  <c r="L273" i="95"/>
  <c r="M273" i="95" s="1"/>
  <c r="L274" i="95"/>
  <c r="M274" i="95" s="1"/>
  <c r="L275" i="95"/>
  <c r="M275" i="95" s="1"/>
  <c r="L276" i="95"/>
  <c r="M276" i="95" s="1"/>
  <c r="L277" i="95"/>
  <c r="M277" i="95" s="1"/>
  <c r="L278" i="95"/>
  <c r="M278" i="95" s="1"/>
  <c r="L279" i="95"/>
  <c r="M279" i="95" s="1"/>
  <c r="L280" i="95"/>
  <c r="L281" i="95"/>
  <c r="L282" i="95"/>
  <c r="L283" i="95"/>
  <c r="L284" i="95"/>
  <c r="L285" i="95"/>
  <c r="M285" i="95" s="1"/>
  <c r="L286" i="95"/>
  <c r="M286" i="95" s="1"/>
  <c r="L287" i="95"/>
  <c r="M287" i="95" s="1"/>
  <c r="L288" i="95"/>
  <c r="M288" i="95" s="1"/>
  <c r="L289" i="95"/>
  <c r="M289" i="95" s="1"/>
  <c r="L290" i="95"/>
  <c r="M290" i="95" s="1"/>
  <c r="L291" i="95"/>
  <c r="L292" i="95"/>
  <c r="L293" i="95"/>
  <c r="L294" i="95"/>
  <c r="L295" i="95"/>
  <c r="L296" i="95"/>
  <c r="L297" i="95"/>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L313" i="95"/>
  <c r="L314" i="95"/>
  <c r="L315" i="95"/>
  <c r="L316" i="95"/>
  <c r="L317" i="95"/>
  <c r="M317" i="95" s="1"/>
  <c r="L318" i="95"/>
  <c r="M318" i="95" s="1"/>
  <c r="L319" i="95"/>
  <c r="M319" i="95" s="1"/>
  <c r="L320" i="95"/>
  <c r="M320" i="95" s="1"/>
  <c r="L321" i="95"/>
  <c r="M321" i="95" s="1"/>
  <c r="L322" i="95"/>
  <c r="M322" i="95" s="1"/>
  <c r="L323" i="95"/>
  <c r="L324" i="95"/>
  <c r="L325" i="95"/>
  <c r="L326" i="95"/>
  <c r="L327" i="95"/>
  <c r="L328" i="95"/>
  <c r="L329" i="95"/>
  <c r="L330" i="95"/>
  <c r="M330" i="95" s="1"/>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L345" i="95"/>
  <c r="L346" i="95"/>
  <c r="L347" i="95"/>
  <c r="L348" i="95"/>
  <c r="L349" i="95"/>
  <c r="M349" i="95" s="1"/>
  <c r="L350" i="95"/>
  <c r="M350" i="95" s="1"/>
  <c r="L351" i="95"/>
  <c r="M351" i="95" s="1"/>
  <c r="L352" i="95"/>
  <c r="M352" i="95" s="1"/>
  <c r="L353" i="95"/>
  <c r="M353" i="95" s="1"/>
  <c r="L354" i="95"/>
  <c r="M354" i="95" s="1"/>
  <c r="L355" i="95"/>
  <c r="L356" i="95"/>
  <c r="L357" i="95"/>
  <c r="L358" i="95"/>
  <c r="L359" i="95"/>
  <c r="L360" i="95"/>
  <c r="L361" i="95"/>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L377" i="95"/>
  <c r="L378" i="95"/>
  <c r="L379" i="95"/>
  <c r="L380" i="95"/>
  <c r="L381" i="95"/>
  <c r="M381" i="95" s="1"/>
  <c r="L382" i="95"/>
  <c r="M382" i="95" s="1"/>
  <c r="L383" i="95"/>
  <c r="M383" i="95" s="1"/>
  <c r="L384" i="95"/>
  <c r="M384" i="95" s="1"/>
  <c r="L385" i="95"/>
  <c r="M385" i="95" s="1"/>
  <c r="L386" i="95"/>
  <c r="M386" i="95" s="1"/>
  <c r="L387" i="95"/>
  <c r="L388" i="95"/>
  <c r="L389" i="95"/>
  <c r="L390" i="95"/>
  <c r="L391" i="95"/>
  <c r="L392" i="95"/>
  <c r="L393" i="95"/>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L409" i="95"/>
  <c r="L410" i="95"/>
  <c r="L411" i="95"/>
  <c r="L412" i="95"/>
  <c r="L413" i="95"/>
  <c r="M413" i="95" s="1"/>
  <c r="L414" i="95"/>
  <c r="M414" i="95" s="1"/>
  <c r="L415" i="95"/>
  <c r="M415" i="95" s="1"/>
  <c r="L416" i="95"/>
  <c r="M416" i="95" s="1"/>
  <c r="L417" i="95"/>
  <c r="M417" i="95" s="1"/>
  <c r="L418" i="95"/>
  <c r="M418" i="95" s="1"/>
  <c r="J2" i="95"/>
  <c r="K2" i="95" s="1"/>
  <c r="J3" i="95"/>
  <c r="J4" i="95"/>
  <c r="J5" i="95"/>
  <c r="J6" i="95"/>
  <c r="J7" i="95"/>
  <c r="J8" i="95"/>
  <c r="J9" i="95"/>
  <c r="J10" i="95"/>
  <c r="J11" i="95"/>
  <c r="K11" i="95" s="1"/>
  <c r="J12" i="95"/>
  <c r="K12" i="95" s="1"/>
  <c r="J13" i="95"/>
  <c r="K13" i="95" s="1"/>
  <c r="J14" i="95"/>
  <c r="K14" i="95" s="1"/>
  <c r="J15" i="95"/>
  <c r="K15" i="95" s="1"/>
  <c r="J16" i="95"/>
  <c r="K16" i="95" s="1"/>
  <c r="J17" i="95"/>
  <c r="K17" i="95" s="1"/>
  <c r="J18" i="95"/>
  <c r="K18" i="95" s="1"/>
  <c r="J19" i="95"/>
  <c r="K19" i="95" s="1"/>
  <c r="J20" i="95"/>
  <c r="K20" i="95" s="1"/>
  <c r="J21" i="95"/>
  <c r="K21" i="95" s="1"/>
  <c r="J22" i="95"/>
  <c r="J23" i="95"/>
  <c r="J24" i="95"/>
  <c r="K24" i="95" s="1"/>
  <c r="J25" i="95"/>
  <c r="J26" i="95"/>
  <c r="J27" i="95"/>
  <c r="J28" i="95"/>
  <c r="J29" i="95"/>
  <c r="J30" i="95"/>
  <c r="K30" i="95" s="1"/>
  <c r="J31" i="95"/>
  <c r="K31" i="95" s="1"/>
  <c r="J32" i="95"/>
  <c r="K32" i="95" s="1"/>
  <c r="J33" i="95"/>
  <c r="K33" i="95" s="1"/>
  <c r="J34" i="95"/>
  <c r="K34" i="95" s="1"/>
  <c r="J35" i="95"/>
  <c r="J36" i="95"/>
  <c r="J37" i="95"/>
  <c r="J38" i="95"/>
  <c r="J39" i="95"/>
  <c r="J40" i="95"/>
  <c r="J41" i="95"/>
  <c r="J42" i="95"/>
  <c r="J43" i="95"/>
  <c r="K43" i="95" s="1"/>
  <c r="J44" i="95"/>
  <c r="K44" i="95" s="1"/>
  <c r="J45" i="95"/>
  <c r="K45" i="95" s="1"/>
  <c r="J46" i="95"/>
  <c r="K46" i="95" s="1"/>
  <c r="J47" i="95"/>
  <c r="K47" i="95" s="1"/>
  <c r="J48" i="95"/>
  <c r="K48" i="95" s="1"/>
  <c r="J49" i="95"/>
  <c r="K49" i="95" s="1"/>
  <c r="J50" i="95"/>
  <c r="K50" i="95" s="1"/>
  <c r="J51" i="95"/>
  <c r="K51" i="95" s="1"/>
  <c r="J52" i="95"/>
  <c r="K52" i="95" s="1"/>
  <c r="J53" i="95"/>
  <c r="K53" i="95" s="1"/>
  <c r="J54" i="95"/>
  <c r="J55" i="95"/>
  <c r="J56" i="95"/>
  <c r="J57" i="95"/>
  <c r="J58" i="95"/>
  <c r="J59" i="95"/>
  <c r="J60" i="95"/>
  <c r="J61" i="95"/>
  <c r="J62" i="95"/>
  <c r="K62" i="95" s="1"/>
  <c r="J63" i="95"/>
  <c r="K63" i="95" s="1"/>
  <c r="J64" i="95"/>
  <c r="K64" i="95" s="1"/>
  <c r="J65" i="95"/>
  <c r="K65" i="95" s="1"/>
  <c r="J66" i="95"/>
  <c r="K66" i="95" s="1"/>
  <c r="J67" i="95"/>
  <c r="J68" i="95"/>
  <c r="J69" i="95"/>
  <c r="J70" i="95"/>
  <c r="J71" i="95"/>
  <c r="J72" i="95"/>
  <c r="J73" i="95"/>
  <c r="J74" i="95"/>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J87" i="95"/>
  <c r="J88" i="95"/>
  <c r="J89" i="95"/>
  <c r="J90" i="95"/>
  <c r="J91" i="95"/>
  <c r="J92" i="95"/>
  <c r="J93" i="95"/>
  <c r="J94" i="95"/>
  <c r="K94" i="95" s="1"/>
  <c r="J95" i="95"/>
  <c r="K95" i="95" s="1"/>
  <c r="J96" i="95"/>
  <c r="K96" i="95" s="1"/>
  <c r="J97" i="95"/>
  <c r="K97" i="95" s="1"/>
  <c r="J98" i="95"/>
  <c r="K98" i="95" s="1"/>
  <c r="J99" i="95"/>
  <c r="J100" i="95"/>
  <c r="J101" i="95"/>
  <c r="J102" i="95"/>
  <c r="J103" i="95"/>
  <c r="J104" i="95"/>
  <c r="J105" i="95"/>
  <c r="J106" i="95"/>
  <c r="J107" i="95"/>
  <c r="K107" i="95" s="1"/>
  <c r="J108" i="95"/>
  <c r="K108" i="95" s="1"/>
  <c r="J109" i="95"/>
  <c r="K109" i="95" s="1"/>
  <c r="J110" i="95"/>
  <c r="K110" i="95" s="1"/>
  <c r="J111" i="95"/>
  <c r="K111" i="95" s="1"/>
  <c r="J112" i="95"/>
  <c r="K112" i="95" s="1"/>
  <c r="J113" i="95"/>
  <c r="K113" i="95" s="1"/>
  <c r="J114" i="95"/>
  <c r="K114" i="95" s="1"/>
  <c r="J115" i="95"/>
  <c r="K115" i="95" s="1"/>
  <c r="J116" i="95"/>
  <c r="K116" i="95" s="1"/>
  <c r="J117" i="95"/>
  <c r="K117" i="95" s="1"/>
  <c r="J118" i="95"/>
  <c r="J119" i="95"/>
  <c r="J120" i="95"/>
  <c r="J121" i="95"/>
  <c r="J122" i="95"/>
  <c r="J123" i="95"/>
  <c r="J124" i="95"/>
  <c r="J125" i="95"/>
  <c r="J126" i="95"/>
  <c r="K126" i="95" s="1"/>
  <c r="J127" i="95"/>
  <c r="K127" i="95" s="1"/>
  <c r="J128" i="95"/>
  <c r="K128" i="95" s="1"/>
  <c r="J129" i="95"/>
  <c r="K129" i="95" s="1"/>
  <c r="J130" i="95"/>
  <c r="K130" i="95" s="1"/>
  <c r="J131" i="95"/>
  <c r="J132" i="95"/>
  <c r="J133" i="95"/>
  <c r="J134" i="95"/>
  <c r="J135" i="95"/>
  <c r="J136" i="95"/>
  <c r="J137" i="95"/>
  <c r="J138" i="95"/>
  <c r="J139" i="95"/>
  <c r="K139" i="95" s="1"/>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J151" i="95"/>
  <c r="J152" i="95"/>
  <c r="J153" i="95"/>
  <c r="J154" i="95"/>
  <c r="J155" i="95"/>
  <c r="J156" i="95"/>
  <c r="J157" i="95"/>
  <c r="J158" i="95"/>
  <c r="K158" i="95" s="1"/>
  <c r="J159" i="95"/>
  <c r="K159" i="95" s="1"/>
  <c r="J160" i="95"/>
  <c r="K160" i="95" s="1"/>
  <c r="J161" i="95"/>
  <c r="K161" i="95" s="1"/>
  <c r="J162" i="95"/>
  <c r="K162" i="95" s="1"/>
  <c r="J163" i="95"/>
  <c r="J164" i="95"/>
  <c r="J165" i="95"/>
  <c r="J166" i="95"/>
  <c r="J167" i="95"/>
  <c r="J168" i="95"/>
  <c r="J169" i="95"/>
  <c r="J170" i="95"/>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J183" i="95"/>
  <c r="J184" i="95"/>
  <c r="J185" i="95"/>
  <c r="J186" i="95"/>
  <c r="J187" i="95"/>
  <c r="J188" i="95"/>
  <c r="J189" i="95"/>
  <c r="J190" i="95"/>
  <c r="K190" i="95" s="1"/>
  <c r="J191" i="95"/>
  <c r="K191" i="95" s="1"/>
  <c r="J192" i="95"/>
  <c r="K192" i="95" s="1"/>
  <c r="J193" i="95"/>
  <c r="K193" i="95" s="1"/>
  <c r="J194" i="95"/>
  <c r="K194" i="95" s="1"/>
  <c r="J195" i="95"/>
  <c r="J196" i="95"/>
  <c r="J197" i="95"/>
  <c r="J198" i="95"/>
  <c r="J199" i="95"/>
  <c r="J200" i="95"/>
  <c r="J201" i="95"/>
  <c r="J202" i="95"/>
  <c r="J203" i="95"/>
  <c r="K203" i="95" s="1"/>
  <c r="J204" i="95"/>
  <c r="K204" i="95" s="1"/>
  <c r="J205" i="95"/>
  <c r="K205" i="95" s="1"/>
  <c r="J206" i="95"/>
  <c r="K206" i="95" s="1"/>
  <c r="J207" i="95"/>
  <c r="K207" i="95" s="1"/>
  <c r="J208" i="95"/>
  <c r="K208" i="95" s="1"/>
  <c r="J209" i="95"/>
  <c r="K209" i="95" s="1"/>
  <c r="J210" i="95"/>
  <c r="K210" i="95" s="1"/>
  <c r="J211" i="95"/>
  <c r="K211" i="95" s="1"/>
  <c r="J212" i="95"/>
  <c r="K212" i="95" s="1"/>
  <c r="J213" i="95"/>
  <c r="K213" i="95" s="1"/>
  <c r="J214" i="95"/>
  <c r="J215" i="95"/>
  <c r="J216" i="95"/>
  <c r="J217" i="95"/>
  <c r="J218" i="95"/>
  <c r="J219" i="95"/>
  <c r="J220" i="95"/>
  <c r="J221" i="95"/>
  <c r="J222" i="95"/>
  <c r="K222" i="95" s="1"/>
  <c r="J223" i="95"/>
  <c r="K223" i="95" s="1"/>
  <c r="J224" i="95"/>
  <c r="K224" i="95" s="1"/>
  <c r="J225" i="95"/>
  <c r="K225" i="95" s="1"/>
  <c r="J226" i="95"/>
  <c r="K226" i="95" s="1"/>
  <c r="J227" i="95"/>
  <c r="J228" i="95"/>
  <c r="J229" i="95"/>
  <c r="J230" i="95"/>
  <c r="J231" i="95"/>
  <c r="J232" i="95"/>
  <c r="J233" i="95"/>
  <c r="J234" i="95"/>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J247" i="95"/>
  <c r="J248" i="95"/>
  <c r="J249" i="95"/>
  <c r="J250" i="95"/>
  <c r="J251" i="95"/>
  <c r="J252" i="95"/>
  <c r="J253" i="95"/>
  <c r="J254" i="95"/>
  <c r="K254" i="95" s="1"/>
  <c r="J255" i="95"/>
  <c r="K255" i="95" s="1"/>
  <c r="J256" i="95"/>
  <c r="K256" i="95" s="1"/>
  <c r="J257" i="95"/>
  <c r="K257" i="95" s="1"/>
  <c r="J258" i="95"/>
  <c r="K258" i="95" s="1"/>
  <c r="J259" i="95"/>
  <c r="J260" i="95"/>
  <c r="J261" i="95"/>
  <c r="J262" i="95"/>
  <c r="J263" i="95"/>
  <c r="J264" i="95"/>
  <c r="J265" i="95"/>
  <c r="J266" i="95"/>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J279" i="95"/>
  <c r="J280" i="95"/>
  <c r="J281" i="95"/>
  <c r="J282" i="95"/>
  <c r="J283" i="95"/>
  <c r="J284" i="95"/>
  <c r="J285" i="95"/>
  <c r="J286" i="95"/>
  <c r="K286" i="95" s="1"/>
  <c r="J287" i="95"/>
  <c r="K287" i="95" s="1"/>
  <c r="J288" i="95"/>
  <c r="K288" i="95" s="1"/>
  <c r="J289" i="95"/>
  <c r="K289" i="95" s="1"/>
  <c r="J290" i="95"/>
  <c r="K290" i="95" s="1"/>
  <c r="J291" i="95"/>
  <c r="J292" i="95"/>
  <c r="J293" i="95"/>
  <c r="J294" i="95"/>
  <c r="J295" i="95"/>
  <c r="J296" i="95"/>
  <c r="J297" i="95"/>
  <c r="J298" i="95"/>
  <c r="J299" i="95"/>
  <c r="K299" i="95" s="1"/>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J311" i="95"/>
  <c r="J312" i="95"/>
  <c r="J313" i="95"/>
  <c r="J314" i="95"/>
  <c r="J315" i="95"/>
  <c r="J316" i="95"/>
  <c r="J317" i="95"/>
  <c r="J318" i="95"/>
  <c r="K318" i="95" s="1"/>
  <c r="J319" i="95"/>
  <c r="K319" i="95" s="1"/>
  <c r="J320" i="95"/>
  <c r="K320" i="95" s="1"/>
  <c r="J321" i="95"/>
  <c r="K321" i="95" s="1"/>
  <c r="J322" i="95"/>
  <c r="K322" i="95" s="1"/>
  <c r="J323" i="95"/>
  <c r="J324" i="95"/>
  <c r="J325" i="95"/>
  <c r="J326" i="95"/>
  <c r="J327" i="95"/>
  <c r="J328" i="95"/>
  <c r="J329" i="95"/>
  <c r="J330" i="95"/>
  <c r="J331" i="95"/>
  <c r="K331" i="95" s="1"/>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J343" i="95"/>
  <c r="J344" i="95"/>
  <c r="J345" i="95"/>
  <c r="J346" i="95"/>
  <c r="J347" i="95"/>
  <c r="J348" i="95"/>
  <c r="J349" i="95"/>
  <c r="J350" i="95"/>
  <c r="K350" i="95" s="1"/>
  <c r="J351" i="95"/>
  <c r="K351" i="95" s="1"/>
  <c r="J352" i="95"/>
  <c r="K352" i="95" s="1"/>
  <c r="J353" i="95"/>
  <c r="K353" i="95" s="1"/>
  <c r="J354" i="95"/>
  <c r="K354" i="95" s="1"/>
  <c r="J355" i="95"/>
  <c r="J356" i="95"/>
  <c r="J357" i="95"/>
  <c r="J358" i="95"/>
  <c r="J359" i="95"/>
  <c r="J360" i="95"/>
  <c r="J361" i="95"/>
  <c r="J362" i="95"/>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J375" i="95"/>
  <c r="J376" i="95"/>
  <c r="J377" i="95"/>
  <c r="J378" i="95"/>
  <c r="J379" i="95"/>
  <c r="J380" i="95"/>
  <c r="J381" i="95"/>
  <c r="J382" i="95"/>
  <c r="K382" i="95" s="1"/>
  <c r="J383" i="95"/>
  <c r="K383" i="95" s="1"/>
  <c r="J384" i="95"/>
  <c r="K384" i="95" s="1"/>
  <c r="J385" i="95"/>
  <c r="K385" i="95" s="1"/>
  <c r="J386" i="95"/>
  <c r="K386" i="95" s="1"/>
  <c r="J387" i="95"/>
  <c r="J388" i="95"/>
  <c r="J389" i="95"/>
  <c r="J390" i="95"/>
  <c r="J391" i="95"/>
  <c r="J392" i="95"/>
  <c r="J393" i="95"/>
  <c r="J394" i="95"/>
  <c r="J395" i="95"/>
  <c r="K395" i="95" s="1"/>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J407" i="95"/>
  <c r="J408" i="95"/>
  <c r="J409" i="95"/>
  <c r="J410" i="95"/>
  <c r="J411" i="95"/>
  <c r="J412" i="95"/>
  <c r="J413" i="95"/>
  <c r="J414" i="95"/>
  <c r="K414" i="95" s="1"/>
  <c r="J415" i="95"/>
  <c r="K415" i="95" s="1"/>
  <c r="J416" i="95"/>
  <c r="K416" i="95" s="1"/>
  <c r="J417" i="95"/>
  <c r="K417" i="95" s="1"/>
  <c r="J418" i="95"/>
  <c r="K418" i="95"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V21" i="8" l="1"/>
  <c r="J19" i="8" s="1"/>
  <c r="M69" i="26"/>
  <c r="K69" i="26"/>
  <c r="I69" i="26"/>
  <c r="F69" i="26"/>
  <c r="F68" i="26"/>
  <c r="F67" i="26"/>
  <c r="F66" i="26"/>
  <c r="F65" i="26"/>
  <c r="F64" i="26"/>
  <c r="F63" i="26"/>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T62" i="26" l="1"/>
  <c r="R62" i="26"/>
  <c r="F62" i="26" a="1"/>
  <c r="F62" i="26" s="1"/>
  <c r="C2" i="12" a="1"/>
  <c r="C2" i="12" s="1"/>
  <c r="B2" i="12" a="1"/>
  <c r="B2" i="12" s="1"/>
  <c r="A2" i="12" a="1"/>
  <c r="A2" i="12" s="1"/>
  <c r="E9" i="8" a="1"/>
  <c r="E9" i="8" s="1"/>
  <c r="D19" i="4"/>
  <c r="D7" i="8" a="1"/>
  <c r="D7" i="8" s="1"/>
  <c r="E2" i="71" l="1"/>
  <c r="Q2" i="29" s="1" a="1"/>
  <c r="D2" i="71"/>
  <c r="O2" i="95" s="1" a="1"/>
  <c r="O2" i="95"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AL2" i="77" l="1" a="1"/>
  <c r="AL2" i="77" s="1"/>
  <c r="E2" i="96" a="1"/>
  <c r="B10" i="26"/>
  <c r="B11" i="26"/>
  <c r="Q2" i="29"/>
  <c r="D5" i="8" s="1"/>
  <c r="E19" i="4"/>
  <c r="K19" i="4"/>
  <c r="N19" i="4"/>
  <c r="B54" i="26" l="1"/>
  <c r="E2" i="96"/>
  <c r="D19" i="8"/>
  <c r="G97" i="8" s="1" a="1"/>
  <c r="G97" i="8" s="1"/>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25" i="5" l="1"/>
  <c r="L4" i="8"/>
  <c r="L5" i="8"/>
  <c r="S29" i="8" a="1"/>
  <c r="S29" i="8" l="1"/>
  <c r="L6" i="8"/>
  <c r="N24" i="26"/>
  <c r="R34" i="8" a="1"/>
  <c r="S44" i="8" a="1"/>
  <c r="R12" i="8" a="1"/>
  <c r="R29" i="8" a="1"/>
  <c r="S26" i="8" a="1"/>
  <c r="S40" i="8" a="1"/>
  <c r="S5" i="8" a="1"/>
  <c r="R36" i="8" a="1"/>
  <c r="R20" i="8" a="1"/>
  <c r="S21" i="8" a="1"/>
  <c r="S30" i="8" a="1"/>
  <c r="S14" i="8" a="1"/>
  <c r="S13" i="8" a="1"/>
  <c r="R23" i="8" a="1"/>
  <c r="R40" i="8" a="1"/>
  <c r="R37" i="8" a="1"/>
  <c r="S32" i="8" a="1"/>
  <c r="R10" i="8" a="1"/>
  <c r="S19" i="8" a="1"/>
  <c r="R14" i="8" a="1"/>
  <c r="S18" i="8" a="1"/>
  <c r="S10" i="8" a="1"/>
  <c r="R13" i="8" a="1"/>
  <c r="S39" i="8" a="1"/>
  <c r="S6" i="8" a="1"/>
  <c r="S12" i="8" a="1"/>
  <c r="S22" i="8" a="1"/>
  <c r="S17" i="8" a="1"/>
  <c r="S16" i="8" a="1"/>
  <c r="R7" i="8" a="1"/>
  <c r="S36" i="8" a="1"/>
  <c r="R16" i="8" a="1"/>
  <c r="R42" i="8" a="1"/>
  <c r="R38" i="8" a="1"/>
  <c r="S43" i="8" a="1"/>
  <c r="R6" i="8" a="1"/>
  <c r="R22" i="8" a="1"/>
  <c r="S31" i="8" a="1"/>
  <c r="R17" i="8" a="1"/>
  <c r="R31" i="8" a="1"/>
  <c r="R9" i="8" a="1"/>
  <c r="R39" i="8" a="1"/>
  <c r="R44" i="8" a="1"/>
  <c r="S8" i="8" a="1"/>
  <c r="S7" i="8" a="1"/>
  <c r="S38" i="8" a="1"/>
  <c r="S28" i="8" a="1"/>
  <c r="R11" i="8" a="1"/>
  <c r="R35" i="8" a="1"/>
  <c r="R27" i="8" a="1"/>
  <c r="R25" i="8" a="1"/>
  <c r="S41" i="8" a="1"/>
  <c r="R21" i="8" a="1"/>
  <c r="S35" i="8" a="1"/>
  <c r="S27" i="8" a="1"/>
  <c r="R19" i="8" a="1"/>
  <c r="R41" i="8" a="1"/>
  <c r="R15" i="8" a="1"/>
  <c r="R30" i="8" a="1"/>
  <c r="R33" i="8" a="1"/>
  <c r="S25" i="8" a="1"/>
  <c r="S37" i="8" a="1"/>
  <c r="R8" i="8" a="1"/>
  <c r="S42" i="8" a="1"/>
  <c r="S24" i="8" a="1"/>
  <c r="S23" i="8" a="1"/>
  <c r="S20" i="8" a="1"/>
  <c r="R24" i="8" a="1"/>
  <c r="R26" i="8" a="1"/>
  <c r="S9" i="8" a="1"/>
  <c r="S33" i="8" a="1"/>
  <c r="R18" i="8" a="1"/>
  <c r="S15" i="8" a="1"/>
  <c r="R5" i="8" a="1"/>
  <c r="S11" i="8" a="1"/>
  <c r="R32" i="8" a="1"/>
  <c r="R28" i="8" a="1"/>
  <c r="R43" i="8" a="1"/>
  <c r="S34"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9" i="26"/>
  <c r="L8" i="26"/>
  <c r="L30" i="26"/>
  <c r="H30" i="26"/>
  <c r="Q68" i="26"/>
  <c r="I68" i="26" s="1"/>
  <c r="Q67" i="26"/>
  <c r="I67" i="26" s="1"/>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<sst xmlns="http://schemas.openxmlformats.org/spreadsheetml/2006/main" count="1938" uniqueCount="972">
  <si>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</si>
  <si>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</si>
  <si>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</si>
  <si>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</si>
  <si>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</si>
  <si>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</si>
  <si>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</si>
  <si>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</si>
  <si>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</si>
  <si>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</si>
  <si>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</si>
  <si>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</si>
  <si>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</si>
  <si>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</si>
  <si>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</si>
  <si>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</si>
  <si>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</si>
  <si>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</si>
  <si>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</si>
  <si>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</si>
  <si>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</si>
  <si>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</si>
  <si>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</si>
  <si>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</si>
  <si>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</si>
  <si>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</si>
  <si>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</si>
  <si>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</si>
  <si>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</si>
  <si>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</si>
  <si>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</si>
  <si>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</si>
  <si>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</si>
  <si>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</si>
  <si>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</si>
  <si>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</si>
  <si>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</si>
  <si>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</si>
  <si>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</si>
  <si>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</si>
  <si>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</si>
  <si>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</si>
  <si>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</si>
  <si>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</si>
  <si>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</si>
  <si>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</si>
  <si>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</si>
  <si>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</si>
  <si>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</si>
  <si>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</si>
  <si>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</si>
  <si>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</si>
  <si>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</si>
  <si>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</si>
  <si>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</si>
  <si>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</si>
  <si>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</si>
  <si>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</si>
  <si>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</si>
  <si>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</si>
  <si>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</si>
  <si>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</si>
  <si>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</si>
  <si>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</si>
  <si>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</si>
  <si>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</si>
  <si>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</si>
  <si>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</si>
  <si>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</si>
  <si>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</si>
  <si>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</si>
  <si>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</si>
  <si>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</si>
  <si>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</si>
  <si>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</si>
  <si>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</si>
  <si>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</si>
  <si>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</si>
  <si>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</si>
  <si>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</si>
  <si>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</si>
  <si>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</si>
  <si>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</si>
  <si>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</si>
  <si>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</si>
  <si>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</si>
  <si>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</si>
  <si>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</si>
  <si>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</si>
  <si>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</si>
  <si>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</si>
  <si>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</si>
  <si>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</si>
  <si>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</si>
  <si>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</si>
  <si>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</si>
  <si>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</si>
  <si>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</si>
  <si>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</si>
  <si>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</si>
  <si>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</si>
  <si>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</si>
  <si>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</si>
  <si>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</si>
  <si>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</si>
  <si>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</si>
  <si>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</si>
  <si>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</si>
  <si>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</si>
  <si>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</si>
  <si>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</si>
  <si>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</si>
  <si>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</si>
  <si>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</si>
  <si>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</si>
  <si>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</si>
  <si>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</si>
  <si>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</si>
  <si>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</si>
  <si>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</si>
  <si>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</si>
  <si>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</si>
  <si>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</si>
  <si>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</si>
  <si>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</si>
  <si>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</si>
  <si>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</si>
  <si>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</si>
  <si>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</si>
  <si>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</si>
  <si>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</si>
  <si>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</si>
  <si>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</si>
  <si>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</si>
  <si>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</si>
  <si>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</si>
  <si>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</si>
  <si>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</si>
  <si>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</si>
  <si>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</si>
  <si>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</si>
  <si>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</si>
  <si>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</si>
  <si>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</si>
  <si>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</si>
  <si>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</si>
  <si>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</si>
  <si>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</si>
  <si>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</si>
  <si>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</si>
  <si>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</si>
  <si>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</si>
  <si>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</si>
  <si>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</si>
  <si>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</si>
  <si>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</si>
  <si>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</si>
  <si>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</si>
  <si>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</si>
  <si>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</si>
  <si>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</si>
  <si>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</si>
  <si>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</si>
  <si>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</si>
  <si>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</si>
  <si>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</si>
  <si>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</si>
  <si>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</si>
  <si>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</si>
  <si>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</si>
  <si>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</si>
  <si>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</si>
  <si>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</si>
  <si>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</si>
  <si>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</si>
  <si>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</si>
  <si>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</si>
  <si>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</si>
  <si>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</si>
  <si>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</si>
  <si>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</si>
  <si>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</si>
  <si>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</si>
  <si>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</si>
  <si>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</si>
  <si>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</si>
  <si>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</si>
  <si>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</si>
  <si>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</si>
  <si>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</si>
  <si>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</si>
  <si>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</si>
  <si>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</si>
  <si>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</si>
  <si>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</si>
  <si>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</si>
  <si>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</si>
  <si>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</si>
  <si>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</si>
  <si>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</si>
  <si>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</si>
  <si>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</si>
  <si>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</si>
  <si>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</si>
  <si>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</si>
  <si>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</si>
  <si>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</si>
  <si>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</si>
  <si>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</si>
  <si>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</si>
  <si>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</si>
  <si>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</si>
  <si>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</si>
  <si>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</si>
  <si>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</si>
  <si>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</si>
  <si>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</si>
  <si>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</si>
  <si>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</si>
  <si>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</si>
  <si>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</si>
  <si>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</si>
  <si>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</si>
  <si>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</si>
  <si>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</si>
  <si>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</si>
  <si>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</si>
  <si>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</si>
  <si>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</si>
  <si>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</si>
  <si>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</si>
  <si>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</si>
  <si>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</si>
  <si>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</si>
  <si>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</si>
  <si>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</si>
  <si>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</si>
  <si>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</si>
  <si>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</si>
  <si>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</si>
  <si>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</si>
  <si>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</si>
  <si>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</si>
  <si>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</si>
  <si>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</si>
  <si>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</si>
  <si>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</si>
  <si>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</si>
  <si>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</si>
  <si>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</si>
  <si>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</si>
  <si>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</si>
  <si>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</si>
  <si>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</si>
  <si>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</si>
  <si>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</si>
  <si>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</si>
  <si>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</si>
  <si>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</si>
  <si>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</si>
  <si>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</si>
  <si>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</si>
  <si>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</si>
  <si>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</si>
  <si>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</si>
  <si>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</si>
  <si>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</si>
  <si>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</si>
  <si>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</si>
  <si>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</si>
  <si>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</si>
  <si>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</si>
  <si>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</si>
  <si>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</si>
  <si>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</si>
  <si>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</si>
  <si>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</si>
  <si>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</si>
  <si>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</si>
  <si>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</si>
  <si>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</si>
  <si>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</si>
  <si>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</si>
  <si>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</si>
  <si>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</si>
  <si>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</si>
  <si>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</si>
  <si>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</si>
  <si>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</si>
  <si>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</si>
  <si>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</si>
  <si>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</si>
  <si>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</si>
  <si>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</si>
  <si>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</si>
  <si>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</si>
  <si>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</si>
  <si>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</si>
  <si>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</si>
  <si>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</si>
  <si>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</si>
  <si>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</si>
  <si>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</si>
  <si>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</si>
  <si>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</si>
  <si>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</si>
  <si>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</si>
  <si>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</si>
  <si>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</si>
  <si>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</si>
  <si>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</si>
  <si>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</si>
  <si>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</si>
  <si>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</si>
  <si>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</si>
  <si>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</si>
  <si>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</si>
  <si>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</si>
  <si>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</si>
  <si>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</si>
  <si>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</si>
  <si>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</si>
  <si>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</si>
  <si>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</si>
  <si>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</si>
  <si>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</si>
  <si>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</si>
  <si>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</si>
  <si>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</si>
  <si>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</si>
  <si>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</si>
  <si>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</si>
  <si>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</si>
  <si>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</si>
  <si>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</si>
  <si>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</si>
  <si>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</si>
  <si>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</si>
  <si>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</si>
  <si>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</si>
  <si>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</si>
  <si>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</si>
  <si>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</si>
  <si>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</si>
  <si>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</si>
  <si>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</si>
  <si>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</si>
  <si>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</si>
  <si>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</si>
  <si>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</si>
  <si>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</si>
  <si>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</si>
  <si>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</si>
  <si>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</si>
  <si>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</si>
  <si>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</si>
  <si>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</si>
  <si>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</si>
  <si>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</si>
  <si>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</si>
  <si>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</si>
  <si>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</si>
  <si>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</si>
  <si>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</si>
  <si>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</si>
  <si>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</si>
  <si>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</si>
  <si>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</si>
  <si>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</si>
  <si>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</si>
  <si>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</si>
  <si>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</si>
  <si>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</si>
  <si>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</si>
  <si>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</si>
  <si>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</si>
  <si>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</si>
  <si>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</si>
  <si>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</si>
  <si>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</si>
  <si>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</si>
  <si>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</si>
  <si>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</si>
  <si>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</si>
  <si>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</si>
  <si>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</si>
  <si>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</si>
  <si>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</si>
  <si>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</si>
  <si>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</si>
  <si>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</si>
  <si>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</si>
  <si>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</si>
  <si>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</si>
  <si>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</si>
  <si>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</si>
  <si>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</si>
  <si>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</si>
  <si>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</si>
  <si>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</si>
  <si>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</si>
  <si>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</si>
  <si>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</si>
  <si>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</si>
  <si>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</si>
  <si>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</si>
  <si>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</si>
  <si>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</si>
  <si>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</si>
  <si>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</si>
  <si>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</si>
  <si>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</si>
  <si>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</si>
  <si>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</si>
  <si>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</si>
  <si>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</si>
  <si>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</si>
  <si>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</si>
  <si>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</si>
  <si>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</si>
  <si>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</si>
  <si>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</si>
  <si>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</si>
  <si>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</si>
  <si>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</si>
  <si>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</si>
  <si>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</si>
  <si>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</si>
  <si>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</si>
  <si>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</si>
  <si>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</si>
  <si>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</si>
  <si>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</si>
  <si>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</si>
  <si>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</si>
  <si>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</si>
  <si>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</si>
  <si>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</si>
  <si>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</si>
  <si>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</si>
  <si>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</si>
  <si>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</si>
  <si>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</si>
  <si>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</si>
  <si>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</si>
  <si>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</si>
  <si>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</si>
  <si>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</si>
  <si>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</si>
  <si>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</si>
  <si>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</si>
  <si>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</si>
  <si>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</si>
  <si>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</si>
  <si>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</si>
  <si>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</si>
  <si>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</si>
  <si>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</si>
  <si>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</si>
  <si>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</si>
  <si>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</si>
  <si>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</si>
  <si>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</si>
  <si>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</si>
  <si>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</si>
  <si>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</si>
  <si>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</si>
  <si>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</si>
  <si>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</si>
  <si>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</si>
  <si>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</si>
  <si>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</si>
  <si>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</si>
  <si>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</si>
  <si>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</si>
  <si>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</si>
  <si>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</si>
  <si>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</si>
  <si>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</si>
  <si>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</si>
  <si>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</si>
  <si>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</si>
  <si>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</si>
  <si>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</si>
  <si>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</si>
  <si>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</si>
  <si>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</si>
  <si>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</si>
  <si>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</si>
  <si>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</si>
  <si>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</si>
  <si>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</si>
  <si>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</si>
  <si>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</si>
  <si>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</si>
  <si>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</si>
  <si>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</si>
  <si>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</si>
  <si>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</si>
  <si>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</si>
  <si>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</si>
  <si>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</si>
  <si>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</si>
  <si>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</si>
  <si>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</si>
  <si>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</si>
  <si>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</si>
  <si>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</si>
  <si>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</si>
  <si>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</si>
  <si>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</si>
  <si>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</si>
  <si>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</si>
  <si>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</si>
  <si>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</si>
  <si>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</si>
  <si>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</si>
  <si>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</si>
  <si>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</si>
  <si>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</si>
  <si>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</si>
  <si>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</si>
  <si>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</si>
  <si>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</si>
  <si>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</si>
  <si>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</si>
  <si>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</si>
  <si>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</si>
  <si>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</si>
  <si>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</si>
  <si>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</si>
  <si>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</si>
  <si>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</si>
  <si>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</si>
  <si>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</si>
  <si>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</si>
  <si>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</si>
  <si>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</si>
  <si>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</si>
  <si>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</si>
  <si>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</si>
  <si>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</si>
  <si>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</si>
  <si>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</si>
  <si>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</si>
  <si>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</si>
  <si>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</si>
  <si>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</si>
  <si>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</si>
  <si>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</si>
  <si>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</si>
  <si>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</si>
  <si>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</si>
  <si>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</si>
  <si>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</si>
  <si>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</si>
  <si>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</si>
  <si>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</si>
  <si>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</si>
  <si>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</si>
  <si>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</si>
  <si>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</si>
  <si>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</si>
  <si>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</si>
  <si>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</si>
  <si>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</si>
  <si>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</si>
  <si>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</si>
  <si>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</si>
  <si>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</si>
  <si>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</si>
  <si>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</si>
  <si>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</si>
  <si>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</si>
  <si>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</si>
  <si>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</si>
  <si>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</si>
  <si>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</si>
  <si>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</si>
  <si>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</si>
  <si>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</si>
  <si>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</si>
  <si>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</si>
  <si>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</si>
  <si>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</si>
  <si>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</si>
  <si>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</si>
  <si>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</si>
  <si>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</si>
  <si>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</si>
  <si>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</si>
  <si>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</si>
  <si>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</si>
  <si>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</si>
  <si>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</si>
  <si>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</si>
  <si>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</si>
  <si>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</si>
  <si>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</si>
  <si>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</si>
  <si>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</si>
  <si>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</si>
  <si>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</si>
  <si>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</si>
  <si>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</si>
  <si>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</si>
  <si>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</si>
  <si>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</si>
  <si>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</si>
  <si>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</si>
  <si>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</si>
  <si>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</si>
  <si>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</si>
  <si>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</si>
  <si>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</si>
  <si>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</si>
  <si>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</si>
  <si>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</si>
  <si>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</si>
  <si>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</si>
  <si>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</si>
  <si>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</si>
  <si>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</si>
  <si>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</si>
  <si>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</si>
  <si>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</si>
  <si>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</si>
  <si>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</si>
  <si>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</si>
  <si>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</si>
  <si>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</si>
  <si>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</si>
  <si>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</si>
  <si>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</si>
  <si>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</si>
  <si>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</si>
  <si>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</si>
  <si>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</si>
  <si>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</si>
  <si>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</si>
  <si>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</si>
  <si>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</si>
  <si>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</si>
  <si>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</si>
  <si>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</si>
  <si>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</si>
  <si>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</si>
  <si>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</si>
  <si>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</si>
  <si>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</si>
  <si>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</si>
  <si>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</si>
  <si>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</si>
  <si>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</si>
  <si>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</si>
  <si>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</si>
  <si>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</si>
  <si>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</si>
  <si>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</si>
  <si>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</si>
  <si>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</si>
  <si>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</si>
  <si>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</si>
  <si>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</si>
  <si>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</si>
  <si>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</si>
  <si>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</si>
  <si>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</si>
  <si>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</si>
  <si>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</si>
  <si>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</si>
  <si>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</si>
  <si>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</si>
  <si>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</si>
  <si>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</si>
  <si>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</si>
  <si>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</si>
  <si>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</si>
  <si>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</si>
  <si>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</si>
  <si>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</si>
  <si>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</si>
  <si>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</si>
  <si>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</si>
  <si>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</si>
  <si>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</si>
  <si>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</si>
  <si>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</si>
  <si>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</si>
  <si>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</si>
  <si>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</si>
  <si>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</si>
  <si>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</si>
  <si>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</si>
  <si>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</si>
  <si>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</si>
  <si>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</si>
  <si>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</si>
  <si>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</si>
  <si>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</si>
  <si>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</si>
  <si>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</si>
  <si>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</si>
  <si>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</si>
  <si>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</si>
  <si>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</si>
  <si>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</si>
  <si>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</si>
  <si>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</si>
  <si>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</si>
  <si>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</si>
  <si>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</si>
  <si>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</si>
  <si>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</si>
  <si>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</si>
  <si>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</si>
  <si>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</si>
  <si>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</si>
  <si>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</si>
  <si>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</si>
  <si>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</si>
  <si>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</si>
  <si>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</si>
  <si>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</si>
  <si>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</si>
  <si>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</si>
  <si>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</si>
  <si>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</si>
  <si>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</si>
  <si>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</si>
  <si>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</si>
  <si>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</si>
  <si>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</si>
  <si>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</si>
  <si>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</si>
  <si>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</si>
  <si>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</si>
  <si>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</si>
  <si>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</si>
  <si>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</si>
  <si>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</si>
  <si>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</si>
  <si>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</si>
  <si>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</si>
  <si>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</si>
  <si>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</si>
  <si>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</si>
  <si>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</si>
  <si>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</si>
  <si>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</si>
  <si>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</si>
  <si>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</si>
  <si>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</si>
  <si>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</si>
  <si>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</si>
  <si>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</si>
  <si>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</si>
  <si>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</si>
  <si>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</si>
  <si>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</si>
  <si>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</si>
  <si>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</si>
  <si>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</si>
  <si>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</si>
  <si>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</si>
  <si>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</si>
  <si>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</si>
  <si>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</si>
  <si>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</si>
  <si>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</si>
  <si>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</si>
  <si>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</si>
  <si>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</si>
  <si>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</si>
  <si>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</si>
  <si>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</si>
  <si>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</si>
  <si>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</si>
  <si>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</si>
  <si>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</si>
  <si>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</si>
  <si>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</si>
  <si>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</si>
  <si>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</si>
  <si>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</si>
  <si>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</si>
  <si>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</si>
  <si>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</si>
  <si>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</si>
  <si>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</si>
  <si>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</si>
  <si>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</si>
  <si>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</si>
  <si>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</si>
  <si>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</si>
  <si>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</si>
  <si>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</si>
  <si>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</si>
  <si>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</si>
  <si>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</si>
  <si>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</si>
  <si>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</si>
  <si>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</si>
  <si>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</si>
  <si>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</si>
  <si>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</si>
  <si>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</si>
  <si>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</si>
  <si>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</si>
  <si>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</si>
  <si>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</si>
  <si>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</si>
  <si>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</si>
  <si>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</si>
  <si>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</si>
  <si>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</si>
  <si>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</si>
  <si>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</si>
  <si>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</si>
  <si>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</si>
  <si>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</si>
  <si>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</si>
  <si>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</si>
  <si>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</si>
  <si>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</si>
  <si>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</si>
  <si>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</si>
  <si>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</si>
  <si>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</si>
  <si>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</si>
  <si>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</si>
  <si>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</si>
  <si>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</si>
  <si>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</si>
  <si>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</si>
  <si>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</si>
  <si>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</si>
  <si>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</si>
  <si>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</si>
  <si>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</si>
  <si>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</si>
  <si>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</si>
  <si>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</si>
  <si>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</si>
  <si>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</si>
  <si>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</si>
  <si>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</si>
  <si>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</si>
  <si>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</si>
  <si>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</si>
  <si>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</si>
  <si>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</si>
  <si>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</si>
  <si>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</si>
  <si>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</si>
  <si>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</si>
  <si>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</si>
  <si>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</si>
  <si>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</si>
  <si>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</si>
  <si>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</si>
  <si>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</si>
  <si>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</si>
  <si>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</si>
  <si>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</si>
  <si>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</si>
  <si>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</si>
  <si>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</si>
  <si>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</si>
  <si>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</si>
  <si>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</si>
  <si>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</si>
  <si>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</si>
  <si>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</si>
  <si>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</si>
  <si>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</si>
  <si>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</si>
  <si>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</si>
  <si>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</si>
  <si>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</si>
  <si>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</si>
  <si>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</si>
  <si>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</si>
  <si>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</si>
  <si>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</si>
  <si>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</si>
  <si>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</si>
  <si>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</si>
  <si>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</si>
  <si>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</si>
  <si>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</si>
  <si>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</si>
  <si>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</si>
  <si>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</si>
  <si>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</si>
  <si>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</si>
  <si>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</si>
  <si>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</si>
  <si>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</si>
  <si>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</si>
  <si>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</si>
  <si>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</si>
  <si>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</si>
  <si>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</si>
  <si>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</si>
  <si>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</si>
  <si>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</si>
  <si>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</si>
  <si>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</si>
  <si>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</si>
  <si>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</si>
  <si>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</si>
  <si>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</si>
  <si>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</si>
  <si>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</si>
  <si>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</si>
  <si>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</si>
  <si>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</si>
  <si>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</si>
  <si>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</si>
  <si>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</si>
  <si>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</si>
  <si>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</si>
  <si>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</si>
  <si>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</si>
  <si>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</si>
  <si>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</si>
  <si>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</si>
  <si>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</si>
  <si>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</si>
  <si>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</si>
  <si>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</si>
  <si>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</si>
  <si>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</si>
  <si>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</si>
  <si>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</si>
  <si>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</si>
  <si>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</si>
  <si>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</si>
  <si>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</si>
  <si>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</si>
  <si>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</si>
  <si>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</si>
  <si>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</si>
  <si>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</si>
  <si>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</si>
  <si>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</si>
  <si>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</si>
  <si>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</si>
  <si>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</si>
  <si>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</si>
  <si>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</si>
  <si>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</si>
  <si>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</si>
  <si>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</si>
  <si>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</si>
  <si>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Ver. 07.17.25</t>
  </si>
  <si>
    <t>RangeMin</t>
  </si>
  <si>
    <t>RangeMax</t>
  </si>
  <si>
    <t>TolMin</t>
  </si>
  <si>
    <t>TolMax</t>
  </si>
  <si>
    <t>TolResolution</t>
  </si>
  <si>
    <t>Unit</t>
  </si>
  <si>
    <t>Flags</t>
  </si>
  <si>
    <t>TolMinText</t>
  </si>
  <si>
    <t>TolMaxText</t>
  </si>
  <si>
    <t>TolText</t>
  </si>
  <si>
    <t>RangeMaxText</t>
  </si>
  <si>
    <t>RangeText</t>
  </si>
  <si>
    <t>Ranges</t>
  </si>
  <si>
    <t>Tolerances</t>
  </si>
  <si>
    <t>On-Site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</si>
</sst>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0" fontId="20" fillId="3" borderId="4" xfId="0" applyNumberFormat="1" applyFont="1" applyFill="1" applyBorder="1" applyAlignment="1" applyProtection="1">
      <alignment horizontal="left"/>
    </xf>
    <xf numFmtId="172" fontId="6" fillId="0" borderId="0" xfId="3" applyNumberFormat="1" applyFill="1" applyProtection="1">
      <protection locked="0"/>
    </xf>
    <xf numFmtId="164" fontId="6" fillId="0" borderId="0" xfId="3" applyNumberFormat="1" applyFill="1" applyProtection="1">
      <protection locked="0"/>
    </xf>
    <xf numFmtId="0" fontId="6" fillId="0" borderId="0" xfId="0" applyNumberFormat="1"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5">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94"/>
    <tableColumn id="8" xr3:uid="{7C740CB9-37DA-435E-A87E-AF050E31623C}" uniqueName="8" name="wire_roll_cert_number" queryTableFieldId="8" dataDxfId="184"/>
    <tableColumn id="7" xr3:uid="{297A4F29-F6E9-4BD3-A7A2-5F1039480BAE}" uniqueName="7" name="certificate_number" queryTableFieldId="7" dataDxfId="183"/>
    <tableColumn id="6" xr3:uid="{B359FFDA-2633-4F67-9E7E-BA0BB88ADA64}" uniqueName="6" name="next_service_date" queryTableFieldId="6" dataDxfId="93"/>
    <tableColumn id="5" xr3:uid="{412A70E1-7452-417E-A3A9-BD3499EBD33C}" uniqueName="5" name="service_date" queryTableFieldId="5" dataDxfId="92"/>
    <tableColumn id="4" xr3:uid="{44F03B5B-6C09-4D5C-B2E2-D809B4EDF2B0}" uniqueName="4" name="custom_order_number" queryTableFieldId="4" dataDxfId="182"/>
    <tableColumn id="3" xr3:uid="{D963BD5C-EE98-4CDD-ABAE-5315BBDA1135}" uniqueName="3" name="asset_tag" queryTableFieldId="3" dataDxfId="181"/>
    <tableColumn id="2" xr3:uid="{D07D770F-21F7-425E-8CCA-AA85FFD513A3}" uniqueName="2" name="serial_number" queryTableFieldId="2" dataDxfId="180"/>
    <tableColumn id="1" xr3:uid="{4CB1C976-73DA-4579-B7F8-9D891581EA5A}" uniqueName="1" name="asset_id" queryTableFieldId="1"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68"/>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9"/>
    <tableColumn id="2" xr3:uid="{44100894-4C9D-4514-95AC-618BC19E5917}" uniqueName="2" name="Temp" queryTableFieldId="4" dataDxfId="178"/>
    <tableColumn id="3" xr3:uid="{ECB904AC-F679-49D7-806F-647089E4822A}" uniqueName="3" name="Offset" queryTableFieldId="5" dataDxfId="17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6"/>
    <tableColumn id="3" xr3:uid="{5A7694DA-28F6-45C3-AA3A-8F5C42BC36CB}" uniqueName="3" name="login_email" queryTableFieldId="12"/>
    <tableColumn id="4" xr3:uid="{E8A7333A-3221-4D58-96FF-11D069828831}" uniqueName="4" name="IsPyro" queryTableFieldId="13" dataDxfId="17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4">
  <autoFilter ref="A1:C9" xr:uid="{8AF992F3-27EF-4265-960D-70EC6F74FAFA}"/>
  <sortState xmlns:xlrd2="http://schemas.microsoft.com/office/spreadsheetml/2017/richdata2" ref="A2:C9">
    <sortCondition ref="B1:B9"/>
  </sortState>
  <tableColumns count="3">
    <tableColumn id="1" xr3:uid="{1F7D0D09-7152-4679-B25C-65CF0E0AB2D4}" name="Type" dataDxfId="173"/>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67"/>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2">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1">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70"/>
    <tableColumn id="3" xr3:uid="{2724CA85-C781-4E38-A0DA-097BFEEFE8B1}" uniqueName="3" name="Temp" queryTableFieldId="3" dataDxfId="169"/>
    <tableColumn id="6" xr3:uid="{12D5EB84-2052-49F7-A25B-127266D7FB89}" uniqueName="6" name="traceability_no" queryTableFieldId="6" dataDxfId="168"/>
    <tableColumn id="5" xr3:uid="{D8FBA668-C3CE-41DC-B112-B2663A4558F7}" uniqueName="5" name="Offset" queryTableFieldId="5" dataDxfId="167"/>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90"/>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80"/>
    <tableColumn id="43" xr3:uid="{EC576AA5-7F07-4B99-BBD1-C006A3FF4861}" uniqueName="43" name="CalibrationMethod" queryTableFieldId="168" dataDxfId="79"/>
    <tableColumn id="44" xr3:uid="{11784700-CE79-4C3A-B181-67F89C94AC89}" uniqueName="44" name="ToleranceSource" queryTableFieldId="169" dataDxfId="78"/>
    <tableColumn id="45" xr3:uid="{F8D57A3B-9D48-4C00-8E7C-AC29615D88F6}" uniqueName="45" name="Item" queryTableFieldId="170" dataDxfId="7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76"/>
    <tableColumn id="51" xr3:uid="{5B79DBE7-7CAB-41DA-AF62-362ADDE2AED9}" uniqueName="51" name="WorkingZoneSize" queryTableFieldId="176" dataDxfId="7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74"/>
    <tableColumn id="63" xr3:uid="{478884C5-ACFA-42A0-A5A5-3FD7354DF395}" uniqueName="63" name="TestLocation" queryTableFieldId="188" dataDxfId="73"/>
    <tableColumn id="64" xr3:uid="{8742E83A-8953-4A6F-B342-02A544F42A3E}" uniqueName="64" name="OvenLocation" queryTableFieldId="189" dataDxfId="72"/>
    <tableColumn id="65" xr3:uid="{D2C69FD9-EF22-4D46-9BCA-A04DCD92EC4B}" uniqueName="65" name="Condition" queryTableFieldId="190" dataDxfId="7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0"/>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tableColumn id="2" xr3:uid="{437C4123-EB61-4869-9470-5A1B394BA060}" uniqueName="2" name="Ranges" queryTableFieldId="2" dataDxfId="82"/>
    <tableColumn id="3" xr3:uid="{F2805B69-D38A-4282-80C7-76512A175951}" uniqueName="3" name="Tolerances" queryTableFieldId="3" dataDxfId="81"/>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89"/>
    <tableColumn id="8" xr3:uid="{6A970319-4DB4-4470-AD18-810376DE6248}" uniqueName="8" name="Flags" queryTableFieldId="8" dataDxfId="88"/>
    <tableColumn id="10" xr3:uid="{C036645E-37FD-4D8C-A495-9B7CD74F1924}" uniqueName="10" name="TolMinText" queryTableFieldId="10" dataDxfId="87">
      <calculatedColumnFormula>TEXT(UUTRangeTol[[#This Row],[TolMin]],SUBSTITUTE(UUTRangeTol[[#This Row],[TolResolution]],"1","0"))&amp;UUTRangeTol[[#This Row],[Unit]]</calculatedColumnFormula>
    </tableColumn>
    <tableColumn id="11" xr3:uid="{7185F013-BA2C-4D79-99A0-8DCC297E6118}" uniqueName="11" name="TolMaxText" queryTableFieldId="11" dataDxfId="86">
      <calculatedColumnFormula>TEXT(UUTRangeTol[[#This Row],[TolMax]],SUBSTITUTE(UUTRangeTol[[#This Row],[TolResolution]],"1","0"))&amp;UUTRangeTol[[#This Row],[Unit]]</calculatedColumnFormula>
    </tableColumn>
    <tableColumn id="12" xr3:uid="{EE0701A7-578C-482F-B1ED-DBCB9E95A0C6}" uniqueName="12" name="TolText" queryTableFieldId="12" dataDxfId="8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85">
      <calculatedColumnFormula>UUTRangeTol[[#This Row],[RangeMax]]&amp;UUTRangeTol[[#This Row],[Unit]]</calculatedColumnFormula>
    </tableColumn>
    <tableColumn id="14" xr3:uid="{EF348E52-D936-44CC-A058-66DD7A780488}" uniqueName="14" name="RangeText" queryTableFieldId="14" dataDxfId="84">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60"/>
    <tableColumn id="3" xr3:uid="{E88E0260-3227-45C4-8780-42D2D8D460DF}" name="SAT TOL" dataDxfId="159">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8" dataDxfId="157" tableBorderDxfId="156">
  <autoFilter ref="AG2:AS3" xr:uid="{B114758F-16E1-4C54-AA0B-E7F64DE85242}"/>
  <tableColumns count="13">
    <tableColumn id="1" xr3:uid="{0D0312AF-C987-4CC8-97F8-A45434AD138A}" name="Time" dataDxfId="155" dataCellStyle="Normal 3"/>
    <tableColumn id="2" xr3:uid="{E5CD88A1-1988-41C9-8D07-30908E60C0B6}" name="29" dataDxfId="154" dataCellStyle="Normal 3"/>
    <tableColumn id="3" xr3:uid="{52334E52-C590-4A01-82BC-CCC9DA2C2817}" name="30" dataDxfId="153" dataCellStyle="Normal 3"/>
    <tableColumn id="4" xr3:uid="{145DAD22-055B-47E2-958D-C0E0B68ECCC8}" name="31" dataDxfId="152" dataCellStyle="Normal 3"/>
    <tableColumn id="5" xr3:uid="{09C3BF4E-C2AE-4497-AAA2-CF5A8A70B030}" name="32" dataDxfId="151" dataCellStyle="Normal 3"/>
    <tableColumn id="6" xr3:uid="{E9F444F5-7F75-4B80-BC2D-E9E92BB7C32D}" name="33" dataDxfId="150" dataCellStyle="Normal 3"/>
    <tableColumn id="7" xr3:uid="{C42F56B6-C38E-41DC-811A-50AF69D04B80}" name="34" dataDxfId="149" dataCellStyle="Normal 3"/>
    <tableColumn id="8" xr3:uid="{1930235F-D2C0-482D-8CC0-6B3AC765E7EA}" name="35" dataDxfId="148" dataCellStyle="Normal 3"/>
    <tableColumn id="9" xr3:uid="{6FCF613B-A86F-4DC6-9CC5-0A1E44E3DFE0}" name="36" dataDxfId="147" dataCellStyle="Normal 3"/>
    <tableColumn id="10" xr3:uid="{19EA3429-FD7E-4BA0-96B7-70F520D9FE0F}" name="37" dataDxfId="146" dataCellStyle="Normal 3"/>
    <tableColumn id="11" xr3:uid="{A5D0DAE1-1017-4DE3-AEA6-1BAF97E0FBDC}" name="38" dataDxfId="145" dataCellStyle="Normal 3"/>
    <tableColumn id="12" xr3:uid="{ABC8E507-1120-436F-9E9F-E3A8852E2E1A}" name="39" dataDxfId="144"/>
    <tableColumn id="13" xr3:uid="{C69AC669-10C2-4E64-9F60-B4AA135FB3DF}" name="40" dataDxfId="14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42" tableBorderDxfId="141">
  <autoFilter ref="Q2:AE3" xr:uid="{6D9D14EA-1966-4240-9028-DABDD72BB7BC}"/>
  <tableColumns count="15">
    <tableColumn id="1" xr3:uid="{F199066A-0899-4173-8784-FC618D5EFA3C}" name="Time" dataDxfId="140" dataCellStyle="Normal 3"/>
    <tableColumn id="2" xr3:uid="{DB040280-BEC7-49AA-A925-A050027B33E3}" name="15" dataDxfId="139" dataCellStyle="Normal 3"/>
    <tableColumn id="3" xr3:uid="{5D74EEBF-1FB4-4DF9-8EDD-C656F929ADA2}" name="16" dataDxfId="138" dataCellStyle="Normal 3"/>
    <tableColumn id="4" xr3:uid="{B1176DF8-22B4-4741-A534-22D0C72EF1F0}" name="17" dataDxfId="137" dataCellStyle="Normal 3"/>
    <tableColumn id="5" xr3:uid="{1E29EA65-5182-4B3E-817F-0D30B2884EC7}" name="18" dataDxfId="136" dataCellStyle="Normal 3"/>
    <tableColumn id="6" xr3:uid="{AF53AEFB-F310-4F08-91BC-82FB0F484ECA}" name="19" dataDxfId="135" dataCellStyle="Normal 3"/>
    <tableColumn id="7" xr3:uid="{EE472F61-D1B5-43CF-A661-FA1D47001C17}" name="20" dataDxfId="134" dataCellStyle="Normal 3"/>
    <tableColumn id="8" xr3:uid="{841D54C1-AB74-4CB1-8C7F-C38D11EFAD3F}" name="21" dataDxfId="133" dataCellStyle="Normal 3"/>
    <tableColumn id="9" xr3:uid="{F1FB485B-DEAA-4958-8C40-80934EA1437F}" name="22" dataDxfId="132" dataCellStyle="Normal 3"/>
    <tableColumn id="10" xr3:uid="{5C552A76-BD54-46C5-93AD-8F25289FA051}" name="23" dataDxfId="131" dataCellStyle="Normal 3"/>
    <tableColumn id="11" xr3:uid="{B20FA5F1-0522-49D0-9B5A-34570A8AE6EA}" name="24" dataDxfId="130" dataCellStyle="Normal 3"/>
    <tableColumn id="12" xr3:uid="{0BC87A98-B9AC-4CD6-9F9B-D04190073E2A}" name="25" dataDxfId="129"/>
    <tableColumn id="13" xr3:uid="{D62EA80B-BBE3-4A29-89AB-EE04C6E03547}" name="26" dataDxfId="128"/>
    <tableColumn id="14" xr3:uid="{6D7DE537-763F-40F1-AC16-33F228CBC8D1}" name="27" dataDxfId="127"/>
    <tableColumn id="15" xr3:uid="{F8FA9620-DB21-4BAE-8D97-FF38B70679C9}" name="28" dataDxfId="126"/>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5" dataDxfId="124" tableBorderDxfId="123">
  <autoFilter ref="A2:O3" xr:uid="{73A9D9BA-FF58-4A3F-98F7-9A835492E25D}"/>
  <tableColumns count="15">
    <tableColumn id="1" xr3:uid="{73B888B4-4146-4E26-9B39-0FC537A113C8}" name="Time" dataDxfId="122" dataCellStyle="Normal 3"/>
    <tableColumn id="2" xr3:uid="{6F1EF879-7C87-4A56-A394-30C6E5BDB32A}" name="1" dataDxfId="121" dataCellStyle="Normal 3"/>
    <tableColumn id="3" xr3:uid="{B2FA8A6A-D50A-41E8-942A-379C757B6A2B}" name="2" dataDxfId="120" dataCellStyle="Normal 3"/>
    <tableColumn id="4" xr3:uid="{F92FE975-D84B-4B73-B49D-3B746FAA3D21}" name="3" dataDxfId="119" dataCellStyle="Normal 3"/>
    <tableColumn id="5" xr3:uid="{7820E0E9-F621-4361-A572-234B3CB7F864}" name="4" dataDxfId="118" dataCellStyle="Normal 3"/>
    <tableColumn id="6" xr3:uid="{A46C0BCA-2139-4CD3-B02F-C4D3F8E65309}" name="5" dataDxfId="117" dataCellStyle="Normal 3"/>
    <tableColumn id="7" xr3:uid="{334BDF50-1D79-41BC-BA09-7B69018332AE}" name="6" dataDxfId="116" dataCellStyle="Normal 3"/>
    <tableColumn id="8" xr3:uid="{6C11BC6A-3E21-4CDE-9CD4-C8EBCF50B6DB}" name="7" dataDxfId="115" dataCellStyle="Normal 3"/>
    <tableColumn id="9" xr3:uid="{1EEEA607-5177-4C19-A1BC-B12D19FF055B}" name="8" dataDxfId="114" dataCellStyle="Normal 3"/>
    <tableColumn id="10" xr3:uid="{ACF909CE-C221-4157-9298-18F2C140C147}" name="9" dataDxfId="113" dataCellStyle="Normal 3"/>
    <tableColumn id="11" xr3:uid="{182688D3-AD0D-4518-A7FE-0C281ABCDF76}" name="10" dataDxfId="112" dataCellStyle="Normal 3"/>
    <tableColumn id="12" xr3:uid="{54AFFA30-00C2-440A-92A2-139F62F751BE}" name="11" dataDxfId="111"/>
    <tableColumn id="13" xr3:uid="{DCF0B43C-F320-4031-91C6-8514285AF6CA}" name="12" dataDxfId="110"/>
    <tableColumn id="14" xr3:uid="{53A56FC8-0536-4D94-A335-FFCBCBEAF45E}" name="13" dataDxfId="109"/>
    <tableColumn id="15" xr3:uid="{F49FEB6E-05C2-4E90-A6CE-A0C9C694642A}" name="14" dataDxfId="108"/>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107" dataDxfId="106">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105"/>
    <tableColumn id="3" xr3:uid="{5F5E8FED-27C7-498A-86F2-8DE1BF0A773A}" uniqueName="3" name="Address2" queryTableFieldId="82" dataDxfId="10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03"/>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102" dataDxfId="101">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69"/>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100"/>
    <tableColumn id="3" xr3:uid="{A4F2902A-51C9-47F2-ABB5-33476BF6B798}" uniqueName="3" name="login_email" queryTableFieldId="5"/>
    <tableColumn id="4" xr3:uid="{93F361AC-D356-4A7B-A6F2-34FB0F71E2F6}" uniqueName="4" name="IsPyro" queryTableFieldId="7" dataDxfId="99"/>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8" dataDxfId="97" headerRowCellStyle="Normal 2" dataCellStyle="Normal 2">
  <autoFilter ref="U11:V25" xr:uid="{DCCFF26E-EC5C-4962-98DB-A7DA1F3C8CE2}"/>
  <tableColumns count="2">
    <tableColumn id="1" xr3:uid="{DFC40837-B092-4826-9847-4A23BE22020F}" name="4" dataDxfId="96" dataCellStyle="Normal 2"/>
    <tableColumn id="2" xr3:uid="{0711DB07-19DA-4D5E-A417-C242A0304453}" name="10" dataDxfId="9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905</v>
      </c>
      <c r="E1" s="36" t="s">
        <v>906</v>
      </c>
    </row>
    <row r="2" spans="1:5" x14ac:dyDescent="0.2">
      <c r="A2" s="668"/>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403</v>
      </c>
      <c r="B1" t="s">
        <v>544</v>
      </c>
      <c r="C1" t="s">
        <v>545</v>
      </c>
      <c r="D1" t="s">
        <v>546</v>
      </c>
      <c r="E1" t="s">
        <v>547</v>
      </c>
      <c r="F1" t="s">
        <v>542</v>
      </c>
      <c r="G1" t="s">
        <v>532</v>
      </c>
      <c r="H1" t="s">
        <v>513</v>
      </c>
      <c r="I1" t="s">
        <v>533</v>
      </c>
      <c r="J1" t="s">
        <v>518</v>
      </c>
      <c r="K1" t="s">
        <v>519</v>
      </c>
      <c r="L1" t="s">
        <v>520</v>
      </c>
      <c r="M1" t="s">
        <v>534</v>
      </c>
      <c r="N1" t="s">
        <v>401</v>
      </c>
      <c r="O1" t="s">
        <v>402</v>
      </c>
      <c r="P1" t="s">
        <v>404</v>
      </c>
      <c r="Q1" t="s">
        <v>522</v>
      </c>
      <c r="R1" t="s">
        <v>523</v>
      </c>
      <c r="S1" t="s">
        <v>524</v>
      </c>
      <c r="T1" t="s">
        <v>521</v>
      </c>
      <c r="U1" t="s">
        <v>535</v>
      </c>
      <c r="V1" t="s">
        <v>536</v>
      </c>
      <c r="W1" t="s">
        <v>525</v>
      </c>
      <c r="X1" t="s">
        <v>526</v>
      </c>
      <c r="Y1" t="s">
        <v>527</v>
      </c>
      <c r="Z1" t="s">
        <v>514</v>
      </c>
      <c r="AA1" t="s">
        <v>515</v>
      </c>
      <c r="AB1" t="s">
        <v>516</v>
      </c>
      <c r="AC1" t="s">
        <v>517</v>
      </c>
      <c r="AD1" t="s">
        <v>405</v>
      </c>
      <c r="AE1" t="s">
        <v>406</v>
      </c>
      <c r="AF1" t="s">
        <v>530</v>
      </c>
      <c r="AG1" t="s">
        <v>531</v>
      </c>
      <c r="AH1" t="s">
        <v>528</v>
      </c>
      <c r="AI1" t="s">
        <v>529</v>
      </c>
      <c r="AJ1" t="s">
        <v>543</v>
      </c>
      <c r="AK1" t="s">
        <v>548</v>
      </c>
      <c r="AL1" t="s">
        <v>549</v>
      </c>
    </row>
    <row r="2" spans="1:38" x14ac:dyDescent="0.2">
      <c r="A2">
        <v>1235344</v>
      </c>
      <c r="B2">
        <v>6864835</v>
      </c>
      <c r="C2">
        <v>7653243</v>
      </c>
      <c r="E2" t="b">
        <v>0</v>
      </c>
      <c r="G2" t="s">
        <v>572</v>
      </c>
      <c r="I2" t="s">
        <v>573</v>
      </c>
      <c r="J2" t="s">
        <v>537</v>
      </c>
      <c r="K2" t="s">
        <v>537</v>
      </c>
      <c r="L2" t="s">
        <v>537</v>
      </c>
      <c r="M2" t="s">
        <v>574</v>
      </c>
      <c r="N2" t="s">
        <v>407</v>
      </c>
      <c r="O2" t="s">
        <v>329</v>
      </c>
      <c r="P2" t="s">
        <v>115</v>
      </c>
      <c r="V2" t="s">
        <v>575</v>
      </c>
      <c r="Y2" t="s">
        <v>576</v>
      </c>
      <c r="AD2" t="s">
        <v>328</v>
      </c>
      <c r="AE2" t="s">
        <v>408</v>
      </c>
      <c r="AJ2" t="s">
        <v>577</v>
      </c>
      <c r="AK2" t="s">
        <v>578</v>
      </c>
      <c r="AL2" t="s">
        <v>579</v>
      </c>
    </row>
    <row r="3" spans="1:38" x14ac:dyDescent="0.2">
      <c r="A3">
        <v>1235555</v>
      </c>
      <c r="B3">
        <v>8036587</v>
      </c>
      <c r="C3">
        <v>7589603</v>
      </c>
      <c r="E3" t="b">
        <v>0</v>
      </c>
      <c r="F3">
        <v>72040</v>
      </c>
      <c r="G3" t="s">
        <v>580</v>
      </c>
      <c r="H3">
        <v>1</v>
      </c>
      <c r="I3" t="s">
        <v>581</v>
      </c>
      <c r="J3" t="s">
        <v>538</v>
      </c>
      <c r="K3" t="s">
        <v>537</v>
      </c>
      <c r="L3" t="s">
        <v>539</v>
      </c>
      <c r="M3" t="s">
        <v>582</v>
      </c>
      <c r="N3" t="s">
        <v>451</v>
      </c>
      <c r="O3" t="s">
        <v>221</v>
      </c>
      <c r="P3" t="s">
        <v>429</v>
      </c>
      <c r="S3" t="s">
        <v>583</v>
      </c>
      <c r="U3" t="s">
        <v>584</v>
      </c>
      <c r="V3" t="s">
        <v>585</v>
      </c>
      <c r="W3" t="s">
        <v>446</v>
      </c>
      <c r="X3" t="s">
        <v>540</v>
      </c>
      <c r="Y3" t="s">
        <v>586</v>
      </c>
      <c r="Z3" t="s">
        <v>552</v>
      </c>
      <c r="AB3" t="s">
        <v>578</v>
      </c>
      <c r="AD3" t="s">
        <v>541</v>
      </c>
      <c r="AE3" t="s">
        <v>541</v>
      </c>
      <c r="AF3">
        <v>0</v>
      </c>
      <c r="AG3">
        <v>0</v>
      </c>
      <c r="AH3">
        <v>46</v>
      </c>
      <c r="AI3">
        <v>0</v>
      </c>
      <c r="AJ3" t="s">
        <v>554</v>
      </c>
      <c r="AK3" t="s">
        <v>578</v>
      </c>
      <c r="AL3" t="s">
        <v>587</v>
      </c>
    </row>
    <row r="4" spans="1:38" x14ac:dyDescent="0.2">
      <c r="A4">
        <v>1235388</v>
      </c>
      <c r="B4">
        <v>7537859</v>
      </c>
      <c r="C4">
        <v>187510</v>
      </c>
      <c r="E4" t="b">
        <v>0</v>
      </c>
      <c r="F4">
        <v>62285</v>
      </c>
      <c r="G4" t="s">
        <v>588</v>
      </c>
      <c r="H4">
        <v>1</v>
      </c>
      <c r="I4" t="s">
        <v>589</v>
      </c>
      <c r="J4" t="s">
        <v>538</v>
      </c>
      <c r="K4" t="s">
        <v>537</v>
      </c>
      <c r="L4" t="s">
        <v>539</v>
      </c>
      <c r="M4" t="s">
        <v>590</v>
      </c>
      <c r="N4" t="s">
        <v>411</v>
      </c>
      <c r="O4" t="s">
        <v>229</v>
      </c>
      <c r="P4" t="s">
        <v>412</v>
      </c>
      <c r="S4" t="s">
        <v>591</v>
      </c>
      <c r="U4" t="s">
        <v>592</v>
      </c>
      <c r="V4" t="s">
        <v>593</v>
      </c>
      <c r="W4" t="s">
        <v>594</v>
      </c>
      <c r="X4" t="s">
        <v>540</v>
      </c>
      <c r="Y4" t="s">
        <v>586</v>
      </c>
      <c r="Z4" t="s">
        <v>552</v>
      </c>
      <c r="AA4" t="s">
        <v>22</v>
      </c>
      <c r="AB4" t="s">
        <v>595</v>
      </c>
      <c r="AD4" t="s">
        <v>228</v>
      </c>
      <c r="AE4" t="s">
        <v>413</v>
      </c>
      <c r="AF4">
        <v>0</v>
      </c>
      <c r="AG4">
        <v>0</v>
      </c>
      <c r="AH4">
        <v>70</v>
      </c>
      <c r="AI4">
        <v>0</v>
      </c>
      <c r="AJ4" t="s">
        <v>554</v>
      </c>
      <c r="AK4" t="s">
        <v>595</v>
      </c>
      <c r="AL4" t="s">
        <v>555</v>
      </c>
    </row>
    <row r="5" spans="1:38" x14ac:dyDescent="0.2">
      <c r="A5">
        <v>1235682</v>
      </c>
      <c r="B5">
        <v>7943647</v>
      </c>
      <c r="C5">
        <v>187508</v>
      </c>
      <c r="E5" t="b">
        <v>0</v>
      </c>
      <c r="F5">
        <v>69999</v>
      </c>
      <c r="G5" t="s">
        <v>596</v>
      </c>
      <c r="H5">
        <v>1</v>
      </c>
      <c r="I5" t="s">
        <v>597</v>
      </c>
      <c r="J5" t="s">
        <v>538</v>
      </c>
      <c r="K5" t="s">
        <v>539</v>
      </c>
      <c r="L5" t="s">
        <v>539</v>
      </c>
      <c r="M5" t="s">
        <v>598</v>
      </c>
      <c r="N5" t="s">
        <v>480</v>
      </c>
      <c r="O5" t="s">
        <v>47</v>
      </c>
      <c r="S5" t="s">
        <v>550</v>
      </c>
      <c r="U5" t="s">
        <v>599</v>
      </c>
      <c r="V5" t="s">
        <v>600</v>
      </c>
      <c r="W5" t="s">
        <v>446</v>
      </c>
      <c r="X5" t="s">
        <v>540</v>
      </c>
      <c r="Y5" t="s">
        <v>551</v>
      </c>
      <c r="Z5" t="s">
        <v>552</v>
      </c>
      <c r="AA5" t="s">
        <v>22</v>
      </c>
      <c r="AB5" t="s">
        <v>553</v>
      </c>
      <c r="AD5" t="s">
        <v>481</v>
      </c>
      <c r="AE5" t="s">
        <v>426</v>
      </c>
      <c r="AF5">
        <v>0</v>
      </c>
      <c r="AG5">
        <v>0</v>
      </c>
      <c r="AH5">
        <v>392.75</v>
      </c>
      <c r="AI5">
        <v>0</v>
      </c>
      <c r="AJ5" t="s">
        <v>554</v>
      </c>
      <c r="AK5" t="s">
        <v>553</v>
      </c>
      <c r="AL5" t="s">
        <v>555</v>
      </c>
    </row>
    <row r="6" spans="1:38" x14ac:dyDescent="0.2">
      <c r="A6">
        <v>1235426</v>
      </c>
      <c r="B6">
        <v>8035840</v>
      </c>
      <c r="C6">
        <v>187508</v>
      </c>
      <c r="E6" t="b">
        <v>0</v>
      </c>
      <c r="F6">
        <v>72024</v>
      </c>
      <c r="G6" t="s">
        <v>559</v>
      </c>
      <c r="H6">
        <v>1</v>
      </c>
      <c r="I6" t="s">
        <v>560</v>
      </c>
      <c r="J6" t="s">
        <v>538</v>
      </c>
      <c r="K6" t="s">
        <v>539</v>
      </c>
      <c r="L6" t="s">
        <v>539</v>
      </c>
      <c r="M6" t="s">
        <v>601</v>
      </c>
      <c r="N6" t="s">
        <v>424</v>
      </c>
      <c r="O6" t="s">
        <v>54</v>
      </c>
      <c r="S6" t="s">
        <v>550</v>
      </c>
      <c r="U6" t="s">
        <v>602</v>
      </c>
      <c r="V6" t="s">
        <v>603</v>
      </c>
      <c r="W6" t="s">
        <v>446</v>
      </c>
      <c r="X6" t="s">
        <v>540</v>
      </c>
      <c r="Y6" t="s">
        <v>551</v>
      </c>
      <c r="Z6" t="s">
        <v>552</v>
      </c>
      <c r="AA6" t="s">
        <v>22</v>
      </c>
      <c r="AB6" t="s">
        <v>553</v>
      </c>
      <c r="AD6" t="s">
        <v>425</v>
      </c>
      <c r="AE6" t="s">
        <v>426</v>
      </c>
      <c r="AF6">
        <v>0</v>
      </c>
      <c r="AG6">
        <v>0</v>
      </c>
      <c r="AH6">
        <v>392.75</v>
      </c>
      <c r="AI6">
        <v>0</v>
      </c>
      <c r="AJ6" t="s">
        <v>554</v>
      </c>
      <c r="AK6" t="s">
        <v>553</v>
      </c>
      <c r="AL6" t="s">
        <v>555</v>
      </c>
    </row>
    <row r="7" spans="1:38" x14ac:dyDescent="0.2">
      <c r="A7">
        <v>1235686</v>
      </c>
      <c r="B7">
        <v>8143520</v>
      </c>
      <c r="C7">
        <v>187508</v>
      </c>
      <c r="E7" t="b">
        <v>0</v>
      </c>
      <c r="F7">
        <v>73531</v>
      </c>
      <c r="G7" t="s">
        <v>557</v>
      </c>
      <c r="H7">
        <v>1</v>
      </c>
      <c r="I7" t="s">
        <v>558</v>
      </c>
      <c r="J7" t="s">
        <v>538</v>
      </c>
      <c r="K7" t="s">
        <v>539</v>
      </c>
      <c r="L7" t="s">
        <v>539</v>
      </c>
      <c r="M7" t="s">
        <v>604</v>
      </c>
      <c r="N7" t="s">
        <v>482</v>
      </c>
      <c r="O7" t="s">
        <v>55</v>
      </c>
      <c r="S7" t="s">
        <v>550</v>
      </c>
      <c r="U7" t="s">
        <v>605</v>
      </c>
      <c r="V7" t="s">
        <v>606</v>
      </c>
      <c r="W7" t="s">
        <v>446</v>
      </c>
      <c r="X7" t="s">
        <v>540</v>
      </c>
      <c r="Y7" t="s">
        <v>551</v>
      </c>
      <c r="Z7" t="s">
        <v>552</v>
      </c>
      <c r="AA7" t="s">
        <v>22</v>
      </c>
      <c r="AB7" t="s">
        <v>553</v>
      </c>
      <c r="AD7" t="s">
        <v>483</v>
      </c>
      <c r="AE7" t="s">
        <v>484</v>
      </c>
      <c r="AF7">
        <v>0</v>
      </c>
      <c r="AG7">
        <v>0</v>
      </c>
      <c r="AH7">
        <v>392.75</v>
      </c>
      <c r="AI7">
        <v>0</v>
      </c>
      <c r="AJ7" t="s">
        <v>554</v>
      </c>
      <c r="AK7" t="s">
        <v>553</v>
      </c>
      <c r="AL7" t="s">
        <v>555</v>
      </c>
    </row>
    <row r="8" spans="1:38" x14ac:dyDescent="0.2">
      <c r="A8">
        <v>1235630</v>
      </c>
      <c r="B8">
        <v>7925909</v>
      </c>
      <c r="C8">
        <v>187508</v>
      </c>
      <c r="E8" t="b">
        <v>0</v>
      </c>
      <c r="F8">
        <v>69663</v>
      </c>
      <c r="G8" t="s">
        <v>607</v>
      </c>
      <c r="H8">
        <v>1</v>
      </c>
      <c r="I8" t="s">
        <v>608</v>
      </c>
      <c r="J8" t="s">
        <v>538</v>
      </c>
      <c r="K8" t="s">
        <v>539</v>
      </c>
      <c r="L8" t="s">
        <v>539</v>
      </c>
      <c r="M8" t="s">
        <v>609</v>
      </c>
      <c r="N8" t="s">
        <v>469</v>
      </c>
      <c r="O8" t="s">
        <v>109</v>
      </c>
      <c r="S8" t="s">
        <v>550</v>
      </c>
      <c r="U8" t="s">
        <v>610</v>
      </c>
      <c r="V8" t="s">
        <v>611</v>
      </c>
      <c r="W8" t="s">
        <v>446</v>
      </c>
      <c r="X8" t="s">
        <v>540</v>
      </c>
      <c r="Y8" t="s">
        <v>551</v>
      </c>
      <c r="Z8" t="s">
        <v>552</v>
      </c>
      <c r="AA8" t="s">
        <v>22</v>
      </c>
      <c r="AB8" t="s">
        <v>553</v>
      </c>
      <c r="AD8" t="s">
        <v>470</v>
      </c>
      <c r="AE8" t="s">
        <v>426</v>
      </c>
      <c r="AF8">
        <v>0</v>
      </c>
      <c r="AG8">
        <v>0</v>
      </c>
      <c r="AH8">
        <v>392.75</v>
      </c>
      <c r="AI8">
        <v>0</v>
      </c>
      <c r="AJ8" t="s">
        <v>554</v>
      </c>
      <c r="AK8" t="s">
        <v>553</v>
      </c>
      <c r="AL8" t="s">
        <v>555</v>
      </c>
    </row>
    <row r="9" spans="1:38" x14ac:dyDescent="0.2">
      <c r="A9">
        <v>1235561</v>
      </c>
      <c r="B9">
        <v>7925915</v>
      </c>
      <c r="C9">
        <v>187508</v>
      </c>
      <c r="E9" t="b">
        <v>0</v>
      </c>
      <c r="F9">
        <v>69665</v>
      </c>
      <c r="G9" t="s">
        <v>612</v>
      </c>
      <c r="H9">
        <v>1</v>
      </c>
      <c r="I9" t="s">
        <v>613</v>
      </c>
      <c r="J9" t="s">
        <v>538</v>
      </c>
      <c r="K9" t="s">
        <v>539</v>
      </c>
      <c r="L9" t="s">
        <v>539</v>
      </c>
      <c r="M9" t="s">
        <v>614</v>
      </c>
      <c r="N9" t="s">
        <v>452</v>
      </c>
      <c r="O9" t="s">
        <v>113</v>
      </c>
      <c r="S9" t="s">
        <v>550</v>
      </c>
      <c r="U9" t="s">
        <v>610</v>
      </c>
      <c r="V9" t="s">
        <v>615</v>
      </c>
      <c r="W9" t="s">
        <v>446</v>
      </c>
      <c r="X9" t="s">
        <v>540</v>
      </c>
      <c r="Y9" t="s">
        <v>551</v>
      </c>
      <c r="Z9" t="s">
        <v>552</v>
      </c>
      <c r="AA9" t="s">
        <v>22</v>
      </c>
      <c r="AB9" t="s">
        <v>553</v>
      </c>
      <c r="AD9" t="s">
        <v>453</v>
      </c>
      <c r="AE9" t="s">
        <v>454</v>
      </c>
      <c r="AF9">
        <v>0</v>
      </c>
      <c r="AG9">
        <v>0</v>
      </c>
      <c r="AH9">
        <v>392.75</v>
      </c>
      <c r="AI9">
        <v>0</v>
      </c>
      <c r="AJ9" t="s">
        <v>554</v>
      </c>
      <c r="AK9" t="s">
        <v>553</v>
      </c>
      <c r="AL9" t="s">
        <v>555</v>
      </c>
    </row>
    <row r="10" spans="1:38" x14ac:dyDescent="0.2">
      <c r="A10">
        <v>1235543</v>
      </c>
      <c r="B10">
        <v>8075187</v>
      </c>
      <c r="C10">
        <v>187508</v>
      </c>
      <c r="E10" t="b">
        <v>0</v>
      </c>
      <c r="F10">
        <v>72822</v>
      </c>
      <c r="G10" t="s">
        <v>616</v>
      </c>
      <c r="H10">
        <v>1</v>
      </c>
      <c r="I10" t="s">
        <v>617</v>
      </c>
      <c r="J10" t="s">
        <v>538</v>
      </c>
      <c r="K10" t="s">
        <v>539</v>
      </c>
      <c r="L10" t="s">
        <v>539</v>
      </c>
      <c r="M10" t="s">
        <v>618</v>
      </c>
      <c r="N10" t="s">
        <v>449</v>
      </c>
      <c r="O10" t="s">
        <v>112</v>
      </c>
      <c r="S10" t="s">
        <v>550</v>
      </c>
      <c r="U10" t="s">
        <v>619</v>
      </c>
      <c r="V10" t="s">
        <v>620</v>
      </c>
      <c r="W10" t="s">
        <v>446</v>
      </c>
      <c r="X10" t="s">
        <v>540</v>
      </c>
      <c r="Y10" t="s">
        <v>551</v>
      </c>
      <c r="Z10" t="s">
        <v>552</v>
      </c>
      <c r="AA10" t="s">
        <v>22</v>
      </c>
      <c r="AB10" t="s">
        <v>553</v>
      </c>
      <c r="AD10" t="s">
        <v>425</v>
      </c>
      <c r="AE10" t="s">
        <v>450</v>
      </c>
      <c r="AF10">
        <v>0</v>
      </c>
      <c r="AG10">
        <v>0</v>
      </c>
      <c r="AH10">
        <v>392.75</v>
      </c>
      <c r="AI10">
        <v>0</v>
      </c>
      <c r="AJ10" t="s">
        <v>554</v>
      </c>
      <c r="AK10" t="s">
        <v>553</v>
      </c>
      <c r="AL10" t="s">
        <v>555</v>
      </c>
    </row>
    <row r="11" spans="1:38" x14ac:dyDescent="0.2">
      <c r="A11">
        <v>1235622</v>
      </c>
      <c r="B11">
        <v>7925914</v>
      </c>
      <c r="C11">
        <v>187508</v>
      </c>
      <c r="E11" t="b">
        <v>0</v>
      </c>
      <c r="F11">
        <v>69664</v>
      </c>
      <c r="G11" t="s">
        <v>621</v>
      </c>
      <c r="H11">
        <v>1</v>
      </c>
      <c r="I11" t="s">
        <v>622</v>
      </c>
      <c r="J11" t="s">
        <v>538</v>
      </c>
      <c r="K11" t="s">
        <v>539</v>
      </c>
      <c r="L11" t="s">
        <v>539</v>
      </c>
      <c r="M11" t="s">
        <v>623</v>
      </c>
      <c r="N11" t="s">
        <v>464</v>
      </c>
      <c r="O11" t="s">
        <v>157</v>
      </c>
      <c r="S11" t="s">
        <v>550</v>
      </c>
      <c r="U11" t="s">
        <v>610</v>
      </c>
      <c r="V11" t="s">
        <v>624</v>
      </c>
      <c r="W11" t="s">
        <v>446</v>
      </c>
      <c r="X11" t="s">
        <v>540</v>
      </c>
      <c r="Y11" t="s">
        <v>551</v>
      </c>
      <c r="Z11" t="s">
        <v>552</v>
      </c>
      <c r="AA11" t="s">
        <v>22</v>
      </c>
      <c r="AB11" t="s">
        <v>553</v>
      </c>
      <c r="AD11" t="s">
        <v>465</v>
      </c>
      <c r="AE11" t="s">
        <v>466</v>
      </c>
      <c r="AF11">
        <v>0</v>
      </c>
      <c r="AG11">
        <v>0</v>
      </c>
      <c r="AH11">
        <v>392.75</v>
      </c>
      <c r="AI11">
        <v>0</v>
      </c>
      <c r="AJ11" t="s">
        <v>554</v>
      </c>
      <c r="AK11" t="s">
        <v>553</v>
      </c>
      <c r="AL11" t="s">
        <v>555</v>
      </c>
    </row>
    <row r="12" spans="1:38" x14ac:dyDescent="0.2">
      <c r="A12">
        <v>1235403</v>
      </c>
      <c r="B12">
        <v>7975239</v>
      </c>
      <c r="C12">
        <v>187508</v>
      </c>
      <c r="E12" t="b">
        <v>0</v>
      </c>
      <c r="F12">
        <v>70613</v>
      </c>
      <c r="G12" t="s">
        <v>625</v>
      </c>
      <c r="H12">
        <v>3</v>
      </c>
      <c r="I12" t="s">
        <v>626</v>
      </c>
      <c r="J12" t="s">
        <v>538</v>
      </c>
      <c r="K12" t="s">
        <v>539</v>
      </c>
      <c r="L12" t="s">
        <v>539</v>
      </c>
      <c r="M12" t="s">
        <v>627</v>
      </c>
      <c r="N12" t="s">
        <v>419</v>
      </c>
      <c r="O12" t="s">
        <v>178</v>
      </c>
      <c r="P12" t="s">
        <v>107</v>
      </c>
      <c r="S12" t="s">
        <v>628</v>
      </c>
      <c r="U12" t="s">
        <v>629</v>
      </c>
      <c r="V12" t="s">
        <v>630</v>
      </c>
      <c r="W12" t="s">
        <v>446</v>
      </c>
      <c r="X12" t="s">
        <v>540</v>
      </c>
      <c r="Y12" t="s">
        <v>551</v>
      </c>
      <c r="Z12" t="s">
        <v>552</v>
      </c>
      <c r="AA12" t="s">
        <v>22</v>
      </c>
      <c r="AB12" t="s">
        <v>553</v>
      </c>
      <c r="AD12" t="s">
        <v>177</v>
      </c>
      <c r="AE12" t="s">
        <v>420</v>
      </c>
      <c r="AF12">
        <v>0</v>
      </c>
      <c r="AG12">
        <v>0</v>
      </c>
      <c r="AH12">
        <v>418.5</v>
      </c>
      <c r="AI12">
        <v>0</v>
      </c>
      <c r="AJ12" t="s">
        <v>554</v>
      </c>
      <c r="AK12" t="s">
        <v>553</v>
      </c>
      <c r="AL12" t="s">
        <v>555</v>
      </c>
    </row>
    <row r="13" spans="1:38" x14ac:dyDescent="0.2">
      <c r="A13">
        <v>1235569</v>
      </c>
      <c r="B13">
        <v>7975237</v>
      </c>
      <c r="C13">
        <v>187508</v>
      </c>
      <c r="E13" t="b">
        <v>0</v>
      </c>
      <c r="F13">
        <v>70613</v>
      </c>
      <c r="G13" t="s">
        <v>625</v>
      </c>
      <c r="H13">
        <v>1</v>
      </c>
      <c r="I13" t="s">
        <v>631</v>
      </c>
      <c r="J13" t="s">
        <v>538</v>
      </c>
      <c r="K13" t="s">
        <v>539</v>
      </c>
      <c r="L13" t="s">
        <v>539</v>
      </c>
      <c r="M13" t="s">
        <v>632</v>
      </c>
      <c r="N13" t="s">
        <v>459</v>
      </c>
      <c r="O13" t="s">
        <v>180</v>
      </c>
      <c r="P13" t="s">
        <v>460</v>
      </c>
      <c r="S13" t="s">
        <v>628</v>
      </c>
      <c r="U13" t="s">
        <v>629</v>
      </c>
      <c r="V13" t="s">
        <v>633</v>
      </c>
      <c r="W13" t="s">
        <v>446</v>
      </c>
      <c r="X13" t="s">
        <v>540</v>
      </c>
      <c r="Y13" t="s">
        <v>551</v>
      </c>
      <c r="Z13" t="s">
        <v>552</v>
      </c>
      <c r="AA13" t="s">
        <v>22</v>
      </c>
      <c r="AB13" t="s">
        <v>553</v>
      </c>
      <c r="AD13" t="s">
        <v>179</v>
      </c>
      <c r="AE13" t="s">
        <v>420</v>
      </c>
      <c r="AF13">
        <v>0</v>
      </c>
      <c r="AG13">
        <v>0</v>
      </c>
      <c r="AH13">
        <v>418.5</v>
      </c>
      <c r="AI13">
        <v>0</v>
      </c>
      <c r="AJ13" t="s">
        <v>554</v>
      </c>
      <c r="AK13" t="s">
        <v>553</v>
      </c>
      <c r="AL13" t="s">
        <v>555</v>
      </c>
    </row>
    <row r="14" spans="1:38" x14ac:dyDescent="0.2">
      <c r="A14">
        <v>1235743</v>
      </c>
      <c r="B14">
        <v>7975241</v>
      </c>
      <c r="C14">
        <v>187508</v>
      </c>
      <c r="E14" t="b">
        <v>0</v>
      </c>
      <c r="F14">
        <v>70613</v>
      </c>
      <c r="G14" t="s">
        <v>625</v>
      </c>
      <c r="H14">
        <v>5</v>
      </c>
      <c r="I14" t="s">
        <v>634</v>
      </c>
      <c r="J14" t="s">
        <v>538</v>
      </c>
      <c r="K14" t="s">
        <v>539</v>
      </c>
      <c r="L14" t="s">
        <v>539</v>
      </c>
      <c r="M14" t="s">
        <v>635</v>
      </c>
      <c r="N14" t="s">
        <v>486</v>
      </c>
      <c r="O14" t="s">
        <v>488</v>
      </c>
      <c r="P14" t="s">
        <v>487</v>
      </c>
      <c r="S14" t="s">
        <v>628</v>
      </c>
      <c r="U14" t="s">
        <v>629</v>
      </c>
      <c r="V14" t="s">
        <v>636</v>
      </c>
      <c r="W14" t="s">
        <v>446</v>
      </c>
      <c r="X14" t="s">
        <v>540</v>
      </c>
      <c r="Y14" t="s">
        <v>551</v>
      </c>
      <c r="Z14" t="s">
        <v>552</v>
      </c>
      <c r="AA14" t="s">
        <v>22</v>
      </c>
      <c r="AB14" t="s">
        <v>553</v>
      </c>
      <c r="AD14" t="s">
        <v>489</v>
      </c>
      <c r="AE14" t="s">
        <v>420</v>
      </c>
      <c r="AF14">
        <v>0</v>
      </c>
      <c r="AG14">
        <v>0</v>
      </c>
      <c r="AH14">
        <v>418.5</v>
      </c>
      <c r="AI14">
        <v>0</v>
      </c>
      <c r="AJ14" t="s">
        <v>554</v>
      </c>
      <c r="AK14" t="s">
        <v>553</v>
      </c>
      <c r="AL14" t="s">
        <v>555</v>
      </c>
    </row>
    <row r="15" spans="1:38" x14ac:dyDescent="0.2">
      <c r="A15">
        <v>2550412</v>
      </c>
      <c r="B15">
        <v>7975245</v>
      </c>
      <c r="C15">
        <v>187508</v>
      </c>
      <c r="E15" t="b">
        <v>0</v>
      </c>
      <c r="F15">
        <v>70613</v>
      </c>
      <c r="G15" t="s">
        <v>625</v>
      </c>
      <c r="H15">
        <v>9</v>
      </c>
      <c r="I15" t="s">
        <v>637</v>
      </c>
      <c r="J15" t="s">
        <v>538</v>
      </c>
      <c r="K15" t="s">
        <v>539</v>
      </c>
      <c r="L15" t="s">
        <v>539</v>
      </c>
      <c r="M15" t="s">
        <v>638</v>
      </c>
      <c r="N15" t="s">
        <v>503</v>
      </c>
      <c r="O15" t="s">
        <v>504</v>
      </c>
      <c r="P15" t="s">
        <v>379</v>
      </c>
      <c r="S15" t="s">
        <v>628</v>
      </c>
      <c r="U15" t="s">
        <v>629</v>
      </c>
      <c r="V15" t="s">
        <v>639</v>
      </c>
      <c r="W15" t="s">
        <v>446</v>
      </c>
      <c r="X15" t="s">
        <v>540</v>
      </c>
      <c r="Y15" t="s">
        <v>551</v>
      </c>
      <c r="Z15" t="s">
        <v>552</v>
      </c>
      <c r="AA15" t="s">
        <v>22</v>
      </c>
      <c r="AB15" t="s">
        <v>553</v>
      </c>
      <c r="AD15" t="s">
        <v>505</v>
      </c>
      <c r="AE15" t="s">
        <v>506</v>
      </c>
      <c r="AF15">
        <v>0</v>
      </c>
      <c r="AG15">
        <v>0</v>
      </c>
      <c r="AH15">
        <v>418.5</v>
      </c>
      <c r="AI15">
        <v>0</v>
      </c>
      <c r="AJ15" t="s">
        <v>554</v>
      </c>
      <c r="AK15" t="s">
        <v>553</v>
      </c>
      <c r="AL15" t="s">
        <v>555</v>
      </c>
    </row>
    <row r="16" spans="1:38" x14ac:dyDescent="0.2">
      <c r="A16">
        <v>1446161</v>
      </c>
      <c r="B16">
        <v>7975243</v>
      </c>
      <c r="C16">
        <v>187508</v>
      </c>
      <c r="E16" t="b">
        <v>0</v>
      </c>
      <c r="F16">
        <v>70613</v>
      </c>
      <c r="G16" t="s">
        <v>625</v>
      </c>
      <c r="H16">
        <v>7</v>
      </c>
      <c r="I16" t="s">
        <v>640</v>
      </c>
      <c r="J16" t="s">
        <v>538</v>
      </c>
      <c r="K16" t="s">
        <v>539</v>
      </c>
      <c r="L16" t="s">
        <v>539</v>
      </c>
      <c r="M16" t="s">
        <v>641</v>
      </c>
      <c r="N16" t="s">
        <v>495</v>
      </c>
      <c r="O16" t="s">
        <v>497</v>
      </c>
      <c r="P16" t="s">
        <v>496</v>
      </c>
      <c r="S16" t="s">
        <v>628</v>
      </c>
      <c r="U16" t="s">
        <v>629</v>
      </c>
      <c r="V16" t="s">
        <v>642</v>
      </c>
      <c r="W16" t="s">
        <v>446</v>
      </c>
      <c r="X16" t="s">
        <v>540</v>
      </c>
      <c r="Y16" t="s">
        <v>551</v>
      </c>
      <c r="Z16" t="s">
        <v>552</v>
      </c>
      <c r="AA16" t="s">
        <v>22</v>
      </c>
      <c r="AB16" t="s">
        <v>553</v>
      </c>
      <c r="AD16" t="s">
        <v>498</v>
      </c>
      <c r="AE16" t="s">
        <v>420</v>
      </c>
      <c r="AF16">
        <v>0</v>
      </c>
      <c r="AG16">
        <v>0</v>
      </c>
      <c r="AH16">
        <v>418.5</v>
      </c>
      <c r="AI16">
        <v>0</v>
      </c>
      <c r="AJ16" t="s">
        <v>554</v>
      </c>
      <c r="AK16" t="s">
        <v>553</v>
      </c>
      <c r="AL16" t="s">
        <v>555</v>
      </c>
    </row>
    <row r="17" spans="1:38" x14ac:dyDescent="0.2">
      <c r="A17">
        <v>2701517</v>
      </c>
      <c r="B17">
        <v>7975246</v>
      </c>
      <c r="C17">
        <v>187508</v>
      </c>
      <c r="E17" t="b">
        <v>0</v>
      </c>
      <c r="F17">
        <v>70613</v>
      </c>
      <c r="G17" t="s">
        <v>625</v>
      </c>
      <c r="H17">
        <v>10</v>
      </c>
      <c r="I17" t="s">
        <v>643</v>
      </c>
      <c r="J17" t="s">
        <v>538</v>
      </c>
      <c r="K17" t="s">
        <v>539</v>
      </c>
      <c r="L17" t="s">
        <v>539</v>
      </c>
      <c r="M17" t="s">
        <v>644</v>
      </c>
      <c r="N17" t="s">
        <v>508</v>
      </c>
      <c r="O17" t="s">
        <v>510</v>
      </c>
      <c r="P17" t="s">
        <v>509</v>
      </c>
      <c r="S17" t="s">
        <v>628</v>
      </c>
      <c r="U17" t="s">
        <v>629</v>
      </c>
      <c r="V17" t="s">
        <v>645</v>
      </c>
      <c r="W17" t="s">
        <v>446</v>
      </c>
      <c r="X17" t="s">
        <v>540</v>
      </c>
      <c r="Y17" t="s">
        <v>551</v>
      </c>
      <c r="Z17" t="s">
        <v>552</v>
      </c>
      <c r="AA17" t="s">
        <v>22</v>
      </c>
      <c r="AB17" t="s">
        <v>553</v>
      </c>
      <c r="AD17" t="s">
        <v>181</v>
      </c>
      <c r="AE17" t="s">
        <v>420</v>
      </c>
      <c r="AF17">
        <v>0</v>
      </c>
      <c r="AG17">
        <v>0</v>
      </c>
      <c r="AH17">
        <v>418.5</v>
      </c>
      <c r="AI17">
        <v>0</v>
      </c>
      <c r="AJ17" t="s">
        <v>554</v>
      </c>
      <c r="AK17" t="s">
        <v>553</v>
      </c>
      <c r="AL17" t="s">
        <v>555</v>
      </c>
    </row>
    <row r="18" spans="1:38" x14ac:dyDescent="0.2">
      <c r="A18">
        <v>2336905</v>
      </c>
      <c r="B18">
        <v>7975244</v>
      </c>
      <c r="C18">
        <v>187508</v>
      </c>
      <c r="E18" t="b">
        <v>0</v>
      </c>
      <c r="F18">
        <v>70613</v>
      </c>
      <c r="G18" t="s">
        <v>625</v>
      </c>
      <c r="H18">
        <v>8</v>
      </c>
      <c r="I18" t="s">
        <v>646</v>
      </c>
      <c r="J18" t="s">
        <v>538</v>
      </c>
      <c r="K18" t="s">
        <v>539</v>
      </c>
      <c r="L18" t="s">
        <v>539</v>
      </c>
      <c r="M18" t="s">
        <v>647</v>
      </c>
      <c r="N18" t="s">
        <v>499</v>
      </c>
      <c r="O18" t="s">
        <v>501</v>
      </c>
      <c r="P18" t="s">
        <v>500</v>
      </c>
      <c r="S18" t="s">
        <v>628</v>
      </c>
      <c r="U18" t="s">
        <v>629</v>
      </c>
      <c r="V18" t="s">
        <v>648</v>
      </c>
      <c r="W18" t="s">
        <v>446</v>
      </c>
      <c r="X18" t="s">
        <v>540</v>
      </c>
      <c r="Y18" t="s">
        <v>551</v>
      </c>
      <c r="Z18" t="s">
        <v>552</v>
      </c>
      <c r="AA18" t="s">
        <v>22</v>
      </c>
      <c r="AB18" t="s">
        <v>553</v>
      </c>
      <c r="AD18" t="s">
        <v>502</v>
      </c>
      <c r="AE18" t="s">
        <v>420</v>
      </c>
      <c r="AF18">
        <v>0</v>
      </c>
      <c r="AG18">
        <v>0</v>
      </c>
      <c r="AH18">
        <v>418.5</v>
      </c>
      <c r="AI18">
        <v>0</v>
      </c>
      <c r="AJ18" t="s">
        <v>554</v>
      </c>
      <c r="AK18" t="s">
        <v>553</v>
      </c>
      <c r="AL18" t="s">
        <v>555</v>
      </c>
    </row>
    <row r="19" spans="1:38" x14ac:dyDescent="0.2">
      <c r="A19">
        <v>1235639</v>
      </c>
      <c r="B19">
        <v>7975242</v>
      </c>
      <c r="C19">
        <v>187508</v>
      </c>
      <c r="E19" t="b">
        <v>0</v>
      </c>
      <c r="F19">
        <v>70613</v>
      </c>
      <c r="G19" t="s">
        <v>625</v>
      </c>
      <c r="H19">
        <v>6</v>
      </c>
      <c r="I19" t="s">
        <v>649</v>
      </c>
      <c r="J19" t="s">
        <v>538</v>
      </c>
      <c r="K19" t="s">
        <v>539</v>
      </c>
      <c r="L19" t="s">
        <v>539</v>
      </c>
      <c r="M19" t="s">
        <v>650</v>
      </c>
      <c r="N19" t="s">
        <v>471</v>
      </c>
      <c r="O19" t="s">
        <v>176</v>
      </c>
      <c r="P19" t="s">
        <v>472</v>
      </c>
      <c r="S19" t="s">
        <v>628</v>
      </c>
      <c r="U19" t="s">
        <v>629</v>
      </c>
      <c r="V19" t="s">
        <v>651</v>
      </c>
      <c r="W19" t="s">
        <v>446</v>
      </c>
      <c r="X19" t="s">
        <v>540</v>
      </c>
      <c r="Y19" t="s">
        <v>551</v>
      </c>
      <c r="Z19" t="s">
        <v>552</v>
      </c>
      <c r="AA19" t="s">
        <v>22</v>
      </c>
      <c r="AB19" t="s">
        <v>553</v>
      </c>
      <c r="AD19" t="s">
        <v>175</v>
      </c>
      <c r="AE19" t="s">
        <v>420</v>
      </c>
      <c r="AF19">
        <v>0</v>
      </c>
      <c r="AG19">
        <v>0</v>
      </c>
      <c r="AH19">
        <v>418.5</v>
      </c>
      <c r="AI19">
        <v>0</v>
      </c>
      <c r="AJ19" t="s">
        <v>554</v>
      </c>
      <c r="AK19" t="s">
        <v>553</v>
      </c>
      <c r="AL19" t="s">
        <v>555</v>
      </c>
    </row>
    <row r="20" spans="1:38" x14ac:dyDescent="0.2">
      <c r="A20">
        <v>1235626</v>
      </c>
      <c r="B20">
        <v>7975238</v>
      </c>
      <c r="C20">
        <v>187508</v>
      </c>
      <c r="E20" t="b">
        <v>0</v>
      </c>
      <c r="F20">
        <v>70613</v>
      </c>
      <c r="G20" t="s">
        <v>625</v>
      </c>
      <c r="H20">
        <v>2</v>
      </c>
      <c r="I20" t="s">
        <v>652</v>
      </c>
      <c r="J20" t="s">
        <v>538</v>
      </c>
      <c r="K20" t="s">
        <v>539</v>
      </c>
      <c r="L20" t="s">
        <v>539</v>
      </c>
      <c r="M20" t="s">
        <v>653</v>
      </c>
      <c r="N20" t="s">
        <v>467</v>
      </c>
      <c r="O20" t="s">
        <v>184</v>
      </c>
      <c r="P20" t="s">
        <v>468</v>
      </c>
      <c r="S20" t="s">
        <v>628</v>
      </c>
      <c r="U20" t="s">
        <v>629</v>
      </c>
      <c r="V20" t="s">
        <v>654</v>
      </c>
      <c r="W20" t="s">
        <v>446</v>
      </c>
      <c r="X20" t="s">
        <v>540</v>
      </c>
      <c r="Y20" t="s">
        <v>551</v>
      </c>
      <c r="Z20" t="s">
        <v>552</v>
      </c>
      <c r="AA20" t="s">
        <v>22</v>
      </c>
      <c r="AB20" t="s">
        <v>553</v>
      </c>
      <c r="AD20" t="s">
        <v>183</v>
      </c>
      <c r="AE20" t="s">
        <v>420</v>
      </c>
      <c r="AF20">
        <v>0</v>
      </c>
      <c r="AG20">
        <v>0</v>
      </c>
      <c r="AH20">
        <v>418.5</v>
      </c>
      <c r="AI20">
        <v>0</v>
      </c>
      <c r="AJ20" t="s">
        <v>554</v>
      </c>
      <c r="AK20" t="s">
        <v>553</v>
      </c>
      <c r="AL20" t="s">
        <v>555</v>
      </c>
    </row>
    <row r="21" spans="1:38" x14ac:dyDescent="0.2">
      <c r="A21">
        <v>1235522</v>
      </c>
      <c r="B21">
        <v>7975240</v>
      </c>
      <c r="C21">
        <v>187508</v>
      </c>
      <c r="E21" t="b">
        <v>0</v>
      </c>
      <c r="F21">
        <v>70613</v>
      </c>
      <c r="G21" t="s">
        <v>625</v>
      </c>
      <c r="H21">
        <v>4</v>
      </c>
      <c r="I21" t="s">
        <v>655</v>
      </c>
      <c r="J21" t="s">
        <v>538</v>
      </c>
      <c r="K21" t="s">
        <v>539</v>
      </c>
      <c r="L21" t="s">
        <v>539</v>
      </c>
      <c r="M21" t="s">
        <v>656</v>
      </c>
      <c r="N21" t="s">
        <v>445</v>
      </c>
      <c r="O21" t="s">
        <v>182</v>
      </c>
      <c r="P21" t="s">
        <v>446</v>
      </c>
      <c r="S21" t="s">
        <v>628</v>
      </c>
      <c r="U21" t="s">
        <v>629</v>
      </c>
      <c r="V21" t="s">
        <v>657</v>
      </c>
      <c r="W21" t="s">
        <v>446</v>
      </c>
      <c r="X21" t="s">
        <v>540</v>
      </c>
      <c r="Y21" t="s">
        <v>551</v>
      </c>
      <c r="Z21" t="s">
        <v>552</v>
      </c>
      <c r="AA21" t="s">
        <v>22</v>
      </c>
      <c r="AB21" t="s">
        <v>553</v>
      </c>
      <c r="AD21" t="s">
        <v>181</v>
      </c>
      <c r="AE21" t="s">
        <v>420</v>
      </c>
      <c r="AF21">
        <v>0</v>
      </c>
      <c r="AG21">
        <v>0</v>
      </c>
      <c r="AH21">
        <v>418.5</v>
      </c>
      <c r="AI21">
        <v>0</v>
      </c>
      <c r="AJ21" t="s">
        <v>554</v>
      </c>
      <c r="AK21" t="s">
        <v>553</v>
      </c>
      <c r="AL21" t="s">
        <v>555</v>
      </c>
    </row>
    <row r="23" spans="1:38" x14ac:dyDescent="0.2">
      <c r="A23">
        <v>1235770</v>
      </c>
      <c r="B23">
        <v>8030104</v>
      </c>
      <c r="C23">
        <v>187514</v>
      </c>
      <c r="E23" t="b">
        <v>0</v>
      </c>
      <c r="F23">
        <v>71864</v>
      </c>
      <c r="G23" t="s">
        <v>658</v>
      </c>
      <c r="H23">
        <v>1</v>
      </c>
      <c r="I23" t="s">
        <v>659</v>
      </c>
      <c r="J23" t="s">
        <v>538</v>
      </c>
      <c r="K23" t="s">
        <v>539</v>
      </c>
      <c r="L23" t="s">
        <v>539</v>
      </c>
      <c r="M23" t="s">
        <v>660</v>
      </c>
      <c r="N23" t="s">
        <v>490</v>
      </c>
      <c r="O23" t="s">
        <v>491</v>
      </c>
      <c r="U23" t="s">
        <v>661</v>
      </c>
      <c r="V23" t="s">
        <v>662</v>
      </c>
      <c r="W23" t="s">
        <v>496</v>
      </c>
      <c r="X23" t="s">
        <v>540</v>
      </c>
      <c r="Y23" t="s">
        <v>417</v>
      </c>
      <c r="Z23" t="s">
        <v>552</v>
      </c>
      <c r="AB23" t="s">
        <v>663</v>
      </c>
      <c r="AD23" t="s">
        <v>234</v>
      </c>
      <c r="AE23" t="s">
        <v>492</v>
      </c>
      <c r="AF23">
        <v>0</v>
      </c>
      <c r="AG23">
        <v>0</v>
      </c>
      <c r="AH23">
        <v>0</v>
      </c>
      <c r="AI23">
        <v>0</v>
      </c>
      <c r="AJ23" t="s">
        <v>554</v>
      </c>
      <c r="AK23" t="s">
        <v>663</v>
      </c>
      <c r="AL23" t="s">
        <v>555</v>
      </c>
    </row>
    <row r="24" spans="1:38" x14ac:dyDescent="0.2">
      <c r="A24">
        <v>1235767</v>
      </c>
    </row>
    <row r="25" spans="1:38" x14ac:dyDescent="0.2">
      <c r="A25">
        <v>1235772</v>
      </c>
    </row>
    <row r="26" spans="1:38" x14ac:dyDescent="0.2">
      <c r="A26">
        <v>1235660</v>
      </c>
      <c r="B26">
        <v>7612900</v>
      </c>
      <c r="C26">
        <v>187509</v>
      </c>
      <c r="E26" t="b">
        <v>0</v>
      </c>
      <c r="F26">
        <v>64197</v>
      </c>
      <c r="G26" t="s">
        <v>664</v>
      </c>
      <c r="H26">
        <v>1</v>
      </c>
      <c r="I26" t="s">
        <v>665</v>
      </c>
      <c r="J26" t="s">
        <v>538</v>
      </c>
      <c r="K26" t="s">
        <v>539</v>
      </c>
      <c r="L26" t="s">
        <v>539</v>
      </c>
      <c r="M26" t="s">
        <v>666</v>
      </c>
      <c r="N26" t="s">
        <v>200</v>
      </c>
      <c r="O26" t="s">
        <v>477</v>
      </c>
      <c r="U26" t="s">
        <v>667</v>
      </c>
      <c r="V26" t="s">
        <v>668</v>
      </c>
      <c r="W26" t="s">
        <v>107</v>
      </c>
      <c r="X26" t="s">
        <v>540</v>
      </c>
      <c r="Y26" t="s">
        <v>116</v>
      </c>
      <c r="AB26" t="s">
        <v>663</v>
      </c>
      <c r="AD26" t="s">
        <v>236</v>
      </c>
      <c r="AE26" t="s">
        <v>436</v>
      </c>
      <c r="AF26">
        <v>0</v>
      </c>
      <c r="AG26">
        <v>0</v>
      </c>
      <c r="AI26">
        <v>0</v>
      </c>
      <c r="AJ26" t="s">
        <v>554</v>
      </c>
      <c r="AK26" t="s">
        <v>663</v>
      </c>
      <c r="AL26" t="s">
        <v>587</v>
      </c>
    </row>
    <row r="27" spans="1:38" x14ac:dyDescent="0.2">
      <c r="A27">
        <v>1235502</v>
      </c>
      <c r="B27">
        <v>6008756</v>
      </c>
      <c r="C27">
        <v>187514</v>
      </c>
      <c r="E27" t="b">
        <v>0</v>
      </c>
      <c r="F27">
        <v>41783</v>
      </c>
      <c r="G27" t="s">
        <v>669</v>
      </c>
      <c r="H27">
        <v>1</v>
      </c>
      <c r="I27" t="s">
        <v>670</v>
      </c>
      <c r="J27" t="s">
        <v>538</v>
      </c>
      <c r="K27" t="s">
        <v>539</v>
      </c>
      <c r="L27" t="s">
        <v>539</v>
      </c>
      <c r="M27" t="s">
        <v>671</v>
      </c>
      <c r="N27" t="s">
        <v>201</v>
      </c>
      <c r="O27" t="s">
        <v>435</v>
      </c>
      <c r="U27" t="s">
        <v>672</v>
      </c>
      <c r="V27" t="s">
        <v>673</v>
      </c>
      <c r="W27" t="s">
        <v>168</v>
      </c>
      <c r="X27" t="s">
        <v>540</v>
      </c>
      <c r="Y27" t="s">
        <v>116</v>
      </c>
      <c r="Z27" t="s">
        <v>552</v>
      </c>
      <c r="AB27" t="s">
        <v>663</v>
      </c>
      <c r="AD27" t="s">
        <v>237</v>
      </c>
      <c r="AE27" t="s">
        <v>436</v>
      </c>
      <c r="AF27">
        <v>0</v>
      </c>
      <c r="AG27">
        <v>0</v>
      </c>
      <c r="AH27">
        <v>27.5</v>
      </c>
      <c r="AI27">
        <v>0</v>
      </c>
      <c r="AJ27" t="s">
        <v>554</v>
      </c>
      <c r="AK27" t="s">
        <v>663</v>
      </c>
      <c r="AL27" t="s">
        <v>555</v>
      </c>
    </row>
    <row r="28" spans="1:38" x14ac:dyDescent="0.2">
      <c r="A28">
        <v>1235505</v>
      </c>
      <c r="B28">
        <v>7971837</v>
      </c>
      <c r="C28">
        <v>187514</v>
      </c>
      <c r="E28" t="b">
        <v>0</v>
      </c>
      <c r="F28">
        <v>70496</v>
      </c>
      <c r="G28" t="s">
        <v>674</v>
      </c>
      <c r="H28">
        <v>1</v>
      </c>
      <c r="I28" t="s">
        <v>675</v>
      </c>
      <c r="J28" t="s">
        <v>538</v>
      </c>
      <c r="K28" t="s">
        <v>539</v>
      </c>
      <c r="L28" t="s">
        <v>539</v>
      </c>
      <c r="M28" t="s">
        <v>676</v>
      </c>
      <c r="N28" t="s">
        <v>202</v>
      </c>
      <c r="O28" t="s">
        <v>439</v>
      </c>
      <c r="S28" t="s">
        <v>677</v>
      </c>
      <c r="U28" t="s">
        <v>678</v>
      </c>
      <c r="V28" t="s">
        <v>679</v>
      </c>
      <c r="W28" t="s">
        <v>509</v>
      </c>
      <c r="X28" t="s">
        <v>540</v>
      </c>
      <c r="Y28" t="s">
        <v>417</v>
      </c>
      <c r="Z28" t="s">
        <v>552</v>
      </c>
      <c r="AB28" t="s">
        <v>663</v>
      </c>
      <c r="AD28" t="s">
        <v>238</v>
      </c>
      <c r="AE28" t="s">
        <v>436</v>
      </c>
      <c r="AF28">
        <v>0</v>
      </c>
      <c r="AG28">
        <v>0</v>
      </c>
      <c r="AH28">
        <v>75</v>
      </c>
      <c r="AI28">
        <v>0</v>
      </c>
      <c r="AJ28" t="s">
        <v>554</v>
      </c>
      <c r="AK28" t="s">
        <v>663</v>
      </c>
      <c r="AL28" t="s">
        <v>555</v>
      </c>
    </row>
    <row r="29" spans="1:38" x14ac:dyDescent="0.2">
      <c r="A29">
        <v>1235646</v>
      </c>
      <c r="B29">
        <v>6249107</v>
      </c>
      <c r="C29">
        <v>187514</v>
      </c>
      <c r="E29" t="b">
        <v>0</v>
      </c>
      <c r="F29">
        <v>46530</v>
      </c>
      <c r="G29" t="s">
        <v>680</v>
      </c>
      <c r="H29">
        <v>1</v>
      </c>
      <c r="I29" t="s">
        <v>681</v>
      </c>
      <c r="J29" t="s">
        <v>538</v>
      </c>
      <c r="K29" t="s">
        <v>539</v>
      </c>
      <c r="L29" t="s">
        <v>539</v>
      </c>
      <c r="M29" t="s">
        <v>682</v>
      </c>
      <c r="N29" t="s">
        <v>203</v>
      </c>
      <c r="O29" t="s">
        <v>473</v>
      </c>
      <c r="U29" t="s">
        <v>683</v>
      </c>
      <c r="V29" t="s">
        <v>684</v>
      </c>
      <c r="W29" t="s">
        <v>168</v>
      </c>
      <c r="X29" t="s">
        <v>540</v>
      </c>
      <c r="Y29" t="s">
        <v>551</v>
      </c>
      <c r="AB29" t="s">
        <v>663</v>
      </c>
      <c r="AD29" t="s">
        <v>239</v>
      </c>
      <c r="AE29" t="s">
        <v>474</v>
      </c>
      <c r="AF29">
        <v>0</v>
      </c>
      <c r="AG29">
        <v>0</v>
      </c>
      <c r="AI29">
        <v>0</v>
      </c>
      <c r="AJ29" t="s">
        <v>554</v>
      </c>
      <c r="AK29" t="s">
        <v>663</v>
      </c>
      <c r="AL29" t="s">
        <v>555</v>
      </c>
    </row>
    <row r="30" spans="1:38" x14ac:dyDescent="0.2">
      <c r="A30">
        <v>1235659</v>
      </c>
      <c r="B30">
        <v>8065644</v>
      </c>
      <c r="C30">
        <v>187514</v>
      </c>
      <c r="E30" t="b">
        <v>0</v>
      </c>
      <c r="F30">
        <v>72594</v>
      </c>
      <c r="G30" t="s">
        <v>685</v>
      </c>
      <c r="H30">
        <v>1</v>
      </c>
      <c r="I30" t="s">
        <v>686</v>
      </c>
      <c r="J30" t="s">
        <v>538</v>
      </c>
      <c r="K30" t="s">
        <v>539</v>
      </c>
      <c r="L30" t="s">
        <v>539</v>
      </c>
      <c r="M30" t="s">
        <v>687</v>
      </c>
      <c r="N30" t="s">
        <v>204</v>
      </c>
      <c r="O30" t="s">
        <v>475</v>
      </c>
      <c r="U30" t="s">
        <v>688</v>
      </c>
      <c r="V30" t="s">
        <v>689</v>
      </c>
      <c r="W30" t="s">
        <v>460</v>
      </c>
      <c r="X30" t="s">
        <v>540</v>
      </c>
      <c r="Y30" t="s">
        <v>417</v>
      </c>
      <c r="Z30" t="s">
        <v>552</v>
      </c>
      <c r="AB30" t="s">
        <v>663</v>
      </c>
      <c r="AD30" t="s">
        <v>240</v>
      </c>
      <c r="AE30" t="s">
        <v>476</v>
      </c>
      <c r="AF30">
        <v>0</v>
      </c>
      <c r="AG30">
        <v>0</v>
      </c>
      <c r="AH30">
        <v>0</v>
      </c>
      <c r="AI30">
        <v>0</v>
      </c>
      <c r="AJ30" t="s">
        <v>554</v>
      </c>
      <c r="AK30" t="s">
        <v>663</v>
      </c>
      <c r="AL30" t="s">
        <v>555</v>
      </c>
    </row>
    <row r="31" spans="1:38" x14ac:dyDescent="0.2">
      <c r="A31">
        <v>1235504</v>
      </c>
      <c r="B31">
        <v>6820976</v>
      </c>
      <c r="C31">
        <v>187514</v>
      </c>
      <c r="E31" t="b">
        <v>0</v>
      </c>
      <c r="F31">
        <v>50724</v>
      </c>
      <c r="G31" t="s">
        <v>690</v>
      </c>
      <c r="H31">
        <v>1</v>
      </c>
      <c r="I31" t="s">
        <v>691</v>
      </c>
      <c r="J31" t="s">
        <v>538</v>
      </c>
      <c r="K31" t="s">
        <v>539</v>
      </c>
      <c r="L31" t="s">
        <v>539</v>
      </c>
      <c r="M31" t="s">
        <v>692</v>
      </c>
      <c r="N31" t="s">
        <v>205</v>
      </c>
      <c r="O31" t="s">
        <v>438</v>
      </c>
      <c r="U31" t="s">
        <v>693</v>
      </c>
      <c r="V31" t="s">
        <v>694</v>
      </c>
      <c r="W31" t="s">
        <v>487</v>
      </c>
      <c r="X31" t="s">
        <v>540</v>
      </c>
      <c r="Y31" t="s">
        <v>551</v>
      </c>
      <c r="Z31" t="s">
        <v>552</v>
      </c>
      <c r="AB31" t="s">
        <v>663</v>
      </c>
      <c r="AD31" t="s">
        <v>241</v>
      </c>
      <c r="AE31" t="s">
        <v>436</v>
      </c>
      <c r="AF31">
        <v>0</v>
      </c>
      <c r="AG31">
        <v>0</v>
      </c>
      <c r="AH31">
        <v>27.5</v>
      </c>
      <c r="AI31">
        <v>0</v>
      </c>
      <c r="AJ31" t="s">
        <v>554</v>
      </c>
      <c r="AK31" t="s">
        <v>663</v>
      </c>
      <c r="AL31" t="s">
        <v>555</v>
      </c>
    </row>
    <row r="32" spans="1:38" x14ac:dyDescent="0.2">
      <c r="A32">
        <v>1235506</v>
      </c>
      <c r="B32">
        <v>7162110</v>
      </c>
      <c r="C32">
        <v>187514</v>
      </c>
      <c r="E32" t="b">
        <v>0</v>
      </c>
      <c r="F32">
        <v>57050</v>
      </c>
      <c r="G32" t="s">
        <v>695</v>
      </c>
      <c r="H32">
        <v>1</v>
      </c>
      <c r="I32" t="s">
        <v>696</v>
      </c>
      <c r="J32" t="s">
        <v>538</v>
      </c>
      <c r="K32" t="s">
        <v>539</v>
      </c>
      <c r="L32" t="s">
        <v>539</v>
      </c>
      <c r="M32" t="s">
        <v>697</v>
      </c>
      <c r="N32" t="s">
        <v>206</v>
      </c>
      <c r="O32" t="s">
        <v>440</v>
      </c>
      <c r="U32" t="s">
        <v>698</v>
      </c>
      <c r="V32" t="s">
        <v>699</v>
      </c>
      <c r="W32" t="s">
        <v>107</v>
      </c>
      <c r="X32" t="s">
        <v>540</v>
      </c>
      <c r="Y32" t="s">
        <v>551</v>
      </c>
      <c r="AB32" t="s">
        <v>663</v>
      </c>
      <c r="AD32" t="s">
        <v>242</v>
      </c>
      <c r="AE32" t="s">
        <v>436</v>
      </c>
      <c r="AF32">
        <v>0</v>
      </c>
      <c r="AG32">
        <v>0</v>
      </c>
      <c r="AI32">
        <v>0</v>
      </c>
      <c r="AJ32" t="s">
        <v>554</v>
      </c>
      <c r="AK32" t="s">
        <v>663</v>
      </c>
      <c r="AL32" t="s">
        <v>555</v>
      </c>
    </row>
    <row r="33" spans="1:38" x14ac:dyDescent="0.2">
      <c r="A33">
        <v>1235510</v>
      </c>
      <c r="B33">
        <v>6129692</v>
      </c>
      <c r="C33">
        <v>187514</v>
      </c>
      <c r="E33" t="b">
        <v>0</v>
      </c>
      <c r="F33">
        <v>44349</v>
      </c>
      <c r="G33" t="s">
        <v>700</v>
      </c>
      <c r="H33">
        <v>1</v>
      </c>
      <c r="I33" t="s">
        <v>701</v>
      </c>
      <c r="J33" t="s">
        <v>538</v>
      </c>
      <c r="K33" t="s">
        <v>539</v>
      </c>
      <c r="L33" t="s">
        <v>539</v>
      </c>
      <c r="M33" t="s">
        <v>702</v>
      </c>
      <c r="N33" t="s">
        <v>207</v>
      </c>
      <c r="O33" t="s">
        <v>444</v>
      </c>
      <c r="U33" t="s">
        <v>703</v>
      </c>
      <c r="V33" t="s">
        <v>704</v>
      </c>
      <c r="W33" t="s">
        <v>705</v>
      </c>
      <c r="X33" t="s">
        <v>540</v>
      </c>
      <c r="Y33" t="s">
        <v>551</v>
      </c>
      <c r="AB33" t="s">
        <v>663</v>
      </c>
      <c r="AD33" t="s">
        <v>243</v>
      </c>
      <c r="AE33" t="s">
        <v>436</v>
      </c>
      <c r="AF33">
        <v>0</v>
      </c>
      <c r="AG33">
        <v>0</v>
      </c>
      <c r="AI33">
        <v>0</v>
      </c>
      <c r="AJ33" t="s">
        <v>554</v>
      </c>
      <c r="AK33" t="s">
        <v>663</v>
      </c>
      <c r="AL33" t="s">
        <v>555</v>
      </c>
    </row>
    <row r="34" spans="1:38" x14ac:dyDescent="0.2">
      <c r="A34">
        <v>1235590</v>
      </c>
      <c r="B34">
        <v>7948956</v>
      </c>
      <c r="C34">
        <v>187514</v>
      </c>
      <c r="E34" t="b">
        <v>0</v>
      </c>
      <c r="F34">
        <v>70164</v>
      </c>
      <c r="G34" t="s">
        <v>706</v>
      </c>
      <c r="H34">
        <v>1</v>
      </c>
      <c r="I34" t="s">
        <v>707</v>
      </c>
      <c r="J34" t="s">
        <v>708</v>
      </c>
      <c r="K34" t="s">
        <v>539</v>
      </c>
      <c r="L34" t="s">
        <v>539</v>
      </c>
      <c r="M34" t="s">
        <v>709</v>
      </c>
      <c r="N34" t="s">
        <v>209</v>
      </c>
      <c r="O34" t="s">
        <v>208</v>
      </c>
      <c r="U34" t="s">
        <v>710</v>
      </c>
      <c r="X34" t="s">
        <v>540</v>
      </c>
      <c r="Y34" t="s">
        <v>116</v>
      </c>
      <c r="Z34" t="s">
        <v>552</v>
      </c>
      <c r="AD34" t="s">
        <v>244</v>
      </c>
      <c r="AE34" t="s">
        <v>436</v>
      </c>
      <c r="AJ34" t="s">
        <v>554</v>
      </c>
      <c r="AK34" t="s">
        <v>663</v>
      </c>
      <c r="AL34" t="s">
        <v>555</v>
      </c>
    </row>
    <row r="35" spans="1:38" x14ac:dyDescent="0.2">
      <c r="A35">
        <v>1235489</v>
      </c>
      <c r="B35">
        <v>7008912</v>
      </c>
      <c r="C35">
        <v>187510</v>
      </c>
      <c r="E35" t="b">
        <v>0</v>
      </c>
      <c r="F35">
        <v>53750</v>
      </c>
      <c r="G35" t="s">
        <v>711</v>
      </c>
      <c r="H35">
        <v>1</v>
      </c>
      <c r="I35" t="s">
        <v>712</v>
      </c>
      <c r="J35" t="s">
        <v>538</v>
      </c>
      <c r="K35" t="s">
        <v>537</v>
      </c>
      <c r="L35" t="s">
        <v>539</v>
      </c>
      <c r="M35" t="s">
        <v>713</v>
      </c>
      <c r="N35" t="s">
        <v>428</v>
      </c>
      <c r="O35" t="s">
        <v>430</v>
      </c>
      <c r="S35" t="s">
        <v>591</v>
      </c>
      <c r="U35" t="s">
        <v>714</v>
      </c>
      <c r="V35" t="s">
        <v>715</v>
      </c>
      <c r="W35" t="s">
        <v>446</v>
      </c>
      <c r="X35" t="s">
        <v>540</v>
      </c>
      <c r="Y35" t="s">
        <v>116</v>
      </c>
      <c r="Z35" t="s">
        <v>552</v>
      </c>
      <c r="AA35" t="s">
        <v>22</v>
      </c>
      <c r="AB35" t="s">
        <v>595</v>
      </c>
      <c r="AD35" t="s">
        <v>431</v>
      </c>
      <c r="AE35" t="s">
        <v>431</v>
      </c>
      <c r="AF35">
        <v>0</v>
      </c>
      <c r="AG35">
        <v>0</v>
      </c>
      <c r="AH35">
        <v>76.25</v>
      </c>
      <c r="AI35">
        <v>0</v>
      </c>
      <c r="AJ35" t="s">
        <v>554</v>
      </c>
      <c r="AK35" t="s">
        <v>595</v>
      </c>
      <c r="AL35" t="s">
        <v>555</v>
      </c>
    </row>
    <row r="36" spans="1:38" x14ac:dyDescent="0.2">
      <c r="A36">
        <v>1235508</v>
      </c>
      <c r="B36">
        <v>4996970</v>
      </c>
      <c r="C36">
        <v>187508</v>
      </c>
      <c r="E36" t="b">
        <v>0</v>
      </c>
      <c r="F36">
        <v>28336</v>
      </c>
      <c r="G36" t="s">
        <v>716</v>
      </c>
      <c r="H36">
        <v>1</v>
      </c>
      <c r="I36" t="s">
        <v>717</v>
      </c>
      <c r="J36" t="s">
        <v>538</v>
      </c>
      <c r="K36" t="s">
        <v>539</v>
      </c>
      <c r="L36" t="s">
        <v>539</v>
      </c>
      <c r="M36" t="s">
        <v>718</v>
      </c>
      <c r="N36" t="s">
        <v>719</v>
      </c>
      <c r="O36" t="s">
        <v>442</v>
      </c>
      <c r="U36" t="s">
        <v>720</v>
      </c>
      <c r="X36" t="s">
        <v>540</v>
      </c>
      <c r="Y36" t="s">
        <v>116</v>
      </c>
      <c r="Z36" t="s">
        <v>552</v>
      </c>
      <c r="AD36" t="s">
        <v>721</v>
      </c>
      <c r="AE36" t="s">
        <v>415</v>
      </c>
      <c r="AJ36" t="s">
        <v>554</v>
      </c>
      <c r="AK36" t="s">
        <v>553</v>
      </c>
      <c r="AL36" t="s">
        <v>555</v>
      </c>
    </row>
    <row r="37" spans="1:38" x14ac:dyDescent="0.2">
      <c r="A37">
        <v>1235777</v>
      </c>
      <c r="B37">
        <v>5034456</v>
      </c>
      <c r="C37">
        <v>187514</v>
      </c>
      <c r="E37" t="b">
        <v>0</v>
      </c>
      <c r="F37">
        <v>29273</v>
      </c>
      <c r="G37" t="s">
        <v>722</v>
      </c>
      <c r="H37">
        <v>1</v>
      </c>
      <c r="I37" t="s">
        <v>723</v>
      </c>
      <c r="J37" t="s">
        <v>538</v>
      </c>
      <c r="K37" t="s">
        <v>539</v>
      </c>
      <c r="L37" t="s">
        <v>539</v>
      </c>
      <c r="M37" t="s">
        <v>724</v>
      </c>
      <c r="N37" t="s">
        <v>210</v>
      </c>
      <c r="O37" t="s">
        <v>493</v>
      </c>
      <c r="S37" t="s">
        <v>677</v>
      </c>
      <c r="V37" t="s">
        <v>725</v>
      </c>
      <c r="W37" t="s">
        <v>726</v>
      </c>
      <c r="X37" t="s">
        <v>540</v>
      </c>
      <c r="Y37" t="s">
        <v>116</v>
      </c>
      <c r="Z37" t="s">
        <v>552</v>
      </c>
      <c r="AB37" t="s">
        <v>663</v>
      </c>
      <c r="AD37" t="s">
        <v>246</v>
      </c>
      <c r="AE37" t="s">
        <v>494</v>
      </c>
      <c r="AF37">
        <v>0</v>
      </c>
      <c r="AG37">
        <v>0</v>
      </c>
      <c r="AH37">
        <v>27.5</v>
      </c>
      <c r="AI37">
        <v>0</v>
      </c>
      <c r="AJ37" t="s">
        <v>554</v>
      </c>
      <c r="AK37" t="s">
        <v>663</v>
      </c>
      <c r="AL37" t="s">
        <v>555</v>
      </c>
    </row>
    <row r="38" spans="1:38" x14ac:dyDescent="0.2">
      <c r="A38">
        <v>1235400</v>
      </c>
      <c r="B38">
        <v>6119636</v>
      </c>
      <c r="C38">
        <v>187514</v>
      </c>
      <c r="E38" t="b">
        <v>0</v>
      </c>
      <c r="F38">
        <v>44172</v>
      </c>
      <c r="G38" t="s">
        <v>727</v>
      </c>
      <c r="H38">
        <v>1</v>
      </c>
      <c r="I38" t="s">
        <v>728</v>
      </c>
      <c r="J38" t="s">
        <v>538</v>
      </c>
      <c r="K38" t="s">
        <v>539</v>
      </c>
      <c r="L38" t="s">
        <v>539</v>
      </c>
      <c r="M38" t="s">
        <v>729</v>
      </c>
      <c r="N38" t="s">
        <v>211</v>
      </c>
      <c r="O38" t="s">
        <v>414</v>
      </c>
      <c r="U38" t="s">
        <v>730</v>
      </c>
      <c r="V38" t="s">
        <v>731</v>
      </c>
      <c r="W38" t="s">
        <v>705</v>
      </c>
      <c r="X38" t="s">
        <v>540</v>
      </c>
      <c r="Y38" t="s">
        <v>551</v>
      </c>
      <c r="AB38" t="s">
        <v>663</v>
      </c>
      <c r="AD38" t="s">
        <v>247</v>
      </c>
      <c r="AE38" t="s">
        <v>415</v>
      </c>
      <c r="AF38">
        <v>0</v>
      </c>
      <c r="AG38">
        <v>0</v>
      </c>
      <c r="AI38">
        <v>0</v>
      </c>
      <c r="AJ38" t="s">
        <v>554</v>
      </c>
      <c r="AK38" t="s">
        <v>663</v>
      </c>
      <c r="AL38" t="s">
        <v>555</v>
      </c>
    </row>
    <row r="39" spans="1:38" x14ac:dyDescent="0.2">
      <c r="A39">
        <v>1235661</v>
      </c>
      <c r="B39">
        <v>8074219</v>
      </c>
      <c r="C39">
        <v>187514</v>
      </c>
      <c r="E39" t="b">
        <v>0</v>
      </c>
      <c r="F39">
        <v>72769</v>
      </c>
      <c r="G39" t="s">
        <v>732</v>
      </c>
      <c r="H39">
        <v>1</v>
      </c>
      <c r="I39" t="s">
        <v>733</v>
      </c>
      <c r="J39" t="s">
        <v>538</v>
      </c>
      <c r="K39" t="s">
        <v>539</v>
      </c>
      <c r="L39" t="s">
        <v>539</v>
      </c>
      <c r="M39" t="s">
        <v>734</v>
      </c>
      <c r="N39" t="s">
        <v>212</v>
      </c>
      <c r="O39" t="s">
        <v>478</v>
      </c>
      <c r="S39" t="s">
        <v>677</v>
      </c>
      <c r="U39" t="s">
        <v>735</v>
      </c>
      <c r="V39" t="s">
        <v>736</v>
      </c>
      <c r="W39" t="s">
        <v>509</v>
      </c>
      <c r="X39" t="s">
        <v>540</v>
      </c>
      <c r="Y39" t="s">
        <v>551</v>
      </c>
      <c r="Z39" t="s">
        <v>552</v>
      </c>
      <c r="AB39" t="s">
        <v>663</v>
      </c>
      <c r="AD39" t="s">
        <v>248</v>
      </c>
      <c r="AE39" t="s">
        <v>415</v>
      </c>
      <c r="AF39">
        <v>0</v>
      </c>
      <c r="AG39">
        <v>0</v>
      </c>
      <c r="AH39">
        <v>0</v>
      </c>
      <c r="AI39">
        <v>0</v>
      </c>
      <c r="AJ39" t="s">
        <v>554</v>
      </c>
      <c r="AK39" t="s">
        <v>663</v>
      </c>
      <c r="AL39" t="s">
        <v>555</v>
      </c>
    </row>
    <row r="40" spans="1:38" x14ac:dyDescent="0.2">
      <c r="A40">
        <v>1235507</v>
      </c>
      <c r="B40">
        <v>8085736</v>
      </c>
      <c r="C40">
        <v>187514</v>
      </c>
      <c r="E40" t="b">
        <v>0</v>
      </c>
      <c r="F40">
        <v>72935</v>
      </c>
      <c r="G40" t="s">
        <v>737</v>
      </c>
      <c r="H40">
        <v>1</v>
      </c>
      <c r="I40" t="s">
        <v>738</v>
      </c>
      <c r="J40" t="s">
        <v>537</v>
      </c>
      <c r="K40" t="s">
        <v>537</v>
      </c>
      <c r="L40" t="s">
        <v>537</v>
      </c>
      <c r="M40" t="s">
        <v>739</v>
      </c>
      <c r="N40" t="s">
        <v>213</v>
      </c>
      <c r="O40" t="s">
        <v>441</v>
      </c>
      <c r="U40" t="s">
        <v>740</v>
      </c>
      <c r="V40" t="s">
        <v>741</v>
      </c>
      <c r="W40" t="s">
        <v>472</v>
      </c>
      <c r="X40" t="s">
        <v>540</v>
      </c>
      <c r="Y40" t="s">
        <v>551</v>
      </c>
      <c r="AB40" t="s">
        <v>663</v>
      </c>
      <c r="AD40" t="s">
        <v>249</v>
      </c>
      <c r="AE40" t="s">
        <v>415</v>
      </c>
      <c r="AF40">
        <v>0</v>
      </c>
      <c r="AG40">
        <v>0</v>
      </c>
      <c r="AI40">
        <v>0</v>
      </c>
      <c r="AJ40" t="s">
        <v>554</v>
      </c>
      <c r="AK40" t="s">
        <v>663</v>
      </c>
      <c r="AL40" t="s">
        <v>555</v>
      </c>
    </row>
    <row r="42" spans="1:38" x14ac:dyDescent="0.2">
      <c r="A42">
        <v>1235500</v>
      </c>
      <c r="B42">
        <v>8128420</v>
      </c>
      <c r="C42">
        <v>187514</v>
      </c>
      <c r="E42" t="b">
        <v>0</v>
      </c>
      <c r="F42">
        <v>73271</v>
      </c>
      <c r="G42" t="s">
        <v>742</v>
      </c>
      <c r="H42">
        <v>1</v>
      </c>
      <c r="I42" t="s">
        <v>743</v>
      </c>
      <c r="J42" t="s">
        <v>538</v>
      </c>
      <c r="K42" t="s">
        <v>537</v>
      </c>
      <c r="L42" t="s">
        <v>539</v>
      </c>
      <c r="M42" t="s">
        <v>744</v>
      </c>
      <c r="N42" t="s">
        <v>214</v>
      </c>
      <c r="O42" t="s">
        <v>433</v>
      </c>
      <c r="U42" t="s">
        <v>745</v>
      </c>
      <c r="V42" t="s">
        <v>746</v>
      </c>
      <c r="W42" t="s">
        <v>107</v>
      </c>
      <c r="X42" t="s">
        <v>540</v>
      </c>
      <c r="Y42" t="s">
        <v>116</v>
      </c>
      <c r="Z42" t="s">
        <v>552</v>
      </c>
      <c r="AB42" t="s">
        <v>663</v>
      </c>
      <c r="AD42" t="s">
        <v>250</v>
      </c>
      <c r="AE42" t="s">
        <v>415</v>
      </c>
      <c r="AF42">
        <v>0</v>
      </c>
      <c r="AG42">
        <v>0</v>
      </c>
      <c r="AH42">
        <v>0</v>
      </c>
      <c r="AI42">
        <v>0</v>
      </c>
      <c r="AJ42" t="s">
        <v>554</v>
      </c>
      <c r="AK42" t="s">
        <v>663</v>
      </c>
      <c r="AL42" t="s">
        <v>555</v>
      </c>
    </row>
    <row r="43" spans="1:38" x14ac:dyDescent="0.2">
      <c r="A43">
        <v>1235509</v>
      </c>
      <c r="B43">
        <v>6206718</v>
      </c>
      <c r="C43">
        <v>187514</v>
      </c>
      <c r="E43" t="b">
        <v>0</v>
      </c>
      <c r="F43">
        <v>46040</v>
      </c>
      <c r="G43" t="s">
        <v>747</v>
      </c>
      <c r="H43">
        <v>2</v>
      </c>
      <c r="I43" t="s">
        <v>748</v>
      </c>
      <c r="J43" t="s">
        <v>538</v>
      </c>
      <c r="K43" t="s">
        <v>539</v>
      </c>
      <c r="L43" t="s">
        <v>539</v>
      </c>
      <c r="M43" t="s">
        <v>749</v>
      </c>
      <c r="N43" t="s">
        <v>215</v>
      </c>
      <c r="O43" t="s">
        <v>443</v>
      </c>
      <c r="U43" t="s">
        <v>750</v>
      </c>
      <c r="V43" t="s">
        <v>751</v>
      </c>
      <c r="W43" t="s">
        <v>726</v>
      </c>
      <c r="X43" t="s">
        <v>540</v>
      </c>
      <c r="Y43" t="s">
        <v>551</v>
      </c>
      <c r="AB43" t="s">
        <v>663</v>
      </c>
      <c r="AD43" t="s">
        <v>251</v>
      </c>
      <c r="AE43" t="s">
        <v>415</v>
      </c>
      <c r="AF43">
        <v>0</v>
      </c>
      <c r="AG43">
        <v>0</v>
      </c>
      <c r="AI43">
        <v>0</v>
      </c>
      <c r="AJ43" t="s">
        <v>554</v>
      </c>
      <c r="AK43" t="s">
        <v>663</v>
      </c>
      <c r="AL43" t="s">
        <v>555</v>
      </c>
    </row>
    <row r="44" spans="1:38" x14ac:dyDescent="0.2">
      <c r="A44">
        <v>1235498</v>
      </c>
      <c r="B44">
        <v>4234901</v>
      </c>
      <c r="C44">
        <v>187508</v>
      </c>
      <c r="E44" t="b">
        <v>0</v>
      </c>
      <c r="F44">
        <v>24455</v>
      </c>
      <c r="G44" t="s">
        <v>752</v>
      </c>
      <c r="H44">
        <v>1</v>
      </c>
      <c r="I44" t="s">
        <v>753</v>
      </c>
      <c r="J44" t="s">
        <v>538</v>
      </c>
      <c r="K44" t="s">
        <v>539</v>
      </c>
      <c r="L44" t="s">
        <v>539</v>
      </c>
      <c r="M44" t="s">
        <v>754</v>
      </c>
      <c r="N44" t="s">
        <v>216</v>
      </c>
      <c r="O44" t="s">
        <v>432</v>
      </c>
      <c r="S44" t="s">
        <v>755</v>
      </c>
      <c r="U44" t="s">
        <v>756</v>
      </c>
      <c r="V44" t="s">
        <v>757</v>
      </c>
      <c r="W44" t="s">
        <v>758</v>
      </c>
      <c r="X44" t="s">
        <v>540</v>
      </c>
      <c r="Y44" t="s">
        <v>116</v>
      </c>
      <c r="Z44" t="s">
        <v>552</v>
      </c>
      <c r="AB44" t="s">
        <v>553</v>
      </c>
      <c r="AD44" t="s">
        <v>252</v>
      </c>
      <c r="AE44" t="s">
        <v>415</v>
      </c>
      <c r="AF44">
        <v>0</v>
      </c>
      <c r="AG44">
        <v>0</v>
      </c>
      <c r="AH44">
        <v>68</v>
      </c>
      <c r="AI44">
        <v>0</v>
      </c>
      <c r="AJ44" t="s">
        <v>554</v>
      </c>
      <c r="AK44" t="s">
        <v>553</v>
      </c>
      <c r="AL44" t="s">
        <v>555</v>
      </c>
    </row>
    <row r="45" spans="1:38" x14ac:dyDescent="0.2">
      <c r="A45">
        <v>1235401</v>
      </c>
      <c r="B45">
        <v>6140648</v>
      </c>
      <c r="C45">
        <v>187514</v>
      </c>
      <c r="E45" t="b">
        <v>0</v>
      </c>
      <c r="F45">
        <v>44618</v>
      </c>
      <c r="G45" t="s">
        <v>759</v>
      </c>
      <c r="H45">
        <v>1</v>
      </c>
      <c r="I45" t="s">
        <v>760</v>
      </c>
      <c r="J45" t="s">
        <v>538</v>
      </c>
      <c r="K45" t="s">
        <v>539</v>
      </c>
      <c r="L45" t="s">
        <v>539</v>
      </c>
      <c r="M45" t="s">
        <v>761</v>
      </c>
      <c r="N45" t="s">
        <v>217</v>
      </c>
      <c r="O45" t="s">
        <v>416</v>
      </c>
      <c r="P45" t="s">
        <v>115</v>
      </c>
      <c r="U45" t="s">
        <v>762</v>
      </c>
      <c r="V45" t="s">
        <v>763</v>
      </c>
      <c r="W45" t="s">
        <v>168</v>
      </c>
      <c r="X45" t="s">
        <v>540</v>
      </c>
      <c r="Y45" t="s">
        <v>116</v>
      </c>
      <c r="AB45" t="s">
        <v>663</v>
      </c>
      <c r="AD45" t="s">
        <v>253</v>
      </c>
      <c r="AE45" t="s">
        <v>415</v>
      </c>
      <c r="AF45">
        <v>0</v>
      </c>
      <c r="AG45">
        <v>0</v>
      </c>
      <c r="AI45">
        <v>0</v>
      </c>
      <c r="AJ45" t="s">
        <v>554</v>
      </c>
      <c r="AK45" t="s">
        <v>663</v>
      </c>
      <c r="AL45" t="s">
        <v>555</v>
      </c>
    </row>
    <row r="46" spans="1:38" x14ac:dyDescent="0.2">
      <c r="A46">
        <v>1235402</v>
      </c>
      <c r="B46">
        <v>8128495</v>
      </c>
      <c r="C46">
        <v>187514</v>
      </c>
      <c r="E46" t="b">
        <v>0</v>
      </c>
      <c r="F46">
        <v>73279</v>
      </c>
      <c r="G46" t="s">
        <v>764</v>
      </c>
      <c r="H46">
        <v>1</v>
      </c>
      <c r="I46" t="s">
        <v>765</v>
      </c>
      <c r="J46" t="s">
        <v>538</v>
      </c>
      <c r="K46" t="s">
        <v>539</v>
      </c>
      <c r="L46" t="s">
        <v>539</v>
      </c>
      <c r="M46" t="s">
        <v>766</v>
      </c>
      <c r="N46" t="s">
        <v>218</v>
      </c>
      <c r="O46" t="s">
        <v>418</v>
      </c>
      <c r="P46" t="s">
        <v>115</v>
      </c>
      <c r="U46" t="s">
        <v>767</v>
      </c>
      <c r="V46" t="s">
        <v>768</v>
      </c>
      <c r="W46" t="s">
        <v>107</v>
      </c>
      <c r="X46" t="s">
        <v>540</v>
      </c>
      <c r="Y46" t="s">
        <v>116</v>
      </c>
      <c r="Z46" t="s">
        <v>552</v>
      </c>
      <c r="AB46" t="s">
        <v>663</v>
      </c>
      <c r="AD46" t="s">
        <v>254</v>
      </c>
      <c r="AE46" t="s">
        <v>415</v>
      </c>
      <c r="AF46">
        <v>0</v>
      </c>
      <c r="AG46">
        <v>0</v>
      </c>
      <c r="AH46">
        <v>0</v>
      </c>
      <c r="AI46">
        <v>0</v>
      </c>
      <c r="AJ46" t="s">
        <v>554</v>
      </c>
      <c r="AK46" t="s">
        <v>663</v>
      </c>
      <c r="AL46" t="s">
        <v>555</v>
      </c>
    </row>
    <row r="47" spans="1:38" x14ac:dyDescent="0.2">
      <c r="A47">
        <v>1235610</v>
      </c>
      <c r="B47">
        <v>3518992</v>
      </c>
      <c r="E47" t="b">
        <v>0</v>
      </c>
      <c r="F47">
        <v>7771</v>
      </c>
      <c r="G47" t="s">
        <v>769</v>
      </c>
      <c r="H47">
        <v>1</v>
      </c>
      <c r="I47" t="s">
        <v>770</v>
      </c>
      <c r="J47" t="s">
        <v>538</v>
      </c>
      <c r="K47" t="s">
        <v>537</v>
      </c>
      <c r="L47" t="s">
        <v>539</v>
      </c>
      <c r="M47" t="s">
        <v>771</v>
      </c>
      <c r="N47" t="s">
        <v>224</v>
      </c>
      <c r="O47" t="s">
        <v>223</v>
      </c>
      <c r="P47" t="s">
        <v>462</v>
      </c>
      <c r="S47" t="s">
        <v>583</v>
      </c>
      <c r="V47" t="s">
        <v>772</v>
      </c>
      <c r="W47" t="s">
        <v>446</v>
      </c>
      <c r="X47" t="s">
        <v>540</v>
      </c>
      <c r="Y47" t="s">
        <v>116</v>
      </c>
      <c r="Z47" t="s">
        <v>552</v>
      </c>
      <c r="AD47" t="s">
        <v>222</v>
      </c>
      <c r="AE47" t="s">
        <v>463</v>
      </c>
      <c r="AF47">
        <v>0</v>
      </c>
      <c r="AG47">
        <v>0</v>
      </c>
      <c r="AH47">
        <v>41</v>
      </c>
      <c r="AI47">
        <v>0</v>
      </c>
      <c r="AJ47" t="s">
        <v>773</v>
      </c>
    </row>
    <row r="49" spans="1:38" x14ac:dyDescent="0.2">
      <c r="A49">
        <v>1235673</v>
      </c>
      <c r="B49">
        <v>7098933</v>
      </c>
      <c r="C49">
        <v>187514</v>
      </c>
      <c r="E49" t="b">
        <v>0</v>
      </c>
      <c r="F49">
        <v>55608</v>
      </c>
      <c r="G49" t="s">
        <v>774</v>
      </c>
      <c r="H49">
        <v>1</v>
      </c>
      <c r="I49" t="s">
        <v>775</v>
      </c>
      <c r="J49" t="s">
        <v>538</v>
      </c>
      <c r="K49" t="s">
        <v>539</v>
      </c>
      <c r="L49" t="s">
        <v>539</v>
      </c>
      <c r="M49" t="s">
        <v>776</v>
      </c>
      <c r="N49" t="s">
        <v>331</v>
      </c>
      <c r="O49" t="s">
        <v>479</v>
      </c>
      <c r="U49" t="s">
        <v>777</v>
      </c>
      <c r="V49" t="s">
        <v>778</v>
      </c>
      <c r="W49" t="s">
        <v>107</v>
      </c>
      <c r="X49" t="s">
        <v>540</v>
      </c>
      <c r="Y49" t="s">
        <v>551</v>
      </c>
      <c r="Z49" t="s">
        <v>552</v>
      </c>
      <c r="AB49" t="s">
        <v>663</v>
      </c>
      <c r="AD49" t="s">
        <v>330</v>
      </c>
      <c r="AE49" t="s">
        <v>448</v>
      </c>
      <c r="AF49">
        <v>0</v>
      </c>
      <c r="AG49">
        <v>0</v>
      </c>
      <c r="AH49">
        <v>27.5</v>
      </c>
      <c r="AI49">
        <v>0</v>
      </c>
      <c r="AJ49" t="s">
        <v>554</v>
      </c>
      <c r="AK49" t="s">
        <v>663</v>
      </c>
      <c r="AL49" t="s">
        <v>555</v>
      </c>
    </row>
    <row r="50" spans="1:38" x14ac:dyDescent="0.2">
      <c r="A50">
        <v>1235526</v>
      </c>
      <c r="B50">
        <v>6917566</v>
      </c>
      <c r="C50">
        <v>187514</v>
      </c>
      <c r="E50" t="b">
        <v>0</v>
      </c>
      <c r="F50">
        <v>51875</v>
      </c>
      <c r="G50" t="s">
        <v>779</v>
      </c>
      <c r="H50">
        <v>1</v>
      </c>
      <c r="I50" t="s">
        <v>780</v>
      </c>
      <c r="J50" t="s">
        <v>538</v>
      </c>
      <c r="K50" t="s">
        <v>539</v>
      </c>
      <c r="L50" t="s">
        <v>539</v>
      </c>
      <c r="M50" t="s">
        <v>781</v>
      </c>
      <c r="N50" t="s">
        <v>219</v>
      </c>
      <c r="O50" t="s">
        <v>447</v>
      </c>
      <c r="U50" t="s">
        <v>782</v>
      </c>
      <c r="V50" t="s">
        <v>783</v>
      </c>
      <c r="W50" t="s">
        <v>460</v>
      </c>
      <c r="X50" t="s">
        <v>540</v>
      </c>
      <c r="Y50" t="s">
        <v>551</v>
      </c>
      <c r="AB50" t="s">
        <v>663</v>
      </c>
      <c r="AD50" t="s">
        <v>255</v>
      </c>
      <c r="AE50" t="s">
        <v>448</v>
      </c>
      <c r="AF50">
        <v>0</v>
      </c>
      <c r="AG50">
        <v>0</v>
      </c>
      <c r="AI50">
        <v>0</v>
      </c>
      <c r="AJ50" t="s">
        <v>554</v>
      </c>
      <c r="AK50" t="s">
        <v>663</v>
      </c>
      <c r="AL50" t="s">
        <v>555</v>
      </c>
    </row>
    <row r="51" spans="1:38" x14ac:dyDescent="0.2">
      <c r="A51">
        <v>2635568</v>
      </c>
      <c r="B51">
        <v>7621062</v>
      </c>
      <c r="C51">
        <v>187514</v>
      </c>
      <c r="E51" t="b">
        <v>0</v>
      </c>
      <c r="F51">
        <v>64450</v>
      </c>
      <c r="G51" t="s">
        <v>784</v>
      </c>
      <c r="H51">
        <v>1</v>
      </c>
      <c r="I51" t="s">
        <v>785</v>
      </c>
      <c r="J51" t="s">
        <v>537</v>
      </c>
      <c r="K51" t="s">
        <v>537</v>
      </c>
      <c r="L51" t="s">
        <v>537</v>
      </c>
      <c r="M51" t="s">
        <v>786</v>
      </c>
      <c r="N51" t="s">
        <v>220</v>
      </c>
      <c r="O51" t="s">
        <v>507</v>
      </c>
      <c r="U51" t="s">
        <v>787</v>
      </c>
      <c r="V51" t="s">
        <v>788</v>
      </c>
      <c r="W51" t="s">
        <v>500</v>
      </c>
      <c r="X51" t="s">
        <v>540</v>
      </c>
      <c r="Y51" t="s">
        <v>417</v>
      </c>
      <c r="Z51" t="s">
        <v>552</v>
      </c>
      <c r="AB51" t="s">
        <v>663</v>
      </c>
      <c r="AD51" t="s">
        <v>256</v>
      </c>
      <c r="AE51" t="s">
        <v>448</v>
      </c>
      <c r="AF51">
        <v>0</v>
      </c>
      <c r="AG51">
        <v>0</v>
      </c>
      <c r="AH51">
        <v>27.5</v>
      </c>
      <c r="AI51">
        <v>0</v>
      </c>
      <c r="AJ51" t="s">
        <v>554</v>
      </c>
      <c r="AK51" t="s">
        <v>663</v>
      </c>
      <c r="AL51" t="s">
        <v>555</v>
      </c>
    </row>
    <row r="52" spans="1:38" x14ac:dyDescent="0.2">
      <c r="A52">
        <v>1235345</v>
      </c>
      <c r="B52">
        <v>7865996</v>
      </c>
      <c r="C52">
        <v>7654931</v>
      </c>
      <c r="E52" t="b">
        <v>0</v>
      </c>
      <c r="F52">
        <v>68489</v>
      </c>
      <c r="G52" t="s">
        <v>789</v>
      </c>
      <c r="H52">
        <v>1</v>
      </c>
      <c r="I52" t="s">
        <v>790</v>
      </c>
      <c r="J52" t="s">
        <v>538</v>
      </c>
      <c r="K52" t="s">
        <v>539</v>
      </c>
      <c r="L52" t="s">
        <v>539</v>
      </c>
      <c r="M52" t="s">
        <v>791</v>
      </c>
      <c r="N52" t="s">
        <v>186</v>
      </c>
      <c r="O52" t="s">
        <v>186</v>
      </c>
      <c r="P52" t="s">
        <v>409</v>
      </c>
      <c r="S52" t="s">
        <v>792</v>
      </c>
      <c r="U52" t="s">
        <v>793</v>
      </c>
      <c r="V52" t="s">
        <v>794</v>
      </c>
      <c r="W52" t="s">
        <v>795</v>
      </c>
      <c r="X52" t="s">
        <v>540</v>
      </c>
      <c r="Y52" t="s">
        <v>116</v>
      </c>
      <c r="Z52" t="s">
        <v>796</v>
      </c>
      <c r="AB52" t="s">
        <v>578</v>
      </c>
      <c r="AD52" t="s">
        <v>185</v>
      </c>
      <c r="AE52" t="s">
        <v>410</v>
      </c>
      <c r="AF52">
        <v>0</v>
      </c>
      <c r="AG52">
        <v>0</v>
      </c>
      <c r="AH52">
        <v>117.75</v>
      </c>
      <c r="AI52">
        <v>0</v>
      </c>
      <c r="AJ52" t="s">
        <v>554</v>
      </c>
      <c r="AK52" t="s">
        <v>578</v>
      </c>
      <c r="AL52" t="s">
        <v>797</v>
      </c>
    </row>
    <row r="53" spans="1:38" x14ac:dyDescent="0.2">
      <c r="A53">
        <v>1235444</v>
      </c>
      <c r="B53">
        <v>7855800</v>
      </c>
      <c r="C53">
        <v>187508</v>
      </c>
      <c r="E53" t="b">
        <v>0</v>
      </c>
      <c r="F53">
        <v>68290</v>
      </c>
      <c r="G53" t="s">
        <v>798</v>
      </c>
      <c r="H53">
        <v>1</v>
      </c>
      <c r="I53" t="s">
        <v>799</v>
      </c>
      <c r="J53" t="s">
        <v>538</v>
      </c>
      <c r="K53" t="s">
        <v>537</v>
      </c>
      <c r="L53" t="s">
        <v>539</v>
      </c>
      <c r="M53" t="s">
        <v>800</v>
      </c>
      <c r="N53" t="s">
        <v>190</v>
      </c>
      <c r="O53" t="s">
        <v>189</v>
      </c>
      <c r="P53" t="s">
        <v>115</v>
      </c>
      <c r="S53" t="s">
        <v>591</v>
      </c>
      <c r="U53" t="s">
        <v>801</v>
      </c>
      <c r="V53" t="s">
        <v>802</v>
      </c>
      <c r="W53" t="s">
        <v>446</v>
      </c>
      <c r="X53" t="s">
        <v>540</v>
      </c>
      <c r="Y53" t="s">
        <v>551</v>
      </c>
      <c r="Z53" t="s">
        <v>552</v>
      </c>
      <c r="AB53" t="s">
        <v>553</v>
      </c>
      <c r="AD53" t="s">
        <v>427</v>
      </c>
      <c r="AE53" t="s">
        <v>803</v>
      </c>
      <c r="AF53">
        <v>0</v>
      </c>
      <c r="AG53">
        <v>0</v>
      </c>
      <c r="AH53">
        <v>102</v>
      </c>
      <c r="AI53">
        <v>0</v>
      </c>
      <c r="AJ53" t="s">
        <v>554</v>
      </c>
      <c r="AK53" t="s">
        <v>553</v>
      </c>
      <c r="AL53" t="s">
        <v>555</v>
      </c>
    </row>
    <row r="54" spans="1:38" x14ac:dyDescent="0.2">
      <c r="A54">
        <v>1235564</v>
      </c>
      <c r="B54">
        <v>7890061</v>
      </c>
      <c r="C54">
        <v>187508</v>
      </c>
      <c r="E54" t="b">
        <v>0</v>
      </c>
      <c r="F54">
        <v>69031</v>
      </c>
      <c r="G54" t="s">
        <v>804</v>
      </c>
      <c r="H54">
        <v>1</v>
      </c>
      <c r="I54" t="s">
        <v>805</v>
      </c>
      <c r="J54" t="s">
        <v>538</v>
      </c>
      <c r="K54" t="s">
        <v>537</v>
      </c>
      <c r="L54" t="s">
        <v>539</v>
      </c>
      <c r="M54" t="s">
        <v>806</v>
      </c>
      <c r="N54" t="s">
        <v>195</v>
      </c>
      <c r="O54" t="s">
        <v>194</v>
      </c>
      <c r="S54" t="s">
        <v>807</v>
      </c>
      <c r="U54" t="s">
        <v>808</v>
      </c>
      <c r="V54" t="s">
        <v>809</v>
      </c>
      <c r="W54" t="s">
        <v>446</v>
      </c>
      <c r="X54" t="s">
        <v>540</v>
      </c>
      <c r="Y54" t="s">
        <v>551</v>
      </c>
      <c r="Z54" t="s">
        <v>552</v>
      </c>
      <c r="AB54" t="s">
        <v>553</v>
      </c>
      <c r="AD54" t="s">
        <v>193</v>
      </c>
      <c r="AE54" t="s">
        <v>458</v>
      </c>
      <c r="AF54">
        <v>0</v>
      </c>
      <c r="AG54">
        <v>0</v>
      </c>
      <c r="AH54">
        <v>75</v>
      </c>
      <c r="AI54">
        <v>0</v>
      </c>
      <c r="AJ54" t="s">
        <v>554</v>
      </c>
      <c r="AK54" t="s">
        <v>553</v>
      </c>
      <c r="AL54" t="s">
        <v>555</v>
      </c>
    </row>
    <row r="55" spans="1:38" x14ac:dyDescent="0.2">
      <c r="A55">
        <v>1235501</v>
      </c>
      <c r="B55">
        <v>8010165</v>
      </c>
      <c r="C55">
        <v>187508</v>
      </c>
      <c r="E55" t="b">
        <v>0</v>
      </c>
      <c r="F55">
        <v>71410</v>
      </c>
      <c r="G55" t="s">
        <v>810</v>
      </c>
      <c r="H55">
        <v>1</v>
      </c>
      <c r="I55" t="s">
        <v>811</v>
      </c>
      <c r="J55" t="s">
        <v>538</v>
      </c>
      <c r="K55" t="s">
        <v>537</v>
      </c>
      <c r="L55" t="s">
        <v>539</v>
      </c>
      <c r="M55" t="s">
        <v>812</v>
      </c>
      <c r="N55" t="s">
        <v>198</v>
      </c>
      <c r="O55" t="s">
        <v>197</v>
      </c>
      <c r="P55" t="s">
        <v>417</v>
      </c>
      <c r="S55" t="s">
        <v>591</v>
      </c>
      <c r="U55" t="s">
        <v>629</v>
      </c>
      <c r="V55" t="s">
        <v>813</v>
      </c>
      <c r="W55" t="s">
        <v>446</v>
      </c>
      <c r="X55" t="s">
        <v>540</v>
      </c>
      <c r="Y55" t="s">
        <v>551</v>
      </c>
      <c r="Z55" t="s">
        <v>552</v>
      </c>
      <c r="AB55" t="s">
        <v>553</v>
      </c>
      <c r="AD55" t="s">
        <v>196</v>
      </c>
      <c r="AE55" t="s">
        <v>434</v>
      </c>
      <c r="AF55">
        <v>0</v>
      </c>
      <c r="AG55">
        <v>0</v>
      </c>
      <c r="AH55">
        <v>75</v>
      </c>
      <c r="AI55">
        <v>0</v>
      </c>
      <c r="AJ55" t="s">
        <v>554</v>
      </c>
      <c r="AK55" t="s">
        <v>553</v>
      </c>
      <c r="AL55" t="s">
        <v>555</v>
      </c>
    </row>
    <row r="56" spans="1:38" x14ac:dyDescent="0.2">
      <c r="A56">
        <v>1235704</v>
      </c>
      <c r="B56">
        <v>8031653</v>
      </c>
      <c r="C56">
        <v>187514</v>
      </c>
      <c r="E56" t="b">
        <v>0</v>
      </c>
      <c r="F56">
        <v>71907</v>
      </c>
      <c r="G56" t="s">
        <v>814</v>
      </c>
      <c r="H56">
        <v>1</v>
      </c>
      <c r="I56" t="s">
        <v>815</v>
      </c>
      <c r="J56" t="s">
        <v>538</v>
      </c>
      <c r="K56" t="s">
        <v>539</v>
      </c>
      <c r="L56" t="s">
        <v>539</v>
      </c>
      <c r="M56" t="s">
        <v>816</v>
      </c>
      <c r="N56" t="s">
        <v>264</v>
      </c>
      <c r="O56" t="s">
        <v>485</v>
      </c>
      <c r="S56" t="s">
        <v>677</v>
      </c>
      <c r="U56" t="s">
        <v>817</v>
      </c>
      <c r="V56" t="s">
        <v>818</v>
      </c>
      <c r="W56" t="s">
        <v>379</v>
      </c>
      <c r="X56" t="s">
        <v>540</v>
      </c>
      <c r="Y56" t="s">
        <v>417</v>
      </c>
      <c r="Z56" t="s">
        <v>552</v>
      </c>
      <c r="AB56" t="s">
        <v>663</v>
      </c>
      <c r="AD56" t="s">
        <v>263</v>
      </c>
      <c r="AE56" t="s">
        <v>263</v>
      </c>
      <c r="AF56">
        <v>0</v>
      </c>
      <c r="AG56">
        <v>0</v>
      </c>
      <c r="AH56">
        <v>27.5</v>
      </c>
      <c r="AI56">
        <v>0</v>
      </c>
      <c r="AJ56" t="s">
        <v>554</v>
      </c>
      <c r="AK56" t="s">
        <v>663</v>
      </c>
      <c r="AL56" t="s">
        <v>555</v>
      </c>
    </row>
    <row r="57" spans="1:38" x14ac:dyDescent="0.2">
      <c r="A57">
        <v>1235563</v>
      </c>
      <c r="B57">
        <v>7009411</v>
      </c>
      <c r="C57">
        <v>7589603</v>
      </c>
      <c r="E57" t="b">
        <v>0</v>
      </c>
      <c r="F57">
        <v>53782</v>
      </c>
      <c r="G57" t="s">
        <v>819</v>
      </c>
      <c r="H57">
        <v>1</v>
      </c>
      <c r="I57" t="s">
        <v>820</v>
      </c>
      <c r="J57" t="s">
        <v>538</v>
      </c>
      <c r="K57" t="s">
        <v>537</v>
      </c>
      <c r="L57" t="s">
        <v>539</v>
      </c>
      <c r="M57" t="s">
        <v>821</v>
      </c>
      <c r="N57" t="s">
        <v>230</v>
      </c>
      <c r="O57" t="s">
        <v>230</v>
      </c>
      <c r="P57" t="s">
        <v>455</v>
      </c>
      <c r="S57" t="s">
        <v>583</v>
      </c>
      <c r="U57" t="s">
        <v>822</v>
      </c>
      <c r="V57" t="s">
        <v>823</v>
      </c>
      <c r="W57" t="s">
        <v>446</v>
      </c>
      <c r="X57" t="s">
        <v>540</v>
      </c>
      <c r="Y57" t="s">
        <v>116</v>
      </c>
      <c r="Z57" t="s">
        <v>552</v>
      </c>
      <c r="AB57" t="s">
        <v>578</v>
      </c>
      <c r="AD57" t="s">
        <v>456</v>
      </c>
      <c r="AE57" t="s">
        <v>457</v>
      </c>
      <c r="AF57">
        <v>0</v>
      </c>
      <c r="AG57">
        <v>0</v>
      </c>
      <c r="AH57">
        <v>46</v>
      </c>
      <c r="AI57">
        <v>0</v>
      </c>
      <c r="AJ57" t="s">
        <v>554</v>
      </c>
      <c r="AK57" t="s">
        <v>578</v>
      </c>
      <c r="AL57" t="s">
        <v>587</v>
      </c>
    </row>
    <row r="58" spans="1:38" x14ac:dyDescent="0.2">
      <c r="A58">
        <v>1235428</v>
      </c>
      <c r="B58">
        <v>3934094</v>
      </c>
      <c r="C58">
        <v>7589603</v>
      </c>
      <c r="E58" t="b">
        <v>0</v>
      </c>
      <c r="F58">
        <v>17702</v>
      </c>
      <c r="G58" t="s">
        <v>824</v>
      </c>
      <c r="H58">
        <v>1</v>
      </c>
      <c r="I58" t="s">
        <v>825</v>
      </c>
      <c r="J58" t="s">
        <v>538</v>
      </c>
      <c r="K58" t="s">
        <v>539</v>
      </c>
      <c r="L58" t="s">
        <v>539</v>
      </c>
      <c r="M58" t="s">
        <v>826</v>
      </c>
      <c r="N58" t="s">
        <v>231</v>
      </c>
      <c r="O58" t="s">
        <v>231</v>
      </c>
      <c r="P58" t="s">
        <v>758</v>
      </c>
      <c r="S58" t="s">
        <v>583</v>
      </c>
      <c r="V58" t="s">
        <v>827</v>
      </c>
      <c r="W58" t="s">
        <v>446</v>
      </c>
      <c r="X58" t="s">
        <v>540</v>
      </c>
      <c r="Y58" t="s">
        <v>116</v>
      </c>
      <c r="Z58" t="s">
        <v>552</v>
      </c>
      <c r="AB58" t="s">
        <v>578</v>
      </c>
      <c r="AD58" t="s">
        <v>828</v>
      </c>
      <c r="AE58" t="s">
        <v>829</v>
      </c>
      <c r="AF58">
        <v>0</v>
      </c>
      <c r="AG58">
        <v>0</v>
      </c>
      <c r="AH58">
        <v>41</v>
      </c>
      <c r="AI58">
        <v>0</v>
      </c>
      <c r="AJ58" t="s">
        <v>554</v>
      </c>
      <c r="AK58" t="s">
        <v>578</v>
      </c>
      <c r="AL58" t="s">
        <v>587</v>
      </c>
    </row>
    <row r="59" spans="1:38" x14ac:dyDescent="0.2">
      <c r="A59">
        <v>2822437</v>
      </c>
    </row>
    <row r="60" spans="1:38" x14ac:dyDescent="0.2">
      <c r="A60">
        <v>1235598</v>
      </c>
      <c r="B60">
        <v>7490110</v>
      </c>
      <c r="C60">
        <v>7589602</v>
      </c>
      <c r="E60" t="b">
        <v>0</v>
      </c>
      <c r="F60">
        <v>61175</v>
      </c>
      <c r="G60" t="s">
        <v>830</v>
      </c>
      <c r="H60">
        <v>1</v>
      </c>
      <c r="I60" t="s">
        <v>831</v>
      </c>
      <c r="J60" t="s">
        <v>538</v>
      </c>
      <c r="K60" t="s">
        <v>537</v>
      </c>
      <c r="L60" t="s">
        <v>539</v>
      </c>
      <c r="M60" t="s">
        <v>832</v>
      </c>
      <c r="N60" t="s">
        <v>187</v>
      </c>
      <c r="O60" t="s">
        <v>187</v>
      </c>
      <c r="P60" t="s">
        <v>446</v>
      </c>
      <c r="S60" t="s">
        <v>591</v>
      </c>
      <c r="U60" t="s">
        <v>833</v>
      </c>
      <c r="V60" t="s">
        <v>834</v>
      </c>
      <c r="W60" t="s">
        <v>446</v>
      </c>
      <c r="X60" t="s">
        <v>540</v>
      </c>
      <c r="Y60" t="s">
        <v>116</v>
      </c>
      <c r="Z60" t="s">
        <v>552</v>
      </c>
      <c r="AA60" t="s">
        <v>22</v>
      </c>
      <c r="AB60" t="s">
        <v>595</v>
      </c>
      <c r="AD60" t="s">
        <v>461</v>
      </c>
      <c r="AE60" t="s">
        <v>461</v>
      </c>
      <c r="AF60">
        <v>0</v>
      </c>
      <c r="AG60">
        <v>0</v>
      </c>
      <c r="AH60">
        <v>76.25</v>
      </c>
      <c r="AI60">
        <v>0</v>
      </c>
      <c r="AJ60" t="s">
        <v>554</v>
      </c>
      <c r="AK60" t="s">
        <v>595</v>
      </c>
      <c r="AL60" t="s">
        <v>587</v>
      </c>
    </row>
    <row r="61" spans="1:38" x14ac:dyDescent="0.2">
      <c r="A61">
        <v>1235517</v>
      </c>
      <c r="B61">
        <v>6829128</v>
      </c>
      <c r="C61">
        <v>187510</v>
      </c>
      <c r="E61" t="b">
        <v>0</v>
      </c>
      <c r="F61">
        <v>50907</v>
      </c>
      <c r="G61" t="s">
        <v>835</v>
      </c>
      <c r="H61">
        <v>1</v>
      </c>
      <c r="I61" t="s">
        <v>836</v>
      </c>
      <c r="J61" t="s">
        <v>538</v>
      </c>
      <c r="K61" t="s">
        <v>537</v>
      </c>
      <c r="L61" t="s">
        <v>539</v>
      </c>
      <c r="M61" t="s">
        <v>837</v>
      </c>
      <c r="N61" t="s">
        <v>188</v>
      </c>
      <c r="O61" t="s">
        <v>188</v>
      </c>
      <c r="P61" t="s">
        <v>107</v>
      </c>
      <c r="S61" t="s">
        <v>591</v>
      </c>
      <c r="U61" t="s">
        <v>838</v>
      </c>
      <c r="V61" t="s">
        <v>839</v>
      </c>
      <c r="W61" t="s">
        <v>446</v>
      </c>
      <c r="X61" t="s">
        <v>540</v>
      </c>
      <c r="Y61" t="s">
        <v>116</v>
      </c>
      <c r="Z61" t="s">
        <v>552</v>
      </c>
      <c r="AA61" t="s">
        <v>22</v>
      </c>
      <c r="AB61" t="s">
        <v>595</v>
      </c>
      <c r="AD61" t="s">
        <v>840</v>
      </c>
      <c r="AE61" t="s">
        <v>840</v>
      </c>
      <c r="AF61">
        <v>0</v>
      </c>
      <c r="AG61">
        <v>0</v>
      </c>
      <c r="AH61">
        <v>74.75</v>
      </c>
      <c r="AI61">
        <v>0</v>
      </c>
      <c r="AJ61" t="s">
        <v>554</v>
      </c>
      <c r="AK61" t="s">
        <v>595</v>
      </c>
      <c r="AL61" t="s">
        <v>555</v>
      </c>
    </row>
    <row r="62" spans="1:38" x14ac:dyDescent="0.2">
      <c r="A62">
        <v>2822784</v>
      </c>
      <c r="B62">
        <v>8069275</v>
      </c>
      <c r="E62" t="b">
        <v>0</v>
      </c>
      <c r="F62">
        <v>72690</v>
      </c>
      <c r="G62" t="s">
        <v>841</v>
      </c>
      <c r="H62">
        <v>1</v>
      </c>
      <c r="I62" t="s">
        <v>842</v>
      </c>
      <c r="J62" t="s">
        <v>538</v>
      </c>
      <c r="K62" t="s">
        <v>539</v>
      </c>
      <c r="L62" t="s">
        <v>539</v>
      </c>
      <c r="M62" t="s">
        <v>843</v>
      </c>
      <c r="N62" t="s">
        <v>511</v>
      </c>
      <c r="O62" t="s">
        <v>511</v>
      </c>
      <c r="P62" t="s">
        <v>148</v>
      </c>
      <c r="S62" t="s">
        <v>844</v>
      </c>
      <c r="V62" t="s">
        <v>845</v>
      </c>
      <c r="W62" t="s">
        <v>446</v>
      </c>
      <c r="X62" t="s">
        <v>540</v>
      </c>
      <c r="Y62" t="s">
        <v>586</v>
      </c>
      <c r="Z62" t="s">
        <v>552</v>
      </c>
      <c r="AA62" t="s">
        <v>22</v>
      </c>
      <c r="AD62" t="s">
        <v>512</v>
      </c>
      <c r="AE62" t="s">
        <v>512</v>
      </c>
      <c r="AF62">
        <v>0</v>
      </c>
      <c r="AG62">
        <v>0</v>
      </c>
      <c r="AH62">
        <v>76.25</v>
      </c>
      <c r="AI62">
        <v>0</v>
      </c>
      <c r="AJ62" t="s">
        <v>554</v>
      </c>
    </row>
    <row r="63" spans="1:38" x14ac:dyDescent="0.2">
      <c r="A63">
        <v>1235416</v>
      </c>
      <c r="B63">
        <v>7618351</v>
      </c>
      <c r="C63">
        <v>187510</v>
      </c>
      <c r="E63" t="b">
        <v>0</v>
      </c>
      <c r="F63">
        <v>64375</v>
      </c>
      <c r="G63" t="s">
        <v>846</v>
      </c>
      <c r="H63">
        <v>1</v>
      </c>
      <c r="I63" t="s">
        <v>847</v>
      </c>
      <c r="J63" t="s">
        <v>538</v>
      </c>
      <c r="K63" t="s">
        <v>848</v>
      </c>
      <c r="L63" t="s">
        <v>539</v>
      </c>
      <c r="M63" t="s">
        <v>849</v>
      </c>
      <c r="N63" t="s">
        <v>421</v>
      </c>
      <c r="O63" t="s">
        <v>421</v>
      </c>
      <c r="P63" t="s">
        <v>422</v>
      </c>
      <c r="S63" t="s">
        <v>850</v>
      </c>
      <c r="U63" t="s">
        <v>851</v>
      </c>
      <c r="V63" t="s">
        <v>852</v>
      </c>
      <c r="W63" t="s">
        <v>446</v>
      </c>
      <c r="X63" t="s">
        <v>540</v>
      </c>
      <c r="Y63" t="s">
        <v>116</v>
      </c>
      <c r="Z63" t="s">
        <v>552</v>
      </c>
      <c r="AA63" t="s">
        <v>22</v>
      </c>
      <c r="AB63" t="s">
        <v>595</v>
      </c>
      <c r="AD63" t="s">
        <v>423</v>
      </c>
      <c r="AE63" t="s">
        <v>423</v>
      </c>
      <c r="AF63">
        <v>0</v>
      </c>
      <c r="AG63">
        <v>0</v>
      </c>
      <c r="AH63">
        <v>76.25</v>
      </c>
      <c r="AI63">
        <v>0</v>
      </c>
      <c r="AJ63" t="s">
        <v>554</v>
      </c>
      <c r="AK63" t="s">
        <v>595</v>
      </c>
      <c r="AL63" t="s">
        <v>555</v>
      </c>
    </row>
    <row r="64" spans="1:38" x14ac:dyDescent="0.2">
      <c r="A64">
        <v>1235503</v>
      </c>
      <c r="B64">
        <v>8035837</v>
      </c>
      <c r="C64">
        <v>187508</v>
      </c>
      <c r="E64" t="b">
        <v>0</v>
      </c>
      <c r="F64">
        <v>72022</v>
      </c>
      <c r="G64" t="s">
        <v>853</v>
      </c>
      <c r="H64">
        <v>1</v>
      </c>
      <c r="I64" t="s">
        <v>854</v>
      </c>
      <c r="J64" t="s">
        <v>538</v>
      </c>
      <c r="K64" t="s">
        <v>537</v>
      </c>
      <c r="L64" t="s">
        <v>539</v>
      </c>
      <c r="M64" t="s">
        <v>855</v>
      </c>
      <c r="N64" t="s">
        <v>269</v>
      </c>
      <c r="O64" t="s">
        <v>191</v>
      </c>
      <c r="P64" t="s">
        <v>417</v>
      </c>
      <c r="S64" t="s">
        <v>856</v>
      </c>
      <c r="U64" t="s">
        <v>857</v>
      </c>
      <c r="V64" t="s">
        <v>858</v>
      </c>
      <c r="W64" t="s">
        <v>446</v>
      </c>
      <c r="X64" t="s">
        <v>540</v>
      </c>
      <c r="Y64" t="s">
        <v>551</v>
      </c>
      <c r="Z64" t="s">
        <v>552</v>
      </c>
      <c r="AB64" t="s">
        <v>553</v>
      </c>
      <c r="AD64" t="s">
        <v>270</v>
      </c>
      <c r="AE64" t="s">
        <v>437</v>
      </c>
      <c r="AF64">
        <v>0</v>
      </c>
      <c r="AG64">
        <v>0</v>
      </c>
      <c r="AH64">
        <v>97</v>
      </c>
      <c r="AI64">
        <v>0</v>
      </c>
      <c r="AJ64" t="s">
        <v>554</v>
      </c>
      <c r="AK64" t="s">
        <v>553</v>
      </c>
      <c r="AL64" t="s">
        <v>555</v>
      </c>
    </row>
    <row r="65" spans="1:1" x14ac:dyDescent="0.2">
      <c r="A65">
        <v>1235768</v>
      </c>
    </row>
    <row r="66" spans="1:1" x14ac:dyDescent="0.2">
      <c r="A66">
        <v>1235769</v>
      </c>
    </row>
    <row r="67" spans="1:1" x14ac:dyDescent="0.2">
      <c r="A67">
        <v>1235540</v>
      </c>
    </row>
  </sheetData>
  <sheetProtection algorithmName="SHA-512" hashValue="DEENw8UGU39ogtGxfZfLXRA0f8+Q+wdUw+q0HveDcDLfvLW49PUamYlBMk7xvps+hGyrfkw45X5Eq5mN3Q9cPw==" saltValue="BWJXLIlX2BS0S3FZXnDny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571</v>
      </c>
      <c r="B1" s="39" t="s">
        <v>569</v>
      </c>
      <c r="C1" s="39" t="s">
        <v>570</v>
      </c>
    </row>
    <row r="2" spans="1:3" x14ac:dyDescent="0.2">
      <c r="A2" s="39" t="s">
        <v>568</v>
      </c>
      <c r="B2">
        <v>-100</v>
      </c>
      <c r="C2">
        <v>450</v>
      </c>
    </row>
    <row r="3" spans="1:3" x14ac:dyDescent="0.2">
      <c r="A3" s="39" t="s">
        <v>562</v>
      </c>
      <c r="B3">
        <v>-50</v>
      </c>
      <c r="C3">
        <v>450</v>
      </c>
    </row>
    <row r="4" spans="1:3" x14ac:dyDescent="0.2">
      <c r="A4" s="39" t="s">
        <v>561</v>
      </c>
      <c r="B4">
        <v>70</v>
      </c>
      <c r="C4">
        <v>500</v>
      </c>
    </row>
    <row r="5" spans="1:3" x14ac:dyDescent="0.2">
      <c r="A5" s="39" t="s">
        <v>563</v>
      </c>
      <c r="B5">
        <v>70</v>
      </c>
      <c r="C5">
        <v>450</v>
      </c>
    </row>
    <row r="6" spans="1:3" x14ac:dyDescent="0.2">
      <c r="A6" s="39" t="s">
        <v>565</v>
      </c>
      <c r="B6">
        <v>70</v>
      </c>
      <c r="C6">
        <v>1000</v>
      </c>
    </row>
    <row r="7" spans="1:3" x14ac:dyDescent="0.2">
      <c r="A7" s="39" t="s">
        <v>566</v>
      </c>
      <c r="B7">
        <v>200</v>
      </c>
      <c r="C7">
        <v>1850</v>
      </c>
    </row>
    <row r="8" spans="1:3" x14ac:dyDescent="0.2">
      <c r="A8" s="39" t="s">
        <v>564</v>
      </c>
      <c r="B8">
        <v>700</v>
      </c>
      <c r="C8">
        <v>2200</v>
      </c>
    </row>
    <row r="9" spans="1:3" x14ac:dyDescent="0.2">
      <c r="A9" s="39" t="s">
        <v>567</v>
      </c>
      <c r="B9">
        <v>700</v>
      </c>
      <c r="C9">
        <v>2200</v>
      </c>
    </row>
  </sheetData>
  <sheetProtection algorithmName="SHA-512" hashValue="1TxFtrC78bILfEpoCH+NxnSTJ1oT13UFHn5OL4jCitAV0JXWwkSSSTL1KyM8SsGLzdqDRD+BXWEV9VsYtzmrlA==" saltValue="FvUO6vNk27IuhbAn+sQdR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2" sqref="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918</v>
      </c>
      <c r="G1" s="39" t="s">
        <v>921</v>
      </c>
      <c r="I1" s="501" t="s">
        <v>915</v>
      </c>
      <c r="J1" s="502"/>
      <c r="L1" s="36"/>
      <c r="M1" s="453" t="s">
        <v>910</v>
      </c>
      <c r="N1" s="454" t="s">
        <v>15</v>
      </c>
      <c r="O1" s="454" t="s">
        <v>914</v>
      </c>
      <c r="P1" s="454" t="s">
        <v>904</v>
      </c>
      <c r="Q1" s="454" t="s">
        <v>14</v>
      </c>
    </row>
    <row r="2" spans="1:17" ht="13.5" thickTop="1" x14ac:dyDescent="0.2">
      <c r="A2" s="440"/>
      <c r="I2" s="464" t="s">
        <v>911</v>
      </c>
      <c r="J2" s="465">
        <f>COUNTIF(Survey[TestPoint],"&lt;=5")-1</f>
        <v>-1</v>
      </c>
      <c r="L2" s="476" t="s">
        <v>1</v>
      </c>
      <c r="M2" s="460" t="e">
        <f>_xlfn.XLOOKUP(P2,Survey[CorrectedTemp],Survey[TestPoint])</f>
        <v>#N/A</v>
      </c>
      <c r="N2" s="455">
        <f>P2-NominalTemp</f>
        <v>0</v>
      </c>
      <c r="O2" s="456" t="s">
        <v>272</v>
      </c>
      <c r="P2" s="455">
        <f>MAX(Survey[CorrectedTemp])</f>
        <v>0</v>
      </c>
      <c r="Q2" s="457" t="e">
        <f>_xlfn.XLOOKUP(P2,Survey[CorrectedTemp],Survey[Time])</f>
        <v>#N/A</v>
      </c>
    </row>
    <row r="3" spans="1:17" x14ac:dyDescent="0.2">
      <c r="I3" s="470" t="s">
        <v>919</v>
      </c>
      <c r="J3" s="471" t="e">
        <f>_xlfn.T.INV.2T(1-0.9545, DoF)</f>
        <v>#NUM!</v>
      </c>
      <c r="L3" s="476" t="s">
        <v>2</v>
      </c>
      <c r="M3" s="461" t="e">
        <f>_xlfn.XLOOKUP(P3,Survey[CorrectedTemp],Survey[TestPoint])</f>
        <v>#N/A</v>
      </c>
      <c r="N3" s="458">
        <f>P3-NominalTemp</f>
        <v>0</v>
      </c>
      <c r="O3" s="447" t="s">
        <v>273</v>
      </c>
      <c r="P3" s="458">
        <f>MIN(Survey[CorrectedTemp])</f>
        <v>0</v>
      </c>
      <c r="Q3" s="459" t="e">
        <f>_xlfn.XLOOKUP(P3,Survey[CorrectedTemp],Survey[Time])</f>
        <v>#N/A</v>
      </c>
    </row>
    <row r="4" spans="1:17" x14ac:dyDescent="0.2">
      <c r="I4" s="466" t="s">
        <v>923</v>
      </c>
      <c r="J4" s="467" cm="1">
        <f t="array" ref="J4">SUM(_xlfn._xlws.FILTER(Survey[Deviations],Survey[TestPoint]&lt;=5)^2)/DoF</f>
        <v>0</v>
      </c>
      <c r="L4" s="503" t="s">
        <v>916</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924</v>
      </c>
      <c r="J5" s="472" cm="1">
        <f t="array" ref="J5">VLOOKUP(NominalTemp,_xlfn._xlws.FILTER(MUG[],MUG[Meas Units]="°F"),8,TRUE)</f>
        <v>0.66776102980616914</v>
      </c>
      <c r="L5" s="503"/>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922</v>
      </c>
      <c r="J6" s="467">
        <f>SQRT(Base₂^2+sp²)</f>
        <v>0.66776102980616914</v>
      </c>
      <c r="L6" s="503"/>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912</v>
      </c>
      <c r="J7" s="473" t="e">
        <f>J6*k</f>
        <v>#NUM!</v>
      </c>
      <c r="L7" s="503"/>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913</v>
      </c>
      <c r="J8" s="469">
        <f>VLOOKUP(NominalTemp,CMCs[],3,TRUE)</f>
        <v>1.6</v>
      </c>
      <c r="L8" s="503"/>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920</v>
      </c>
      <c r="J9" s="475" t="e">
        <f>MAX(J7,J8)</f>
        <v>#NUM!</v>
      </c>
      <c r="L9" s="503"/>
      <c r="M9" s="140">
        <v>6</v>
      </c>
      <c r="O9" t="str" cm="1">
        <f t="array" ref="O9">IF(
  Main!O10 = "",
  "",
  IF(
    COUNTIF(Survey[TestPoint], Alerts[[#This Row],[TestPoint]]) = 0,
    "DROPPED",
    IF(
      OR(
        _xlfn._xlws.FILTER(
          Survey[OutOfTolerance],
          Survey[TestPoint] = Alerts[[#This Row],[TestPoint]]
        )
      ),
      "Out of Tol",
      ""
    )
  )
)</f>
        <v/>
      </c>
    </row>
    <row r="10" spans="1:17" x14ac:dyDescent="0.2">
      <c r="L10" s="503"/>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3"/>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3"/>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3"/>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3"/>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3"/>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3"/>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3"/>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3"/>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3"/>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3"/>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3"/>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3"/>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3"/>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3"/>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3"/>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3"/>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3"/>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3"/>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3"/>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3"/>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3"/>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3"/>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3"/>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3"/>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3"/>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3"/>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3"/>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3"/>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3"/>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3"/>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3"/>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3"/>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3"/>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945</v>
      </c>
      <c r="I2" t="str" cm="1">
        <f t="array" ref="I2">TRANSPOSE(_xlfn._xlws.FILTER(CorrectionFactors[], (CorrectionFactors[point]&gt;=Main!V22) * (CorrectionFactors[point]&lt;=Main!V23), ""))</f>
        <v/>
      </c>
    </row>
    <row r="3" spans="1:9" x14ac:dyDescent="0.2">
      <c r="H3" t="s">
        <v>310</v>
      </c>
    </row>
    <row r="4" spans="1:9" x14ac:dyDescent="0.2">
      <c r="H4" t="s">
        <v>946</v>
      </c>
    </row>
    <row r="5" spans="1:9" x14ac:dyDescent="0.2">
      <c r="H5" t="s">
        <v>947</v>
      </c>
    </row>
    <row r="6" spans="1:9" x14ac:dyDescent="0.2">
      <c r="H6" t="s">
        <v>948</v>
      </c>
    </row>
    <row r="7" spans="1:9" x14ac:dyDescent="0.2">
      <c r="H7" t="s">
        <v>949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862</v>
      </c>
      <c r="B1" s="411" t="s">
        <v>863</v>
      </c>
    </row>
    <row r="2" spans="1:3" x14ac:dyDescent="0.2">
      <c r="A2" s="39"/>
      <c r="B2" s="39"/>
    </row>
    <row r="3" spans="1:3" x14ac:dyDescent="0.2">
      <c r="A3" s="39" t="s">
        <v>569</v>
      </c>
      <c r="B3" s="39" t="s">
        <v>570</v>
      </c>
      <c r="C3" s="39" t="s">
        <v>864</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zDQZ9NgQIjvTI7U34n/YV6wtRmdRBQy0KU6EA7y9B9axscBFtKxNSdvigRrj9yYP30iJGLPCE5tRyivMKaPUA==" saltValue="mvZ2xB5XwY+aMj9hQq/Be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topLeftCell="BE1" workbookViewId="0">
      <selection activeCell="BJ2" sqref="BJ2"/>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57.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s="668"/>
      <c r="E2" s="668"/>
      <c r="F2" s="668"/>
      <c r="G2" s="668"/>
      <c r="H2"/>
      <c r="I2"/>
      <c r="J2"/>
      <c r="K2"/>
      <c r="L2" s="668"/>
      <c r="M2" s="668"/>
      <c r="N2"/>
      <c r="O2"/>
      <c r="P2"/>
      <c r="R2"/>
      <c r="S2"/>
      <c r="T2"/>
      <c r="U2"/>
      <c r="V2"/>
      <c r="W2"/>
      <c r="X2" s="668"/>
      <c r="Y2" s="668"/>
      <c r="Z2" s="668"/>
      <c r="AA2" s="668"/>
      <c r="AB2"/>
      <c r="AE2"/>
      <c r="AF2"/>
      <c r="AG2"/>
      <c r="AH2" s="668"/>
      <c r="AL2" t="e" cm="1">
        <f t="array" ref="AL2">_xlfn.XLOOKUP(AssetId,Header_Info[AssetId],Header_Info[],"")</f>
        <v>#N/A</v>
      </c>
    </row>
    <row r="3" spans="1:73" x14ac:dyDescent="0.2">
      <c r="A3"/>
      <c r="B3"/>
      <c r="C3"/>
      <c r="D3" s="668"/>
      <c r="E3" s="668"/>
      <c r="F3" s="668"/>
      <c r="G3" s="668"/>
      <c r="H3"/>
      <c r="I3"/>
      <c r="J3"/>
      <c r="K3"/>
      <c r="L3" s="668"/>
      <c r="M3" s="668"/>
      <c r="N3"/>
      <c r="O3"/>
      <c r="P3"/>
      <c r="Q3"/>
      <c r="R3"/>
      <c r="S3"/>
      <c r="T3"/>
      <c r="U3"/>
      <c r="V3"/>
      <c r="W3"/>
      <c r="X3" s="668"/>
      <c r="Y3" s="668"/>
      <c r="Z3" s="668"/>
      <c r="AA3" s="668"/>
      <c r="AB3"/>
      <c r="AC3"/>
      <c r="AD3"/>
      <c r="AE3"/>
      <c r="AF3"/>
      <c r="AG3"/>
      <c r="AH3" s="668"/>
    </row>
    <row r="4" spans="1:73" x14ac:dyDescent="0.2">
      <c r="A4"/>
      <c r="B4"/>
      <c r="C4"/>
      <c r="D4" s="668"/>
      <c r="E4" s="668"/>
      <c r="F4" s="668"/>
      <c r="G4" s="668"/>
      <c r="H4"/>
      <c r="I4"/>
      <c r="J4"/>
      <c r="K4"/>
      <c r="L4" s="668"/>
      <c r="M4" s="668"/>
      <c r="N4"/>
      <c r="O4"/>
      <c r="P4"/>
      <c r="Q4"/>
      <c r="R4"/>
      <c r="S4"/>
      <c r="T4"/>
      <c r="U4"/>
      <c r="V4"/>
      <c r="W4"/>
      <c r="X4" s="668"/>
      <c r="Y4" s="668"/>
      <c r="Z4" s="668"/>
      <c r="AA4" s="668"/>
      <c r="AB4"/>
      <c r="AC4"/>
      <c r="AD4"/>
      <c r="AE4"/>
      <c r="AF4"/>
      <c r="AG4"/>
      <c r="AH4" s="668"/>
    </row>
    <row r="5" spans="1:73" x14ac:dyDescent="0.2">
      <c r="A5"/>
      <c r="B5"/>
      <c r="C5"/>
      <c r="D5" s="668"/>
      <c r="E5" s="668"/>
      <c r="F5" s="668"/>
      <c r="G5" s="668"/>
      <c r="H5"/>
      <c r="I5"/>
      <c r="J5"/>
      <c r="K5"/>
      <c r="L5" s="668"/>
      <c r="M5" s="668"/>
      <c r="N5"/>
      <c r="O5"/>
      <c r="P5"/>
      <c r="Q5"/>
      <c r="R5"/>
      <c r="S5"/>
      <c r="T5"/>
      <c r="U5"/>
      <c r="V5"/>
      <c r="W5"/>
      <c r="X5" s="668"/>
      <c r="Y5" s="668"/>
      <c r="Z5" s="668"/>
      <c r="AA5" s="668"/>
      <c r="AB5"/>
      <c r="AC5"/>
      <c r="AD5"/>
      <c r="AE5"/>
      <c r="AF5"/>
      <c r="AG5"/>
      <c r="AH5" s="668"/>
    </row>
    <row r="6" spans="1:73" x14ac:dyDescent="0.2">
      <c r="A6"/>
      <c r="B6"/>
      <c r="C6"/>
      <c r="D6" s="668"/>
      <c r="E6" s="668"/>
      <c r="F6" s="668"/>
      <c r="G6" s="668"/>
      <c r="H6"/>
      <c r="I6"/>
      <c r="J6"/>
      <c r="K6"/>
      <c r="L6" s="668"/>
      <c r="M6" s="668"/>
      <c r="N6"/>
      <c r="O6"/>
      <c r="P6"/>
      <c r="Q6"/>
      <c r="R6"/>
      <c r="S6"/>
      <c r="X6" s="668"/>
      <c r="Y6" s="668"/>
      <c r="Z6" s="668"/>
      <c r="AA6" s="668"/>
      <c r="AB6"/>
      <c r="AC6"/>
      <c r="AD6"/>
      <c r="AE6"/>
      <c r="AF6"/>
      <c r="AG6"/>
      <c r="AH6" s="668"/>
    </row>
    <row r="7" spans="1:73" x14ac:dyDescent="0.2">
      <c r="A7"/>
      <c r="B7"/>
      <c r="C7"/>
      <c r="D7" s="668"/>
      <c r="E7" s="668"/>
      <c r="F7" s="668"/>
      <c r="G7" s="668"/>
      <c r="H7"/>
      <c r="I7"/>
      <c r="J7"/>
      <c r="K7"/>
      <c r="L7" s="668"/>
      <c r="M7" s="668"/>
      <c r="N7"/>
      <c r="O7"/>
      <c r="P7"/>
      <c r="Q7"/>
      <c r="R7"/>
      <c r="S7"/>
      <c r="T7"/>
      <c r="U7"/>
      <c r="V7"/>
      <c r="W7"/>
      <c r="X7" s="668"/>
      <c r="Y7" s="668"/>
      <c r="Z7" s="668"/>
      <c r="AA7" s="668"/>
      <c r="AB7"/>
      <c r="AC7"/>
      <c r="AD7"/>
      <c r="AE7"/>
      <c r="AF7"/>
      <c r="AG7"/>
      <c r="AH7" s="668"/>
    </row>
    <row r="8" spans="1:73" x14ac:dyDescent="0.2">
      <c r="A8"/>
      <c r="B8"/>
      <c r="C8"/>
      <c r="D8" s="668"/>
      <c r="E8" s="668"/>
      <c r="F8" s="668"/>
      <c r="G8" s="668"/>
      <c r="H8"/>
      <c r="I8"/>
      <c r="J8"/>
      <c r="K8"/>
      <c r="L8" s="668"/>
      <c r="M8" s="668"/>
      <c r="N8"/>
      <c r="O8"/>
      <c r="P8"/>
      <c r="Q8"/>
      <c r="R8"/>
      <c r="S8"/>
      <c r="T8"/>
      <c r="U8"/>
      <c r="V8"/>
      <c r="W8"/>
      <c r="X8" s="668"/>
      <c r="Y8" s="668"/>
      <c r="Z8" s="668"/>
      <c r="AA8" s="668"/>
      <c r="AB8"/>
      <c r="AC8"/>
      <c r="AD8"/>
      <c r="AE8"/>
      <c r="AF8"/>
      <c r="AG8"/>
      <c r="AH8" s="668"/>
    </row>
    <row r="9" spans="1:73" x14ac:dyDescent="0.2">
      <c r="A9"/>
      <c r="B9"/>
      <c r="C9"/>
      <c r="D9" s="668"/>
      <c r="E9" s="668"/>
      <c r="F9" s="668"/>
      <c r="G9" s="668"/>
      <c r="H9"/>
      <c r="I9"/>
      <c r="J9"/>
      <c r="K9"/>
      <c r="L9" s="668"/>
      <c r="M9" s="668"/>
      <c r="N9"/>
      <c r="O9"/>
      <c r="P9"/>
      <c r="Q9"/>
      <c r="R9"/>
      <c r="S9"/>
      <c r="T9"/>
      <c r="U9"/>
      <c r="V9"/>
      <c r="W9"/>
      <c r="X9" s="668"/>
      <c r="Y9" s="668"/>
      <c r="Z9" s="668"/>
      <c r="AA9" s="668"/>
      <c r="AB9"/>
      <c r="AC9"/>
      <c r="AE9"/>
      <c r="AF9"/>
      <c r="AG9"/>
      <c r="AH9" s="668"/>
    </row>
    <row r="10" spans="1:73" x14ac:dyDescent="0.2">
      <c r="A10"/>
      <c r="B10"/>
      <c r="C10"/>
      <c r="D10" s="668"/>
      <c r="E10" s="668"/>
      <c r="F10" s="668"/>
      <c r="G10" s="668"/>
      <c r="H10"/>
      <c r="I10"/>
      <c r="J10"/>
      <c r="K10"/>
      <c r="L10" s="668"/>
      <c r="M10" s="668"/>
      <c r="N10"/>
      <c r="O10"/>
      <c r="P10"/>
      <c r="Q10"/>
      <c r="S10"/>
      <c r="T10"/>
      <c r="U10"/>
      <c r="V10"/>
      <c r="W10"/>
      <c r="X10" s="668"/>
      <c r="Y10" s="668"/>
      <c r="Z10" s="668"/>
      <c r="AA10" s="668"/>
      <c r="AB10"/>
      <c r="AC10"/>
      <c r="AD10"/>
      <c r="AE10"/>
      <c r="AF10"/>
      <c r="AG10"/>
      <c r="AH10" s="668"/>
    </row>
    <row r="11" spans="1:73" x14ac:dyDescent="0.2">
      <c r="A11"/>
      <c r="B11"/>
      <c r="C11"/>
      <c r="D11" s="668"/>
      <c r="E11" s="668"/>
      <c r="F11" s="668"/>
      <c r="G11" s="668"/>
      <c r="H11"/>
      <c r="I11"/>
      <c r="J11"/>
      <c r="K11"/>
      <c r="L11" s="668"/>
      <c r="M11" s="668"/>
      <c r="N11"/>
      <c r="O11"/>
      <c r="P11"/>
      <c r="Q11"/>
      <c r="R11"/>
      <c r="S11"/>
      <c r="T11"/>
      <c r="U11"/>
      <c r="V11"/>
      <c r="W11"/>
      <c r="X11" s="668"/>
      <c r="Y11" s="668"/>
      <c r="Z11" s="668"/>
      <c r="AA11" s="668"/>
      <c r="AB11"/>
      <c r="AD11"/>
      <c r="AE11"/>
      <c r="AF11"/>
      <c r="AG11"/>
      <c r="AH11" s="668"/>
    </row>
    <row r="12" spans="1:73" x14ac:dyDescent="0.2">
      <c r="A12"/>
      <c r="B12"/>
      <c r="C12"/>
      <c r="D12" s="668"/>
      <c r="E12" s="668"/>
      <c r="F12" s="668"/>
      <c r="G12" s="668"/>
      <c r="H12"/>
      <c r="I12"/>
      <c r="J12"/>
      <c r="K12"/>
      <c r="L12" s="668"/>
      <c r="M12" s="668"/>
      <c r="N12"/>
      <c r="O12"/>
      <c r="P12"/>
      <c r="Q12"/>
      <c r="R12"/>
      <c r="S12"/>
      <c r="X12" s="668"/>
      <c r="Y12" s="668"/>
      <c r="Z12" s="668"/>
      <c r="AA12" s="668"/>
      <c r="AB12"/>
      <c r="AC12"/>
      <c r="AD12"/>
      <c r="AE12"/>
      <c r="AF12"/>
      <c r="AG12"/>
      <c r="AH12" s="668"/>
    </row>
    <row r="13" spans="1:73" x14ac:dyDescent="0.2">
      <c r="A13"/>
      <c r="B13"/>
      <c r="C13"/>
      <c r="D13" s="668"/>
      <c r="E13" s="668"/>
      <c r="F13" s="668"/>
      <c r="G13" s="668"/>
      <c r="H13"/>
      <c r="I13"/>
      <c r="J13"/>
      <c r="K13"/>
      <c r="L13" s="668"/>
      <c r="M13" s="668"/>
      <c r="N13"/>
      <c r="O13"/>
      <c r="P13"/>
      <c r="Q13"/>
      <c r="R13"/>
      <c r="S13"/>
      <c r="T13"/>
      <c r="U13"/>
      <c r="V13"/>
      <c r="W13"/>
      <c r="X13" s="668"/>
      <c r="Y13" s="668"/>
      <c r="Z13" s="668"/>
      <c r="AA13" s="668"/>
      <c r="AB13"/>
      <c r="AC13"/>
      <c r="AD13"/>
      <c r="AE13"/>
      <c r="AF13"/>
      <c r="AG13"/>
      <c r="AH13" s="668"/>
    </row>
    <row r="14" spans="1:73" x14ac:dyDescent="0.2">
      <c r="A14"/>
      <c r="B14"/>
      <c r="C14"/>
      <c r="D14" s="668"/>
      <c r="E14" s="668"/>
      <c r="F14" s="668"/>
      <c r="G14" s="668"/>
      <c r="H14"/>
      <c r="I14"/>
      <c r="J14"/>
      <c r="K14"/>
      <c r="L14" s="668"/>
      <c r="M14" s="668"/>
      <c r="N14"/>
      <c r="O14"/>
      <c r="P14"/>
      <c r="Q14"/>
      <c r="R14"/>
      <c r="S14"/>
      <c r="X14" s="668"/>
      <c r="Y14" s="668"/>
      <c r="Z14" s="668"/>
      <c r="AA14" s="668"/>
      <c r="AB14"/>
      <c r="AC14"/>
      <c r="AD14"/>
      <c r="AE14"/>
      <c r="AF14"/>
      <c r="AG14"/>
      <c r="AH14" s="668"/>
    </row>
    <row r="15" spans="1:73" x14ac:dyDescent="0.2">
      <c r="A15"/>
      <c r="B15"/>
      <c r="C15"/>
      <c r="D15" s="668"/>
      <c r="E15" s="668"/>
      <c r="F15" s="668"/>
      <c r="G15" s="668"/>
      <c r="H15"/>
      <c r="I15"/>
      <c r="J15"/>
      <c r="K15"/>
      <c r="L15" s="668"/>
      <c r="M15" s="668"/>
      <c r="N15"/>
      <c r="O15"/>
      <c r="P15"/>
      <c r="Q15"/>
      <c r="R15"/>
      <c r="S15"/>
      <c r="T15"/>
      <c r="U15"/>
      <c r="V15"/>
      <c r="W15"/>
      <c r="X15" s="668"/>
      <c r="Y15" s="668"/>
      <c r="Z15" s="668"/>
      <c r="AA15" s="668"/>
      <c r="AB15"/>
      <c r="AC15"/>
      <c r="AD15"/>
      <c r="AE15"/>
      <c r="AF15"/>
      <c r="AG15"/>
      <c r="AH15" s="668"/>
    </row>
    <row r="16" spans="1:73" x14ac:dyDescent="0.2">
      <c r="A16"/>
      <c r="B16"/>
      <c r="C16"/>
      <c r="D16" s="668"/>
      <c r="E16" s="668"/>
      <c r="F16" s="668"/>
      <c r="G16" s="668"/>
      <c r="H16"/>
      <c r="I16"/>
      <c r="J16"/>
      <c r="K16"/>
      <c r="L16" s="668"/>
      <c r="M16" s="668"/>
      <c r="N16"/>
      <c r="O16"/>
      <c r="P16"/>
      <c r="Q16"/>
      <c r="R16"/>
      <c r="S16"/>
      <c r="X16" s="668"/>
      <c r="Y16" s="668"/>
      <c r="Z16" s="668"/>
      <c r="AA16" s="668"/>
      <c r="AB16"/>
      <c r="AC16"/>
      <c r="AD16"/>
      <c r="AE16"/>
      <c r="AF16"/>
      <c r="AG16"/>
      <c r="AH16" s="668"/>
    </row>
    <row r="17" spans="1:35" x14ac:dyDescent="0.2">
      <c r="A17"/>
      <c r="B17"/>
      <c r="C17"/>
      <c r="D17" s="668"/>
      <c r="E17" s="668"/>
      <c r="F17" s="668"/>
      <c r="G17" s="668"/>
      <c r="H17"/>
      <c r="I17"/>
      <c r="J17"/>
      <c r="K17"/>
      <c r="L17" s="668"/>
      <c r="M17" s="668"/>
      <c r="N17"/>
      <c r="O17"/>
      <c r="P17"/>
      <c r="Q17"/>
      <c r="R17"/>
      <c r="S17"/>
      <c r="T17"/>
      <c r="U17"/>
      <c r="V17"/>
      <c r="W17"/>
      <c r="X17" s="668"/>
      <c r="Y17" s="668"/>
      <c r="Z17" s="668"/>
      <c r="AA17" s="668"/>
      <c r="AB17"/>
      <c r="AC17"/>
      <c r="AD17"/>
      <c r="AE17"/>
      <c r="AF17"/>
      <c r="AG17"/>
      <c r="AH17" s="668"/>
    </row>
    <row r="18" spans="1:35" x14ac:dyDescent="0.2">
      <c r="A18"/>
      <c r="B18"/>
      <c r="C18"/>
      <c r="D18" s="668"/>
      <c r="E18" s="668"/>
      <c r="F18" s="668"/>
      <c r="G18" s="668"/>
      <c r="H18"/>
      <c r="J18"/>
      <c r="K18"/>
      <c r="L18" s="668"/>
      <c r="M18" s="668"/>
      <c r="N18"/>
      <c r="O18"/>
      <c r="P18"/>
      <c r="Q18"/>
      <c r="S18"/>
      <c r="X18" s="668"/>
      <c r="Y18" s="668"/>
      <c r="Z18" s="668"/>
      <c r="AA18" s="668"/>
      <c r="AB18"/>
      <c r="AC18"/>
      <c r="AD18"/>
      <c r="AE18"/>
      <c r="AF18"/>
      <c r="AG18"/>
      <c r="AH18" s="668"/>
    </row>
    <row r="19" spans="1:35" x14ac:dyDescent="0.2">
      <c r="A19"/>
      <c r="B19"/>
      <c r="C19"/>
      <c r="D19" s="668"/>
      <c r="E19" s="668"/>
      <c r="F19" s="668"/>
      <c r="G19" s="668"/>
      <c r="H19"/>
      <c r="I19"/>
      <c r="J19"/>
      <c r="K19"/>
      <c r="L19" s="668"/>
      <c r="M19" s="668"/>
      <c r="N19"/>
      <c r="O19"/>
      <c r="P19"/>
      <c r="Q19"/>
      <c r="R19"/>
      <c r="S19"/>
      <c r="T19"/>
      <c r="U19"/>
      <c r="V19"/>
      <c r="W19"/>
      <c r="X19" s="668"/>
      <c r="Y19" s="668"/>
      <c r="Z19" s="668"/>
      <c r="AA19" s="668"/>
      <c r="AB19"/>
      <c r="AC19"/>
      <c r="AD19"/>
      <c r="AE19"/>
      <c r="AF19"/>
      <c r="AG19"/>
      <c r="AH19" s="668"/>
      <c r="AI19"/>
    </row>
    <row r="20" spans="1:35" x14ac:dyDescent="0.2">
      <c r="A20"/>
      <c r="B20"/>
      <c r="C20"/>
      <c r="D20" s="668"/>
      <c r="E20" s="668"/>
      <c r="F20" s="668"/>
      <c r="G20" s="668"/>
      <c r="H20"/>
      <c r="I20"/>
      <c r="J20"/>
      <c r="K20"/>
      <c r="L20" s="668"/>
      <c r="M20" s="668"/>
      <c r="N20"/>
      <c r="O20"/>
      <c r="P20"/>
      <c r="Q20"/>
      <c r="R20"/>
      <c r="S20"/>
      <c r="X20" s="668"/>
      <c r="Y20" s="668"/>
      <c r="Z20" s="668"/>
      <c r="AA20" s="668"/>
      <c r="AB20"/>
      <c r="AC20"/>
      <c r="AD20"/>
      <c r="AE20"/>
      <c r="AF20"/>
      <c r="AG20"/>
      <c r="AH20" s="668"/>
    </row>
    <row r="21" spans="1:35" x14ac:dyDescent="0.2">
      <c r="A21"/>
      <c r="B21"/>
      <c r="C21"/>
      <c r="D21" s="668"/>
      <c r="E21" s="668"/>
      <c r="F21" s="668"/>
      <c r="G21" s="668"/>
      <c r="H21"/>
      <c r="I21"/>
      <c r="J21"/>
      <c r="K21"/>
      <c r="L21" s="668"/>
      <c r="M21" s="668"/>
      <c r="N21"/>
      <c r="O21"/>
      <c r="P21"/>
      <c r="Q21"/>
      <c r="R21"/>
      <c r="S21"/>
      <c r="X21" s="668"/>
      <c r="Y21" s="668"/>
      <c r="Z21" s="668"/>
      <c r="AA21" s="668"/>
      <c r="AB21"/>
      <c r="AC21"/>
      <c r="AD21"/>
      <c r="AE21"/>
      <c r="AF21"/>
      <c r="AG21"/>
      <c r="AH21" s="668"/>
    </row>
    <row r="22" spans="1:35" x14ac:dyDescent="0.2">
      <c r="A22"/>
      <c r="B22"/>
      <c r="C22"/>
      <c r="D22" s="668"/>
      <c r="E22" s="668"/>
      <c r="F22" s="668"/>
      <c r="G22" s="668"/>
      <c r="H22"/>
      <c r="I22"/>
      <c r="J22"/>
      <c r="K22"/>
      <c r="L22" s="668"/>
      <c r="M22" s="668"/>
      <c r="N22"/>
      <c r="O22"/>
      <c r="P22"/>
      <c r="Q22"/>
      <c r="R22"/>
      <c r="S22"/>
      <c r="X22" s="668"/>
      <c r="Y22" s="668"/>
      <c r="Z22" s="668"/>
      <c r="AA22" s="668"/>
      <c r="AB22"/>
      <c r="AC22"/>
      <c r="AD22"/>
      <c r="AE22"/>
      <c r="AF22"/>
      <c r="AG22"/>
      <c r="AH22" s="668"/>
    </row>
    <row r="23" spans="1:35" x14ac:dyDescent="0.2">
      <c r="A23"/>
      <c r="B23"/>
      <c r="C23"/>
      <c r="D23" s="668"/>
      <c r="E23" s="668"/>
      <c r="F23" s="668"/>
      <c r="G23" s="668"/>
      <c r="H23"/>
      <c r="I23"/>
      <c r="J23"/>
      <c r="K23"/>
      <c r="L23" s="668"/>
      <c r="M23" s="668"/>
      <c r="N23"/>
      <c r="O23"/>
      <c r="P23"/>
      <c r="Q23"/>
      <c r="R23"/>
      <c r="S23"/>
      <c r="T23"/>
      <c r="U23"/>
      <c r="V23"/>
      <c r="W23"/>
      <c r="X23" s="668"/>
      <c r="Y23" s="668"/>
      <c r="Z23" s="668"/>
      <c r="AA23" s="668"/>
      <c r="AB23"/>
      <c r="AC23"/>
      <c r="AD23"/>
      <c r="AE23"/>
      <c r="AF23"/>
      <c r="AG23"/>
      <c r="AH23" s="668"/>
    </row>
    <row r="24" spans="1:35" x14ac:dyDescent="0.2">
      <c r="A24"/>
      <c r="B24"/>
      <c r="C24"/>
      <c r="D24" s="668"/>
      <c r="E24" s="668"/>
      <c r="F24" s="668"/>
      <c r="G24" s="668"/>
      <c r="H24"/>
      <c r="I24"/>
      <c r="J24"/>
      <c r="K24"/>
      <c r="L24" s="668"/>
      <c r="M24" s="668"/>
      <c r="N24"/>
      <c r="O24"/>
      <c r="P24"/>
      <c r="Q24"/>
      <c r="R24"/>
      <c r="S24"/>
      <c r="X24" s="668"/>
      <c r="Y24" s="668"/>
      <c r="Z24" s="668"/>
      <c r="AA24" s="668"/>
      <c r="AB24"/>
      <c r="AC24"/>
      <c r="AD24"/>
      <c r="AE24"/>
      <c r="AF24"/>
      <c r="AG24"/>
      <c r="AH24" s="668"/>
    </row>
    <row r="25" spans="1:35" x14ac:dyDescent="0.2">
      <c r="A25"/>
      <c r="B25"/>
      <c r="C25"/>
      <c r="D25" s="668"/>
      <c r="E25" s="668"/>
      <c r="F25" s="668"/>
      <c r="G25" s="668"/>
      <c r="H25"/>
      <c r="I25"/>
      <c r="J25"/>
      <c r="K25"/>
      <c r="L25" s="668"/>
      <c r="M25" s="668"/>
      <c r="N25"/>
      <c r="O25"/>
      <c r="P25"/>
      <c r="Q25"/>
      <c r="R25"/>
      <c r="S25"/>
      <c r="X25" s="668"/>
      <c r="Y25" s="668"/>
      <c r="Z25" s="668"/>
      <c r="AA25" s="668"/>
      <c r="AB25"/>
      <c r="AC25"/>
      <c r="AD25"/>
      <c r="AE25"/>
      <c r="AF25"/>
      <c r="AG25"/>
      <c r="AH25" s="668"/>
    </row>
    <row r="26" spans="1:35" x14ac:dyDescent="0.2">
      <c r="A26"/>
      <c r="B26"/>
      <c r="C26"/>
      <c r="D26" s="668"/>
      <c r="E26" s="668"/>
      <c r="F26" s="668"/>
      <c r="G26" s="668"/>
      <c r="H26"/>
      <c r="I26"/>
      <c r="J26"/>
      <c r="K26"/>
      <c r="L26" s="668"/>
      <c r="M26" s="668"/>
      <c r="N26"/>
      <c r="O26"/>
      <c r="P26"/>
      <c r="Q26"/>
      <c r="R26"/>
      <c r="S26"/>
      <c r="X26" s="668"/>
      <c r="Y26" s="668"/>
      <c r="Z26" s="668"/>
      <c r="AA26" s="668"/>
      <c r="AB26"/>
      <c r="AC26"/>
      <c r="AD26"/>
      <c r="AE26"/>
      <c r="AF26"/>
      <c r="AG26"/>
      <c r="AH26" s="668"/>
    </row>
    <row r="27" spans="1:35" x14ac:dyDescent="0.2">
      <c r="A27"/>
      <c r="B27"/>
      <c r="C27"/>
      <c r="D27" s="668"/>
      <c r="E27" s="668"/>
      <c r="F27" s="668"/>
      <c r="G27" s="668"/>
      <c r="H27"/>
      <c r="I27"/>
      <c r="J27"/>
      <c r="K27"/>
      <c r="L27" s="668"/>
      <c r="M27" s="668"/>
      <c r="N27"/>
      <c r="O27"/>
      <c r="P27"/>
      <c r="Q27"/>
      <c r="R27"/>
      <c r="S27"/>
      <c r="X27" s="668"/>
      <c r="Y27" s="668"/>
      <c r="Z27" s="668"/>
      <c r="AA27" s="668"/>
      <c r="AB27"/>
      <c r="AC27"/>
      <c r="AD27"/>
      <c r="AE27"/>
      <c r="AF27"/>
      <c r="AG27"/>
      <c r="AH27" s="668"/>
    </row>
    <row r="28" spans="1:35" x14ac:dyDescent="0.2">
      <c r="A28"/>
      <c r="B28"/>
      <c r="C28"/>
      <c r="D28" s="668"/>
      <c r="E28" s="668"/>
      <c r="F28" s="668"/>
      <c r="G28" s="668"/>
      <c r="H28"/>
      <c r="I28"/>
      <c r="J28"/>
      <c r="K28"/>
      <c r="L28" s="668"/>
      <c r="M28" s="668"/>
      <c r="N28"/>
      <c r="O28"/>
      <c r="P28"/>
      <c r="Q28"/>
      <c r="R28"/>
      <c r="S28"/>
      <c r="X28" s="668"/>
      <c r="Y28" s="668"/>
      <c r="Z28" s="668"/>
      <c r="AA28" s="668"/>
      <c r="AB28"/>
      <c r="AC28"/>
      <c r="AD28"/>
      <c r="AE28"/>
      <c r="AF28"/>
      <c r="AG28"/>
      <c r="AH28" s="668"/>
    </row>
    <row r="29" spans="1:35" x14ac:dyDescent="0.2">
      <c r="A29"/>
      <c r="B29"/>
      <c r="C29"/>
      <c r="D29" s="668"/>
      <c r="E29" s="668"/>
      <c r="F29" s="668"/>
      <c r="G29" s="668"/>
      <c r="H29"/>
      <c r="I29"/>
      <c r="J29"/>
      <c r="K29"/>
      <c r="L29" s="668"/>
      <c r="M29" s="668"/>
      <c r="N29"/>
      <c r="O29"/>
      <c r="P29"/>
      <c r="Q29"/>
      <c r="R29"/>
      <c r="S29"/>
      <c r="T29"/>
      <c r="U29"/>
      <c r="V29"/>
      <c r="W29"/>
      <c r="X29" s="668"/>
      <c r="Y29" s="668"/>
      <c r="Z29" s="668"/>
      <c r="AA29" s="668"/>
      <c r="AB29"/>
      <c r="AC29"/>
      <c r="AD29"/>
      <c r="AE29"/>
      <c r="AF29"/>
      <c r="AG29"/>
      <c r="AH29" s="668"/>
    </row>
    <row r="30" spans="1:35" x14ac:dyDescent="0.2">
      <c r="A30"/>
      <c r="B30"/>
      <c r="C30"/>
      <c r="D30" s="668"/>
      <c r="E30" s="668"/>
      <c r="F30" s="668"/>
      <c r="G30" s="668"/>
      <c r="H30"/>
      <c r="I30"/>
      <c r="J30"/>
      <c r="K30"/>
      <c r="L30" s="668"/>
      <c r="M30" s="668"/>
      <c r="N30"/>
      <c r="O30"/>
      <c r="P30"/>
      <c r="Q30"/>
      <c r="R30"/>
      <c r="S30"/>
      <c r="T30"/>
      <c r="U30"/>
      <c r="V30"/>
      <c r="W30"/>
      <c r="X30" s="668"/>
      <c r="Y30" s="668"/>
      <c r="Z30" s="668"/>
      <c r="AA30" s="668"/>
      <c r="AB30"/>
      <c r="AC30"/>
      <c r="AD30"/>
      <c r="AE30"/>
      <c r="AF30"/>
      <c r="AG30"/>
      <c r="AH30" s="668"/>
    </row>
    <row r="31" spans="1:35" x14ac:dyDescent="0.2">
      <c r="A31"/>
      <c r="B31"/>
      <c r="C31"/>
      <c r="D31" s="668"/>
      <c r="E31" s="668"/>
      <c r="F31" s="668"/>
      <c r="G31" s="668"/>
      <c r="H31"/>
      <c r="I31"/>
      <c r="J31"/>
      <c r="K31"/>
      <c r="L31" s="668"/>
      <c r="M31" s="668"/>
      <c r="N31"/>
      <c r="O31"/>
      <c r="P31"/>
      <c r="Q31"/>
      <c r="R31"/>
      <c r="S31"/>
      <c r="T31"/>
      <c r="U31"/>
      <c r="V31"/>
      <c r="W31"/>
      <c r="X31" s="668"/>
      <c r="Y31" s="668"/>
      <c r="Z31" s="668"/>
      <c r="AA31" s="668"/>
      <c r="AB31"/>
      <c r="AC31"/>
      <c r="AD31"/>
      <c r="AE31"/>
      <c r="AF31"/>
      <c r="AG31"/>
      <c r="AH31" s="668"/>
    </row>
    <row r="32" spans="1:35" x14ac:dyDescent="0.2">
      <c r="A32"/>
      <c r="B32"/>
      <c r="C32"/>
      <c r="D32" s="668"/>
      <c r="E32" s="668"/>
      <c r="F32" s="668"/>
      <c r="G32" s="668"/>
      <c r="H32"/>
      <c r="I32"/>
      <c r="J32"/>
      <c r="K32"/>
      <c r="L32" s="668"/>
      <c r="M32" s="668"/>
      <c r="N32"/>
      <c r="O32"/>
      <c r="P32"/>
      <c r="Q32"/>
      <c r="R32"/>
      <c r="S32"/>
      <c r="T32"/>
      <c r="U32"/>
      <c r="V32"/>
      <c r="W32"/>
      <c r="X32" s="668"/>
      <c r="Y32" s="668"/>
      <c r="Z32" s="668"/>
      <c r="AA32" s="668"/>
      <c r="AB32"/>
      <c r="AC32"/>
      <c r="AD32"/>
      <c r="AE32"/>
      <c r="AF32"/>
      <c r="AG32"/>
      <c r="AH32" s="668"/>
    </row>
    <row r="33" spans="1:36" x14ac:dyDescent="0.2">
      <c r="A33"/>
      <c r="B33"/>
      <c r="C33"/>
      <c r="D33" s="668"/>
      <c r="E33" s="668"/>
      <c r="F33" s="668"/>
      <c r="G33" s="668"/>
      <c r="H33"/>
      <c r="I33"/>
      <c r="J33"/>
      <c r="K33"/>
      <c r="L33" s="668"/>
      <c r="M33" s="668"/>
      <c r="N33"/>
      <c r="O33"/>
      <c r="P33"/>
      <c r="Q33"/>
      <c r="R33"/>
      <c r="S33"/>
      <c r="T33"/>
      <c r="U33"/>
      <c r="V33"/>
      <c r="W33"/>
      <c r="X33" s="668"/>
      <c r="Y33" s="668"/>
      <c r="Z33" s="668"/>
      <c r="AA33" s="668"/>
      <c r="AB33"/>
      <c r="AC33"/>
      <c r="AD33"/>
      <c r="AE33"/>
      <c r="AF33"/>
      <c r="AG33"/>
      <c r="AH33" s="668"/>
    </row>
    <row r="34" spans="1:36" x14ac:dyDescent="0.2">
      <c r="A34"/>
      <c r="B34"/>
      <c r="C34"/>
      <c r="D34" s="668"/>
      <c r="E34" s="668"/>
      <c r="F34" s="668"/>
      <c r="G34" s="668"/>
      <c r="H34"/>
      <c r="I34"/>
      <c r="J34"/>
      <c r="K34"/>
      <c r="L34" s="668"/>
      <c r="M34" s="668"/>
      <c r="N34"/>
      <c r="O34"/>
      <c r="P34"/>
      <c r="Q34"/>
      <c r="R34"/>
      <c r="S34"/>
      <c r="T34"/>
      <c r="U34"/>
      <c r="V34"/>
      <c r="W34"/>
      <c r="X34" s="668"/>
      <c r="Y34" s="668"/>
      <c r="Z34" s="668"/>
      <c r="AA34" s="668"/>
      <c r="AB34"/>
      <c r="AC34"/>
      <c r="AD34"/>
      <c r="AE34"/>
      <c r="AF34"/>
      <c r="AG34"/>
      <c r="AH34" s="668"/>
      <c r="AI34"/>
    </row>
    <row r="35" spans="1:36" x14ac:dyDescent="0.2">
      <c r="A35"/>
      <c r="B35"/>
      <c r="C35"/>
      <c r="D35" s="668"/>
      <c r="E35" s="668"/>
      <c r="F35" s="668"/>
      <c r="G35" s="668"/>
      <c r="H35"/>
      <c r="I35"/>
      <c r="J35"/>
      <c r="K35"/>
      <c r="L35" s="668"/>
      <c r="M35" s="668"/>
      <c r="N35"/>
      <c r="O35"/>
      <c r="P35"/>
      <c r="Q35"/>
      <c r="R35"/>
      <c r="S35"/>
      <c r="T35"/>
      <c r="U35"/>
      <c r="V35"/>
      <c r="W35"/>
      <c r="X35" s="668"/>
      <c r="Y35" s="668"/>
      <c r="Z35" s="668"/>
      <c r="AA35" s="668"/>
      <c r="AB35"/>
      <c r="AC35"/>
      <c r="AD35"/>
      <c r="AE35"/>
      <c r="AF35"/>
      <c r="AG35"/>
      <c r="AH35" s="668"/>
      <c r="AI35"/>
      <c r="AJ35"/>
    </row>
    <row r="36" spans="1:36" x14ac:dyDescent="0.2">
      <c r="A36"/>
      <c r="B36"/>
      <c r="C36"/>
      <c r="D36" s="668"/>
      <c r="E36" s="668"/>
      <c r="F36" s="668"/>
      <c r="G36" s="668"/>
      <c r="H36"/>
      <c r="I36"/>
      <c r="J36"/>
      <c r="K36"/>
      <c r="L36" s="668"/>
      <c r="M36" s="668"/>
      <c r="N36"/>
      <c r="O36"/>
      <c r="P36"/>
      <c r="Q36"/>
      <c r="R36"/>
      <c r="S36"/>
      <c r="X36" s="668"/>
      <c r="Y36" s="668"/>
      <c r="Z36" s="668"/>
      <c r="AA36" s="668"/>
      <c r="AC36"/>
      <c r="AD36"/>
      <c r="AE36"/>
      <c r="AF36"/>
      <c r="AG36"/>
      <c r="AH36" s="668"/>
    </row>
    <row r="37" spans="1:36" x14ac:dyDescent="0.2">
      <c r="A37"/>
      <c r="B37"/>
      <c r="C37"/>
      <c r="D37" s="668"/>
      <c r="E37" s="668"/>
      <c r="F37" s="668"/>
      <c r="G37" s="668"/>
      <c r="H37"/>
      <c r="I37"/>
      <c r="J37"/>
      <c r="K37"/>
      <c r="L37" s="668"/>
      <c r="M37" s="668"/>
      <c r="N37"/>
      <c r="O37"/>
      <c r="P37"/>
      <c r="Q37"/>
      <c r="R37"/>
      <c r="S37"/>
      <c r="X37" s="668"/>
      <c r="Y37" s="668"/>
      <c r="Z37" s="668"/>
      <c r="AA37" s="668"/>
      <c r="AB37"/>
      <c r="AC37"/>
      <c r="AD37"/>
      <c r="AE37"/>
      <c r="AF37"/>
      <c r="AG37"/>
      <c r="AH37" s="668"/>
    </row>
    <row r="38" spans="1:36" x14ac:dyDescent="0.2">
      <c r="A38"/>
      <c r="B38"/>
      <c r="C38"/>
      <c r="D38" s="668"/>
      <c r="E38" s="668"/>
      <c r="F38" s="668"/>
      <c r="G38" s="668"/>
      <c r="H38"/>
      <c r="I38"/>
      <c r="J38"/>
      <c r="K38"/>
      <c r="L38" s="668"/>
      <c r="M38" s="668"/>
      <c r="N38"/>
      <c r="O38"/>
      <c r="P38"/>
      <c r="Q38"/>
      <c r="R38"/>
      <c r="S38"/>
      <c r="T38"/>
      <c r="U38"/>
      <c r="V38"/>
      <c r="W38"/>
      <c r="X38" s="668"/>
      <c r="Y38" s="668"/>
      <c r="Z38" s="668"/>
      <c r="AA38" s="668"/>
      <c r="AB38"/>
      <c r="AC38"/>
      <c r="AD38"/>
      <c r="AE38"/>
      <c r="AF38"/>
      <c r="AG38"/>
      <c r="AH38" s="668"/>
    </row>
    <row r="39" spans="1:36" x14ac:dyDescent="0.2">
      <c r="A39"/>
      <c r="B39"/>
      <c r="C39"/>
      <c r="D39" s="668"/>
      <c r="E39" s="668"/>
      <c r="F39" s="668"/>
      <c r="G39" s="668"/>
      <c r="H39"/>
      <c r="I39"/>
      <c r="J39"/>
      <c r="K39"/>
      <c r="L39" s="668"/>
      <c r="M39" s="668"/>
      <c r="N39"/>
      <c r="O39"/>
      <c r="P39"/>
      <c r="Q39"/>
      <c r="R39"/>
      <c r="S39"/>
      <c r="T39"/>
      <c r="U39"/>
      <c r="V39"/>
      <c r="W39"/>
      <c r="X39" s="668"/>
      <c r="Y39" s="668"/>
      <c r="Z39" s="668"/>
      <c r="AA39" s="668"/>
      <c r="AB39"/>
      <c r="AC39"/>
      <c r="AD39"/>
      <c r="AE39"/>
      <c r="AF39"/>
      <c r="AG39"/>
      <c r="AH39" s="668"/>
      <c r="AI39"/>
    </row>
    <row r="40" spans="1:36" x14ac:dyDescent="0.2">
      <c r="A40"/>
      <c r="B40"/>
      <c r="C40"/>
      <c r="D40" s="668"/>
      <c r="E40" s="668"/>
      <c r="F40" s="668"/>
      <c r="G40" s="668"/>
      <c r="H40"/>
      <c r="I40"/>
      <c r="J40"/>
      <c r="K40"/>
      <c r="L40" s="668"/>
      <c r="M40" s="668"/>
      <c r="N40"/>
      <c r="O40"/>
      <c r="P40"/>
      <c r="Q40"/>
      <c r="R40"/>
      <c r="S40"/>
      <c r="T40"/>
      <c r="U40"/>
      <c r="V40"/>
      <c r="W40"/>
      <c r="X40" s="668"/>
      <c r="Y40" s="668"/>
      <c r="Z40" s="668"/>
      <c r="AA40" s="668"/>
      <c r="AB40"/>
      <c r="AC40"/>
      <c r="AD40"/>
      <c r="AE40"/>
      <c r="AF40"/>
      <c r="AG40"/>
      <c r="AH40" s="668"/>
    </row>
    <row r="41" spans="1:36" x14ac:dyDescent="0.2">
      <c r="A41"/>
      <c r="B41"/>
      <c r="C41"/>
      <c r="D41" s="668"/>
      <c r="E41" s="668"/>
      <c r="F41" s="668"/>
      <c r="G41" s="668"/>
      <c r="H41"/>
      <c r="I41"/>
      <c r="J41"/>
      <c r="K41"/>
      <c r="L41" s="668"/>
      <c r="M41" s="668"/>
      <c r="N41"/>
      <c r="O41"/>
      <c r="P41"/>
      <c r="Q41"/>
      <c r="R41"/>
      <c r="S41"/>
      <c r="X41" s="668"/>
      <c r="Y41" s="668"/>
      <c r="Z41" s="668"/>
      <c r="AA41" s="668"/>
      <c r="AB41"/>
      <c r="AC41"/>
      <c r="AD41"/>
      <c r="AE41"/>
      <c r="AF41"/>
      <c r="AG41"/>
      <c r="AH41" s="668"/>
    </row>
    <row r="42" spans="1:36" x14ac:dyDescent="0.2">
      <c r="A42"/>
      <c r="B42"/>
      <c r="C42"/>
      <c r="D42" s="668"/>
      <c r="E42" s="668"/>
      <c r="F42" s="668"/>
      <c r="G42" s="668"/>
      <c r="H42"/>
      <c r="I42"/>
      <c r="J42"/>
      <c r="K42"/>
      <c r="L42" s="668"/>
      <c r="M42" s="668"/>
      <c r="N42"/>
      <c r="O42"/>
      <c r="P42"/>
      <c r="Q42"/>
      <c r="R42"/>
      <c r="S42"/>
      <c r="X42" s="668"/>
      <c r="Y42" s="668"/>
      <c r="Z42" s="668"/>
      <c r="AA42" s="668"/>
      <c r="AB42"/>
      <c r="AC42"/>
      <c r="AD42"/>
      <c r="AE42"/>
      <c r="AF42"/>
      <c r="AG42"/>
      <c r="AH42" s="668"/>
    </row>
    <row r="43" spans="1:36" x14ac:dyDescent="0.2">
      <c r="A43"/>
      <c r="B43"/>
      <c r="C43"/>
      <c r="D43" s="668"/>
      <c r="E43" s="668"/>
      <c r="F43" s="668"/>
      <c r="G43" s="668"/>
      <c r="H43"/>
      <c r="I43"/>
      <c r="J43"/>
      <c r="K43"/>
      <c r="L43" s="668"/>
      <c r="M43" s="668"/>
      <c r="N43"/>
      <c r="O43"/>
      <c r="P43"/>
      <c r="Q43"/>
      <c r="R43"/>
      <c r="S43"/>
      <c r="T43"/>
      <c r="U43"/>
      <c r="V43"/>
      <c r="W43"/>
      <c r="X43" s="668"/>
      <c r="Y43" s="668"/>
      <c r="Z43" s="668"/>
      <c r="AA43" s="668"/>
      <c r="AB43"/>
      <c r="AC43"/>
      <c r="AD43"/>
      <c r="AE43"/>
      <c r="AF43"/>
      <c r="AG43"/>
      <c r="AH43" s="668"/>
    </row>
    <row r="44" spans="1:36" x14ac:dyDescent="0.2">
      <c r="A44"/>
      <c r="B44"/>
      <c r="C44"/>
      <c r="D44" s="668"/>
      <c r="E44" s="668"/>
      <c r="F44" s="668"/>
      <c r="G44" s="668"/>
      <c r="H44"/>
      <c r="I44"/>
      <c r="J44"/>
      <c r="K44"/>
      <c r="L44" s="668"/>
      <c r="M44" s="668"/>
      <c r="N44"/>
      <c r="O44"/>
      <c r="P44"/>
      <c r="Q44"/>
      <c r="R44"/>
      <c r="S44"/>
      <c r="X44" s="668"/>
      <c r="Y44" s="668"/>
      <c r="Z44" s="668"/>
      <c r="AA44" s="668"/>
      <c r="AB44"/>
      <c r="AC44"/>
      <c r="AD44"/>
      <c r="AE44"/>
      <c r="AF44"/>
      <c r="AG44"/>
      <c r="AH44" s="668"/>
    </row>
    <row r="45" spans="1:36" x14ac:dyDescent="0.2">
      <c r="A45"/>
      <c r="B45"/>
      <c r="C45"/>
      <c r="D45" s="668"/>
      <c r="E45" s="668"/>
      <c r="F45" s="668"/>
      <c r="G45" s="668"/>
      <c r="H45"/>
      <c r="I45"/>
      <c r="J45"/>
      <c r="K45"/>
      <c r="L45" s="668"/>
      <c r="M45" s="668"/>
      <c r="N45"/>
      <c r="O45"/>
      <c r="P45"/>
      <c r="Q45"/>
      <c r="R45"/>
      <c r="S45"/>
      <c r="X45" s="668"/>
      <c r="Y45" s="668"/>
      <c r="Z45" s="668"/>
      <c r="AA45" s="668"/>
      <c r="AB45"/>
      <c r="AC45"/>
      <c r="AD45"/>
      <c r="AE45"/>
      <c r="AF45"/>
      <c r="AG45"/>
      <c r="AH45" s="668"/>
    </row>
    <row r="46" spans="1:36" x14ac:dyDescent="0.2">
      <c r="A46"/>
      <c r="B46"/>
      <c r="C46"/>
      <c r="D46" s="668"/>
      <c r="E46" s="668"/>
      <c r="F46" s="668"/>
      <c r="G46" s="668"/>
      <c r="H46"/>
      <c r="I46"/>
      <c r="J46"/>
      <c r="K46"/>
      <c r="L46" s="668"/>
      <c r="M46" s="668"/>
      <c r="N46"/>
      <c r="O46"/>
      <c r="P46"/>
      <c r="Q46"/>
      <c r="R46"/>
      <c r="S46"/>
      <c r="T46"/>
      <c r="U46"/>
      <c r="V46"/>
      <c r="W46"/>
      <c r="X46" s="668"/>
      <c r="Y46" s="668"/>
      <c r="Z46" s="668"/>
      <c r="AA46" s="668"/>
      <c r="AB46"/>
      <c r="AC46"/>
      <c r="AD46"/>
      <c r="AE46"/>
      <c r="AF46"/>
      <c r="AG46"/>
      <c r="AH46" s="668"/>
    </row>
    <row r="47" spans="1:36" x14ac:dyDescent="0.2">
      <c r="A47"/>
      <c r="B47"/>
      <c r="C47"/>
      <c r="D47" s="668"/>
      <c r="E47" s="668"/>
      <c r="F47" s="668"/>
      <c r="G47" s="668"/>
      <c r="H47"/>
      <c r="I47"/>
      <c r="J47"/>
      <c r="K47"/>
      <c r="L47" s="668"/>
      <c r="M47" s="668"/>
      <c r="N47"/>
      <c r="O47"/>
      <c r="P47"/>
      <c r="Q47"/>
      <c r="R47"/>
      <c r="S47"/>
      <c r="T47"/>
      <c r="U47"/>
      <c r="V47"/>
      <c r="W47"/>
      <c r="X47" s="668"/>
      <c r="Y47" s="668"/>
      <c r="Z47" s="668"/>
      <c r="AA47" s="668"/>
      <c r="AB47"/>
      <c r="AC47"/>
      <c r="AD47"/>
      <c r="AE47"/>
      <c r="AF47"/>
      <c r="AG47"/>
      <c r="AH47" s="668"/>
    </row>
    <row r="48" spans="1:36" x14ac:dyDescent="0.2">
      <c r="A48"/>
      <c r="B48"/>
      <c r="C48"/>
      <c r="D48" s="668"/>
      <c r="E48" s="668"/>
      <c r="F48" s="668"/>
      <c r="G48" s="668"/>
      <c r="H48"/>
      <c r="I48"/>
      <c r="J48"/>
      <c r="K48"/>
      <c r="L48" s="668"/>
      <c r="M48" s="668"/>
      <c r="N48"/>
      <c r="O48"/>
      <c r="P48"/>
      <c r="Q48"/>
      <c r="R48"/>
      <c r="S48"/>
      <c r="T48"/>
      <c r="U48"/>
      <c r="V48"/>
      <c r="W48"/>
      <c r="X48" s="668"/>
      <c r="Y48" s="668"/>
      <c r="Z48" s="668"/>
      <c r="AA48" s="668"/>
      <c r="AB48"/>
      <c r="AC48"/>
      <c r="AD48"/>
      <c r="AE48"/>
      <c r="AF48"/>
      <c r="AG48"/>
      <c r="AH48" s="668"/>
    </row>
    <row r="49" spans="1:36" x14ac:dyDescent="0.2">
      <c r="A49"/>
      <c r="B49"/>
      <c r="C49"/>
      <c r="D49" s="668"/>
      <c r="E49" s="668"/>
      <c r="F49" s="668"/>
      <c r="G49" s="668"/>
      <c r="H49"/>
      <c r="I49"/>
      <c r="J49"/>
      <c r="K49"/>
      <c r="L49" s="668"/>
      <c r="M49" s="668"/>
      <c r="N49"/>
      <c r="O49"/>
      <c r="P49"/>
      <c r="Q49"/>
      <c r="R49"/>
      <c r="S49"/>
      <c r="T49"/>
      <c r="U49"/>
      <c r="V49"/>
      <c r="W49"/>
      <c r="X49" s="668"/>
      <c r="Y49" s="668"/>
      <c r="Z49" s="668"/>
      <c r="AA49" s="668"/>
      <c r="AB49"/>
      <c r="AC49"/>
      <c r="AD49"/>
      <c r="AE49"/>
      <c r="AF49"/>
      <c r="AG49"/>
      <c r="AH49" s="668"/>
    </row>
    <row r="50" spans="1:36" x14ac:dyDescent="0.2">
      <c r="A50"/>
      <c r="B50"/>
      <c r="C50"/>
      <c r="D50" s="668"/>
      <c r="E50" s="668"/>
      <c r="F50" s="668"/>
      <c r="G50" s="668"/>
      <c r="H50"/>
      <c r="I50"/>
      <c r="J50"/>
      <c r="K50"/>
      <c r="L50" s="668"/>
      <c r="M50" s="668"/>
      <c r="N50"/>
      <c r="O50"/>
      <c r="P50"/>
      <c r="Q50"/>
      <c r="R50"/>
      <c r="S50"/>
      <c r="T50"/>
      <c r="U50"/>
      <c r="V50"/>
      <c r="W50"/>
      <c r="X50" s="668"/>
      <c r="Y50" s="668"/>
      <c r="Z50" s="668"/>
      <c r="AA50" s="668"/>
      <c r="AB50"/>
      <c r="AC50"/>
      <c r="AD50"/>
      <c r="AE50"/>
      <c r="AF50"/>
      <c r="AG50"/>
      <c r="AH50" s="668"/>
    </row>
    <row r="51" spans="1:36" x14ac:dyDescent="0.2">
      <c r="A51"/>
      <c r="B51"/>
      <c r="C51"/>
      <c r="D51" s="668"/>
      <c r="E51" s="668"/>
      <c r="F51" s="668"/>
      <c r="G51" s="668"/>
      <c r="H51"/>
      <c r="I51"/>
      <c r="J51"/>
      <c r="K51"/>
      <c r="L51" s="668"/>
      <c r="M51" s="668"/>
      <c r="N51"/>
      <c r="O51"/>
      <c r="P51"/>
      <c r="Q51"/>
      <c r="R51"/>
      <c r="S51"/>
      <c r="T51"/>
      <c r="U51"/>
      <c r="V51"/>
      <c r="W51"/>
      <c r="X51" s="668"/>
      <c r="Y51" s="668"/>
      <c r="Z51" s="668"/>
      <c r="AA51" s="668"/>
      <c r="AB51"/>
      <c r="AC51"/>
      <c r="AD51"/>
      <c r="AE51"/>
      <c r="AF51"/>
      <c r="AG51"/>
      <c r="AH51" s="668"/>
    </row>
    <row r="52" spans="1:36" x14ac:dyDescent="0.2">
      <c r="A52"/>
      <c r="B52"/>
      <c r="C52"/>
      <c r="D52" s="668"/>
      <c r="E52" s="668"/>
      <c r="F52" s="668"/>
      <c r="G52" s="668"/>
      <c r="H52"/>
      <c r="I52"/>
      <c r="J52"/>
      <c r="K52"/>
      <c r="L52" s="668"/>
      <c r="M52" s="668"/>
      <c r="N52"/>
      <c r="O52"/>
      <c r="P52"/>
      <c r="Q52"/>
      <c r="R52"/>
      <c r="S52"/>
      <c r="T52"/>
      <c r="U52"/>
      <c r="V52"/>
      <c r="W52"/>
      <c r="X52" s="668"/>
      <c r="Y52" s="668"/>
      <c r="Z52" s="668"/>
      <c r="AA52" s="668"/>
      <c r="AB52"/>
      <c r="AC52"/>
      <c r="AD52"/>
      <c r="AE52"/>
      <c r="AF52"/>
      <c r="AG52"/>
      <c r="AH52" s="668"/>
    </row>
    <row r="53" spans="1:36" x14ac:dyDescent="0.2">
      <c r="A53"/>
      <c r="B53"/>
      <c r="C53"/>
      <c r="D53" s="668"/>
      <c r="E53" s="668"/>
      <c r="F53" s="668"/>
      <c r="G53" s="668"/>
      <c r="H53"/>
      <c r="I53"/>
      <c r="J53"/>
      <c r="K53"/>
      <c r="L53" s="668"/>
      <c r="M53" s="668"/>
      <c r="N53"/>
      <c r="O53"/>
      <c r="P53"/>
      <c r="Q53"/>
      <c r="R53"/>
      <c r="S53"/>
      <c r="T53"/>
      <c r="U53"/>
      <c r="V53"/>
      <c r="W53"/>
      <c r="X53" s="668"/>
      <c r="Y53" s="668"/>
      <c r="Z53" s="668"/>
      <c r="AA53" s="668"/>
      <c r="AB53"/>
      <c r="AC53"/>
      <c r="AD53"/>
      <c r="AE53"/>
      <c r="AF53"/>
      <c r="AG53"/>
      <c r="AH53" s="668"/>
      <c r="AI53"/>
    </row>
    <row r="54" spans="1:36" x14ac:dyDescent="0.2">
      <c r="A54"/>
      <c r="B54"/>
      <c r="C54"/>
      <c r="D54" s="668"/>
      <c r="E54" s="668"/>
      <c r="F54" s="668"/>
      <c r="G54" s="668"/>
      <c r="H54"/>
      <c r="I54"/>
      <c r="J54"/>
      <c r="K54"/>
      <c r="L54" s="668"/>
      <c r="M54" s="668"/>
      <c r="N54"/>
      <c r="O54"/>
      <c r="P54"/>
      <c r="Q54"/>
      <c r="R54"/>
      <c r="S54"/>
      <c r="T54"/>
      <c r="U54"/>
      <c r="V54"/>
      <c r="W54"/>
      <c r="X54" s="668"/>
      <c r="Y54" s="668"/>
      <c r="Z54" s="668"/>
      <c r="AA54" s="668"/>
      <c r="AB54"/>
      <c r="AC54"/>
      <c r="AD54"/>
      <c r="AE54"/>
      <c r="AF54"/>
      <c r="AG54"/>
      <c r="AH54" s="668"/>
      <c r="AI54"/>
    </row>
    <row r="55" spans="1:36" x14ac:dyDescent="0.2">
      <c r="A55"/>
      <c r="B55"/>
      <c r="C55"/>
      <c r="D55" s="668"/>
      <c r="E55" s="668"/>
      <c r="F55" s="668"/>
      <c r="G55" s="668"/>
      <c r="H55"/>
      <c r="I55"/>
      <c r="J55"/>
      <c r="K55"/>
      <c r="L55" s="668"/>
      <c r="M55" s="668"/>
      <c r="N55"/>
      <c r="O55"/>
      <c r="P55"/>
      <c r="Q55"/>
      <c r="R55"/>
      <c r="S55"/>
      <c r="T55"/>
      <c r="U55"/>
      <c r="V55"/>
      <c r="W55"/>
      <c r="X55" s="668"/>
      <c r="Y55" s="668"/>
      <c r="Z55" s="668"/>
      <c r="AA55" s="668"/>
      <c r="AB55"/>
      <c r="AC55"/>
      <c r="AD55"/>
      <c r="AE55"/>
      <c r="AF55"/>
      <c r="AG55"/>
      <c r="AH55" s="668"/>
      <c r="AI55"/>
    </row>
    <row r="56" spans="1:36" x14ac:dyDescent="0.2">
      <c r="A56"/>
      <c r="B56"/>
      <c r="C56"/>
      <c r="D56" s="668"/>
      <c r="E56" s="668"/>
      <c r="F56" s="668"/>
      <c r="G56" s="668"/>
      <c r="H56"/>
      <c r="I56"/>
      <c r="J56"/>
      <c r="K56"/>
      <c r="L56" s="668"/>
      <c r="M56" s="668"/>
      <c r="N56"/>
      <c r="O56"/>
      <c r="P56"/>
      <c r="Q56"/>
      <c r="R56"/>
      <c r="S56"/>
      <c r="T56"/>
      <c r="U56"/>
      <c r="V56"/>
      <c r="W56"/>
      <c r="X56" s="668"/>
      <c r="Y56" s="668"/>
      <c r="Z56" s="668"/>
      <c r="AA56" s="668"/>
      <c r="AB56"/>
      <c r="AC56"/>
      <c r="AD56"/>
      <c r="AE56"/>
      <c r="AG56"/>
      <c r="AH56" s="668"/>
      <c r="AI56"/>
    </row>
    <row r="57" spans="1:36" x14ac:dyDescent="0.2">
      <c r="A57"/>
      <c r="B57"/>
      <c r="C57"/>
      <c r="D57" s="668"/>
      <c r="E57" s="668"/>
      <c r="F57" s="668"/>
      <c r="G57" s="668"/>
      <c r="H57"/>
      <c r="I57"/>
      <c r="J57"/>
      <c r="K57"/>
      <c r="L57" s="668"/>
      <c r="M57" s="668"/>
      <c r="N57"/>
      <c r="O57"/>
      <c r="P57"/>
      <c r="Q57"/>
      <c r="R57"/>
      <c r="S57"/>
      <c r="T57"/>
      <c r="U57"/>
      <c r="V57"/>
      <c r="W57"/>
      <c r="X57" s="668"/>
      <c r="Y57" s="668"/>
      <c r="Z57" s="668"/>
      <c r="AA57" s="668"/>
      <c r="AB57"/>
      <c r="AC57"/>
      <c r="AD57"/>
      <c r="AE57"/>
      <c r="AF57"/>
      <c r="AG57"/>
      <c r="AH57" s="668"/>
    </row>
    <row r="58" spans="1:36" x14ac:dyDescent="0.2">
      <c r="A58"/>
      <c r="B58"/>
      <c r="C58"/>
      <c r="D58" s="668"/>
      <c r="E58" s="668"/>
      <c r="F58" s="668"/>
      <c r="G58" s="668"/>
      <c r="H58"/>
      <c r="I58"/>
      <c r="J58"/>
      <c r="K58"/>
      <c r="L58" s="668"/>
      <c r="M58" s="668"/>
      <c r="N58"/>
      <c r="O58"/>
      <c r="P58"/>
      <c r="Q58"/>
      <c r="R58"/>
      <c r="S58"/>
      <c r="T58"/>
      <c r="U58"/>
      <c r="V58"/>
      <c r="W58"/>
      <c r="X58" s="668"/>
      <c r="Y58" s="668"/>
      <c r="Z58" s="668"/>
      <c r="AA58" s="668"/>
      <c r="AB58"/>
      <c r="AC58"/>
      <c r="AD58"/>
      <c r="AE58"/>
      <c r="AF58"/>
      <c r="AG58"/>
      <c r="AH58" s="668"/>
      <c r="AI58"/>
      <c r="AJ58"/>
    </row>
    <row r="59" spans="1:36" x14ac:dyDescent="0.2">
      <c r="A59"/>
      <c r="B59"/>
      <c r="C59"/>
      <c r="D59" s="668"/>
      <c r="E59" s="668"/>
      <c r="F59" s="668"/>
      <c r="G59" s="668"/>
      <c r="H59"/>
      <c r="I59"/>
      <c r="J59"/>
      <c r="K59"/>
      <c r="L59" s="668"/>
      <c r="M59" s="668"/>
      <c r="N59"/>
      <c r="O59"/>
      <c r="P59"/>
      <c r="Q59"/>
      <c r="R59"/>
      <c r="S59"/>
      <c r="T59"/>
      <c r="U59"/>
      <c r="V59"/>
      <c r="W59"/>
      <c r="X59" s="668"/>
      <c r="Y59" s="668"/>
      <c r="Z59" s="668"/>
      <c r="AA59" s="668"/>
      <c r="AB59"/>
      <c r="AD59"/>
      <c r="AE59"/>
      <c r="AF59"/>
      <c r="AG59"/>
      <c r="AH59" s="668"/>
      <c r="AI59"/>
      <c r="AJ59"/>
    </row>
    <row r="60" spans="1:36" x14ac:dyDescent="0.2">
      <c r="A60"/>
      <c r="B60"/>
      <c r="C60"/>
      <c r="D60" s="668"/>
      <c r="E60" s="668"/>
      <c r="F60" s="668"/>
      <c r="G60" s="668"/>
      <c r="H60"/>
      <c r="I60"/>
      <c r="J60"/>
      <c r="K60"/>
      <c r="L60" s="668"/>
      <c r="M60" s="668"/>
      <c r="N60"/>
      <c r="O60"/>
      <c r="P60"/>
      <c r="Q60"/>
      <c r="R60"/>
      <c r="S60"/>
      <c r="T60"/>
      <c r="U60"/>
      <c r="V60"/>
      <c r="W60"/>
      <c r="X60" s="668"/>
      <c r="Y60" s="668"/>
      <c r="Z60" s="668"/>
      <c r="AA60" s="668"/>
      <c r="AB60"/>
      <c r="AC60"/>
      <c r="AD60"/>
      <c r="AE60"/>
      <c r="AF60"/>
      <c r="AG60"/>
      <c r="AH60" s="668"/>
    </row>
    <row r="61" spans="1:36" x14ac:dyDescent="0.2">
      <c r="A61"/>
      <c r="B61"/>
      <c r="C61"/>
      <c r="D61" s="668"/>
      <c r="E61" s="668"/>
      <c r="F61" s="668"/>
      <c r="G61" s="668"/>
      <c r="H61"/>
      <c r="I61"/>
      <c r="J61"/>
      <c r="K61"/>
      <c r="L61" s="668"/>
      <c r="M61" s="668"/>
      <c r="N61"/>
      <c r="O61"/>
      <c r="P61"/>
      <c r="Q61"/>
      <c r="R61"/>
      <c r="S61"/>
      <c r="T61"/>
      <c r="U61"/>
      <c r="V61"/>
      <c r="W61"/>
      <c r="X61" s="668"/>
      <c r="Y61" s="668"/>
      <c r="Z61" s="668"/>
      <c r="AA61" s="668"/>
      <c r="AB61"/>
      <c r="AC61"/>
      <c r="AD61"/>
      <c r="AE61"/>
      <c r="AF61"/>
      <c r="AG61"/>
      <c r="AH61" s="668"/>
    </row>
    <row r="62" spans="1:36" x14ac:dyDescent="0.2">
      <c r="A62"/>
      <c r="B62"/>
      <c r="C62"/>
      <c r="D62" s="668"/>
      <c r="E62" s="668"/>
      <c r="F62" s="668"/>
      <c r="G62" s="668"/>
      <c r="H62"/>
      <c r="I62"/>
      <c r="J62"/>
      <c r="K62"/>
      <c r="L62" s="668"/>
      <c r="M62" s="668"/>
      <c r="N62"/>
      <c r="O62"/>
      <c r="P62"/>
      <c r="Q62"/>
      <c r="R62"/>
      <c r="S62"/>
      <c r="T62"/>
      <c r="U62"/>
      <c r="V62"/>
      <c r="W62"/>
      <c r="X62" s="668"/>
      <c r="Y62" s="668"/>
      <c r="Z62" s="668"/>
      <c r="AA62" s="668"/>
      <c r="AB62"/>
      <c r="AC62"/>
      <c r="AD62"/>
      <c r="AE62"/>
      <c r="AF62"/>
      <c r="AG62"/>
      <c r="AH62" s="668"/>
    </row>
    <row r="63" spans="1:36" x14ac:dyDescent="0.2">
      <c r="A63"/>
      <c r="B63"/>
      <c r="C63"/>
      <c r="D63" s="668"/>
      <c r="E63" s="668"/>
      <c r="F63" s="668"/>
      <c r="G63" s="668"/>
      <c r="H63"/>
      <c r="I63"/>
      <c r="J63"/>
      <c r="K63"/>
      <c r="L63" s="668"/>
      <c r="M63" s="668"/>
      <c r="N63"/>
      <c r="O63"/>
      <c r="P63"/>
      <c r="Q63"/>
      <c r="R63"/>
      <c r="S63"/>
      <c r="T63"/>
      <c r="U63"/>
      <c r="V63"/>
      <c r="W63"/>
      <c r="X63" s="668"/>
      <c r="Y63" s="668"/>
      <c r="Z63" s="668"/>
      <c r="AA63" s="668"/>
      <c r="AB63"/>
      <c r="AC63"/>
      <c r="AD63"/>
      <c r="AE63"/>
      <c r="AF63"/>
      <c r="AG63"/>
      <c r="AH63" s="668"/>
    </row>
    <row r="64" spans="1:36" x14ac:dyDescent="0.2">
      <c r="A64"/>
      <c r="B64"/>
      <c r="C64"/>
      <c r="D64" s="668"/>
      <c r="E64" s="668"/>
      <c r="F64" s="668"/>
      <c r="G64" s="668"/>
      <c r="H64"/>
      <c r="I64"/>
      <c r="J64"/>
      <c r="K64"/>
      <c r="L64" s="668"/>
      <c r="M64" s="668"/>
      <c r="N64"/>
      <c r="O64"/>
      <c r="P64"/>
      <c r="Q64"/>
      <c r="R64"/>
      <c r="S64"/>
      <c r="T64"/>
      <c r="U64"/>
      <c r="V64"/>
      <c r="W64"/>
      <c r="X64" s="668"/>
      <c r="Y64" s="668"/>
      <c r="Z64" s="668"/>
      <c r="AA64" s="668"/>
      <c r="AB64"/>
      <c r="AC64"/>
      <c r="AD64"/>
      <c r="AE64"/>
      <c r="AF64"/>
      <c r="AG64"/>
      <c r="AH64" s="668"/>
    </row>
    <row r="65" spans="1:35" x14ac:dyDescent="0.2">
      <c r="A65"/>
      <c r="B65"/>
      <c r="C65"/>
      <c r="D65" s="668"/>
      <c r="E65" s="668"/>
      <c r="F65" s="668"/>
      <c r="G65" s="668"/>
      <c r="H65"/>
      <c r="I65"/>
      <c r="J65"/>
      <c r="K65"/>
      <c r="L65" s="668"/>
      <c r="M65" s="668"/>
      <c r="N65"/>
      <c r="O65"/>
      <c r="P65"/>
      <c r="Q65"/>
      <c r="R65"/>
      <c r="S65"/>
      <c r="T65"/>
      <c r="U65"/>
      <c r="V65"/>
      <c r="W65"/>
      <c r="X65" s="668"/>
      <c r="Y65" s="668"/>
      <c r="Z65" s="668"/>
      <c r="AA65" s="668"/>
      <c r="AB65"/>
      <c r="AC65"/>
      <c r="AD65"/>
      <c r="AE65"/>
      <c r="AF65"/>
      <c r="AG65"/>
      <c r="AH65" s="668"/>
    </row>
    <row r="66" spans="1:35" x14ac:dyDescent="0.2">
      <c r="A66"/>
      <c r="B66"/>
      <c r="C66"/>
      <c r="D66" s="668"/>
      <c r="E66" s="668"/>
      <c r="F66" s="668"/>
      <c r="G66" s="668"/>
      <c r="H66"/>
      <c r="I66"/>
      <c r="J66"/>
      <c r="K66"/>
      <c r="L66" s="668"/>
      <c r="M66" s="668"/>
      <c r="N66"/>
      <c r="O66"/>
      <c r="P66"/>
      <c r="Q66"/>
      <c r="R66"/>
      <c r="S66"/>
      <c r="T66"/>
      <c r="U66"/>
      <c r="V66"/>
      <c r="W66"/>
      <c r="X66" s="668"/>
      <c r="Y66" s="668"/>
      <c r="Z66" s="668"/>
      <c r="AA66" s="668"/>
      <c r="AB66"/>
      <c r="AC66"/>
      <c r="AD66"/>
      <c r="AE66"/>
      <c r="AF66"/>
      <c r="AG66"/>
      <c r="AH66" s="668"/>
    </row>
    <row r="67" spans="1:35" x14ac:dyDescent="0.2">
      <c r="A67"/>
      <c r="B67"/>
      <c r="C67"/>
      <c r="D67" s="668"/>
      <c r="E67" s="668"/>
      <c r="F67" s="668"/>
      <c r="G67" s="668"/>
      <c r="H67"/>
      <c r="I67"/>
      <c r="J67"/>
      <c r="K67"/>
      <c r="L67" s="668"/>
      <c r="M67" s="668"/>
      <c r="N67"/>
      <c r="O67"/>
      <c r="P67"/>
      <c r="Q67"/>
      <c r="R67"/>
      <c r="S67"/>
      <c r="T67"/>
      <c r="U67"/>
      <c r="V67"/>
      <c r="W67"/>
      <c r="X67" s="668"/>
      <c r="Y67" s="668"/>
      <c r="Z67" s="668"/>
      <c r="AA67" s="668"/>
      <c r="AB67"/>
      <c r="AC67"/>
      <c r="AD67"/>
      <c r="AE67"/>
      <c r="AF67"/>
      <c r="AG67"/>
      <c r="AH67" s="668"/>
    </row>
    <row r="68" spans="1:35" x14ac:dyDescent="0.2">
      <c r="A68"/>
      <c r="B68"/>
      <c r="C68"/>
      <c r="D68" s="668"/>
      <c r="E68" s="668"/>
      <c r="F68" s="668"/>
      <c r="G68" s="668"/>
      <c r="H68"/>
      <c r="I68"/>
      <c r="J68"/>
      <c r="K68"/>
      <c r="L68" s="668"/>
      <c r="M68" s="668"/>
      <c r="N68"/>
      <c r="O68"/>
      <c r="P68"/>
      <c r="Q68"/>
      <c r="R68"/>
      <c r="S68"/>
      <c r="T68"/>
      <c r="U68"/>
      <c r="V68"/>
      <c r="W68"/>
      <c r="X68" s="668"/>
      <c r="Y68" s="668"/>
      <c r="Z68" s="668"/>
      <c r="AA68" s="668"/>
      <c r="AB68"/>
      <c r="AC68"/>
      <c r="AD68"/>
      <c r="AE68"/>
      <c r="AF68"/>
      <c r="AG68"/>
      <c r="AH68" s="668"/>
    </row>
    <row r="69" spans="1:35" x14ac:dyDescent="0.2">
      <c r="A69"/>
      <c r="B69"/>
      <c r="C69"/>
      <c r="D69" s="668"/>
      <c r="E69" s="668"/>
      <c r="F69" s="668"/>
      <c r="G69" s="668"/>
      <c r="H69"/>
      <c r="I69"/>
      <c r="J69"/>
      <c r="K69"/>
      <c r="L69" s="668"/>
      <c r="M69" s="668"/>
      <c r="N69"/>
      <c r="O69"/>
      <c r="P69"/>
      <c r="Q69"/>
      <c r="R69"/>
      <c r="S69"/>
      <c r="T69"/>
      <c r="U69"/>
      <c r="V69"/>
      <c r="W69"/>
      <c r="X69" s="668"/>
      <c r="Y69" s="668"/>
      <c r="Z69" s="668"/>
      <c r="AA69" s="668"/>
      <c r="AB69"/>
      <c r="AC69"/>
      <c r="AD69"/>
      <c r="AE69"/>
      <c r="AF69"/>
      <c r="AG69"/>
      <c r="AH69" s="668"/>
    </row>
    <row r="70" spans="1:35" x14ac:dyDescent="0.2">
      <c r="A70"/>
      <c r="B70"/>
      <c r="C70"/>
      <c r="D70" s="668"/>
      <c r="E70" s="668"/>
      <c r="F70" s="668"/>
      <c r="G70" s="668"/>
      <c r="H70"/>
      <c r="I70"/>
      <c r="J70"/>
      <c r="K70"/>
      <c r="L70" s="668"/>
      <c r="M70" s="668"/>
      <c r="N70"/>
      <c r="O70"/>
      <c r="P70"/>
      <c r="Q70"/>
      <c r="R70"/>
      <c r="S70"/>
      <c r="T70"/>
      <c r="U70"/>
      <c r="V70"/>
      <c r="W70"/>
      <c r="X70" s="668"/>
      <c r="Y70" s="668"/>
      <c r="Z70" s="668"/>
      <c r="AA70" s="668"/>
      <c r="AB70"/>
      <c r="AC70"/>
      <c r="AD70"/>
      <c r="AE70"/>
      <c r="AF70"/>
      <c r="AG70"/>
      <c r="AH70" s="668"/>
    </row>
    <row r="71" spans="1:35" x14ac:dyDescent="0.2">
      <c r="A71"/>
      <c r="B71"/>
      <c r="C71"/>
      <c r="D71" s="668"/>
      <c r="E71" s="668"/>
      <c r="F71" s="668"/>
      <c r="G71" s="668"/>
      <c r="H71"/>
      <c r="I71"/>
      <c r="J71"/>
      <c r="K71"/>
      <c r="L71" s="668"/>
      <c r="M71" s="668"/>
      <c r="N71"/>
      <c r="O71"/>
      <c r="P71"/>
      <c r="Q71"/>
      <c r="R71"/>
      <c r="S71"/>
      <c r="X71" s="668"/>
      <c r="Y71" s="668"/>
      <c r="Z71" s="668"/>
      <c r="AA71" s="668"/>
      <c r="AB71"/>
      <c r="AC71"/>
      <c r="AD71"/>
      <c r="AE71"/>
      <c r="AF71"/>
      <c r="AG71"/>
      <c r="AH71" s="668"/>
    </row>
    <row r="72" spans="1:35" x14ac:dyDescent="0.2">
      <c r="A72"/>
      <c r="B72"/>
      <c r="C72"/>
      <c r="D72" s="668"/>
      <c r="E72" s="668"/>
      <c r="F72" s="668"/>
      <c r="G72" s="668"/>
      <c r="H72"/>
      <c r="I72"/>
      <c r="J72"/>
      <c r="K72"/>
      <c r="L72" s="668"/>
      <c r="M72" s="668"/>
      <c r="N72"/>
      <c r="O72"/>
      <c r="P72"/>
      <c r="Q72"/>
      <c r="R72"/>
      <c r="S72"/>
      <c r="T72"/>
      <c r="U72"/>
      <c r="V72"/>
      <c r="W72"/>
      <c r="X72" s="668"/>
      <c r="Y72" s="668"/>
      <c r="Z72" s="668"/>
      <c r="AA72" s="668"/>
      <c r="AB72"/>
      <c r="AC72"/>
      <c r="AD72"/>
      <c r="AE72"/>
      <c r="AF72"/>
      <c r="AG72"/>
      <c r="AH72" s="668"/>
    </row>
    <row r="73" spans="1:35" x14ac:dyDescent="0.2">
      <c r="A73"/>
      <c r="B73"/>
      <c r="C73"/>
      <c r="D73" s="668"/>
      <c r="E73" s="668"/>
      <c r="F73" s="668"/>
      <c r="G73" s="668"/>
      <c r="H73"/>
      <c r="I73"/>
      <c r="J73"/>
      <c r="K73"/>
      <c r="L73" s="668"/>
      <c r="M73" s="668"/>
      <c r="N73"/>
      <c r="O73"/>
      <c r="P73"/>
      <c r="Q73"/>
      <c r="R73"/>
      <c r="S73"/>
      <c r="T73"/>
      <c r="U73"/>
      <c r="V73"/>
      <c r="W73"/>
      <c r="X73" s="668"/>
      <c r="Y73" s="668"/>
      <c r="Z73" s="668"/>
      <c r="AA73" s="668"/>
      <c r="AB73"/>
      <c r="AC73"/>
      <c r="AD73"/>
      <c r="AE73"/>
      <c r="AF73"/>
      <c r="AG73"/>
      <c r="AH73" s="668"/>
      <c r="AI73"/>
    </row>
    <row r="74" spans="1:35" x14ac:dyDescent="0.2">
      <c r="A74"/>
      <c r="B74"/>
      <c r="C74"/>
      <c r="D74" s="668"/>
      <c r="E74" s="668"/>
      <c r="F74" s="668"/>
      <c r="G74" s="668"/>
      <c r="H74"/>
      <c r="I74"/>
      <c r="J74"/>
      <c r="K74"/>
      <c r="L74" s="668"/>
      <c r="M74" s="668"/>
      <c r="N74"/>
      <c r="O74"/>
      <c r="P74"/>
      <c r="Q74"/>
      <c r="R74"/>
      <c r="S74"/>
      <c r="T74"/>
      <c r="U74"/>
      <c r="V74"/>
      <c r="W74"/>
      <c r="X74" s="668"/>
      <c r="Y74" s="668"/>
      <c r="Z74" s="668"/>
      <c r="AA74" s="668"/>
      <c r="AB74"/>
      <c r="AD74"/>
      <c r="AE74"/>
      <c r="AF74"/>
      <c r="AG74"/>
      <c r="AH74" s="668"/>
      <c r="AI74"/>
    </row>
    <row r="75" spans="1:35" x14ac:dyDescent="0.2">
      <c r="A75"/>
      <c r="B75"/>
      <c r="C75"/>
      <c r="D75" s="668"/>
      <c r="E75" s="668"/>
      <c r="F75" s="668"/>
      <c r="G75" s="668"/>
      <c r="H75"/>
      <c r="I75"/>
      <c r="J75"/>
      <c r="K75"/>
      <c r="L75" s="668"/>
      <c r="M75" s="668"/>
      <c r="N75"/>
      <c r="O75"/>
      <c r="P75"/>
      <c r="Q75"/>
      <c r="R75"/>
      <c r="S75"/>
      <c r="T75"/>
      <c r="U75"/>
      <c r="V75"/>
      <c r="W75"/>
      <c r="X75" s="668"/>
      <c r="Y75" s="668"/>
      <c r="Z75" s="668"/>
      <c r="AA75" s="668"/>
      <c r="AB75"/>
      <c r="AC75"/>
      <c r="AD75"/>
      <c r="AE75"/>
      <c r="AF75"/>
      <c r="AG75"/>
      <c r="AH75" s="668"/>
    </row>
    <row r="76" spans="1:35" x14ac:dyDescent="0.2">
      <c r="A76"/>
      <c r="B76"/>
      <c r="C76"/>
      <c r="D76" s="668"/>
      <c r="E76" s="668"/>
      <c r="F76" s="668"/>
      <c r="G76" s="668"/>
      <c r="H76"/>
      <c r="I76"/>
      <c r="J76"/>
      <c r="K76"/>
      <c r="L76" s="668"/>
      <c r="M76" s="668"/>
      <c r="N76"/>
      <c r="O76"/>
      <c r="P76"/>
      <c r="Q76"/>
      <c r="R76"/>
      <c r="S76"/>
      <c r="T76"/>
      <c r="U76"/>
      <c r="V76"/>
      <c r="W76"/>
      <c r="X76" s="668"/>
      <c r="Y76" s="668"/>
      <c r="Z76" s="668"/>
      <c r="AA76" s="668"/>
      <c r="AB76"/>
      <c r="AC76"/>
      <c r="AD76"/>
      <c r="AE76"/>
      <c r="AF76"/>
      <c r="AG76"/>
      <c r="AH76" s="668"/>
      <c r="AI76"/>
    </row>
    <row r="77" spans="1:35" x14ac:dyDescent="0.2">
      <c r="A77"/>
      <c r="B77"/>
      <c r="C77"/>
      <c r="D77" s="668"/>
      <c r="E77" s="668"/>
      <c r="F77" s="668"/>
      <c r="G77" s="668"/>
      <c r="H77"/>
      <c r="I77"/>
      <c r="J77"/>
      <c r="K77"/>
      <c r="L77" s="668"/>
      <c r="M77" s="668"/>
      <c r="N77"/>
      <c r="O77"/>
      <c r="P77"/>
      <c r="Q77"/>
      <c r="R77"/>
      <c r="S77"/>
      <c r="T77"/>
      <c r="U77"/>
      <c r="V77"/>
      <c r="W77"/>
      <c r="X77" s="668"/>
      <c r="Y77" s="668"/>
      <c r="Z77" s="668"/>
      <c r="AA77" s="668"/>
      <c r="AB77"/>
      <c r="AC77"/>
      <c r="AD77"/>
      <c r="AE77"/>
      <c r="AF77"/>
      <c r="AG77"/>
      <c r="AH77" s="668"/>
      <c r="AI77"/>
    </row>
    <row r="78" spans="1:35" x14ac:dyDescent="0.2">
      <c r="A78"/>
      <c r="B78"/>
      <c r="C78"/>
      <c r="D78" s="668"/>
      <c r="E78" s="668"/>
      <c r="F78" s="668"/>
      <c r="G78" s="668"/>
      <c r="H78"/>
      <c r="I78"/>
      <c r="J78"/>
      <c r="K78"/>
      <c r="L78" s="668"/>
      <c r="M78" s="668"/>
      <c r="N78"/>
      <c r="O78"/>
      <c r="P78"/>
      <c r="Q78"/>
      <c r="R78"/>
      <c r="S78"/>
      <c r="T78"/>
      <c r="U78"/>
      <c r="V78"/>
      <c r="W78"/>
      <c r="X78" s="668"/>
      <c r="Y78" s="668"/>
      <c r="Z78" s="668"/>
      <c r="AA78" s="668"/>
      <c r="AB78"/>
      <c r="AC78"/>
      <c r="AD78"/>
      <c r="AE78"/>
      <c r="AF78"/>
      <c r="AG78"/>
      <c r="AH78" s="668"/>
    </row>
    <row r="79" spans="1:35" x14ac:dyDescent="0.2">
      <c r="A79"/>
      <c r="B79"/>
      <c r="C79"/>
      <c r="D79" s="668"/>
      <c r="E79" s="668"/>
      <c r="F79" s="668"/>
      <c r="G79" s="668"/>
      <c r="H79"/>
      <c r="I79"/>
      <c r="J79"/>
      <c r="K79"/>
      <c r="L79" s="668"/>
      <c r="M79" s="668"/>
      <c r="N79"/>
      <c r="O79"/>
      <c r="P79"/>
      <c r="Q79"/>
      <c r="R79"/>
      <c r="S79"/>
      <c r="X79" s="668"/>
      <c r="Y79" s="668"/>
      <c r="Z79" s="668"/>
      <c r="AA79" s="668"/>
      <c r="AB79"/>
      <c r="AC79"/>
      <c r="AD79"/>
      <c r="AE79"/>
      <c r="AF79"/>
      <c r="AG79"/>
      <c r="AH79" s="668"/>
    </row>
    <row r="80" spans="1:35" x14ac:dyDescent="0.2">
      <c r="A80"/>
      <c r="B80"/>
      <c r="C80"/>
      <c r="D80" s="668"/>
      <c r="E80" s="668"/>
      <c r="F80" s="668"/>
      <c r="G80" s="668"/>
      <c r="H80"/>
      <c r="I80"/>
      <c r="J80"/>
      <c r="K80"/>
      <c r="L80" s="668"/>
      <c r="M80" s="668"/>
      <c r="N80"/>
      <c r="O80"/>
      <c r="P80"/>
      <c r="Q80"/>
      <c r="R80"/>
      <c r="S80"/>
      <c r="T80"/>
      <c r="U80"/>
      <c r="V80"/>
      <c r="W80"/>
      <c r="X80" s="668"/>
      <c r="Y80" s="668"/>
      <c r="Z80" s="668"/>
      <c r="AA80" s="668"/>
      <c r="AB80"/>
      <c r="AC80"/>
      <c r="AD80"/>
      <c r="AE80"/>
      <c r="AF80"/>
      <c r="AG80"/>
      <c r="AH80" s="668"/>
    </row>
    <row r="81" spans="1:35" x14ac:dyDescent="0.2">
      <c r="A81"/>
      <c r="B81"/>
      <c r="C81"/>
      <c r="D81" s="668"/>
      <c r="E81" s="668"/>
      <c r="F81" s="668"/>
      <c r="G81" s="668"/>
      <c r="H81"/>
      <c r="I81"/>
      <c r="J81"/>
      <c r="K81"/>
      <c r="L81" s="668"/>
      <c r="M81" s="668"/>
      <c r="N81"/>
      <c r="O81"/>
      <c r="P81"/>
      <c r="Q81"/>
      <c r="R81"/>
      <c r="S81"/>
      <c r="T81"/>
      <c r="U81"/>
      <c r="V81"/>
      <c r="W81"/>
      <c r="X81" s="668"/>
      <c r="Y81" s="668"/>
      <c r="Z81" s="668"/>
      <c r="AA81" s="668"/>
      <c r="AB81"/>
      <c r="AC81"/>
      <c r="AD81"/>
      <c r="AE81"/>
      <c r="AF81"/>
      <c r="AG81"/>
      <c r="AH81" s="668"/>
    </row>
    <row r="82" spans="1:35" x14ac:dyDescent="0.2">
      <c r="A82"/>
      <c r="B82"/>
      <c r="C82"/>
      <c r="D82" s="668"/>
      <c r="E82" s="668"/>
      <c r="F82" s="668"/>
      <c r="G82" s="668"/>
      <c r="H82"/>
      <c r="I82"/>
      <c r="J82"/>
      <c r="K82"/>
      <c r="L82" s="668"/>
      <c r="M82" s="668"/>
      <c r="N82"/>
      <c r="O82"/>
      <c r="P82"/>
      <c r="Q82"/>
      <c r="R82"/>
      <c r="S82"/>
      <c r="T82"/>
      <c r="U82"/>
      <c r="V82"/>
      <c r="W82"/>
      <c r="X82" s="668"/>
      <c r="Y82" s="668"/>
      <c r="Z82" s="668"/>
      <c r="AA82" s="668"/>
      <c r="AB82"/>
      <c r="AC82"/>
      <c r="AD82"/>
      <c r="AE82"/>
      <c r="AF82"/>
      <c r="AG82"/>
      <c r="AH82" s="668"/>
    </row>
    <row r="83" spans="1:35" x14ac:dyDescent="0.2">
      <c r="A83"/>
      <c r="B83"/>
      <c r="C83"/>
      <c r="D83" s="668"/>
      <c r="E83" s="668"/>
      <c r="F83" s="668"/>
      <c r="G83" s="668"/>
      <c r="H83"/>
      <c r="I83"/>
      <c r="J83"/>
      <c r="K83"/>
      <c r="L83" s="668"/>
      <c r="M83" s="668"/>
      <c r="N83"/>
      <c r="O83"/>
      <c r="P83"/>
      <c r="Q83"/>
      <c r="R83"/>
      <c r="S83"/>
      <c r="T83"/>
      <c r="U83"/>
      <c r="V83"/>
      <c r="W83"/>
      <c r="X83" s="668"/>
      <c r="Y83" s="668"/>
      <c r="Z83" s="668"/>
      <c r="AA83" s="668"/>
      <c r="AB83"/>
      <c r="AC83"/>
      <c r="AD83"/>
      <c r="AE83"/>
      <c r="AF83"/>
      <c r="AG83"/>
      <c r="AH83" s="668"/>
    </row>
    <row r="84" spans="1:35" x14ac:dyDescent="0.2">
      <c r="A84"/>
      <c r="B84"/>
      <c r="C84"/>
      <c r="D84" s="668"/>
      <c r="E84" s="668"/>
      <c r="F84" s="668"/>
      <c r="G84" s="668"/>
      <c r="H84"/>
      <c r="I84"/>
      <c r="J84"/>
      <c r="K84"/>
      <c r="L84" s="668"/>
      <c r="M84" s="668"/>
      <c r="N84"/>
      <c r="O84"/>
      <c r="P84"/>
      <c r="Q84"/>
      <c r="R84"/>
      <c r="S84"/>
      <c r="T84"/>
      <c r="U84"/>
      <c r="V84"/>
      <c r="W84"/>
      <c r="X84" s="668"/>
      <c r="Y84" s="668"/>
      <c r="Z84" s="668"/>
      <c r="AA84" s="668"/>
      <c r="AB84"/>
      <c r="AC84"/>
      <c r="AD84"/>
      <c r="AE84"/>
      <c r="AF84"/>
      <c r="AG84"/>
      <c r="AH84" s="668"/>
    </row>
    <row r="85" spans="1:35" x14ac:dyDescent="0.2">
      <c r="A85"/>
      <c r="B85"/>
      <c r="C85"/>
      <c r="D85" s="668"/>
      <c r="E85" s="668"/>
      <c r="F85" s="668"/>
      <c r="G85" s="668"/>
      <c r="H85"/>
      <c r="I85"/>
      <c r="J85"/>
      <c r="K85"/>
      <c r="L85" s="668"/>
      <c r="M85" s="668"/>
      <c r="N85"/>
      <c r="O85"/>
      <c r="P85"/>
      <c r="Q85"/>
      <c r="R85"/>
      <c r="S85"/>
      <c r="T85"/>
      <c r="U85"/>
      <c r="V85"/>
      <c r="W85"/>
      <c r="X85" s="668"/>
      <c r="Y85" s="668"/>
      <c r="Z85" s="668"/>
      <c r="AA85" s="668"/>
      <c r="AB85"/>
      <c r="AC85"/>
      <c r="AD85"/>
      <c r="AE85"/>
      <c r="AF85"/>
      <c r="AG85"/>
      <c r="AH85" s="668"/>
    </row>
    <row r="86" spans="1:35" x14ac:dyDescent="0.2">
      <c r="A86"/>
      <c r="B86"/>
      <c r="C86"/>
      <c r="D86" s="668"/>
      <c r="E86" s="668"/>
      <c r="F86" s="668"/>
      <c r="G86" s="668"/>
      <c r="H86"/>
      <c r="I86"/>
      <c r="J86"/>
      <c r="K86"/>
      <c r="L86" s="668"/>
      <c r="M86" s="668"/>
      <c r="N86"/>
      <c r="O86"/>
      <c r="P86"/>
      <c r="Q86"/>
      <c r="R86"/>
      <c r="S86"/>
      <c r="T86"/>
      <c r="U86"/>
      <c r="V86"/>
      <c r="W86"/>
      <c r="X86" s="668"/>
      <c r="Y86" s="668"/>
      <c r="Z86" s="668"/>
      <c r="AA86" s="668"/>
      <c r="AB86"/>
      <c r="AC86"/>
      <c r="AD86"/>
      <c r="AE86"/>
      <c r="AF86"/>
      <c r="AG86"/>
      <c r="AH86" s="668"/>
    </row>
    <row r="87" spans="1:35" x14ac:dyDescent="0.2">
      <c r="A87"/>
      <c r="B87"/>
      <c r="C87"/>
      <c r="D87" s="668"/>
      <c r="E87" s="668"/>
      <c r="F87" s="668"/>
      <c r="G87" s="668"/>
      <c r="H87"/>
      <c r="I87"/>
      <c r="J87"/>
      <c r="K87"/>
      <c r="L87" s="668"/>
      <c r="M87" s="668"/>
      <c r="N87"/>
      <c r="O87"/>
      <c r="P87"/>
      <c r="Q87"/>
      <c r="R87"/>
      <c r="S87"/>
      <c r="T87"/>
      <c r="U87"/>
      <c r="V87"/>
      <c r="W87"/>
      <c r="X87" s="668"/>
      <c r="Y87" s="668"/>
      <c r="Z87" s="668"/>
      <c r="AA87" s="668"/>
      <c r="AB87"/>
      <c r="AC87"/>
      <c r="AD87"/>
      <c r="AE87"/>
      <c r="AF87"/>
      <c r="AG87"/>
      <c r="AH87" s="668"/>
    </row>
    <row r="88" spans="1:35" x14ac:dyDescent="0.2">
      <c r="A88"/>
      <c r="B88"/>
      <c r="C88"/>
      <c r="D88" s="668"/>
      <c r="E88" s="668"/>
      <c r="F88" s="668"/>
      <c r="G88" s="668"/>
      <c r="H88"/>
      <c r="I88"/>
      <c r="J88"/>
      <c r="K88"/>
      <c r="L88" s="668"/>
      <c r="M88" s="668"/>
      <c r="N88"/>
      <c r="O88"/>
      <c r="P88"/>
      <c r="Q88"/>
      <c r="R88"/>
      <c r="S88"/>
      <c r="T88"/>
      <c r="U88"/>
      <c r="V88"/>
      <c r="W88"/>
      <c r="X88" s="668"/>
      <c r="Y88" s="668"/>
      <c r="Z88" s="668"/>
      <c r="AA88" s="668"/>
      <c r="AB88"/>
      <c r="AC88"/>
      <c r="AD88"/>
      <c r="AE88"/>
      <c r="AF88"/>
      <c r="AG88"/>
      <c r="AH88" s="668"/>
    </row>
    <row r="89" spans="1:35" x14ac:dyDescent="0.2">
      <c r="A89"/>
      <c r="B89"/>
      <c r="C89"/>
      <c r="D89" s="668"/>
      <c r="E89" s="668"/>
      <c r="F89" s="668"/>
      <c r="G89" s="668"/>
      <c r="H89"/>
      <c r="I89"/>
      <c r="J89"/>
      <c r="K89"/>
      <c r="L89" s="668"/>
      <c r="M89" s="668"/>
      <c r="N89"/>
      <c r="O89"/>
      <c r="P89"/>
      <c r="Q89"/>
      <c r="R89"/>
      <c r="S89"/>
      <c r="T89"/>
      <c r="U89"/>
      <c r="V89"/>
      <c r="W89"/>
      <c r="X89" s="668"/>
      <c r="Y89" s="668"/>
      <c r="Z89" s="668"/>
      <c r="AA89" s="668"/>
      <c r="AB89"/>
      <c r="AC89"/>
      <c r="AD89"/>
      <c r="AE89"/>
      <c r="AF89"/>
      <c r="AG89"/>
      <c r="AH89" s="668"/>
    </row>
    <row r="90" spans="1:35" x14ac:dyDescent="0.2">
      <c r="A90"/>
      <c r="B90"/>
      <c r="C90"/>
      <c r="D90" s="668"/>
      <c r="E90" s="668"/>
      <c r="F90" s="668"/>
      <c r="G90" s="668"/>
      <c r="H90"/>
      <c r="I90"/>
      <c r="J90"/>
      <c r="K90"/>
      <c r="L90" s="668"/>
      <c r="M90" s="668"/>
      <c r="N90"/>
      <c r="O90"/>
      <c r="P90"/>
      <c r="Q90"/>
      <c r="R90"/>
      <c r="S90"/>
      <c r="T90"/>
      <c r="U90"/>
      <c r="V90"/>
      <c r="W90"/>
      <c r="X90" s="668"/>
      <c r="Y90" s="668"/>
      <c r="Z90" s="668"/>
      <c r="AA90" s="668"/>
      <c r="AB90"/>
      <c r="AC90"/>
      <c r="AD90"/>
      <c r="AE90"/>
      <c r="AF90"/>
      <c r="AG90"/>
      <c r="AH90" s="668"/>
    </row>
    <row r="91" spans="1:35" x14ac:dyDescent="0.2">
      <c r="A91"/>
      <c r="B91"/>
      <c r="C91"/>
      <c r="D91" s="668"/>
      <c r="E91" s="668"/>
      <c r="F91" s="668"/>
      <c r="G91" s="668"/>
      <c r="H91"/>
      <c r="I91"/>
      <c r="J91"/>
      <c r="K91"/>
      <c r="L91" s="668"/>
      <c r="M91" s="668"/>
      <c r="N91"/>
      <c r="O91"/>
      <c r="P91"/>
      <c r="Q91"/>
      <c r="R91"/>
      <c r="S91"/>
      <c r="T91"/>
      <c r="U91"/>
      <c r="V91"/>
      <c r="W91"/>
      <c r="X91" s="668"/>
      <c r="Y91" s="668"/>
      <c r="Z91" s="668"/>
      <c r="AA91" s="668"/>
      <c r="AB91"/>
      <c r="AC91"/>
      <c r="AD91"/>
      <c r="AE91"/>
      <c r="AF91"/>
      <c r="AG91"/>
      <c r="AH91" s="668"/>
    </row>
    <row r="92" spans="1:35" x14ac:dyDescent="0.2">
      <c r="A92"/>
      <c r="B92"/>
      <c r="C92"/>
      <c r="D92" s="668"/>
      <c r="E92" s="668"/>
      <c r="F92" s="668"/>
      <c r="G92" s="668"/>
      <c r="H92"/>
      <c r="I92"/>
      <c r="J92"/>
      <c r="K92"/>
      <c r="L92" s="668"/>
      <c r="M92" s="668"/>
      <c r="N92"/>
      <c r="O92"/>
      <c r="P92"/>
      <c r="Q92"/>
      <c r="R92"/>
      <c r="S92"/>
      <c r="T92"/>
      <c r="U92"/>
      <c r="V92"/>
      <c r="W92"/>
      <c r="X92" s="668"/>
      <c r="Y92" s="668"/>
      <c r="Z92" s="668"/>
      <c r="AA92" s="668"/>
      <c r="AB92"/>
      <c r="AC92"/>
      <c r="AD92"/>
      <c r="AE92"/>
      <c r="AF92"/>
      <c r="AG92"/>
      <c r="AH92" s="668"/>
    </row>
    <row r="93" spans="1:35" x14ac:dyDescent="0.2">
      <c r="A93"/>
      <c r="B93"/>
      <c r="C93"/>
      <c r="D93" s="668"/>
      <c r="E93" s="668"/>
      <c r="F93" s="668"/>
      <c r="G93" s="668"/>
      <c r="H93"/>
      <c r="I93"/>
      <c r="J93"/>
      <c r="K93"/>
      <c r="L93" s="668"/>
      <c r="M93" s="668"/>
      <c r="N93"/>
      <c r="O93"/>
      <c r="P93"/>
      <c r="Q93"/>
      <c r="R93"/>
      <c r="S93"/>
      <c r="T93"/>
      <c r="U93"/>
      <c r="V93"/>
      <c r="W93"/>
      <c r="X93" s="668"/>
      <c r="Y93" s="668"/>
      <c r="Z93" s="668"/>
      <c r="AA93" s="668"/>
      <c r="AB93"/>
      <c r="AC93"/>
      <c r="AD93"/>
      <c r="AE93"/>
      <c r="AF93"/>
      <c r="AG93"/>
      <c r="AH93" s="668"/>
    </row>
    <row r="94" spans="1:35" x14ac:dyDescent="0.2">
      <c r="A94"/>
      <c r="B94"/>
      <c r="C94"/>
      <c r="D94" s="668"/>
      <c r="E94" s="668"/>
      <c r="F94" s="668"/>
      <c r="G94" s="668"/>
      <c r="H94"/>
      <c r="I94"/>
      <c r="J94"/>
      <c r="K94"/>
      <c r="L94" s="668"/>
      <c r="M94" s="668"/>
      <c r="N94"/>
      <c r="O94"/>
      <c r="P94"/>
      <c r="Q94"/>
      <c r="R94"/>
      <c r="S94"/>
      <c r="T94"/>
      <c r="U94"/>
      <c r="V94"/>
      <c r="W94"/>
      <c r="X94" s="668"/>
      <c r="Y94" s="668"/>
      <c r="Z94" s="668"/>
      <c r="AA94" s="668"/>
      <c r="AB94"/>
      <c r="AH94" s="668"/>
    </row>
    <row r="95" spans="1:35" x14ac:dyDescent="0.2">
      <c r="A95"/>
      <c r="B95"/>
      <c r="C95"/>
      <c r="D95" s="668"/>
      <c r="E95" s="668"/>
      <c r="F95" s="668"/>
      <c r="G95" s="668"/>
      <c r="H95"/>
      <c r="I95"/>
      <c r="J95"/>
      <c r="K95"/>
      <c r="L95" s="668"/>
      <c r="M95" s="668"/>
      <c r="N95"/>
      <c r="O95"/>
      <c r="P95"/>
      <c r="Q95"/>
      <c r="R95"/>
      <c r="S95"/>
      <c r="T95"/>
      <c r="U95"/>
      <c r="V95"/>
      <c r="W95"/>
      <c r="X95" s="668"/>
      <c r="Y95" s="668"/>
      <c r="Z95" s="668"/>
      <c r="AA95" s="668"/>
      <c r="AB95"/>
      <c r="AH95" s="668"/>
    </row>
    <row r="96" spans="1:35" x14ac:dyDescent="0.2">
      <c r="A96"/>
      <c r="B96"/>
      <c r="C96"/>
      <c r="D96" s="668"/>
      <c r="E96" s="668"/>
      <c r="F96" s="668"/>
      <c r="G96" s="668"/>
      <c r="H96"/>
      <c r="I96"/>
      <c r="J96"/>
      <c r="K96"/>
      <c r="L96" s="668"/>
      <c r="M96" s="668"/>
      <c r="N96"/>
      <c r="O96"/>
      <c r="P96"/>
      <c r="Q96"/>
      <c r="R96"/>
      <c r="S96"/>
      <c r="T96"/>
      <c r="U96"/>
      <c r="V96"/>
      <c r="W96"/>
      <c r="X96" s="668"/>
      <c r="Y96" s="668"/>
      <c r="Z96" s="668"/>
      <c r="AA96" s="668"/>
      <c r="AB96"/>
      <c r="AC96"/>
      <c r="AD96"/>
      <c r="AE96"/>
      <c r="AF96"/>
      <c r="AG96"/>
      <c r="AH96" s="668"/>
      <c r="AI96"/>
    </row>
    <row r="97" spans="1:36" x14ac:dyDescent="0.2">
      <c r="A97"/>
      <c r="B97"/>
      <c r="C97"/>
      <c r="D97" s="668"/>
      <c r="E97" s="668"/>
      <c r="F97" s="668"/>
      <c r="G97" s="668"/>
      <c r="H97"/>
      <c r="I97"/>
      <c r="J97"/>
      <c r="K97"/>
      <c r="L97" s="668"/>
      <c r="M97" s="668"/>
      <c r="N97"/>
      <c r="O97"/>
      <c r="P97"/>
      <c r="Q97"/>
      <c r="R97"/>
      <c r="S97"/>
      <c r="T97"/>
      <c r="U97"/>
      <c r="V97"/>
      <c r="W97"/>
      <c r="X97" s="668"/>
      <c r="Y97" s="668"/>
      <c r="Z97" s="668"/>
      <c r="AA97" s="668"/>
      <c r="AB97"/>
      <c r="AC97"/>
      <c r="AD97"/>
      <c r="AE97"/>
      <c r="AF97"/>
      <c r="AG97"/>
      <c r="AH97" s="668"/>
      <c r="AI97"/>
      <c r="AJ97"/>
    </row>
    <row r="98" spans="1:36" x14ac:dyDescent="0.2">
      <c r="A98"/>
      <c r="B98"/>
      <c r="C98"/>
      <c r="D98" s="668"/>
      <c r="E98" s="668"/>
      <c r="F98" s="668"/>
      <c r="G98" s="668"/>
      <c r="H98"/>
      <c r="I98"/>
      <c r="J98"/>
      <c r="K98"/>
      <c r="L98" s="668"/>
      <c r="M98" s="668"/>
      <c r="N98"/>
      <c r="O98"/>
      <c r="P98"/>
      <c r="Q98"/>
      <c r="R98"/>
      <c r="S98"/>
      <c r="T98"/>
      <c r="U98"/>
      <c r="V98"/>
      <c r="W98"/>
      <c r="X98" s="668"/>
      <c r="Y98" s="668"/>
      <c r="Z98" s="668"/>
      <c r="AA98" s="668"/>
      <c r="AB98"/>
      <c r="AC98"/>
      <c r="AD98"/>
      <c r="AE98"/>
      <c r="AF98"/>
      <c r="AG98"/>
      <c r="AH98" s="668"/>
      <c r="AI98"/>
    </row>
    <row r="99" spans="1:36" x14ac:dyDescent="0.2">
      <c r="A99"/>
      <c r="B99"/>
      <c r="C99"/>
      <c r="D99" s="668"/>
      <c r="E99" s="668"/>
      <c r="F99" s="668"/>
      <c r="G99" s="668"/>
      <c r="H99"/>
      <c r="I99"/>
      <c r="J99"/>
      <c r="K99"/>
      <c r="L99" s="668"/>
      <c r="M99" s="668"/>
      <c r="N99"/>
      <c r="O99"/>
      <c r="P99"/>
      <c r="Q99"/>
      <c r="R99"/>
      <c r="S99"/>
      <c r="T99"/>
      <c r="U99"/>
      <c r="V99"/>
      <c r="W99"/>
      <c r="X99" s="668"/>
      <c r="Y99" s="668"/>
      <c r="Z99" s="668"/>
      <c r="AA99" s="668"/>
      <c r="AB99"/>
      <c r="AD99"/>
      <c r="AE99"/>
      <c r="AF99"/>
      <c r="AG99"/>
      <c r="AH99" s="668"/>
      <c r="AI99"/>
    </row>
    <row r="100" spans="1:36" x14ac:dyDescent="0.2">
      <c r="A100"/>
      <c r="B100"/>
      <c r="C100"/>
      <c r="D100" s="668"/>
      <c r="E100" s="668"/>
      <c r="F100" s="668"/>
      <c r="G100" s="668"/>
      <c r="H100"/>
      <c r="I100"/>
      <c r="J100"/>
      <c r="K100"/>
      <c r="L100" s="668"/>
      <c r="M100" s="668"/>
      <c r="N100"/>
      <c r="O100"/>
      <c r="P100"/>
      <c r="Q100"/>
      <c r="R100"/>
      <c r="S100"/>
      <c r="T100"/>
      <c r="U100"/>
      <c r="V100"/>
      <c r="W100"/>
      <c r="X100" s="668"/>
      <c r="Y100" s="668"/>
      <c r="Z100" s="668"/>
      <c r="AA100" s="668"/>
      <c r="AB100"/>
      <c r="AD100"/>
      <c r="AE100"/>
      <c r="AF100"/>
      <c r="AG100"/>
      <c r="AH100" s="668"/>
      <c r="AI100"/>
    </row>
    <row r="101" spans="1:36" x14ac:dyDescent="0.2">
      <c r="A101"/>
      <c r="B101"/>
      <c r="C101"/>
      <c r="D101" s="668"/>
      <c r="E101" s="668"/>
      <c r="F101" s="668"/>
      <c r="G101" s="668"/>
      <c r="H101"/>
      <c r="I101"/>
      <c r="J101"/>
      <c r="K101"/>
      <c r="L101" s="668"/>
      <c r="M101" s="668"/>
      <c r="N101"/>
      <c r="O101"/>
      <c r="P101"/>
      <c r="Q101"/>
      <c r="R101"/>
      <c r="S101"/>
      <c r="T101"/>
      <c r="U101"/>
      <c r="V101"/>
      <c r="W101"/>
      <c r="X101" s="668"/>
      <c r="Y101" s="668"/>
      <c r="Z101" s="668"/>
      <c r="AA101" s="668"/>
      <c r="AB101"/>
      <c r="AC101"/>
      <c r="AD101"/>
      <c r="AE101"/>
      <c r="AF101"/>
      <c r="AG101"/>
      <c r="AH101" s="668"/>
    </row>
    <row r="102" spans="1:36" x14ac:dyDescent="0.2">
      <c r="A102"/>
      <c r="B102"/>
      <c r="C102"/>
      <c r="D102" s="668"/>
      <c r="E102" s="668"/>
      <c r="F102" s="668"/>
      <c r="G102" s="668"/>
      <c r="H102"/>
      <c r="I102"/>
      <c r="J102"/>
      <c r="K102"/>
      <c r="L102" s="668"/>
      <c r="M102" s="668"/>
      <c r="N102"/>
      <c r="O102"/>
      <c r="P102"/>
      <c r="Q102"/>
      <c r="R102"/>
      <c r="S102"/>
      <c r="T102"/>
      <c r="U102"/>
      <c r="V102"/>
      <c r="W102"/>
      <c r="X102" s="668"/>
      <c r="Y102" s="668"/>
      <c r="Z102" s="668"/>
      <c r="AA102" s="668"/>
      <c r="AB102"/>
      <c r="AC102"/>
      <c r="AD102"/>
      <c r="AE102"/>
      <c r="AF102"/>
      <c r="AG102"/>
      <c r="AH102" s="668"/>
    </row>
    <row r="103" spans="1:36" x14ac:dyDescent="0.2">
      <c r="A103"/>
      <c r="B103"/>
      <c r="C103"/>
      <c r="D103" s="668"/>
      <c r="E103" s="668"/>
      <c r="F103" s="668"/>
      <c r="G103" s="668"/>
      <c r="H103"/>
      <c r="I103"/>
      <c r="J103"/>
      <c r="K103"/>
      <c r="L103" s="668"/>
      <c r="M103" s="668"/>
      <c r="N103"/>
      <c r="O103"/>
      <c r="P103"/>
      <c r="Q103"/>
      <c r="R103"/>
      <c r="S103"/>
      <c r="T103"/>
      <c r="U103"/>
      <c r="V103"/>
      <c r="W103"/>
      <c r="X103" s="668"/>
      <c r="Y103" s="668"/>
      <c r="Z103" s="668"/>
      <c r="AA103" s="668"/>
      <c r="AB103"/>
      <c r="AC103"/>
      <c r="AD103"/>
      <c r="AE103"/>
      <c r="AF103"/>
      <c r="AG103"/>
      <c r="AH103" s="668"/>
    </row>
    <row r="104" spans="1:36" x14ac:dyDescent="0.2">
      <c r="A104"/>
      <c r="B104"/>
      <c r="C104"/>
      <c r="D104" s="668"/>
      <c r="E104" s="668"/>
      <c r="F104" s="668"/>
      <c r="G104" s="668"/>
      <c r="H104"/>
      <c r="I104"/>
      <c r="J104"/>
      <c r="K104"/>
      <c r="L104" s="668"/>
      <c r="M104" s="668"/>
      <c r="N104"/>
      <c r="O104"/>
      <c r="P104"/>
      <c r="Q104"/>
      <c r="R104"/>
      <c r="S104"/>
      <c r="X104" s="668"/>
      <c r="Y104" s="668"/>
      <c r="Z104" s="668"/>
      <c r="AA104" s="668"/>
      <c r="AB104"/>
      <c r="AC104"/>
      <c r="AD104"/>
      <c r="AE104"/>
      <c r="AF104"/>
      <c r="AG104"/>
      <c r="AH104" s="668"/>
    </row>
    <row r="105" spans="1:36" x14ac:dyDescent="0.2">
      <c r="A105"/>
      <c r="B105"/>
      <c r="C105"/>
      <c r="D105" s="668"/>
      <c r="E105" s="668"/>
      <c r="F105" s="668"/>
      <c r="G105" s="668"/>
      <c r="H105"/>
      <c r="I105"/>
      <c r="J105"/>
      <c r="K105"/>
      <c r="L105" s="668"/>
      <c r="M105" s="668"/>
      <c r="N105"/>
      <c r="O105"/>
      <c r="P105"/>
      <c r="Q105"/>
      <c r="R105"/>
      <c r="S105"/>
      <c r="T105"/>
      <c r="U105"/>
      <c r="V105"/>
      <c r="W105"/>
      <c r="X105" s="668"/>
      <c r="Y105" s="668"/>
      <c r="Z105" s="668"/>
      <c r="AA105" s="668"/>
      <c r="AB105"/>
      <c r="AC105"/>
      <c r="AD105"/>
      <c r="AE105"/>
      <c r="AF105"/>
      <c r="AG105"/>
      <c r="AH105" s="668"/>
    </row>
    <row r="106" spans="1:36" x14ac:dyDescent="0.2">
      <c r="A106"/>
      <c r="B106"/>
      <c r="C106"/>
      <c r="D106" s="668"/>
      <c r="E106" s="668"/>
      <c r="F106" s="668"/>
      <c r="G106" s="668"/>
      <c r="H106"/>
      <c r="I106"/>
      <c r="J106"/>
      <c r="K106"/>
      <c r="L106" s="668"/>
      <c r="M106" s="668"/>
      <c r="N106"/>
      <c r="O106"/>
      <c r="P106"/>
      <c r="Q106"/>
      <c r="R106"/>
      <c r="S106"/>
      <c r="X106" s="668"/>
      <c r="Y106" s="668"/>
      <c r="Z106" s="668"/>
      <c r="AA106" s="668"/>
      <c r="AB106"/>
      <c r="AC106"/>
      <c r="AD106"/>
      <c r="AE106"/>
      <c r="AF106"/>
      <c r="AG106"/>
      <c r="AH106" s="668"/>
    </row>
    <row r="107" spans="1:36" x14ac:dyDescent="0.2">
      <c r="A107"/>
      <c r="B107"/>
      <c r="C107"/>
      <c r="D107" s="668"/>
      <c r="E107" s="668"/>
      <c r="F107" s="668"/>
      <c r="G107" s="668"/>
      <c r="H107"/>
      <c r="I107"/>
      <c r="J107"/>
      <c r="K107"/>
      <c r="L107" s="668"/>
      <c r="M107" s="668"/>
      <c r="N107"/>
      <c r="O107"/>
      <c r="P107"/>
      <c r="Q107"/>
      <c r="R107"/>
      <c r="S107"/>
      <c r="T107"/>
      <c r="U107"/>
      <c r="V107"/>
      <c r="W107"/>
      <c r="X107" s="668"/>
      <c r="Y107" s="668"/>
      <c r="Z107" s="668"/>
      <c r="AA107" s="668"/>
      <c r="AB107"/>
      <c r="AC107"/>
      <c r="AD107"/>
      <c r="AE107"/>
      <c r="AF107"/>
      <c r="AG107"/>
      <c r="AH107" s="668"/>
      <c r="AI107"/>
    </row>
    <row r="108" spans="1:36" x14ac:dyDescent="0.2">
      <c r="A108"/>
      <c r="B108"/>
      <c r="C108"/>
      <c r="D108" s="668"/>
      <c r="E108" s="668"/>
      <c r="F108" s="668"/>
      <c r="G108" s="668"/>
      <c r="H108"/>
      <c r="I108"/>
      <c r="J108"/>
      <c r="K108"/>
      <c r="L108" s="668"/>
      <c r="M108" s="668"/>
      <c r="N108"/>
      <c r="O108"/>
      <c r="P108"/>
      <c r="Q108"/>
      <c r="R108"/>
      <c r="S108"/>
      <c r="T108"/>
      <c r="U108"/>
      <c r="V108"/>
      <c r="W108"/>
      <c r="X108" s="668"/>
      <c r="Y108" s="668"/>
      <c r="Z108" s="668"/>
      <c r="AA108" s="668"/>
      <c r="AB108"/>
      <c r="AC108"/>
      <c r="AD108"/>
      <c r="AE108"/>
      <c r="AF108"/>
      <c r="AG108"/>
      <c r="AH108" s="668"/>
    </row>
    <row r="109" spans="1:36" x14ac:dyDescent="0.2">
      <c r="A109"/>
      <c r="B109"/>
      <c r="C109"/>
      <c r="D109" s="668"/>
      <c r="E109" s="668"/>
      <c r="F109" s="668"/>
      <c r="G109" s="668"/>
      <c r="H109"/>
      <c r="I109"/>
      <c r="J109"/>
      <c r="K109"/>
      <c r="L109" s="668"/>
      <c r="M109" s="668"/>
      <c r="N109"/>
      <c r="O109"/>
      <c r="P109"/>
      <c r="Q109"/>
      <c r="R109"/>
      <c r="S109"/>
      <c r="T109"/>
      <c r="U109"/>
      <c r="V109"/>
      <c r="W109"/>
      <c r="X109" s="668"/>
      <c r="Y109" s="668"/>
      <c r="Z109" s="668"/>
      <c r="AA109" s="668"/>
      <c r="AB109"/>
      <c r="AC109"/>
      <c r="AD109"/>
      <c r="AE109"/>
      <c r="AF109"/>
      <c r="AG109"/>
      <c r="AH109" s="668"/>
      <c r="AI109"/>
      <c r="AJ109"/>
    </row>
    <row r="110" spans="1:36" x14ac:dyDescent="0.2">
      <c r="A110"/>
      <c r="B110"/>
      <c r="C110"/>
      <c r="D110" s="668"/>
      <c r="E110" s="668"/>
      <c r="F110" s="668"/>
      <c r="G110" s="668"/>
      <c r="H110"/>
      <c r="I110"/>
      <c r="J110"/>
      <c r="K110"/>
      <c r="L110" s="668"/>
      <c r="M110" s="668"/>
      <c r="N110"/>
      <c r="O110"/>
      <c r="P110"/>
      <c r="Q110"/>
      <c r="R110"/>
      <c r="S110"/>
      <c r="T110"/>
      <c r="U110"/>
      <c r="V110"/>
      <c r="W110"/>
      <c r="X110" s="668"/>
      <c r="Y110" s="668"/>
      <c r="Z110" s="668"/>
      <c r="AA110" s="668"/>
      <c r="AB110"/>
      <c r="AC110"/>
      <c r="AD110"/>
      <c r="AE110"/>
      <c r="AF110"/>
      <c r="AG110"/>
      <c r="AH110" s="668"/>
      <c r="AI110"/>
      <c r="AJ110"/>
    </row>
    <row r="111" spans="1:36" x14ac:dyDescent="0.2">
      <c r="A111"/>
      <c r="B111"/>
      <c r="C111"/>
      <c r="D111" s="668"/>
      <c r="E111" s="668"/>
      <c r="F111" s="668"/>
      <c r="G111" s="668"/>
      <c r="H111"/>
      <c r="I111"/>
      <c r="J111"/>
      <c r="K111"/>
      <c r="L111" s="668"/>
      <c r="M111" s="668"/>
      <c r="N111"/>
      <c r="O111"/>
      <c r="P111"/>
      <c r="Q111"/>
      <c r="R111"/>
      <c r="S111"/>
      <c r="T111"/>
      <c r="U111"/>
      <c r="V111"/>
      <c r="W111"/>
      <c r="X111" s="668"/>
      <c r="Y111" s="668"/>
      <c r="Z111" s="668"/>
      <c r="AA111" s="668"/>
      <c r="AB111"/>
      <c r="AC111"/>
      <c r="AD111"/>
      <c r="AE111"/>
      <c r="AF111"/>
      <c r="AG111"/>
      <c r="AH111" s="668"/>
    </row>
    <row r="112" spans="1:36" x14ac:dyDescent="0.2">
      <c r="A112"/>
      <c r="B112"/>
      <c r="C112"/>
      <c r="D112" s="668"/>
      <c r="E112" s="668"/>
      <c r="F112" s="668"/>
      <c r="G112" s="668"/>
      <c r="H112"/>
      <c r="I112"/>
      <c r="J112"/>
      <c r="K112"/>
      <c r="L112" s="668"/>
      <c r="M112" s="668"/>
      <c r="N112"/>
      <c r="O112"/>
      <c r="P112"/>
      <c r="Q112"/>
      <c r="R112"/>
      <c r="S112"/>
      <c r="T112"/>
      <c r="U112"/>
      <c r="V112"/>
      <c r="W112"/>
      <c r="X112" s="668"/>
      <c r="Y112" s="668"/>
      <c r="Z112" s="668"/>
      <c r="AA112" s="668"/>
      <c r="AB112"/>
      <c r="AC112"/>
      <c r="AD112"/>
      <c r="AE112"/>
      <c r="AF112"/>
      <c r="AG112"/>
      <c r="AH112" s="668"/>
    </row>
    <row r="113" spans="1:34" x14ac:dyDescent="0.2">
      <c r="A113"/>
      <c r="B113"/>
      <c r="C113"/>
      <c r="D113" s="668"/>
      <c r="E113" s="668"/>
      <c r="F113" s="668"/>
      <c r="G113" s="668"/>
      <c r="H113"/>
      <c r="I113"/>
      <c r="J113"/>
      <c r="K113"/>
      <c r="L113" s="668"/>
      <c r="M113" s="668"/>
      <c r="N113"/>
      <c r="O113"/>
      <c r="P113"/>
      <c r="Q113"/>
      <c r="R113"/>
      <c r="S113"/>
      <c r="T113"/>
      <c r="U113"/>
      <c r="V113"/>
      <c r="W113"/>
      <c r="X113" s="668"/>
      <c r="Y113" s="668"/>
      <c r="Z113" s="668"/>
      <c r="AA113" s="668"/>
      <c r="AB113"/>
      <c r="AC113"/>
      <c r="AD113"/>
      <c r="AE113"/>
      <c r="AF113"/>
      <c r="AG113"/>
      <c r="AH113" s="668"/>
    </row>
    <row r="114" spans="1:34" x14ac:dyDescent="0.2">
      <c r="A114"/>
      <c r="B114"/>
      <c r="C114"/>
      <c r="D114" s="668"/>
      <c r="E114" s="668"/>
      <c r="F114" s="668"/>
      <c r="G114" s="668"/>
      <c r="H114"/>
      <c r="I114"/>
      <c r="J114"/>
      <c r="K114"/>
      <c r="L114" s="668"/>
      <c r="M114" s="668"/>
      <c r="N114"/>
      <c r="O114"/>
      <c r="P114"/>
      <c r="Q114"/>
      <c r="R114"/>
      <c r="S114"/>
      <c r="T114"/>
      <c r="U114"/>
      <c r="V114"/>
      <c r="W114"/>
      <c r="X114" s="668"/>
      <c r="Y114" s="668"/>
      <c r="Z114" s="668"/>
      <c r="AA114" s="668"/>
      <c r="AB114"/>
      <c r="AC114"/>
      <c r="AD114"/>
      <c r="AE114"/>
      <c r="AF114"/>
      <c r="AG114"/>
      <c r="AH114" s="668"/>
    </row>
    <row r="115" spans="1:34" x14ac:dyDescent="0.2">
      <c r="A115"/>
      <c r="B115"/>
      <c r="C115"/>
      <c r="D115" s="668"/>
      <c r="E115" s="668"/>
      <c r="F115" s="668"/>
      <c r="G115" s="668"/>
      <c r="H115"/>
      <c r="I115"/>
      <c r="J115"/>
      <c r="K115"/>
      <c r="L115" s="668"/>
      <c r="M115" s="668"/>
      <c r="N115"/>
      <c r="O115"/>
      <c r="P115"/>
      <c r="Q115"/>
      <c r="R115"/>
      <c r="S115"/>
      <c r="T115"/>
      <c r="U115"/>
      <c r="V115"/>
      <c r="W115"/>
      <c r="X115" s="668"/>
      <c r="Y115" s="668"/>
      <c r="Z115" s="668"/>
      <c r="AA115" s="668"/>
      <c r="AB115"/>
      <c r="AC115"/>
      <c r="AD115"/>
      <c r="AE115"/>
      <c r="AF115"/>
      <c r="AG115"/>
      <c r="AH115" s="668"/>
    </row>
    <row r="116" spans="1:34" x14ac:dyDescent="0.2">
      <c r="A116"/>
      <c r="B116"/>
      <c r="C116"/>
      <c r="D116" s="668"/>
      <c r="E116" s="668"/>
      <c r="F116" s="668"/>
      <c r="G116" s="668"/>
      <c r="H116"/>
      <c r="I116"/>
      <c r="J116"/>
      <c r="K116"/>
      <c r="L116" s="668"/>
      <c r="M116" s="668"/>
      <c r="O116"/>
      <c r="P116"/>
      <c r="Q116"/>
      <c r="R116"/>
      <c r="S116"/>
      <c r="X116" s="668"/>
      <c r="Y116" s="668"/>
      <c r="Z116" s="668"/>
      <c r="AA116" s="668"/>
      <c r="AB116"/>
      <c r="AC116"/>
      <c r="AD116"/>
      <c r="AE116"/>
      <c r="AF116"/>
      <c r="AG116"/>
      <c r="AH116" s="668"/>
    </row>
    <row r="117" spans="1:34" x14ac:dyDescent="0.2">
      <c r="A117"/>
      <c r="B117"/>
      <c r="C117"/>
      <c r="D117" s="668"/>
      <c r="E117" s="668"/>
      <c r="F117" s="668"/>
      <c r="G117" s="668"/>
      <c r="H117"/>
      <c r="I117"/>
      <c r="J117"/>
      <c r="K117"/>
      <c r="L117" s="668"/>
      <c r="M117" s="668"/>
      <c r="O117"/>
      <c r="P117"/>
      <c r="Q117"/>
      <c r="R117"/>
      <c r="S117"/>
      <c r="X117" s="668"/>
      <c r="Y117" s="668"/>
      <c r="Z117" s="668"/>
      <c r="AA117" s="668"/>
      <c r="AB117"/>
      <c r="AC117"/>
      <c r="AD117"/>
      <c r="AE117"/>
      <c r="AF117"/>
      <c r="AG117"/>
      <c r="AH117" s="668"/>
    </row>
    <row r="118" spans="1:34" x14ac:dyDescent="0.2">
      <c r="A118"/>
      <c r="B118"/>
      <c r="C118"/>
      <c r="D118" s="668"/>
      <c r="E118" s="668"/>
      <c r="F118" s="668"/>
      <c r="G118" s="668"/>
      <c r="H118"/>
      <c r="I118"/>
      <c r="J118"/>
      <c r="K118"/>
      <c r="L118" s="668"/>
      <c r="M118" s="668"/>
      <c r="O118"/>
      <c r="P118"/>
      <c r="Q118"/>
      <c r="R118"/>
      <c r="S118"/>
      <c r="X118" s="668"/>
      <c r="Y118" s="668"/>
      <c r="Z118" s="668"/>
      <c r="AA118" s="668"/>
      <c r="AB118"/>
      <c r="AC118"/>
      <c r="AD118"/>
      <c r="AE118"/>
      <c r="AF118"/>
      <c r="AG118"/>
      <c r="AH118" s="668"/>
    </row>
    <row r="119" spans="1:34" x14ac:dyDescent="0.2">
      <c r="A119"/>
      <c r="B119"/>
      <c r="C119"/>
      <c r="D119" s="668"/>
      <c r="E119" s="668"/>
      <c r="F119" s="668"/>
      <c r="G119" s="668"/>
      <c r="H119"/>
      <c r="I119"/>
      <c r="J119"/>
      <c r="K119"/>
      <c r="L119" s="668"/>
      <c r="M119" s="668"/>
      <c r="N119"/>
      <c r="O119"/>
      <c r="P119"/>
      <c r="Q119"/>
      <c r="R119"/>
      <c r="S119"/>
      <c r="X119" s="668"/>
      <c r="Y119" s="668"/>
      <c r="Z119" s="668"/>
      <c r="AA119" s="668"/>
      <c r="AB119"/>
      <c r="AC119"/>
      <c r="AD119"/>
      <c r="AE119"/>
      <c r="AF119"/>
      <c r="AG119"/>
      <c r="AH119" s="668"/>
    </row>
    <row r="120" spans="1:34" x14ac:dyDescent="0.2">
      <c r="A120"/>
      <c r="B120"/>
      <c r="C120"/>
      <c r="D120" s="668"/>
      <c r="E120" s="668"/>
      <c r="F120" s="668"/>
      <c r="G120" s="668"/>
      <c r="H120"/>
      <c r="I120"/>
      <c r="J120"/>
      <c r="K120"/>
      <c r="L120" s="668"/>
      <c r="M120" s="668"/>
      <c r="N120"/>
      <c r="O120"/>
      <c r="P120"/>
      <c r="Q120"/>
      <c r="R120"/>
      <c r="S120"/>
      <c r="T120"/>
      <c r="U120"/>
      <c r="V120"/>
      <c r="W120"/>
      <c r="X120" s="668"/>
      <c r="Y120" s="668"/>
      <c r="Z120" s="668"/>
      <c r="AA120" s="668"/>
      <c r="AB120"/>
      <c r="AC120"/>
      <c r="AD120"/>
      <c r="AE120"/>
      <c r="AF120"/>
      <c r="AG120"/>
      <c r="AH120" s="668"/>
    </row>
    <row r="121" spans="1:34" x14ac:dyDescent="0.2">
      <c r="A121"/>
      <c r="B121"/>
      <c r="C121"/>
      <c r="D121" s="668"/>
      <c r="E121" s="668"/>
      <c r="F121" s="668"/>
      <c r="G121" s="668"/>
      <c r="H121"/>
      <c r="I121"/>
      <c r="J121"/>
      <c r="K121"/>
      <c r="L121" s="668"/>
      <c r="M121" s="668"/>
      <c r="N121"/>
      <c r="O121"/>
      <c r="P121"/>
      <c r="Q121"/>
      <c r="S121"/>
      <c r="X121" s="668"/>
      <c r="Y121" s="668"/>
      <c r="Z121" s="668"/>
      <c r="AA121" s="668"/>
      <c r="AB121"/>
      <c r="AC121"/>
      <c r="AD121"/>
      <c r="AE121"/>
      <c r="AF121"/>
      <c r="AG121"/>
      <c r="AH121" s="668"/>
    </row>
    <row r="122" spans="1:34" x14ac:dyDescent="0.2">
      <c r="A122"/>
      <c r="B122"/>
      <c r="C122"/>
      <c r="D122" s="668"/>
      <c r="E122" s="668"/>
      <c r="F122" s="668"/>
      <c r="G122" s="668"/>
      <c r="H122"/>
      <c r="I122"/>
      <c r="J122"/>
      <c r="K122"/>
      <c r="L122" s="668"/>
      <c r="M122" s="668"/>
      <c r="N122"/>
      <c r="O122"/>
      <c r="P122"/>
      <c r="Q122"/>
      <c r="R122"/>
      <c r="S122"/>
      <c r="T122"/>
      <c r="U122"/>
      <c r="V122"/>
      <c r="W122"/>
      <c r="X122" s="668"/>
      <c r="Y122" s="668"/>
      <c r="Z122" s="668"/>
      <c r="AA122" s="668"/>
      <c r="AB122"/>
      <c r="AC122"/>
      <c r="AD122"/>
      <c r="AE122"/>
      <c r="AF122"/>
      <c r="AG122"/>
      <c r="AH122" s="668"/>
    </row>
    <row r="123" spans="1:34" x14ac:dyDescent="0.2">
      <c r="A123"/>
      <c r="B123"/>
      <c r="C123"/>
      <c r="D123" s="668"/>
      <c r="E123" s="668"/>
      <c r="F123" s="668"/>
      <c r="G123" s="668"/>
      <c r="H123"/>
      <c r="I123"/>
      <c r="J123"/>
      <c r="K123"/>
      <c r="L123" s="668"/>
      <c r="M123" s="668"/>
      <c r="O123"/>
      <c r="P123"/>
      <c r="Q123"/>
      <c r="R123"/>
      <c r="S123"/>
      <c r="X123" s="668"/>
      <c r="Y123" s="668"/>
      <c r="Z123" s="668"/>
      <c r="AA123" s="668"/>
      <c r="AB123"/>
      <c r="AC123"/>
      <c r="AD123"/>
      <c r="AE123"/>
      <c r="AF123"/>
      <c r="AG123"/>
      <c r="AH123" s="668"/>
    </row>
    <row r="124" spans="1:34" x14ac:dyDescent="0.2">
      <c r="A124"/>
      <c r="B124"/>
      <c r="C124"/>
      <c r="D124" s="668"/>
      <c r="E124" s="668"/>
      <c r="F124" s="668"/>
      <c r="G124" s="668"/>
      <c r="H124"/>
      <c r="I124"/>
      <c r="J124"/>
      <c r="K124"/>
      <c r="L124" s="668"/>
      <c r="M124" s="668"/>
      <c r="O124"/>
      <c r="P124"/>
      <c r="Q124"/>
      <c r="R124"/>
      <c r="S124"/>
      <c r="X124" s="668"/>
      <c r="Y124" s="668"/>
      <c r="Z124" s="668"/>
      <c r="AA124" s="668"/>
      <c r="AB124"/>
      <c r="AC124"/>
      <c r="AD124"/>
      <c r="AE124"/>
      <c r="AF124"/>
      <c r="AG124"/>
      <c r="AH124" s="668"/>
    </row>
    <row r="125" spans="1:34" x14ac:dyDescent="0.2">
      <c r="A125"/>
      <c r="B125"/>
      <c r="C125"/>
      <c r="D125" s="668"/>
      <c r="E125" s="668"/>
      <c r="F125" s="668"/>
      <c r="G125" s="668"/>
      <c r="H125"/>
      <c r="I125"/>
      <c r="J125"/>
      <c r="K125"/>
      <c r="L125" s="668"/>
      <c r="M125" s="668"/>
      <c r="N125"/>
      <c r="P125"/>
      <c r="Q125"/>
      <c r="R125"/>
      <c r="S125"/>
      <c r="T125"/>
      <c r="U125"/>
      <c r="V125"/>
      <c r="W125"/>
      <c r="X125" s="668"/>
      <c r="Y125" s="668"/>
      <c r="Z125" s="668"/>
      <c r="AA125" s="668"/>
      <c r="AB125"/>
      <c r="AC125"/>
      <c r="AD125"/>
      <c r="AE125"/>
      <c r="AF125"/>
      <c r="AG125"/>
      <c r="AH125" s="668"/>
    </row>
    <row r="126" spans="1:34" x14ac:dyDescent="0.2">
      <c r="A126"/>
      <c r="B126"/>
      <c r="C126"/>
      <c r="D126" s="668"/>
      <c r="E126" s="668"/>
      <c r="F126" s="668"/>
      <c r="G126" s="668"/>
      <c r="H126"/>
      <c r="I126"/>
      <c r="J126"/>
      <c r="K126"/>
      <c r="L126" s="668"/>
      <c r="M126" s="668"/>
      <c r="N126"/>
      <c r="O126"/>
      <c r="P126"/>
      <c r="Q126"/>
      <c r="R126"/>
      <c r="S126"/>
      <c r="T126"/>
      <c r="U126"/>
      <c r="V126"/>
      <c r="W126"/>
      <c r="X126" s="668"/>
      <c r="Y126" s="668"/>
      <c r="Z126" s="668"/>
      <c r="AA126" s="668"/>
      <c r="AB126"/>
      <c r="AC126"/>
      <c r="AD126"/>
      <c r="AE126"/>
      <c r="AF126"/>
      <c r="AG126"/>
      <c r="AH126" s="668"/>
    </row>
    <row r="127" spans="1:34" x14ac:dyDescent="0.2">
      <c r="A127"/>
      <c r="B127"/>
      <c r="C127"/>
      <c r="D127" s="668"/>
      <c r="E127" s="668"/>
      <c r="F127" s="668"/>
      <c r="G127" s="668"/>
      <c r="H127"/>
      <c r="I127"/>
      <c r="J127"/>
      <c r="K127"/>
      <c r="L127" s="668"/>
      <c r="M127" s="668"/>
      <c r="N127"/>
      <c r="P127"/>
      <c r="Q127"/>
      <c r="R127"/>
      <c r="S127"/>
      <c r="X127" s="668"/>
      <c r="Y127" s="668"/>
      <c r="Z127" s="668"/>
      <c r="AA127" s="668"/>
      <c r="AB127"/>
      <c r="AC127"/>
      <c r="AD127"/>
      <c r="AE127"/>
      <c r="AF127"/>
      <c r="AG127"/>
      <c r="AH127" s="668"/>
    </row>
    <row r="128" spans="1:34" x14ac:dyDescent="0.2">
      <c r="A128"/>
      <c r="B128"/>
      <c r="C128"/>
      <c r="D128" s="668"/>
      <c r="E128" s="668"/>
      <c r="F128" s="668"/>
      <c r="G128" s="668"/>
      <c r="H128"/>
      <c r="I128"/>
      <c r="J128"/>
      <c r="K128"/>
      <c r="L128" s="668"/>
      <c r="M128" s="668"/>
      <c r="N128"/>
      <c r="P128"/>
      <c r="Q128"/>
      <c r="R128"/>
      <c r="S128"/>
      <c r="T128"/>
      <c r="U128"/>
      <c r="V128"/>
      <c r="W128"/>
      <c r="X128" s="668"/>
      <c r="Y128" s="668"/>
      <c r="Z128" s="668"/>
      <c r="AA128" s="668"/>
      <c r="AB128"/>
      <c r="AC128"/>
      <c r="AD128"/>
      <c r="AE128"/>
      <c r="AF128"/>
      <c r="AG128"/>
      <c r="AH128" s="668"/>
    </row>
    <row r="129" spans="1:34" x14ac:dyDescent="0.2">
      <c r="A129"/>
      <c r="B129"/>
      <c r="C129"/>
      <c r="D129" s="668"/>
      <c r="E129" s="668"/>
      <c r="F129" s="668"/>
      <c r="G129" s="668"/>
      <c r="H129"/>
      <c r="I129"/>
      <c r="J129"/>
      <c r="K129"/>
      <c r="L129" s="668"/>
      <c r="M129" s="668"/>
      <c r="N129"/>
      <c r="P129"/>
      <c r="Q129"/>
      <c r="R129"/>
      <c r="S129"/>
      <c r="T129"/>
      <c r="U129"/>
      <c r="V129"/>
      <c r="W129"/>
      <c r="X129" s="668"/>
      <c r="Y129" s="668"/>
      <c r="Z129" s="668"/>
      <c r="AA129" s="668"/>
      <c r="AB129"/>
      <c r="AC129"/>
      <c r="AD129"/>
      <c r="AE129"/>
      <c r="AF129"/>
      <c r="AG129"/>
      <c r="AH129" s="668"/>
    </row>
    <row r="130" spans="1:34" x14ac:dyDescent="0.2">
      <c r="A130"/>
      <c r="B130"/>
      <c r="C130"/>
      <c r="D130" s="668"/>
      <c r="E130" s="668"/>
      <c r="F130" s="668"/>
      <c r="G130" s="668"/>
      <c r="H130"/>
      <c r="I130"/>
      <c r="J130"/>
      <c r="K130"/>
      <c r="L130" s="668"/>
      <c r="M130" s="668"/>
      <c r="N130"/>
      <c r="P130"/>
      <c r="Q130"/>
      <c r="R130"/>
      <c r="S130"/>
      <c r="T130"/>
      <c r="U130"/>
      <c r="V130"/>
      <c r="W130"/>
      <c r="X130" s="668"/>
      <c r="Y130" s="668"/>
      <c r="Z130" s="668"/>
      <c r="AA130" s="668"/>
      <c r="AB130"/>
      <c r="AC130"/>
      <c r="AD130"/>
      <c r="AE130"/>
      <c r="AF130"/>
      <c r="AG130"/>
      <c r="AH130" s="668"/>
    </row>
    <row r="131" spans="1:34" x14ac:dyDescent="0.2">
      <c r="A131"/>
      <c r="B131"/>
      <c r="C131"/>
      <c r="D131" s="668"/>
      <c r="E131" s="668"/>
      <c r="F131" s="668"/>
      <c r="G131" s="668"/>
      <c r="H131"/>
      <c r="I131"/>
      <c r="J131"/>
      <c r="K131"/>
      <c r="L131" s="668"/>
      <c r="M131" s="668"/>
      <c r="N131"/>
      <c r="O131"/>
      <c r="P131"/>
      <c r="Q131"/>
      <c r="R131"/>
      <c r="S131"/>
      <c r="T131"/>
      <c r="U131"/>
      <c r="V131"/>
      <c r="W131"/>
      <c r="X131" s="668"/>
      <c r="Y131" s="668"/>
      <c r="Z131" s="668"/>
      <c r="AA131" s="668"/>
      <c r="AB131"/>
      <c r="AC131"/>
      <c r="AD131"/>
      <c r="AE131"/>
      <c r="AF131"/>
      <c r="AG131"/>
      <c r="AH131" s="668"/>
    </row>
    <row r="132" spans="1:34" x14ac:dyDescent="0.2">
      <c r="A132"/>
      <c r="B132"/>
      <c r="C132"/>
      <c r="D132" s="668"/>
      <c r="E132" s="668"/>
      <c r="F132" s="668"/>
      <c r="G132" s="668"/>
      <c r="H132"/>
      <c r="I132"/>
      <c r="J132"/>
      <c r="K132"/>
      <c r="L132" s="668"/>
      <c r="M132" s="668"/>
      <c r="N132"/>
      <c r="O132"/>
      <c r="P132"/>
      <c r="Q132"/>
      <c r="R132"/>
      <c r="S132"/>
      <c r="T132"/>
      <c r="U132"/>
      <c r="V132"/>
      <c r="W132"/>
      <c r="X132" s="668"/>
      <c r="Y132" s="668"/>
      <c r="Z132" s="668"/>
      <c r="AA132" s="668"/>
      <c r="AB132"/>
      <c r="AC132"/>
      <c r="AD132"/>
      <c r="AE132"/>
      <c r="AF132"/>
      <c r="AG132"/>
      <c r="AH132" s="668"/>
    </row>
    <row r="133" spans="1:34" x14ac:dyDescent="0.2">
      <c r="A133"/>
      <c r="B133"/>
      <c r="C133"/>
      <c r="D133" s="668"/>
      <c r="E133" s="668"/>
      <c r="F133" s="668"/>
      <c r="G133" s="668"/>
      <c r="H133"/>
      <c r="I133"/>
      <c r="J133"/>
      <c r="K133"/>
      <c r="L133" s="668"/>
      <c r="M133" s="668"/>
      <c r="O133"/>
      <c r="P133"/>
      <c r="Q133"/>
      <c r="R133"/>
      <c r="S133"/>
      <c r="X133" s="668"/>
      <c r="Y133" s="668"/>
      <c r="Z133" s="668"/>
      <c r="AA133" s="668"/>
      <c r="AB133"/>
      <c r="AC133"/>
      <c r="AD133"/>
      <c r="AE133"/>
      <c r="AF133"/>
      <c r="AG133"/>
      <c r="AH133" s="668"/>
    </row>
    <row r="134" spans="1:34" x14ac:dyDescent="0.2">
      <c r="A134"/>
      <c r="B134"/>
      <c r="C134"/>
      <c r="D134" s="668"/>
      <c r="E134" s="668"/>
      <c r="F134" s="668"/>
      <c r="G134" s="668"/>
      <c r="H134"/>
      <c r="I134"/>
      <c r="J134"/>
      <c r="K134"/>
      <c r="L134" s="668"/>
      <c r="M134" s="668"/>
      <c r="N134"/>
      <c r="O134"/>
      <c r="P134"/>
      <c r="Q134"/>
      <c r="R134"/>
      <c r="S134"/>
      <c r="X134" s="668"/>
      <c r="Y134" s="668"/>
      <c r="Z134" s="668"/>
      <c r="AA134" s="668"/>
      <c r="AB134"/>
      <c r="AC134"/>
      <c r="AE134"/>
      <c r="AF134"/>
      <c r="AG134"/>
      <c r="AH134" s="668"/>
    </row>
    <row r="135" spans="1:34" x14ac:dyDescent="0.2">
      <c r="A135"/>
      <c r="B135"/>
      <c r="C135"/>
      <c r="D135" s="668"/>
      <c r="E135" s="668"/>
      <c r="F135" s="668"/>
      <c r="G135" s="668"/>
      <c r="H135"/>
      <c r="I135"/>
      <c r="J135"/>
      <c r="K135"/>
      <c r="L135" s="668"/>
      <c r="M135" s="668"/>
      <c r="N135"/>
      <c r="O135"/>
      <c r="P135"/>
      <c r="Q135"/>
      <c r="R135"/>
      <c r="S135"/>
      <c r="X135" s="668"/>
      <c r="Y135" s="668"/>
      <c r="Z135" s="668"/>
      <c r="AA135" s="668"/>
      <c r="AB135"/>
      <c r="AC135"/>
      <c r="AD135"/>
      <c r="AE135"/>
      <c r="AF135"/>
      <c r="AG135"/>
      <c r="AH135" s="668"/>
    </row>
    <row r="136" spans="1:34" x14ac:dyDescent="0.2">
      <c r="A136"/>
      <c r="B136"/>
      <c r="C136"/>
      <c r="D136" s="668"/>
      <c r="E136" s="668"/>
      <c r="F136" s="668"/>
      <c r="G136" s="668"/>
      <c r="H136"/>
      <c r="I136"/>
      <c r="J136"/>
      <c r="K136"/>
      <c r="L136" s="668"/>
      <c r="M136" s="668"/>
      <c r="N136"/>
      <c r="O136"/>
      <c r="P136"/>
      <c r="Q136"/>
      <c r="R136"/>
      <c r="S136"/>
      <c r="X136" s="668"/>
      <c r="Y136" s="668"/>
      <c r="Z136" s="668"/>
      <c r="AA136" s="668"/>
      <c r="AB136"/>
      <c r="AC136"/>
      <c r="AD136"/>
      <c r="AE136"/>
      <c r="AF136"/>
      <c r="AG136"/>
      <c r="AH136" s="668"/>
    </row>
    <row r="137" spans="1:34" x14ac:dyDescent="0.2">
      <c r="A137"/>
      <c r="B137"/>
      <c r="C137"/>
      <c r="D137" s="668"/>
      <c r="E137" s="668"/>
      <c r="F137" s="668"/>
      <c r="G137" s="668"/>
      <c r="H137"/>
      <c r="I137"/>
      <c r="J137"/>
      <c r="K137"/>
      <c r="L137" s="668"/>
      <c r="M137" s="668"/>
      <c r="N137"/>
      <c r="O137"/>
      <c r="P137"/>
      <c r="Q137"/>
      <c r="R137"/>
      <c r="S137"/>
      <c r="X137" s="668"/>
      <c r="Y137" s="668"/>
      <c r="Z137" s="668"/>
      <c r="AA137" s="668"/>
      <c r="AB137"/>
      <c r="AC137"/>
      <c r="AD137"/>
      <c r="AE137"/>
      <c r="AF137"/>
      <c r="AG137"/>
      <c r="AH137" s="668"/>
    </row>
    <row r="138" spans="1:34" x14ac:dyDescent="0.2">
      <c r="A138"/>
      <c r="B138"/>
      <c r="C138"/>
      <c r="D138" s="668"/>
      <c r="E138" s="668"/>
      <c r="F138" s="668"/>
      <c r="G138" s="668"/>
      <c r="H138"/>
      <c r="I138"/>
      <c r="J138"/>
      <c r="K138"/>
      <c r="L138" s="668"/>
      <c r="M138" s="668"/>
      <c r="N138"/>
      <c r="O138"/>
      <c r="P138"/>
      <c r="Q138"/>
      <c r="R138"/>
      <c r="S138"/>
      <c r="X138" s="668"/>
      <c r="Y138" s="668"/>
      <c r="Z138" s="668"/>
      <c r="AA138" s="668"/>
      <c r="AB138"/>
      <c r="AC138"/>
      <c r="AD138"/>
      <c r="AE138"/>
      <c r="AF138"/>
      <c r="AG138"/>
      <c r="AH138" s="668"/>
    </row>
    <row r="139" spans="1:34" x14ac:dyDescent="0.2">
      <c r="A139"/>
      <c r="B139"/>
      <c r="C139"/>
      <c r="D139" s="668"/>
      <c r="E139" s="668"/>
      <c r="F139" s="668"/>
      <c r="G139" s="668"/>
      <c r="H139"/>
      <c r="I139"/>
      <c r="J139"/>
      <c r="K139"/>
      <c r="L139" s="668"/>
      <c r="M139" s="668"/>
      <c r="N139"/>
      <c r="O139"/>
      <c r="P139"/>
      <c r="Q139"/>
      <c r="R139"/>
      <c r="S139"/>
      <c r="X139" s="668"/>
      <c r="Y139" s="668"/>
      <c r="Z139" s="668"/>
      <c r="AA139" s="668"/>
      <c r="AB139"/>
      <c r="AC139"/>
      <c r="AD139"/>
      <c r="AE139"/>
      <c r="AF139"/>
      <c r="AG139"/>
      <c r="AH139" s="668"/>
    </row>
    <row r="140" spans="1:34" x14ac:dyDescent="0.2">
      <c r="A140"/>
      <c r="B140"/>
      <c r="C140"/>
      <c r="D140" s="668"/>
      <c r="E140" s="668"/>
      <c r="F140" s="668"/>
      <c r="G140" s="668"/>
      <c r="H140"/>
      <c r="I140"/>
      <c r="J140"/>
      <c r="K140"/>
      <c r="L140" s="668"/>
      <c r="M140" s="668"/>
      <c r="N140"/>
      <c r="O140"/>
      <c r="P140"/>
      <c r="Q140"/>
      <c r="R140"/>
      <c r="S140"/>
      <c r="X140" s="668"/>
      <c r="Y140" s="668"/>
      <c r="Z140" s="668"/>
      <c r="AA140" s="668"/>
      <c r="AB140"/>
      <c r="AC140"/>
      <c r="AD140"/>
      <c r="AE140"/>
      <c r="AF140"/>
      <c r="AG140"/>
      <c r="AH140" s="668"/>
    </row>
    <row r="141" spans="1:34" x14ac:dyDescent="0.2">
      <c r="A141"/>
      <c r="B141"/>
      <c r="C141"/>
      <c r="D141" s="668"/>
      <c r="E141" s="668"/>
      <c r="F141" s="668"/>
      <c r="G141" s="668"/>
      <c r="H141"/>
      <c r="I141"/>
      <c r="J141"/>
      <c r="K141"/>
      <c r="L141" s="668"/>
      <c r="M141" s="668"/>
      <c r="N141"/>
      <c r="O141"/>
      <c r="P141"/>
      <c r="Q141"/>
      <c r="R141"/>
      <c r="S141"/>
      <c r="X141" s="668"/>
      <c r="Y141" s="668"/>
      <c r="Z141" s="668"/>
      <c r="AA141" s="668"/>
      <c r="AB141"/>
      <c r="AC141"/>
      <c r="AD141"/>
      <c r="AE141"/>
      <c r="AF141"/>
      <c r="AG141"/>
      <c r="AH141" s="668"/>
    </row>
    <row r="142" spans="1:34" x14ac:dyDescent="0.2">
      <c r="A142"/>
      <c r="B142"/>
      <c r="C142"/>
      <c r="D142" s="668"/>
      <c r="E142" s="668"/>
      <c r="F142" s="668"/>
      <c r="G142" s="668"/>
      <c r="H142"/>
      <c r="I142"/>
      <c r="J142"/>
      <c r="K142"/>
      <c r="L142" s="668"/>
      <c r="M142" s="668"/>
      <c r="N142"/>
      <c r="O142"/>
      <c r="P142"/>
      <c r="Q142"/>
      <c r="R142"/>
      <c r="S142"/>
      <c r="T142"/>
      <c r="U142"/>
      <c r="V142"/>
      <c r="W142"/>
      <c r="X142" s="668"/>
      <c r="Y142" s="668"/>
      <c r="Z142" s="668"/>
      <c r="AA142" s="668"/>
      <c r="AB142"/>
      <c r="AC142"/>
      <c r="AD142"/>
      <c r="AE142"/>
      <c r="AF142"/>
      <c r="AG142"/>
      <c r="AH142" s="668"/>
    </row>
    <row r="143" spans="1:34" x14ac:dyDescent="0.2">
      <c r="A143"/>
      <c r="B143"/>
      <c r="C143"/>
      <c r="D143" s="668"/>
      <c r="E143" s="668"/>
      <c r="F143" s="668"/>
      <c r="G143" s="668"/>
      <c r="H143"/>
      <c r="I143"/>
      <c r="J143"/>
      <c r="K143"/>
      <c r="L143" s="668"/>
      <c r="M143" s="668"/>
      <c r="N143"/>
      <c r="O143"/>
      <c r="P143"/>
      <c r="Q143"/>
      <c r="R143"/>
      <c r="S143"/>
      <c r="X143" s="668"/>
      <c r="Y143" s="668"/>
      <c r="Z143" s="668"/>
      <c r="AA143" s="668"/>
      <c r="AB143"/>
      <c r="AC143"/>
      <c r="AD143"/>
      <c r="AE143"/>
      <c r="AF143"/>
      <c r="AG143"/>
      <c r="AH143" s="668"/>
    </row>
    <row r="144" spans="1:34" x14ac:dyDescent="0.2">
      <c r="A144"/>
      <c r="B144"/>
      <c r="C144"/>
      <c r="D144" s="668"/>
      <c r="E144" s="668"/>
      <c r="F144" s="668"/>
      <c r="G144" s="668"/>
      <c r="H144"/>
      <c r="I144"/>
      <c r="J144"/>
      <c r="K144"/>
      <c r="L144" s="668"/>
      <c r="M144" s="668"/>
      <c r="N144"/>
      <c r="O144"/>
      <c r="P144"/>
      <c r="Q144"/>
      <c r="R144"/>
      <c r="S144"/>
      <c r="X144" s="668"/>
      <c r="Y144" s="668"/>
      <c r="Z144" s="668"/>
      <c r="AA144" s="668"/>
      <c r="AB144"/>
      <c r="AC144"/>
      <c r="AD144"/>
      <c r="AE144"/>
      <c r="AF144"/>
      <c r="AG144"/>
      <c r="AH144" s="668"/>
    </row>
    <row r="145" spans="1:34" x14ac:dyDescent="0.2">
      <c r="A145"/>
      <c r="B145"/>
      <c r="C145"/>
      <c r="D145" s="668"/>
      <c r="E145" s="668"/>
      <c r="F145" s="668"/>
      <c r="G145" s="668"/>
      <c r="H145"/>
      <c r="I145"/>
      <c r="J145"/>
      <c r="K145"/>
      <c r="L145" s="668"/>
      <c r="M145" s="668"/>
      <c r="N145"/>
      <c r="O145"/>
      <c r="P145"/>
      <c r="Q145"/>
      <c r="R145"/>
      <c r="S145"/>
      <c r="X145" s="668"/>
      <c r="Y145" s="668"/>
      <c r="Z145" s="668"/>
      <c r="AA145" s="668"/>
      <c r="AB145"/>
      <c r="AC145"/>
      <c r="AD145"/>
      <c r="AE145"/>
      <c r="AF145"/>
      <c r="AG145"/>
      <c r="AH145" s="668"/>
    </row>
    <row r="146" spans="1:34" x14ac:dyDescent="0.2">
      <c r="A146"/>
      <c r="B146"/>
      <c r="C146"/>
      <c r="D146" s="668"/>
      <c r="E146" s="668"/>
      <c r="F146" s="668"/>
      <c r="G146" s="668"/>
      <c r="H146"/>
      <c r="I146"/>
      <c r="J146"/>
      <c r="K146"/>
      <c r="L146" s="668"/>
      <c r="M146" s="668"/>
      <c r="N146"/>
      <c r="O146"/>
      <c r="P146"/>
      <c r="Q146"/>
      <c r="R146"/>
      <c r="S146"/>
      <c r="X146" s="668"/>
      <c r="Y146" s="668"/>
      <c r="Z146" s="668"/>
      <c r="AA146" s="668"/>
      <c r="AB146"/>
      <c r="AC146"/>
      <c r="AD146"/>
      <c r="AE146"/>
      <c r="AF146"/>
      <c r="AG146"/>
      <c r="AH146" s="668"/>
    </row>
    <row r="147" spans="1:34" x14ac:dyDescent="0.2">
      <c r="A147"/>
      <c r="B147"/>
      <c r="C147"/>
      <c r="D147" s="668"/>
      <c r="E147" s="668"/>
      <c r="F147" s="668"/>
      <c r="G147" s="668"/>
      <c r="H147"/>
      <c r="I147"/>
      <c r="J147"/>
      <c r="K147"/>
      <c r="L147" s="668"/>
      <c r="M147" s="668"/>
      <c r="N147"/>
      <c r="O147"/>
      <c r="P147"/>
      <c r="Q147"/>
      <c r="R147"/>
      <c r="S147"/>
      <c r="X147" s="668"/>
      <c r="Y147" s="668"/>
      <c r="Z147" s="668"/>
      <c r="AA147" s="668"/>
      <c r="AB147"/>
      <c r="AC147"/>
      <c r="AD147"/>
      <c r="AE147"/>
      <c r="AF147"/>
      <c r="AG147"/>
      <c r="AH147" s="668"/>
    </row>
    <row r="148" spans="1:34" x14ac:dyDescent="0.2">
      <c r="A148"/>
      <c r="B148"/>
      <c r="C148"/>
      <c r="D148" s="668"/>
      <c r="E148" s="668"/>
      <c r="F148" s="668"/>
      <c r="G148" s="668"/>
      <c r="H148"/>
      <c r="I148"/>
      <c r="J148"/>
      <c r="K148"/>
      <c r="L148" s="668"/>
      <c r="M148" s="668"/>
      <c r="N148"/>
      <c r="O148"/>
      <c r="P148"/>
      <c r="Q148"/>
      <c r="R148"/>
      <c r="S148"/>
      <c r="X148" s="668"/>
      <c r="Y148" s="668"/>
      <c r="Z148" s="668"/>
      <c r="AA148" s="668"/>
      <c r="AH148" s="668"/>
    </row>
    <row r="149" spans="1:34" x14ac:dyDescent="0.2">
      <c r="A149"/>
      <c r="B149"/>
      <c r="C149"/>
      <c r="D149" s="668"/>
      <c r="E149" s="668"/>
      <c r="F149" s="668"/>
      <c r="G149" s="668"/>
      <c r="H149"/>
      <c r="I149"/>
      <c r="J149"/>
      <c r="K149"/>
      <c r="L149" s="668"/>
      <c r="M149" s="668"/>
      <c r="N149"/>
      <c r="O149"/>
      <c r="P149"/>
      <c r="Q149"/>
      <c r="R149"/>
      <c r="S149"/>
      <c r="T149"/>
      <c r="U149"/>
      <c r="V149"/>
      <c r="W149"/>
      <c r="X149" s="668"/>
      <c r="Y149" s="668"/>
      <c r="Z149" s="668"/>
      <c r="AA149" s="668"/>
      <c r="AB149"/>
      <c r="AC149"/>
      <c r="AD149"/>
      <c r="AE149"/>
      <c r="AF149"/>
      <c r="AG149"/>
      <c r="AH149" s="668"/>
    </row>
    <row r="150" spans="1:34" x14ac:dyDescent="0.2">
      <c r="A150"/>
      <c r="B150"/>
      <c r="C150"/>
      <c r="D150" s="668"/>
      <c r="E150" s="668"/>
      <c r="F150" s="668"/>
      <c r="G150" s="668"/>
      <c r="H150"/>
      <c r="I150"/>
      <c r="J150"/>
      <c r="K150"/>
      <c r="L150" s="668"/>
      <c r="M150" s="668"/>
      <c r="N150"/>
      <c r="O150"/>
      <c r="P150"/>
      <c r="Q150"/>
      <c r="R150"/>
      <c r="S150"/>
      <c r="T150"/>
      <c r="U150"/>
      <c r="V150"/>
      <c r="W150"/>
      <c r="X150" s="668"/>
      <c r="Y150" s="668"/>
      <c r="Z150" s="668"/>
      <c r="AA150" s="668"/>
      <c r="AB150"/>
      <c r="AC150"/>
      <c r="AD150"/>
      <c r="AE150"/>
      <c r="AF150"/>
      <c r="AG150"/>
      <c r="AH150" s="668"/>
    </row>
    <row r="151" spans="1:34" x14ac:dyDescent="0.2">
      <c r="A151"/>
      <c r="B151"/>
      <c r="C151"/>
      <c r="D151" s="668"/>
      <c r="E151" s="668"/>
      <c r="F151" s="668"/>
      <c r="G151" s="668"/>
      <c r="H151"/>
      <c r="I151"/>
      <c r="J151"/>
      <c r="K151"/>
      <c r="L151" s="668"/>
      <c r="M151" s="668"/>
      <c r="N151"/>
      <c r="O151"/>
      <c r="P151"/>
      <c r="Q151"/>
      <c r="R151"/>
      <c r="S151"/>
      <c r="X151" s="668"/>
      <c r="Y151" s="668"/>
      <c r="Z151" s="668"/>
      <c r="AA151" s="668"/>
      <c r="AB151"/>
      <c r="AC151"/>
      <c r="AD151"/>
      <c r="AE151"/>
      <c r="AF151"/>
      <c r="AG151"/>
      <c r="AH151" s="668"/>
    </row>
    <row r="152" spans="1:34" x14ac:dyDescent="0.2">
      <c r="A152"/>
      <c r="B152"/>
      <c r="C152"/>
      <c r="D152" s="668"/>
      <c r="E152" s="668"/>
      <c r="F152" s="668"/>
      <c r="G152" s="668"/>
      <c r="H152"/>
      <c r="I152"/>
      <c r="J152"/>
      <c r="K152"/>
      <c r="L152" s="668"/>
      <c r="M152" s="668"/>
      <c r="N152"/>
      <c r="O152"/>
      <c r="P152"/>
      <c r="Q152"/>
      <c r="R152"/>
      <c r="S152"/>
      <c r="T152"/>
      <c r="U152"/>
      <c r="V152"/>
      <c r="W152"/>
      <c r="X152" s="668"/>
      <c r="Y152" s="668"/>
      <c r="Z152" s="668"/>
      <c r="AA152" s="668"/>
      <c r="AB152"/>
      <c r="AC152"/>
      <c r="AD152"/>
      <c r="AE152"/>
      <c r="AF152"/>
      <c r="AG152"/>
      <c r="AH152" s="668"/>
    </row>
    <row r="153" spans="1:34" x14ac:dyDescent="0.2">
      <c r="A153"/>
      <c r="B153"/>
      <c r="C153"/>
      <c r="D153" s="668"/>
      <c r="E153" s="668"/>
      <c r="F153" s="668"/>
      <c r="G153" s="668"/>
      <c r="H153"/>
      <c r="I153"/>
      <c r="J153"/>
      <c r="K153"/>
      <c r="L153" s="668"/>
      <c r="M153" s="668"/>
      <c r="N153"/>
      <c r="O153"/>
      <c r="P153"/>
      <c r="Q153"/>
      <c r="R153"/>
      <c r="S153"/>
      <c r="T153"/>
      <c r="U153"/>
      <c r="V153"/>
      <c r="W153"/>
      <c r="X153" s="668"/>
      <c r="Y153" s="668"/>
      <c r="Z153" s="668"/>
      <c r="AA153" s="668"/>
      <c r="AB153"/>
      <c r="AC153"/>
      <c r="AD153"/>
      <c r="AE153"/>
      <c r="AF153"/>
      <c r="AG153"/>
      <c r="AH153" s="668"/>
    </row>
    <row r="154" spans="1:34" x14ac:dyDescent="0.2">
      <c r="A154"/>
      <c r="B154"/>
      <c r="C154"/>
      <c r="D154" s="668"/>
      <c r="E154" s="668"/>
      <c r="F154" s="668"/>
      <c r="G154" s="668"/>
      <c r="H154"/>
      <c r="I154"/>
      <c r="J154"/>
      <c r="K154"/>
      <c r="L154" s="668"/>
      <c r="M154" s="668"/>
      <c r="N154"/>
      <c r="O154"/>
      <c r="P154"/>
      <c r="Q154"/>
      <c r="R154"/>
      <c r="S154"/>
      <c r="T154"/>
      <c r="U154"/>
      <c r="V154"/>
      <c r="W154"/>
      <c r="X154" s="668"/>
      <c r="Y154" s="668"/>
      <c r="Z154" s="668"/>
      <c r="AA154" s="668"/>
      <c r="AB154"/>
      <c r="AC154"/>
      <c r="AD154"/>
      <c r="AE154"/>
      <c r="AF154"/>
      <c r="AG154"/>
      <c r="AH154" s="668"/>
    </row>
    <row r="155" spans="1:34" x14ac:dyDescent="0.2">
      <c r="A155"/>
      <c r="B155"/>
      <c r="C155"/>
      <c r="D155" s="668"/>
      <c r="E155" s="668"/>
      <c r="F155" s="668"/>
      <c r="G155" s="668"/>
      <c r="H155"/>
      <c r="I155"/>
      <c r="J155"/>
      <c r="K155"/>
      <c r="L155" s="668"/>
      <c r="M155" s="668"/>
      <c r="N155"/>
      <c r="O155"/>
      <c r="P155"/>
      <c r="Q155"/>
      <c r="R155"/>
      <c r="S155"/>
      <c r="T155"/>
      <c r="U155"/>
      <c r="V155"/>
      <c r="W155"/>
      <c r="X155" s="668"/>
      <c r="Y155" s="668"/>
      <c r="Z155" s="668"/>
      <c r="AA155" s="668"/>
      <c r="AB155"/>
      <c r="AC155"/>
      <c r="AD155"/>
      <c r="AE155"/>
      <c r="AF155"/>
      <c r="AG155"/>
      <c r="AH155" s="668"/>
    </row>
    <row r="156" spans="1:34" x14ac:dyDescent="0.2">
      <c r="A156"/>
      <c r="B156"/>
      <c r="C156"/>
      <c r="D156" s="668"/>
      <c r="E156" s="668"/>
      <c r="F156" s="668"/>
      <c r="G156" s="668"/>
      <c r="H156"/>
      <c r="I156"/>
      <c r="J156"/>
      <c r="K156"/>
      <c r="L156" s="668"/>
      <c r="M156" s="668"/>
      <c r="N156"/>
      <c r="O156"/>
      <c r="P156"/>
      <c r="Q156"/>
      <c r="R156"/>
      <c r="S156"/>
      <c r="T156"/>
      <c r="U156"/>
      <c r="V156"/>
      <c r="W156"/>
      <c r="X156" s="668"/>
      <c r="Y156" s="668"/>
      <c r="Z156" s="668"/>
      <c r="AA156" s="668"/>
      <c r="AB156"/>
      <c r="AC156"/>
      <c r="AD156"/>
      <c r="AE156"/>
      <c r="AF156"/>
      <c r="AG156"/>
      <c r="AH156" s="668"/>
    </row>
    <row r="157" spans="1:34" x14ac:dyDescent="0.2">
      <c r="A157"/>
      <c r="B157"/>
      <c r="C157"/>
      <c r="D157" s="668"/>
      <c r="E157" s="668"/>
      <c r="F157" s="668"/>
      <c r="G157" s="668"/>
      <c r="H157"/>
      <c r="I157"/>
      <c r="J157"/>
      <c r="K157"/>
      <c r="L157" s="668"/>
      <c r="M157" s="668"/>
      <c r="N157"/>
      <c r="O157"/>
      <c r="P157"/>
      <c r="Q157"/>
      <c r="R157"/>
      <c r="S157"/>
      <c r="T157"/>
      <c r="U157"/>
      <c r="V157"/>
      <c r="W157"/>
      <c r="X157" s="668"/>
      <c r="Y157" s="668"/>
      <c r="Z157" s="668"/>
      <c r="AA157" s="668"/>
      <c r="AB157"/>
      <c r="AC157"/>
      <c r="AD157"/>
      <c r="AE157"/>
      <c r="AF157"/>
      <c r="AG157"/>
      <c r="AH157" s="668"/>
    </row>
    <row r="158" spans="1:34" x14ac:dyDescent="0.2">
      <c r="A158"/>
      <c r="B158"/>
      <c r="C158"/>
      <c r="D158" s="668"/>
      <c r="E158" s="668"/>
      <c r="F158" s="668"/>
      <c r="G158" s="668"/>
      <c r="H158"/>
      <c r="I158"/>
      <c r="J158"/>
      <c r="K158"/>
      <c r="L158" s="668"/>
      <c r="M158" s="668"/>
      <c r="N158"/>
      <c r="O158"/>
      <c r="P158"/>
      <c r="Q158"/>
      <c r="R158"/>
      <c r="S158"/>
      <c r="T158"/>
      <c r="U158"/>
      <c r="V158"/>
      <c r="W158"/>
      <c r="X158" s="668"/>
      <c r="Y158" s="668"/>
      <c r="Z158" s="668"/>
      <c r="AA158" s="668"/>
      <c r="AB158"/>
      <c r="AC158"/>
      <c r="AD158"/>
      <c r="AE158"/>
      <c r="AF158"/>
      <c r="AG158"/>
      <c r="AH158" s="668"/>
    </row>
    <row r="159" spans="1:34" x14ac:dyDescent="0.2">
      <c r="A159"/>
      <c r="B159"/>
      <c r="C159"/>
      <c r="D159" s="668"/>
      <c r="E159" s="668"/>
      <c r="F159" s="668"/>
      <c r="G159" s="668"/>
      <c r="H159"/>
      <c r="I159"/>
      <c r="J159"/>
      <c r="K159"/>
      <c r="L159" s="668"/>
      <c r="M159" s="668"/>
      <c r="N159"/>
      <c r="O159"/>
      <c r="P159"/>
      <c r="Q159"/>
      <c r="R159"/>
      <c r="S159"/>
      <c r="T159"/>
      <c r="U159"/>
      <c r="V159"/>
      <c r="W159"/>
      <c r="X159" s="668"/>
      <c r="Y159" s="668"/>
      <c r="Z159" s="668"/>
      <c r="AA159" s="668"/>
      <c r="AB159"/>
      <c r="AC159"/>
      <c r="AD159"/>
      <c r="AE159"/>
      <c r="AF159"/>
      <c r="AG159"/>
      <c r="AH159" s="668"/>
    </row>
    <row r="160" spans="1:34" x14ac:dyDescent="0.2">
      <c r="A160"/>
      <c r="B160"/>
      <c r="C160"/>
      <c r="D160" s="668"/>
      <c r="E160" s="668"/>
      <c r="F160" s="668"/>
      <c r="G160" s="668"/>
      <c r="H160"/>
      <c r="I160"/>
      <c r="J160"/>
      <c r="K160"/>
      <c r="L160" s="668"/>
      <c r="M160" s="668"/>
      <c r="N160"/>
      <c r="O160"/>
      <c r="P160"/>
      <c r="Q160"/>
      <c r="R160"/>
      <c r="S160"/>
      <c r="T160"/>
      <c r="U160"/>
      <c r="V160"/>
      <c r="W160"/>
      <c r="X160" s="668"/>
      <c r="Y160" s="668"/>
      <c r="Z160" s="668"/>
      <c r="AA160" s="668"/>
      <c r="AB160"/>
      <c r="AC160"/>
      <c r="AD160"/>
      <c r="AE160"/>
      <c r="AF160"/>
      <c r="AG160"/>
      <c r="AH160" s="668"/>
    </row>
    <row r="161" spans="1:36" x14ac:dyDescent="0.2">
      <c r="A161"/>
      <c r="B161"/>
      <c r="C161"/>
      <c r="D161" s="668"/>
      <c r="E161" s="668"/>
      <c r="F161" s="668"/>
      <c r="G161" s="668"/>
      <c r="H161"/>
      <c r="I161"/>
      <c r="J161"/>
      <c r="K161"/>
      <c r="L161" s="668"/>
      <c r="M161" s="668"/>
      <c r="N161"/>
      <c r="O161"/>
      <c r="T161"/>
      <c r="U161"/>
      <c r="V161"/>
      <c r="W161"/>
      <c r="X161" s="668"/>
      <c r="Y161" s="668"/>
      <c r="Z161" s="668"/>
      <c r="AA161" s="668"/>
      <c r="AB161"/>
      <c r="AC161"/>
      <c r="AD161"/>
      <c r="AE161"/>
      <c r="AF161"/>
      <c r="AG161"/>
      <c r="AH161" s="668"/>
    </row>
    <row r="162" spans="1:36" x14ac:dyDescent="0.2">
      <c r="A162"/>
      <c r="B162"/>
      <c r="C162"/>
      <c r="D162" s="668"/>
      <c r="E162" s="668"/>
      <c r="F162" s="668"/>
      <c r="G162" s="668"/>
      <c r="H162"/>
      <c r="I162"/>
      <c r="J162"/>
      <c r="K162"/>
      <c r="L162" s="668"/>
      <c r="M162" s="668"/>
      <c r="N162"/>
      <c r="O162"/>
      <c r="T162"/>
      <c r="U162"/>
      <c r="V162"/>
      <c r="W162"/>
      <c r="X162" s="668"/>
      <c r="Y162" s="668"/>
      <c r="Z162" s="668"/>
      <c r="AA162" s="668"/>
      <c r="AB162"/>
      <c r="AC162"/>
      <c r="AD162"/>
      <c r="AE162"/>
      <c r="AF162"/>
      <c r="AG162"/>
      <c r="AH162" s="668"/>
    </row>
    <row r="163" spans="1:36" x14ac:dyDescent="0.2">
      <c r="A163"/>
      <c r="B163"/>
      <c r="C163"/>
      <c r="D163" s="668"/>
      <c r="E163" s="668"/>
      <c r="F163" s="668"/>
      <c r="G163" s="668"/>
      <c r="H163"/>
      <c r="I163"/>
      <c r="J163"/>
      <c r="K163"/>
      <c r="L163" s="668"/>
      <c r="M163" s="668"/>
      <c r="N163"/>
      <c r="O163"/>
      <c r="P163"/>
      <c r="Q163"/>
      <c r="R163"/>
      <c r="S163"/>
      <c r="X163" s="668"/>
      <c r="Y163" s="668"/>
      <c r="Z163" s="668"/>
      <c r="AA163" s="668"/>
      <c r="AB163"/>
      <c r="AC163"/>
      <c r="AD163"/>
      <c r="AE163"/>
      <c r="AF163"/>
      <c r="AG163"/>
      <c r="AH163" s="668"/>
    </row>
    <row r="164" spans="1:36" x14ac:dyDescent="0.2">
      <c r="A164"/>
      <c r="B164"/>
      <c r="C164"/>
      <c r="D164" s="668"/>
      <c r="E164" s="668"/>
      <c r="F164" s="668"/>
      <c r="G164" s="668"/>
      <c r="H164"/>
      <c r="I164"/>
      <c r="J164"/>
      <c r="K164"/>
      <c r="L164" s="668"/>
      <c r="M164" s="668"/>
      <c r="N164"/>
      <c r="O164"/>
      <c r="P164"/>
      <c r="Q164"/>
      <c r="R164"/>
      <c r="S164"/>
      <c r="X164" s="668"/>
      <c r="Y164" s="668"/>
      <c r="Z164" s="668"/>
      <c r="AA164" s="668"/>
      <c r="AB164"/>
      <c r="AC164"/>
      <c r="AD164"/>
      <c r="AE164"/>
      <c r="AF164"/>
      <c r="AG164"/>
      <c r="AH164" s="668"/>
    </row>
    <row r="165" spans="1:36" x14ac:dyDescent="0.2">
      <c r="A165"/>
      <c r="B165"/>
      <c r="C165"/>
      <c r="D165" s="668"/>
      <c r="E165" s="668"/>
      <c r="F165" s="668"/>
      <c r="G165" s="668"/>
      <c r="H165"/>
      <c r="I165"/>
      <c r="J165"/>
      <c r="K165"/>
      <c r="L165" s="668"/>
      <c r="M165" s="668"/>
      <c r="N165"/>
      <c r="O165"/>
      <c r="P165"/>
      <c r="Q165"/>
      <c r="R165"/>
      <c r="S165"/>
      <c r="T165"/>
      <c r="U165"/>
      <c r="V165"/>
      <c r="W165"/>
      <c r="X165" s="668"/>
      <c r="Y165" s="668"/>
      <c r="Z165" s="668"/>
      <c r="AA165" s="668"/>
      <c r="AB165"/>
      <c r="AC165"/>
      <c r="AD165"/>
      <c r="AE165"/>
      <c r="AF165"/>
      <c r="AG165"/>
      <c r="AH165" s="668"/>
    </row>
    <row r="166" spans="1:36" x14ac:dyDescent="0.2">
      <c r="A166"/>
      <c r="B166"/>
      <c r="C166"/>
      <c r="D166" s="668"/>
      <c r="E166" s="668"/>
      <c r="F166" s="668"/>
      <c r="G166" s="668"/>
      <c r="H166"/>
      <c r="I166"/>
      <c r="J166"/>
      <c r="K166"/>
      <c r="L166" s="668"/>
      <c r="M166" s="668"/>
      <c r="N166"/>
      <c r="O166"/>
      <c r="P166"/>
      <c r="Q166"/>
      <c r="R166"/>
      <c r="S166"/>
      <c r="T166"/>
      <c r="U166"/>
      <c r="V166"/>
      <c r="W166"/>
      <c r="X166" s="668"/>
      <c r="Y166" s="668"/>
      <c r="Z166" s="668"/>
      <c r="AA166" s="668"/>
      <c r="AB166"/>
      <c r="AD166"/>
      <c r="AE166"/>
      <c r="AF166"/>
      <c r="AG166"/>
      <c r="AH166" s="668"/>
    </row>
    <row r="167" spans="1:36" x14ac:dyDescent="0.2">
      <c r="A167"/>
      <c r="B167"/>
      <c r="C167"/>
      <c r="D167" s="668"/>
      <c r="E167" s="668"/>
      <c r="F167" s="668"/>
      <c r="G167" s="668"/>
      <c r="H167"/>
      <c r="I167"/>
      <c r="J167"/>
      <c r="K167"/>
      <c r="L167" s="668"/>
      <c r="M167" s="668"/>
      <c r="N167"/>
      <c r="O167"/>
      <c r="P167"/>
      <c r="Q167"/>
      <c r="R167"/>
      <c r="S167"/>
      <c r="X167" s="668"/>
      <c r="Y167" s="668"/>
      <c r="Z167" s="668"/>
      <c r="AA167" s="668"/>
      <c r="AB167"/>
      <c r="AC167"/>
      <c r="AD167"/>
      <c r="AE167"/>
      <c r="AF167"/>
      <c r="AG167"/>
      <c r="AH167" s="668"/>
    </row>
    <row r="168" spans="1:36" x14ac:dyDescent="0.2">
      <c r="A168"/>
      <c r="B168"/>
      <c r="C168"/>
      <c r="D168" s="668"/>
      <c r="E168" s="668"/>
      <c r="F168" s="668"/>
      <c r="G168" s="668"/>
      <c r="H168"/>
      <c r="I168"/>
      <c r="J168"/>
      <c r="K168"/>
      <c r="L168" s="668"/>
      <c r="M168" s="668"/>
      <c r="N168"/>
      <c r="O168"/>
      <c r="P168"/>
      <c r="Q168"/>
      <c r="R168"/>
      <c r="S168"/>
      <c r="X168" s="668"/>
      <c r="Y168" s="668"/>
      <c r="Z168" s="668"/>
      <c r="AA168" s="668"/>
      <c r="AB168"/>
      <c r="AC168"/>
      <c r="AD168"/>
      <c r="AE168"/>
      <c r="AF168"/>
      <c r="AG168"/>
      <c r="AH168" s="668"/>
    </row>
    <row r="169" spans="1:36" x14ac:dyDescent="0.2">
      <c r="A169"/>
      <c r="B169"/>
      <c r="C169"/>
      <c r="D169" s="668"/>
      <c r="E169" s="668"/>
      <c r="F169" s="668"/>
      <c r="G169" s="668"/>
      <c r="H169"/>
      <c r="I169"/>
      <c r="J169"/>
      <c r="K169"/>
      <c r="L169" s="668"/>
      <c r="M169" s="668"/>
      <c r="N169"/>
      <c r="O169"/>
      <c r="P169"/>
      <c r="Q169"/>
      <c r="R169"/>
      <c r="S169"/>
      <c r="X169" s="668"/>
      <c r="Y169" s="668"/>
      <c r="Z169" s="668"/>
      <c r="AA169" s="668"/>
      <c r="AG169"/>
      <c r="AH169" s="668"/>
    </row>
    <row r="170" spans="1:36" x14ac:dyDescent="0.2">
      <c r="A170"/>
      <c r="B170"/>
      <c r="C170"/>
      <c r="D170" s="668"/>
      <c r="E170" s="668"/>
      <c r="F170" s="668"/>
      <c r="G170" s="668"/>
      <c r="H170"/>
      <c r="I170"/>
      <c r="J170"/>
      <c r="K170"/>
      <c r="L170" s="668"/>
      <c r="M170" s="668"/>
      <c r="N170"/>
      <c r="O170"/>
      <c r="P170"/>
      <c r="Q170"/>
      <c r="R170"/>
      <c r="S170"/>
      <c r="T170"/>
      <c r="U170"/>
      <c r="V170"/>
      <c r="W170"/>
      <c r="X170" s="668"/>
      <c r="Y170" s="668"/>
      <c r="Z170" s="668"/>
      <c r="AA170" s="668"/>
      <c r="AB170"/>
      <c r="AC170"/>
      <c r="AD170"/>
      <c r="AE170"/>
      <c r="AF170"/>
      <c r="AG170"/>
      <c r="AH170" s="668"/>
      <c r="AI170"/>
    </row>
    <row r="171" spans="1:36" x14ac:dyDescent="0.2">
      <c r="A171"/>
      <c r="B171"/>
      <c r="C171"/>
      <c r="D171" s="668"/>
      <c r="E171" s="668"/>
      <c r="F171" s="668"/>
      <c r="G171" s="668"/>
      <c r="H171"/>
      <c r="I171"/>
      <c r="J171"/>
      <c r="K171"/>
      <c r="L171" s="668"/>
      <c r="M171" s="668"/>
      <c r="N171"/>
      <c r="O171"/>
      <c r="P171"/>
      <c r="Q171"/>
      <c r="R171"/>
      <c r="S171"/>
      <c r="T171"/>
      <c r="U171"/>
      <c r="V171"/>
      <c r="W171"/>
      <c r="X171" s="668"/>
      <c r="Y171" s="668"/>
      <c r="Z171" s="668"/>
      <c r="AA171" s="668"/>
      <c r="AB171"/>
      <c r="AC171"/>
      <c r="AD171"/>
      <c r="AE171"/>
      <c r="AF171"/>
      <c r="AG171"/>
      <c r="AH171" s="668"/>
      <c r="AI171"/>
    </row>
    <row r="172" spans="1:36" x14ac:dyDescent="0.2">
      <c r="A172"/>
      <c r="B172"/>
      <c r="C172"/>
      <c r="D172" s="668"/>
      <c r="E172" s="668"/>
      <c r="F172" s="668"/>
      <c r="G172" s="668"/>
      <c r="H172"/>
      <c r="I172"/>
      <c r="J172"/>
      <c r="K172"/>
      <c r="L172" s="668"/>
      <c r="M172" s="668"/>
      <c r="N172"/>
      <c r="O172"/>
      <c r="P172"/>
      <c r="Q172"/>
      <c r="R172"/>
      <c r="S172"/>
      <c r="T172"/>
      <c r="U172"/>
      <c r="V172"/>
      <c r="W172"/>
      <c r="X172" s="668"/>
      <c r="Y172" s="668"/>
      <c r="Z172" s="668"/>
      <c r="AA172" s="668"/>
      <c r="AB172"/>
      <c r="AC172"/>
      <c r="AD172"/>
      <c r="AE172"/>
      <c r="AF172"/>
      <c r="AG172"/>
      <c r="AH172" s="668"/>
      <c r="AI172"/>
      <c r="AJ172"/>
    </row>
    <row r="173" spans="1:36" x14ac:dyDescent="0.2">
      <c r="A173"/>
      <c r="B173"/>
      <c r="C173"/>
      <c r="D173" s="668"/>
      <c r="E173" s="668"/>
      <c r="F173" s="668"/>
      <c r="G173" s="668"/>
      <c r="H173"/>
      <c r="I173"/>
      <c r="J173"/>
      <c r="K173"/>
      <c r="L173" s="668"/>
      <c r="M173" s="668"/>
      <c r="N173"/>
      <c r="O173"/>
      <c r="P173"/>
      <c r="Q173"/>
      <c r="R173"/>
      <c r="S173"/>
      <c r="T173"/>
      <c r="U173"/>
      <c r="V173"/>
      <c r="W173"/>
      <c r="X173" s="668"/>
      <c r="Y173" s="668"/>
      <c r="Z173" s="668"/>
      <c r="AA173" s="668"/>
      <c r="AB173"/>
      <c r="AC173"/>
      <c r="AD173"/>
      <c r="AE173"/>
      <c r="AF173"/>
      <c r="AG173"/>
      <c r="AH173" s="668"/>
      <c r="AI173"/>
      <c r="AJ173"/>
    </row>
    <row r="174" spans="1:36" x14ac:dyDescent="0.2">
      <c r="A174"/>
      <c r="B174"/>
      <c r="C174"/>
      <c r="D174" s="668"/>
      <c r="E174" s="668"/>
      <c r="F174" s="668"/>
      <c r="G174" s="668"/>
      <c r="H174"/>
      <c r="I174"/>
      <c r="J174"/>
      <c r="K174"/>
      <c r="L174" s="668"/>
      <c r="M174" s="668"/>
      <c r="N174"/>
      <c r="O174"/>
      <c r="P174"/>
      <c r="Q174"/>
      <c r="R174"/>
      <c r="S174"/>
      <c r="T174"/>
      <c r="U174"/>
      <c r="V174"/>
      <c r="W174"/>
      <c r="X174" s="668"/>
      <c r="Y174" s="668"/>
      <c r="Z174" s="668"/>
      <c r="AA174" s="668"/>
      <c r="AB174"/>
      <c r="AC174"/>
      <c r="AD174"/>
      <c r="AE174"/>
      <c r="AF174"/>
      <c r="AG174"/>
      <c r="AH174" s="668"/>
      <c r="AI174"/>
    </row>
    <row r="175" spans="1:36" x14ac:dyDescent="0.2">
      <c r="A175"/>
      <c r="B175"/>
      <c r="C175"/>
      <c r="D175" s="668"/>
      <c r="E175" s="668"/>
      <c r="F175" s="668"/>
      <c r="G175" s="668"/>
      <c r="H175"/>
      <c r="I175"/>
      <c r="J175"/>
      <c r="K175"/>
      <c r="L175" s="668"/>
      <c r="M175" s="668"/>
      <c r="N175"/>
      <c r="O175"/>
      <c r="P175"/>
      <c r="Q175"/>
      <c r="R175"/>
      <c r="S175"/>
      <c r="T175"/>
      <c r="U175"/>
      <c r="V175"/>
      <c r="W175"/>
      <c r="X175" s="668"/>
      <c r="Y175" s="668"/>
      <c r="Z175" s="668"/>
      <c r="AA175" s="668"/>
      <c r="AB175"/>
      <c r="AC175"/>
      <c r="AD175"/>
      <c r="AE175"/>
      <c r="AF175"/>
      <c r="AG175"/>
      <c r="AH175" s="668"/>
      <c r="AI175"/>
    </row>
    <row r="176" spans="1:36" x14ac:dyDescent="0.2">
      <c r="A176"/>
      <c r="B176"/>
      <c r="C176"/>
      <c r="D176" s="668"/>
      <c r="E176" s="668"/>
      <c r="F176" s="668"/>
      <c r="G176" s="668"/>
      <c r="H176"/>
      <c r="I176"/>
      <c r="J176"/>
      <c r="K176"/>
      <c r="L176" s="668"/>
      <c r="M176" s="668"/>
      <c r="N176"/>
      <c r="O176"/>
      <c r="P176"/>
      <c r="Q176"/>
      <c r="R176"/>
      <c r="S176"/>
      <c r="T176"/>
      <c r="U176"/>
      <c r="V176"/>
      <c r="W176"/>
      <c r="X176" s="668"/>
      <c r="Y176" s="668"/>
      <c r="Z176" s="668"/>
      <c r="AA176" s="668"/>
      <c r="AB176"/>
      <c r="AC176"/>
      <c r="AD176"/>
      <c r="AE176"/>
      <c r="AF176"/>
      <c r="AG176"/>
      <c r="AH176" s="668"/>
      <c r="AI176"/>
    </row>
    <row r="177" spans="1:35" x14ac:dyDescent="0.2">
      <c r="A177"/>
      <c r="B177"/>
      <c r="C177"/>
      <c r="D177" s="668"/>
      <c r="E177" s="668"/>
      <c r="F177" s="668"/>
      <c r="G177" s="668"/>
      <c r="H177"/>
      <c r="I177"/>
      <c r="J177"/>
      <c r="K177"/>
      <c r="L177" s="668"/>
      <c r="M177" s="668"/>
      <c r="N177"/>
      <c r="O177"/>
      <c r="P177"/>
      <c r="Q177"/>
      <c r="R177"/>
      <c r="S177"/>
      <c r="T177"/>
      <c r="U177"/>
      <c r="V177"/>
      <c r="W177"/>
      <c r="X177" s="668"/>
      <c r="Y177" s="668"/>
      <c r="Z177" s="668"/>
      <c r="AA177" s="668"/>
      <c r="AB177"/>
      <c r="AC177"/>
      <c r="AD177"/>
      <c r="AE177"/>
      <c r="AF177"/>
      <c r="AG177"/>
      <c r="AH177" s="668"/>
      <c r="AI177"/>
    </row>
    <row r="178" spans="1:35" x14ac:dyDescent="0.2">
      <c r="A178"/>
      <c r="B178"/>
      <c r="C178"/>
      <c r="D178" s="668"/>
      <c r="E178" s="668"/>
      <c r="F178" s="668"/>
      <c r="G178" s="668"/>
      <c r="H178"/>
      <c r="I178"/>
      <c r="J178"/>
      <c r="K178"/>
      <c r="L178" s="668"/>
      <c r="M178" s="668"/>
      <c r="N178"/>
      <c r="O178"/>
      <c r="P178"/>
      <c r="Q178"/>
      <c r="R178"/>
      <c r="S178"/>
      <c r="T178"/>
      <c r="U178"/>
      <c r="V178"/>
      <c r="W178"/>
      <c r="X178" s="668"/>
      <c r="Y178" s="668"/>
      <c r="Z178" s="668"/>
      <c r="AA178" s="668"/>
      <c r="AB178"/>
      <c r="AC178"/>
      <c r="AD178"/>
      <c r="AE178"/>
      <c r="AF178"/>
      <c r="AG178"/>
      <c r="AH178" s="668"/>
      <c r="AI178"/>
    </row>
    <row r="179" spans="1:35" x14ac:dyDescent="0.2">
      <c r="A179"/>
      <c r="B179"/>
      <c r="C179"/>
      <c r="D179" s="668"/>
      <c r="E179" s="668"/>
      <c r="F179" s="668"/>
      <c r="G179" s="668"/>
      <c r="H179"/>
      <c r="I179"/>
      <c r="J179"/>
      <c r="K179"/>
      <c r="L179" s="668"/>
      <c r="M179" s="668"/>
      <c r="N179"/>
      <c r="O179"/>
      <c r="P179"/>
      <c r="Q179"/>
      <c r="R179"/>
      <c r="S179"/>
      <c r="X179" s="668"/>
      <c r="Y179" s="668"/>
      <c r="Z179" s="668"/>
      <c r="AA179" s="668"/>
      <c r="AC179"/>
      <c r="AE179"/>
      <c r="AF179"/>
      <c r="AG179"/>
      <c r="AH179" s="668"/>
    </row>
    <row r="180" spans="1:35" x14ac:dyDescent="0.2">
      <c r="A180"/>
      <c r="B180"/>
      <c r="C180"/>
      <c r="D180" s="668"/>
      <c r="E180" s="668"/>
      <c r="F180" s="668"/>
      <c r="G180" s="668"/>
      <c r="H180"/>
      <c r="I180"/>
      <c r="J180"/>
      <c r="K180"/>
      <c r="L180" s="668"/>
      <c r="M180" s="668"/>
      <c r="N180"/>
      <c r="O180"/>
      <c r="P180"/>
      <c r="Q180"/>
      <c r="R180"/>
      <c r="S180"/>
      <c r="T180"/>
      <c r="U180"/>
      <c r="V180"/>
      <c r="W180"/>
      <c r="X180" s="668"/>
      <c r="Y180" s="668"/>
      <c r="Z180" s="668"/>
      <c r="AA180" s="668"/>
      <c r="AB180"/>
      <c r="AC180"/>
      <c r="AD180"/>
      <c r="AE180"/>
      <c r="AF180"/>
      <c r="AG180"/>
      <c r="AH180" s="668"/>
    </row>
    <row r="181" spans="1:35" x14ac:dyDescent="0.2">
      <c r="A181"/>
      <c r="B181"/>
      <c r="C181"/>
      <c r="D181" s="668"/>
      <c r="E181" s="668"/>
      <c r="F181" s="668"/>
      <c r="G181" s="668"/>
      <c r="H181"/>
      <c r="I181"/>
      <c r="J181"/>
      <c r="K181"/>
      <c r="L181" s="668"/>
      <c r="M181" s="668"/>
      <c r="N181"/>
      <c r="O181"/>
      <c r="P181"/>
      <c r="Q181"/>
      <c r="R181"/>
      <c r="S181"/>
      <c r="T181"/>
      <c r="U181"/>
      <c r="V181"/>
      <c r="W181"/>
      <c r="X181" s="668"/>
      <c r="Y181" s="668"/>
      <c r="Z181" s="668"/>
      <c r="AA181" s="668"/>
      <c r="AB181"/>
      <c r="AC181"/>
      <c r="AD181"/>
      <c r="AE181"/>
      <c r="AF181"/>
      <c r="AG181"/>
      <c r="AH181" s="668"/>
    </row>
    <row r="182" spans="1:35" x14ac:dyDescent="0.2">
      <c r="A182"/>
      <c r="B182"/>
      <c r="C182"/>
      <c r="D182" s="668"/>
      <c r="E182" s="668"/>
      <c r="F182" s="668"/>
      <c r="G182" s="668"/>
      <c r="H182"/>
      <c r="I182"/>
      <c r="J182"/>
      <c r="K182"/>
      <c r="L182" s="668"/>
      <c r="M182" s="668"/>
      <c r="N182"/>
      <c r="O182"/>
      <c r="P182"/>
      <c r="Q182"/>
      <c r="R182"/>
      <c r="S182"/>
      <c r="X182" s="668"/>
      <c r="Y182" s="668"/>
      <c r="Z182" s="668"/>
      <c r="AA182" s="668"/>
      <c r="AB182"/>
      <c r="AC182"/>
      <c r="AD182"/>
      <c r="AE182"/>
      <c r="AF182"/>
      <c r="AG182"/>
      <c r="AH182" s="668"/>
    </row>
    <row r="183" spans="1:35" x14ac:dyDescent="0.2">
      <c r="A183"/>
      <c r="B183"/>
      <c r="C183"/>
      <c r="D183" s="668"/>
      <c r="E183" s="668"/>
      <c r="F183" s="668"/>
      <c r="G183" s="668"/>
      <c r="H183"/>
      <c r="I183"/>
      <c r="J183"/>
      <c r="K183"/>
      <c r="L183" s="668"/>
      <c r="M183" s="668"/>
      <c r="N183"/>
      <c r="O183"/>
      <c r="P183"/>
      <c r="Q183"/>
      <c r="R183"/>
      <c r="S183"/>
      <c r="X183" s="668"/>
      <c r="Y183" s="668"/>
      <c r="Z183" s="668"/>
      <c r="AA183" s="668"/>
      <c r="AB183"/>
      <c r="AC183"/>
      <c r="AD183"/>
      <c r="AE183"/>
      <c r="AF183"/>
      <c r="AG183"/>
      <c r="AH183" s="668"/>
    </row>
    <row r="184" spans="1:35" x14ac:dyDescent="0.2">
      <c r="A184"/>
      <c r="B184"/>
      <c r="C184"/>
      <c r="D184" s="668"/>
      <c r="E184" s="668"/>
      <c r="F184" s="668"/>
      <c r="G184" s="668"/>
      <c r="H184"/>
      <c r="I184"/>
      <c r="J184"/>
      <c r="K184"/>
      <c r="L184" s="668"/>
      <c r="M184" s="668"/>
      <c r="N184"/>
      <c r="O184"/>
      <c r="P184"/>
      <c r="Q184"/>
      <c r="R184"/>
      <c r="S184"/>
      <c r="X184" s="668"/>
      <c r="Y184" s="668"/>
      <c r="Z184" s="668"/>
      <c r="AA184" s="668"/>
      <c r="AB184"/>
      <c r="AC184"/>
      <c r="AD184"/>
      <c r="AE184"/>
      <c r="AF184"/>
      <c r="AG184"/>
      <c r="AH184" s="668"/>
    </row>
    <row r="185" spans="1:35" x14ac:dyDescent="0.2">
      <c r="A185"/>
      <c r="B185"/>
      <c r="C185"/>
      <c r="D185" s="668"/>
      <c r="E185" s="668"/>
      <c r="F185" s="668"/>
      <c r="G185" s="668"/>
      <c r="H185"/>
      <c r="I185"/>
      <c r="J185"/>
      <c r="L185" s="668"/>
      <c r="M185" s="668"/>
      <c r="N185"/>
      <c r="O185"/>
      <c r="P185"/>
      <c r="Q185"/>
      <c r="R185"/>
      <c r="S185"/>
      <c r="T185"/>
      <c r="U185"/>
      <c r="V185"/>
      <c r="W185"/>
      <c r="X185" s="668"/>
      <c r="Y185" s="668"/>
      <c r="Z185" s="668"/>
      <c r="AA185" s="668"/>
      <c r="AB185"/>
      <c r="AC185"/>
      <c r="AD185"/>
      <c r="AE185"/>
      <c r="AF185"/>
      <c r="AG185"/>
      <c r="AH185" s="668"/>
    </row>
    <row r="186" spans="1:35" x14ac:dyDescent="0.2">
      <c r="A186"/>
      <c r="B186"/>
      <c r="C186"/>
      <c r="D186" s="668"/>
      <c r="E186" s="668"/>
      <c r="F186" s="668"/>
      <c r="G186" s="668"/>
      <c r="H186"/>
      <c r="I186"/>
      <c r="J186"/>
      <c r="K186"/>
      <c r="L186" s="668"/>
      <c r="M186" s="668"/>
      <c r="N186"/>
      <c r="O186"/>
      <c r="P186"/>
      <c r="Q186"/>
      <c r="R186"/>
      <c r="S186"/>
      <c r="T186"/>
      <c r="U186"/>
      <c r="V186"/>
      <c r="W186"/>
      <c r="X186" s="668"/>
      <c r="Y186" s="668"/>
      <c r="Z186" s="668"/>
      <c r="AA186" s="668"/>
      <c r="AB186"/>
      <c r="AC186"/>
      <c r="AD186"/>
      <c r="AE186"/>
      <c r="AF186"/>
      <c r="AG186"/>
      <c r="AH186" s="668"/>
    </row>
    <row r="187" spans="1:35" x14ac:dyDescent="0.2">
      <c r="A187"/>
      <c r="B187"/>
      <c r="C187"/>
      <c r="D187" s="668"/>
      <c r="E187" s="668"/>
      <c r="F187" s="668"/>
      <c r="G187" s="668"/>
      <c r="H187"/>
      <c r="I187"/>
      <c r="J187"/>
      <c r="K187"/>
      <c r="L187" s="668"/>
      <c r="M187" s="668"/>
      <c r="N187"/>
      <c r="O187"/>
      <c r="P187"/>
      <c r="Q187"/>
      <c r="R187"/>
      <c r="S187"/>
      <c r="T187"/>
      <c r="U187"/>
      <c r="V187"/>
      <c r="W187"/>
      <c r="X187" s="668"/>
      <c r="Y187" s="668"/>
      <c r="Z187" s="668"/>
      <c r="AA187" s="668"/>
      <c r="AB187"/>
      <c r="AC187"/>
      <c r="AD187"/>
      <c r="AE187"/>
      <c r="AF187"/>
      <c r="AG187"/>
      <c r="AH187" s="668"/>
    </row>
    <row r="188" spans="1:35" x14ac:dyDescent="0.2">
      <c r="A188"/>
      <c r="B188"/>
      <c r="C188"/>
      <c r="D188" s="668"/>
      <c r="E188" s="668"/>
      <c r="F188" s="668"/>
      <c r="G188" s="668"/>
      <c r="H188"/>
      <c r="I188"/>
      <c r="J188"/>
      <c r="K188"/>
      <c r="L188" s="668"/>
      <c r="M188" s="668"/>
      <c r="N188"/>
      <c r="P188"/>
      <c r="Q188"/>
      <c r="R188"/>
      <c r="S188"/>
      <c r="T188"/>
      <c r="U188"/>
      <c r="V188"/>
      <c r="W188"/>
      <c r="X188" s="668"/>
      <c r="Y188" s="668"/>
      <c r="Z188" s="668"/>
      <c r="AA188" s="668"/>
      <c r="AE188"/>
      <c r="AF188"/>
      <c r="AG188"/>
      <c r="AH188" s="668"/>
    </row>
    <row r="189" spans="1:35" x14ac:dyDescent="0.2">
      <c r="A189"/>
      <c r="B189"/>
      <c r="C189"/>
      <c r="D189" s="668"/>
      <c r="E189" s="668"/>
      <c r="F189" s="668"/>
      <c r="G189" s="668"/>
      <c r="H189"/>
      <c r="I189"/>
      <c r="J189"/>
      <c r="K189"/>
      <c r="L189" s="668"/>
      <c r="M189" s="668"/>
      <c r="N189"/>
      <c r="O189"/>
      <c r="P189"/>
      <c r="Q189"/>
      <c r="R189"/>
      <c r="S189"/>
      <c r="T189"/>
      <c r="U189"/>
      <c r="V189"/>
      <c r="W189"/>
      <c r="X189" s="668"/>
      <c r="Y189" s="668"/>
      <c r="Z189" s="668"/>
      <c r="AA189" s="668"/>
      <c r="AB189"/>
      <c r="AC189"/>
      <c r="AD189"/>
      <c r="AE189"/>
      <c r="AF189"/>
      <c r="AG189"/>
      <c r="AH189" s="668"/>
    </row>
    <row r="190" spans="1:35" x14ac:dyDescent="0.2">
      <c r="A190"/>
      <c r="B190"/>
      <c r="C190"/>
      <c r="D190" s="668"/>
      <c r="E190" s="668"/>
      <c r="F190" s="668"/>
      <c r="G190" s="668"/>
      <c r="H190"/>
      <c r="I190"/>
      <c r="J190"/>
      <c r="K190"/>
      <c r="L190" s="668"/>
      <c r="M190" s="668"/>
      <c r="N190"/>
      <c r="O190"/>
      <c r="P190"/>
      <c r="Q190"/>
      <c r="R190"/>
      <c r="S190"/>
      <c r="T190"/>
      <c r="U190"/>
      <c r="V190"/>
      <c r="W190"/>
      <c r="X190" s="668"/>
      <c r="Y190" s="668"/>
      <c r="Z190" s="668"/>
      <c r="AA190" s="668"/>
      <c r="AB190"/>
      <c r="AC190"/>
      <c r="AD190"/>
      <c r="AE190"/>
      <c r="AF190"/>
      <c r="AG190"/>
      <c r="AH190" s="668"/>
    </row>
    <row r="191" spans="1:35" x14ac:dyDescent="0.2">
      <c r="A191"/>
      <c r="B191"/>
      <c r="C191"/>
      <c r="D191" s="668"/>
      <c r="E191" s="668"/>
      <c r="F191" s="668"/>
      <c r="G191" s="668"/>
      <c r="H191"/>
      <c r="I191"/>
      <c r="J191"/>
      <c r="K191"/>
      <c r="L191" s="668"/>
      <c r="M191" s="668"/>
      <c r="N191"/>
      <c r="O191"/>
      <c r="P191"/>
      <c r="Q191"/>
      <c r="R191"/>
      <c r="S191"/>
      <c r="T191"/>
      <c r="U191"/>
      <c r="V191"/>
      <c r="W191"/>
      <c r="X191" s="668"/>
      <c r="Y191" s="668"/>
      <c r="Z191" s="668"/>
      <c r="AA191" s="668"/>
      <c r="AB191"/>
      <c r="AC191"/>
      <c r="AD191"/>
      <c r="AE191"/>
      <c r="AF191"/>
      <c r="AG191"/>
      <c r="AH191" s="668"/>
    </row>
    <row r="192" spans="1:35" x14ac:dyDescent="0.2">
      <c r="A192"/>
      <c r="B192"/>
      <c r="C192"/>
      <c r="D192" s="668"/>
      <c r="E192" s="668"/>
      <c r="F192" s="668"/>
      <c r="G192" s="668"/>
      <c r="H192"/>
      <c r="I192"/>
      <c r="J192"/>
      <c r="K192"/>
      <c r="L192" s="668"/>
      <c r="M192" s="668"/>
      <c r="N192"/>
      <c r="O192"/>
      <c r="P192"/>
      <c r="Q192"/>
      <c r="R192"/>
      <c r="S192"/>
      <c r="X192" s="668"/>
      <c r="Y192" s="668"/>
      <c r="Z192" s="668"/>
      <c r="AA192" s="668"/>
      <c r="AB192"/>
      <c r="AC192"/>
      <c r="AD192"/>
      <c r="AE192"/>
      <c r="AF192"/>
      <c r="AG192"/>
      <c r="AH192" s="668"/>
    </row>
    <row r="193" spans="1:34" x14ac:dyDescent="0.2">
      <c r="A193"/>
      <c r="B193"/>
      <c r="C193"/>
      <c r="D193" s="668"/>
      <c r="E193" s="668"/>
      <c r="F193" s="668"/>
      <c r="G193" s="668"/>
      <c r="H193"/>
      <c r="I193"/>
      <c r="J193"/>
      <c r="K193"/>
      <c r="L193" s="668"/>
      <c r="M193" s="668"/>
      <c r="N193"/>
      <c r="O193"/>
      <c r="P193"/>
      <c r="Q193"/>
      <c r="R193"/>
      <c r="S193"/>
      <c r="X193" s="668"/>
      <c r="Y193" s="668"/>
      <c r="Z193" s="668"/>
      <c r="AA193" s="668"/>
      <c r="AB193"/>
      <c r="AC193"/>
      <c r="AD193"/>
      <c r="AE193"/>
      <c r="AF193"/>
      <c r="AG193"/>
      <c r="AH193" s="668"/>
    </row>
    <row r="194" spans="1:34" x14ac:dyDescent="0.2">
      <c r="A194"/>
      <c r="B194"/>
      <c r="C194"/>
      <c r="D194" s="668"/>
      <c r="E194" s="668"/>
      <c r="F194" s="668"/>
      <c r="G194" s="668"/>
      <c r="H194"/>
      <c r="I194"/>
      <c r="J194"/>
      <c r="K194"/>
      <c r="L194" s="668"/>
      <c r="M194" s="668"/>
      <c r="N194"/>
      <c r="O194"/>
      <c r="P194"/>
      <c r="Q194"/>
      <c r="R194"/>
      <c r="S194"/>
      <c r="T194"/>
      <c r="U194"/>
      <c r="V194"/>
      <c r="W194"/>
      <c r="X194" s="668"/>
      <c r="Y194" s="668"/>
      <c r="Z194" s="668"/>
      <c r="AA194" s="668"/>
      <c r="AB194"/>
      <c r="AC194"/>
      <c r="AD194"/>
      <c r="AE194"/>
      <c r="AF194"/>
      <c r="AG194"/>
      <c r="AH194" s="668"/>
    </row>
    <row r="195" spans="1:34" x14ac:dyDescent="0.2">
      <c r="A195"/>
      <c r="B195"/>
      <c r="C195"/>
      <c r="D195" s="668"/>
      <c r="E195" s="668"/>
      <c r="F195" s="668"/>
      <c r="G195" s="668"/>
      <c r="H195"/>
      <c r="I195"/>
      <c r="J195"/>
      <c r="K195"/>
      <c r="L195" s="668"/>
      <c r="M195" s="668"/>
      <c r="N195"/>
      <c r="O195"/>
      <c r="P195"/>
      <c r="Q195"/>
      <c r="R195"/>
      <c r="S195"/>
      <c r="W195"/>
      <c r="X195" s="668"/>
      <c r="Y195" s="668"/>
      <c r="Z195" s="668"/>
      <c r="AA195" s="668"/>
      <c r="AB195"/>
      <c r="AC195"/>
      <c r="AD195"/>
      <c r="AE195"/>
      <c r="AF195"/>
      <c r="AG195"/>
      <c r="AH195" s="668"/>
    </row>
    <row r="196" spans="1:34" x14ac:dyDescent="0.2">
      <c r="A196"/>
      <c r="B196"/>
      <c r="C196"/>
      <c r="D196" s="668"/>
      <c r="E196" s="668"/>
      <c r="F196" s="668"/>
      <c r="G196" s="668"/>
      <c r="H196"/>
      <c r="I196"/>
      <c r="J196"/>
      <c r="K196"/>
      <c r="L196" s="668"/>
      <c r="M196" s="668"/>
      <c r="N196"/>
      <c r="O196"/>
      <c r="P196"/>
      <c r="Q196"/>
      <c r="R196"/>
      <c r="S196"/>
      <c r="W196"/>
      <c r="X196" s="668"/>
      <c r="Y196" s="668"/>
      <c r="Z196" s="668"/>
      <c r="AA196" s="668"/>
      <c r="AB196"/>
      <c r="AD196"/>
      <c r="AE196"/>
      <c r="AF196"/>
      <c r="AG196"/>
      <c r="AH196" s="668"/>
    </row>
    <row r="197" spans="1:34" x14ac:dyDescent="0.2">
      <c r="A197"/>
      <c r="B197"/>
      <c r="C197"/>
      <c r="D197" s="668"/>
      <c r="E197" s="668"/>
      <c r="F197" s="668"/>
      <c r="G197" s="668"/>
      <c r="H197"/>
      <c r="I197"/>
      <c r="J197"/>
      <c r="K197"/>
      <c r="L197" s="668"/>
      <c r="M197" s="668"/>
      <c r="N197"/>
      <c r="O197"/>
      <c r="P197"/>
      <c r="Q197"/>
      <c r="R197"/>
      <c r="S197"/>
      <c r="W197"/>
      <c r="X197" s="668"/>
      <c r="Y197" s="668"/>
      <c r="Z197" s="668"/>
      <c r="AA197" s="668"/>
      <c r="AB197"/>
      <c r="AC197"/>
      <c r="AD197"/>
      <c r="AE197"/>
      <c r="AF197"/>
      <c r="AG197"/>
      <c r="AH197" s="668"/>
    </row>
    <row r="198" spans="1:34" x14ac:dyDescent="0.2">
      <c r="A198"/>
      <c r="B198"/>
      <c r="C198"/>
      <c r="D198" s="668"/>
      <c r="E198" s="668"/>
      <c r="F198" s="668"/>
      <c r="G198" s="668"/>
      <c r="H198"/>
      <c r="I198"/>
      <c r="J198"/>
      <c r="K198"/>
      <c r="L198" s="668"/>
      <c r="M198" s="668"/>
      <c r="N198"/>
      <c r="O198"/>
      <c r="P198"/>
      <c r="Q198"/>
      <c r="R198"/>
      <c r="S198"/>
      <c r="T198"/>
      <c r="U198"/>
      <c r="V198"/>
      <c r="W198"/>
      <c r="X198" s="668"/>
      <c r="Y198" s="668"/>
      <c r="Z198" s="668"/>
      <c r="AA198" s="668"/>
      <c r="AB198"/>
      <c r="AC198"/>
      <c r="AD198"/>
      <c r="AE198"/>
      <c r="AF198"/>
      <c r="AG198"/>
      <c r="AH198" s="668"/>
    </row>
    <row r="199" spans="1:34" x14ac:dyDescent="0.2">
      <c r="A199"/>
      <c r="B199"/>
      <c r="C199"/>
      <c r="D199" s="668"/>
      <c r="E199" s="668"/>
      <c r="F199" s="668"/>
      <c r="G199" s="668"/>
      <c r="H199"/>
      <c r="I199"/>
      <c r="J199"/>
      <c r="K199"/>
      <c r="L199" s="668"/>
      <c r="M199" s="668"/>
      <c r="N199"/>
      <c r="O199"/>
      <c r="P199"/>
      <c r="Q199"/>
      <c r="R199"/>
      <c r="S199"/>
      <c r="W199"/>
      <c r="X199" s="668"/>
      <c r="Y199" s="668"/>
      <c r="Z199" s="668"/>
      <c r="AA199" s="668"/>
      <c r="AB199"/>
      <c r="AC199"/>
      <c r="AD199"/>
      <c r="AE199"/>
      <c r="AF199"/>
      <c r="AG199"/>
      <c r="AH199" s="668"/>
    </row>
    <row r="200" spans="1:34" x14ac:dyDescent="0.2">
      <c r="A200"/>
      <c r="B200"/>
      <c r="C200"/>
      <c r="D200" s="668"/>
      <c r="E200" s="668"/>
      <c r="F200" s="668"/>
      <c r="G200" s="668"/>
      <c r="H200"/>
      <c r="I200"/>
      <c r="J200"/>
      <c r="K200"/>
      <c r="L200" s="668"/>
      <c r="M200" s="668"/>
      <c r="N200"/>
      <c r="O200"/>
      <c r="P200"/>
      <c r="Q200"/>
      <c r="R200"/>
      <c r="S200"/>
      <c r="W200"/>
      <c r="X200" s="668"/>
      <c r="Y200" s="668"/>
      <c r="Z200" s="668"/>
      <c r="AA200" s="668"/>
      <c r="AB200"/>
      <c r="AC200"/>
      <c r="AD200"/>
      <c r="AE200"/>
      <c r="AF200"/>
      <c r="AG200"/>
      <c r="AH200" s="668"/>
    </row>
    <row r="201" spans="1:34" x14ac:dyDescent="0.2">
      <c r="A201"/>
      <c r="B201"/>
      <c r="C201"/>
      <c r="D201" s="668"/>
      <c r="E201" s="668"/>
      <c r="F201" s="668"/>
      <c r="G201" s="668"/>
      <c r="H201"/>
      <c r="I201"/>
      <c r="J201"/>
      <c r="K201"/>
      <c r="L201" s="668"/>
      <c r="M201" s="668"/>
      <c r="N201"/>
      <c r="O201"/>
      <c r="P201"/>
      <c r="Q201"/>
      <c r="R201"/>
      <c r="S201"/>
      <c r="W201"/>
      <c r="X201" s="668"/>
      <c r="Y201" s="668"/>
      <c r="Z201" s="668"/>
      <c r="AA201" s="668"/>
      <c r="AB201"/>
      <c r="AC201"/>
      <c r="AD201"/>
      <c r="AE201"/>
      <c r="AF201"/>
      <c r="AG201"/>
      <c r="AH201" s="668"/>
    </row>
    <row r="202" spans="1:34" x14ac:dyDescent="0.2">
      <c r="A202"/>
      <c r="B202"/>
      <c r="C202"/>
      <c r="D202" s="668"/>
      <c r="E202" s="668"/>
      <c r="F202" s="668"/>
      <c r="G202" s="668"/>
      <c r="H202"/>
      <c r="I202"/>
      <c r="J202"/>
      <c r="K202"/>
      <c r="L202" s="668"/>
      <c r="M202" s="668"/>
      <c r="N202"/>
      <c r="O202"/>
      <c r="P202"/>
      <c r="Q202"/>
      <c r="R202"/>
      <c r="S202"/>
      <c r="X202" s="668"/>
      <c r="Y202" s="668"/>
      <c r="Z202" s="668"/>
      <c r="AA202" s="668"/>
      <c r="AB202"/>
      <c r="AC202"/>
      <c r="AD202"/>
      <c r="AE202"/>
      <c r="AF202"/>
      <c r="AG202"/>
      <c r="AH202" s="668"/>
    </row>
    <row r="203" spans="1:34" x14ac:dyDescent="0.2">
      <c r="A203"/>
      <c r="B203"/>
      <c r="C203"/>
      <c r="D203" s="668"/>
      <c r="E203" s="668"/>
      <c r="F203" s="668"/>
      <c r="G203" s="668"/>
      <c r="H203"/>
      <c r="I203"/>
      <c r="J203"/>
      <c r="K203"/>
      <c r="L203" s="668"/>
      <c r="M203" s="668"/>
      <c r="N203"/>
      <c r="O203"/>
      <c r="P203"/>
      <c r="Q203"/>
      <c r="R203"/>
      <c r="S203"/>
      <c r="W203"/>
      <c r="X203" s="668"/>
      <c r="Y203" s="668"/>
      <c r="Z203" s="668"/>
      <c r="AA203" s="668"/>
      <c r="AB203"/>
      <c r="AC203"/>
      <c r="AD203"/>
      <c r="AE203"/>
      <c r="AF203"/>
      <c r="AG203"/>
      <c r="AH203" s="668"/>
    </row>
    <row r="204" spans="1:34" x14ac:dyDescent="0.2">
      <c r="A204"/>
      <c r="B204"/>
      <c r="C204"/>
      <c r="D204" s="668"/>
      <c r="E204" s="668"/>
      <c r="F204" s="668"/>
      <c r="G204" s="668"/>
      <c r="H204"/>
      <c r="I204"/>
      <c r="J204"/>
      <c r="K204"/>
      <c r="L204" s="668"/>
      <c r="M204" s="668"/>
      <c r="N204"/>
      <c r="O204"/>
      <c r="P204"/>
      <c r="Q204"/>
      <c r="R204"/>
      <c r="S204"/>
      <c r="T204"/>
      <c r="U204"/>
      <c r="V204"/>
      <c r="W204"/>
      <c r="X204" s="668"/>
      <c r="Y204" s="668"/>
      <c r="Z204" s="668"/>
      <c r="AA204" s="668"/>
      <c r="AB204"/>
      <c r="AC204"/>
      <c r="AD204"/>
      <c r="AE204"/>
      <c r="AF204"/>
      <c r="AG204"/>
      <c r="AH204" s="668"/>
    </row>
    <row r="205" spans="1:34" x14ac:dyDescent="0.2">
      <c r="A205"/>
      <c r="B205"/>
      <c r="C205"/>
      <c r="D205" s="668"/>
      <c r="E205" s="668"/>
      <c r="F205" s="668"/>
      <c r="G205" s="668"/>
      <c r="H205"/>
      <c r="I205"/>
      <c r="J205"/>
      <c r="K205"/>
      <c r="L205" s="668"/>
      <c r="M205" s="668"/>
      <c r="N205"/>
      <c r="O205"/>
      <c r="S205"/>
      <c r="W205"/>
      <c r="X205" s="668"/>
      <c r="Y205" s="668"/>
      <c r="Z205" s="668"/>
      <c r="AA205" s="668"/>
      <c r="AB205"/>
      <c r="AC205"/>
      <c r="AD205"/>
      <c r="AE205"/>
      <c r="AF205"/>
      <c r="AG205"/>
      <c r="AH205" s="668"/>
    </row>
    <row r="206" spans="1:34" x14ac:dyDescent="0.2">
      <c r="A206"/>
      <c r="B206"/>
      <c r="C206"/>
      <c r="D206" s="668"/>
      <c r="E206" s="668"/>
      <c r="F206" s="668"/>
      <c r="G206" s="668"/>
      <c r="H206"/>
      <c r="I206"/>
      <c r="J206"/>
      <c r="L206" s="668"/>
      <c r="M206" s="668"/>
      <c r="N206"/>
      <c r="O206"/>
      <c r="T206"/>
      <c r="U206"/>
      <c r="V206"/>
      <c r="X206" s="668"/>
      <c r="Y206" s="668"/>
      <c r="Z206" s="668"/>
      <c r="AA206" s="668"/>
      <c r="AB206"/>
      <c r="AC206"/>
      <c r="AD206"/>
      <c r="AE206"/>
      <c r="AF206"/>
      <c r="AG206"/>
      <c r="AH206" s="668"/>
    </row>
    <row r="207" spans="1:34" x14ac:dyDescent="0.2">
      <c r="A207"/>
      <c r="B207"/>
      <c r="C207"/>
      <c r="D207" s="668"/>
      <c r="E207" s="668"/>
      <c r="F207" s="668"/>
      <c r="G207" s="668"/>
      <c r="H207"/>
      <c r="I207"/>
      <c r="J207"/>
      <c r="L207" s="668"/>
      <c r="M207" s="668"/>
      <c r="N207"/>
      <c r="O207"/>
      <c r="T207"/>
      <c r="U207"/>
      <c r="V207"/>
      <c r="X207" s="668"/>
      <c r="Y207" s="668"/>
      <c r="Z207" s="668"/>
      <c r="AA207" s="668"/>
      <c r="AB207"/>
      <c r="AC207"/>
      <c r="AD207"/>
      <c r="AE207"/>
      <c r="AF207"/>
      <c r="AG207"/>
      <c r="AH207" s="668"/>
    </row>
    <row r="208" spans="1:34" x14ac:dyDescent="0.2">
      <c r="A208"/>
      <c r="B208"/>
      <c r="C208"/>
      <c r="D208" s="668"/>
      <c r="E208" s="668"/>
      <c r="F208" s="668"/>
      <c r="G208" s="668"/>
      <c r="H208"/>
      <c r="I208"/>
      <c r="J208"/>
      <c r="L208" s="668"/>
      <c r="M208" s="668"/>
      <c r="N208"/>
      <c r="O208"/>
      <c r="T208"/>
      <c r="U208"/>
      <c r="V208"/>
      <c r="X208" s="668"/>
      <c r="Y208" s="668"/>
      <c r="Z208" s="668"/>
      <c r="AA208" s="668"/>
      <c r="AB208"/>
      <c r="AC208"/>
      <c r="AD208"/>
      <c r="AE208"/>
      <c r="AF208"/>
      <c r="AG208"/>
      <c r="AH208" s="668"/>
    </row>
    <row r="209" spans="1:34" x14ac:dyDescent="0.2">
      <c r="A209"/>
      <c r="B209"/>
      <c r="C209"/>
      <c r="D209" s="668"/>
      <c r="E209" s="668"/>
      <c r="F209" s="668"/>
      <c r="G209" s="668"/>
      <c r="H209"/>
      <c r="I209"/>
      <c r="J209"/>
      <c r="K209"/>
      <c r="L209" s="668"/>
      <c r="M209" s="668"/>
      <c r="O209"/>
      <c r="P209"/>
      <c r="Q209"/>
      <c r="R209"/>
      <c r="S209"/>
      <c r="X209" s="668"/>
      <c r="Y209" s="668"/>
      <c r="Z209" s="668"/>
      <c r="AA209" s="668"/>
      <c r="AB209"/>
      <c r="AC209"/>
      <c r="AD209"/>
      <c r="AE209"/>
      <c r="AF209"/>
      <c r="AG209"/>
      <c r="AH209" s="668"/>
    </row>
    <row r="210" spans="1:34" x14ac:dyDescent="0.2">
      <c r="A210"/>
      <c r="B210"/>
      <c r="C210"/>
      <c r="D210" s="668"/>
      <c r="E210" s="668"/>
      <c r="F210" s="668"/>
      <c r="G210" s="668"/>
      <c r="H210"/>
      <c r="I210"/>
      <c r="J210"/>
      <c r="K210"/>
      <c r="L210" s="668"/>
      <c r="M210" s="668"/>
      <c r="N210"/>
      <c r="O210"/>
      <c r="P210"/>
      <c r="Q210"/>
      <c r="R210"/>
      <c r="S210"/>
      <c r="X210" s="668"/>
      <c r="Y210" s="668"/>
      <c r="Z210" s="668"/>
      <c r="AA210" s="668"/>
      <c r="AB210"/>
      <c r="AC210"/>
      <c r="AD210"/>
      <c r="AE210"/>
      <c r="AF210"/>
      <c r="AG210"/>
      <c r="AH210" s="668"/>
    </row>
    <row r="211" spans="1:34" x14ac:dyDescent="0.2">
      <c r="A211"/>
      <c r="B211"/>
      <c r="C211"/>
      <c r="D211" s="668"/>
      <c r="E211" s="668"/>
      <c r="F211" s="668"/>
      <c r="G211" s="668"/>
      <c r="H211"/>
      <c r="I211"/>
      <c r="J211"/>
      <c r="K211"/>
      <c r="L211" s="668"/>
      <c r="M211" s="668"/>
      <c r="N211"/>
      <c r="O211"/>
      <c r="P211"/>
      <c r="Q211"/>
      <c r="R211"/>
      <c r="S211"/>
      <c r="X211" s="668"/>
      <c r="Y211" s="668"/>
      <c r="Z211" s="668"/>
      <c r="AA211" s="668"/>
      <c r="AB211"/>
      <c r="AC211"/>
      <c r="AD211"/>
      <c r="AE211"/>
      <c r="AF211"/>
      <c r="AG211"/>
      <c r="AH211" s="668"/>
    </row>
    <row r="212" spans="1:34" x14ac:dyDescent="0.2">
      <c r="A212"/>
      <c r="B212"/>
      <c r="C212"/>
      <c r="D212" s="668"/>
      <c r="E212" s="668"/>
      <c r="F212" s="668"/>
      <c r="G212" s="668"/>
      <c r="H212"/>
      <c r="I212"/>
      <c r="J212"/>
      <c r="K212"/>
      <c r="L212" s="668"/>
      <c r="M212" s="668"/>
      <c r="N212"/>
      <c r="O212"/>
      <c r="P212"/>
      <c r="Q212"/>
      <c r="R212"/>
      <c r="S212"/>
      <c r="X212" s="668"/>
      <c r="Y212" s="668"/>
      <c r="Z212" s="668"/>
      <c r="AA212" s="668"/>
      <c r="AC212"/>
      <c r="AD212"/>
      <c r="AE212"/>
      <c r="AF212"/>
      <c r="AG212"/>
      <c r="AH212" s="668"/>
    </row>
    <row r="213" spans="1:34" x14ac:dyDescent="0.2">
      <c r="A213"/>
      <c r="B213"/>
      <c r="C213"/>
      <c r="D213" s="668"/>
      <c r="E213" s="668"/>
      <c r="F213" s="668"/>
      <c r="G213" s="668"/>
      <c r="H213"/>
      <c r="I213"/>
      <c r="J213"/>
      <c r="K213"/>
      <c r="L213" s="668"/>
      <c r="M213" s="668"/>
      <c r="N213"/>
      <c r="O213"/>
      <c r="P213"/>
      <c r="Q213"/>
      <c r="R213"/>
      <c r="S213"/>
      <c r="T213"/>
      <c r="U213"/>
      <c r="V213"/>
      <c r="W213"/>
      <c r="X213" s="668"/>
      <c r="Y213" s="668"/>
      <c r="Z213" s="668"/>
      <c r="AA213" s="668"/>
      <c r="AG213"/>
      <c r="AH213" s="668"/>
    </row>
    <row r="214" spans="1:34" x14ac:dyDescent="0.2">
      <c r="A214"/>
      <c r="B214"/>
      <c r="C214"/>
      <c r="D214" s="668"/>
      <c r="E214" s="668"/>
      <c r="F214" s="668"/>
      <c r="G214" s="668"/>
      <c r="H214"/>
      <c r="I214"/>
      <c r="J214"/>
      <c r="K214"/>
      <c r="L214" s="668"/>
      <c r="M214" s="668"/>
      <c r="N214"/>
      <c r="O214"/>
      <c r="P214"/>
      <c r="Q214"/>
      <c r="R214"/>
      <c r="S214"/>
      <c r="T214"/>
      <c r="U214"/>
      <c r="V214"/>
      <c r="W214"/>
      <c r="X214" s="668"/>
      <c r="Y214" s="668"/>
      <c r="Z214" s="668"/>
      <c r="AA214" s="668"/>
      <c r="AB214"/>
      <c r="AC214"/>
      <c r="AD214"/>
      <c r="AE214"/>
      <c r="AF214"/>
      <c r="AG214"/>
      <c r="AH214" s="668"/>
    </row>
    <row r="215" spans="1:34" x14ac:dyDescent="0.2">
      <c r="A215"/>
      <c r="B215"/>
      <c r="C215"/>
      <c r="D215" s="668"/>
      <c r="E215" s="668"/>
      <c r="F215" s="668"/>
      <c r="G215" s="668"/>
      <c r="H215"/>
      <c r="I215"/>
      <c r="J215"/>
      <c r="K215"/>
      <c r="L215" s="668"/>
      <c r="M215" s="668"/>
      <c r="N215"/>
      <c r="O215"/>
      <c r="P215"/>
      <c r="Q215"/>
      <c r="R215"/>
      <c r="S215"/>
      <c r="T215"/>
      <c r="U215"/>
      <c r="V215"/>
      <c r="W215"/>
      <c r="X215" s="668"/>
      <c r="Y215" s="668"/>
      <c r="Z215" s="668"/>
      <c r="AA215" s="668"/>
      <c r="AB215"/>
      <c r="AC215"/>
      <c r="AD215"/>
      <c r="AE215"/>
      <c r="AF215"/>
      <c r="AG215"/>
      <c r="AH215" s="668"/>
    </row>
    <row r="216" spans="1:34" x14ac:dyDescent="0.2">
      <c r="A216"/>
      <c r="B216"/>
      <c r="C216"/>
      <c r="D216" s="668"/>
      <c r="E216" s="668"/>
      <c r="F216" s="668"/>
      <c r="G216" s="668"/>
      <c r="H216"/>
      <c r="I216"/>
      <c r="J216"/>
      <c r="K216"/>
      <c r="L216" s="668"/>
      <c r="M216" s="668"/>
      <c r="N216"/>
      <c r="O216"/>
      <c r="P216"/>
      <c r="Q216"/>
      <c r="R216"/>
      <c r="S216"/>
      <c r="V216"/>
      <c r="X216" s="668"/>
      <c r="Y216" s="668"/>
      <c r="Z216" s="668"/>
      <c r="AA216" s="668"/>
      <c r="AB216"/>
      <c r="AC216"/>
      <c r="AD216"/>
      <c r="AE216"/>
      <c r="AF216"/>
      <c r="AG216"/>
      <c r="AH216" s="668"/>
    </row>
    <row r="217" spans="1:34" x14ac:dyDescent="0.2">
      <c r="A217"/>
      <c r="B217"/>
      <c r="C217"/>
      <c r="D217" s="668"/>
      <c r="E217" s="668"/>
      <c r="F217" s="668"/>
      <c r="G217" s="668"/>
      <c r="H217"/>
      <c r="I217"/>
      <c r="J217"/>
      <c r="K217"/>
      <c r="L217" s="668"/>
      <c r="M217" s="668"/>
      <c r="N217"/>
      <c r="O217"/>
      <c r="P217"/>
      <c r="Q217"/>
      <c r="R217"/>
      <c r="S217"/>
      <c r="T217"/>
      <c r="U217"/>
      <c r="V217"/>
      <c r="W217"/>
      <c r="X217" s="668"/>
      <c r="Y217" s="668"/>
      <c r="Z217" s="668"/>
      <c r="AA217" s="668"/>
      <c r="AB217"/>
      <c r="AC217"/>
      <c r="AD217"/>
      <c r="AE217"/>
      <c r="AF217"/>
      <c r="AG217"/>
      <c r="AH217" s="668"/>
    </row>
    <row r="218" spans="1:34" x14ac:dyDescent="0.2">
      <c r="A218"/>
      <c r="B218"/>
      <c r="C218"/>
      <c r="D218" s="668"/>
      <c r="E218" s="668"/>
      <c r="F218" s="668"/>
      <c r="G218" s="668"/>
      <c r="I218"/>
      <c r="J218"/>
      <c r="K218"/>
      <c r="L218" s="668"/>
      <c r="M218" s="668"/>
      <c r="N218"/>
      <c r="O218"/>
      <c r="P218"/>
      <c r="Q218"/>
      <c r="R218"/>
      <c r="S218"/>
      <c r="T218"/>
      <c r="U218"/>
      <c r="V218"/>
      <c r="W218"/>
      <c r="X218" s="668"/>
      <c r="Y218" s="668"/>
      <c r="Z218" s="668"/>
      <c r="AA218" s="668"/>
      <c r="AB218"/>
      <c r="AC218"/>
      <c r="AD218"/>
      <c r="AE218"/>
      <c r="AF218"/>
      <c r="AG218"/>
      <c r="AH218" s="668"/>
    </row>
    <row r="219" spans="1:34" x14ac:dyDescent="0.2">
      <c r="A219"/>
      <c r="B219"/>
      <c r="C219"/>
      <c r="D219" s="668"/>
      <c r="E219" s="668"/>
      <c r="F219" s="668"/>
      <c r="G219" s="668"/>
      <c r="H219"/>
      <c r="I219"/>
      <c r="J219"/>
      <c r="K219"/>
      <c r="L219" s="668"/>
      <c r="M219" s="668"/>
      <c r="N219"/>
      <c r="O219"/>
      <c r="P219"/>
      <c r="Q219"/>
      <c r="R219"/>
      <c r="S219"/>
      <c r="T219"/>
      <c r="U219"/>
      <c r="V219"/>
      <c r="W219"/>
      <c r="X219" s="668"/>
      <c r="Y219" s="668"/>
      <c r="Z219" s="668"/>
      <c r="AA219" s="668"/>
      <c r="AB219"/>
      <c r="AC219"/>
      <c r="AD219"/>
      <c r="AE219"/>
      <c r="AF219"/>
      <c r="AG219"/>
      <c r="AH219" s="668"/>
    </row>
    <row r="220" spans="1:34" x14ac:dyDescent="0.2">
      <c r="A220"/>
      <c r="B220"/>
      <c r="C220"/>
      <c r="D220" s="668"/>
      <c r="E220" s="668"/>
      <c r="F220" s="668"/>
      <c r="G220" s="668"/>
      <c r="H220"/>
      <c r="I220"/>
      <c r="J220"/>
      <c r="K220"/>
      <c r="L220" s="668"/>
      <c r="M220" s="668"/>
      <c r="N220"/>
      <c r="O220"/>
      <c r="P220"/>
      <c r="Q220"/>
      <c r="R220"/>
      <c r="S220"/>
      <c r="T220"/>
      <c r="U220"/>
      <c r="V220"/>
      <c r="W220"/>
      <c r="X220" s="668"/>
      <c r="Y220" s="668"/>
      <c r="Z220" s="668"/>
      <c r="AA220" s="668"/>
      <c r="AB220"/>
      <c r="AC220"/>
      <c r="AD220"/>
      <c r="AE220"/>
      <c r="AF220"/>
      <c r="AG220"/>
      <c r="AH220" s="668"/>
    </row>
    <row r="221" spans="1:34" x14ac:dyDescent="0.2">
      <c r="A221"/>
      <c r="B221"/>
      <c r="C221"/>
      <c r="D221" s="668"/>
      <c r="E221" s="668"/>
      <c r="F221" s="668"/>
      <c r="G221" s="668"/>
      <c r="H221"/>
      <c r="I221"/>
      <c r="J221"/>
      <c r="K221"/>
      <c r="L221" s="668"/>
      <c r="M221" s="668"/>
      <c r="N221"/>
      <c r="O221"/>
      <c r="P221"/>
      <c r="Q221"/>
      <c r="R221"/>
      <c r="S221"/>
      <c r="T221"/>
      <c r="U221"/>
      <c r="V221"/>
      <c r="W221"/>
      <c r="X221" s="668"/>
      <c r="Y221" s="668"/>
      <c r="Z221" s="668"/>
      <c r="AA221" s="668"/>
      <c r="AB221"/>
      <c r="AC221"/>
      <c r="AD221"/>
      <c r="AE221"/>
      <c r="AF221"/>
      <c r="AG221"/>
      <c r="AH221" s="668"/>
    </row>
    <row r="222" spans="1:34" x14ac:dyDescent="0.2">
      <c r="A222"/>
      <c r="B222"/>
      <c r="C222"/>
      <c r="D222" s="668"/>
      <c r="E222" s="668"/>
      <c r="F222" s="668"/>
      <c r="G222" s="668"/>
      <c r="H222"/>
      <c r="I222"/>
      <c r="J222"/>
      <c r="K222"/>
      <c r="L222" s="668"/>
      <c r="M222" s="668"/>
      <c r="N222"/>
      <c r="O222"/>
      <c r="P222"/>
      <c r="Q222"/>
      <c r="R222"/>
      <c r="S222"/>
      <c r="T222"/>
      <c r="U222"/>
      <c r="V222"/>
      <c r="W222"/>
      <c r="X222" s="668"/>
      <c r="Y222" s="668"/>
      <c r="Z222" s="668"/>
      <c r="AA222" s="668"/>
      <c r="AB222"/>
      <c r="AC222"/>
      <c r="AD222"/>
      <c r="AE222"/>
      <c r="AF222"/>
      <c r="AG222"/>
      <c r="AH222" s="668"/>
    </row>
    <row r="223" spans="1:34" x14ac:dyDescent="0.2">
      <c r="A223"/>
      <c r="B223"/>
      <c r="C223"/>
      <c r="D223" s="668"/>
      <c r="E223" s="668"/>
      <c r="F223" s="668"/>
      <c r="G223" s="668"/>
      <c r="H223"/>
      <c r="I223"/>
      <c r="J223"/>
      <c r="K223"/>
      <c r="L223" s="668"/>
      <c r="M223" s="668"/>
      <c r="N223"/>
      <c r="O223"/>
      <c r="P223"/>
      <c r="Q223"/>
      <c r="R223"/>
      <c r="S223"/>
      <c r="T223"/>
      <c r="U223"/>
      <c r="V223"/>
      <c r="W223"/>
      <c r="X223" s="668"/>
      <c r="Y223" s="668"/>
      <c r="Z223" s="668"/>
      <c r="AA223" s="668"/>
      <c r="AB223"/>
      <c r="AC223"/>
      <c r="AD223"/>
      <c r="AE223"/>
      <c r="AF223"/>
      <c r="AG223"/>
      <c r="AH223" s="668"/>
    </row>
    <row r="224" spans="1:34" x14ac:dyDescent="0.2">
      <c r="A224"/>
      <c r="B224"/>
      <c r="C224"/>
      <c r="D224" s="668"/>
      <c r="E224" s="668"/>
      <c r="F224" s="668"/>
      <c r="G224" s="668"/>
      <c r="H224"/>
      <c r="I224"/>
      <c r="J224"/>
      <c r="K224"/>
      <c r="L224" s="668"/>
      <c r="M224" s="668"/>
      <c r="N224"/>
      <c r="O224"/>
      <c r="P224"/>
      <c r="Q224"/>
      <c r="R224"/>
      <c r="S224"/>
      <c r="T224"/>
      <c r="U224"/>
      <c r="V224"/>
      <c r="W224"/>
      <c r="X224" s="668"/>
      <c r="Y224" s="668"/>
      <c r="Z224" s="668"/>
      <c r="AA224" s="668"/>
      <c r="AB224"/>
      <c r="AC224"/>
      <c r="AD224"/>
      <c r="AE224"/>
      <c r="AF224"/>
      <c r="AG224"/>
      <c r="AH224" s="668"/>
    </row>
    <row r="225" spans="1:34" x14ac:dyDescent="0.2">
      <c r="A225"/>
      <c r="B225"/>
      <c r="C225"/>
      <c r="D225" s="668"/>
      <c r="E225" s="668"/>
      <c r="F225" s="668"/>
      <c r="G225" s="668"/>
      <c r="H225"/>
      <c r="I225"/>
      <c r="J225"/>
      <c r="K225"/>
      <c r="L225" s="668"/>
      <c r="M225" s="668"/>
      <c r="N225"/>
      <c r="O225"/>
      <c r="P225"/>
      <c r="Q225"/>
      <c r="R225"/>
      <c r="S225"/>
      <c r="X225" s="668"/>
      <c r="Y225" s="668"/>
      <c r="Z225" s="668"/>
      <c r="AA225" s="668"/>
      <c r="AB225"/>
      <c r="AC225"/>
      <c r="AD225"/>
      <c r="AE225"/>
      <c r="AF225"/>
      <c r="AG225"/>
      <c r="AH225" s="668"/>
    </row>
    <row r="226" spans="1:34" x14ac:dyDescent="0.2">
      <c r="A226"/>
      <c r="B226"/>
      <c r="C226"/>
      <c r="D226" s="668"/>
      <c r="E226" s="668"/>
      <c r="F226" s="668"/>
      <c r="G226" s="668"/>
      <c r="H226"/>
      <c r="I226"/>
      <c r="J226"/>
      <c r="K226"/>
      <c r="L226" s="668"/>
      <c r="M226" s="668"/>
      <c r="N226"/>
      <c r="O226"/>
      <c r="P226"/>
      <c r="Q226"/>
      <c r="R226"/>
      <c r="S226"/>
      <c r="X226" s="668"/>
      <c r="Y226" s="668"/>
      <c r="Z226" s="668"/>
      <c r="AA226" s="668"/>
      <c r="AB226"/>
      <c r="AC226"/>
      <c r="AD226"/>
      <c r="AE226"/>
      <c r="AF226"/>
      <c r="AG226"/>
      <c r="AH226" s="668"/>
    </row>
    <row r="227" spans="1:34" x14ac:dyDescent="0.2">
      <c r="A227"/>
      <c r="B227"/>
      <c r="C227"/>
      <c r="D227" s="668"/>
      <c r="E227" s="668"/>
      <c r="F227" s="668"/>
      <c r="G227" s="668"/>
      <c r="H227"/>
      <c r="I227"/>
      <c r="J227"/>
      <c r="K227"/>
      <c r="L227" s="668"/>
      <c r="M227" s="668"/>
      <c r="N227"/>
      <c r="O227"/>
      <c r="P227"/>
      <c r="Q227"/>
      <c r="R227"/>
      <c r="S227"/>
      <c r="X227" s="668"/>
      <c r="Y227" s="668"/>
      <c r="Z227" s="668"/>
      <c r="AA227" s="668"/>
      <c r="AB227"/>
      <c r="AE227"/>
      <c r="AF227"/>
      <c r="AG227"/>
      <c r="AH227" s="668"/>
    </row>
    <row r="228" spans="1:34" x14ac:dyDescent="0.2">
      <c r="A228"/>
      <c r="B228"/>
      <c r="C228"/>
      <c r="D228" s="668"/>
      <c r="E228" s="668"/>
      <c r="F228" s="668"/>
      <c r="G228" s="668"/>
      <c r="H228"/>
      <c r="I228"/>
      <c r="J228"/>
      <c r="K228"/>
      <c r="L228" s="668"/>
      <c r="M228" s="668"/>
      <c r="N228"/>
      <c r="O228"/>
      <c r="P228"/>
      <c r="Q228"/>
      <c r="R228"/>
      <c r="S228"/>
      <c r="T228"/>
      <c r="U228"/>
      <c r="V228"/>
      <c r="W228"/>
      <c r="X228" s="668"/>
      <c r="Y228" s="668"/>
      <c r="Z228" s="668"/>
      <c r="AA228" s="668"/>
      <c r="AB228"/>
      <c r="AC228"/>
      <c r="AD228"/>
      <c r="AE228"/>
      <c r="AF228"/>
      <c r="AG228"/>
      <c r="AH228" s="668"/>
    </row>
    <row r="229" spans="1:34" x14ac:dyDescent="0.2">
      <c r="A229"/>
      <c r="B229"/>
      <c r="C229"/>
      <c r="D229" s="668"/>
      <c r="E229" s="668"/>
      <c r="F229" s="668"/>
      <c r="G229" s="668"/>
      <c r="H229"/>
      <c r="I229"/>
      <c r="J229"/>
      <c r="K229"/>
      <c r="L229" s="668"/>
      <c r="M229" s="668"/>
      <c r="N229"/>
      <c r="O229"/>
      <c r="P229"/>
      <c r="Q229"/>
      <c r="R229"/>
      <c r="S229"/>
      <c r="T229"/>
      <c r="U229"/>
      <c r="V229"/>
      <c r="W229"/>
      <c r="X229" s="668"/>
      <c r="Y229" s="668"/>
      <c r="Z229" s="668"/>
      <c r="AA229" s="668"/>
      <c r="AB229"/>
      <c r="AC229"/>
      <c r="AD229"/>
      <c r="AE229"/>
      <c r="AF229"/>
      <c r="AG229"/>
      <c r="AH229" s="668"/>
    </row>
    <row r="230" spans="1:34" x14ac:dyDescent="0.2">
      <c r="A230"/>
      <c r="B230"/>
      <c r="C230"/>
      <c r="D230" s="668"/>
      <c r="E230" s="668"/>
      <c r="F230" s="668"/>
      <c r="G230" s="668"/>
      <c r="H230"/>
      <c r="I230"/>
      <c r="J230"/>
      <c r="K230"/>
      <c r="L230" s="668"/>
      <c r="M230" s="668"/>
      <c r="N230"/>
      <c r="O230"/>
      <c r="P230"/>
      <c r="Q230"/>
      <c r="R230"/>
      <c r="S230"/>
      <c r="T230"/>
      <c r="U230"/>
      <c r="V230"/>
      <c r="W230"/>
      <c r="X230" s="668"/>
      <c r="Y230" s="668"/>
      <c r="Z230" s="668"/>
      <c r="AA230" s="668"/>
      <c r="AB230"/>
      <c r="AC230"/>
      <c r="AD230"/>
      <c r="AE230"/>
      <c r="AF230"/>
      <c r="AG230"/>
      <c r="AH230" s="668"/>
    </row>
    <row r="231" spans="1:34" x14ac:dyDescent="0.2">
      <c r="A231"/>
      <c r="B231"/>
      <c r="C231"/>
      <c r="D231" s="668"/>
      <c r="E231" s="668"/>
      <c r="F231" s="668"/>
      <c r="G231" s="668"/>
      <c r="H231"/>
      <c r="I231"/>
      <c r="J231"/>
      <c r="K231"/>
      <c r="L231" s="668"/>
      <c r="M231" s="668"/>
      <c r="N231"/>
      <c r="O231"/>
      <c r="P231"/>
      <c r="Q231"/>
      <c r="R231"/>
      <c r="S231"/>
      <c r="T231"/>
      <c r="U231"/>
      <c r="V231"/>
      <c r="W231"/>
      <c r="X231" s="668"/>
      <c r="Y231" s="668"/>
      <c r="Z231" s="668"/>
      <c r="AA231" s="668"/>
      <c r="AB231"/>
      <c r="AC231"/>
      <c r="AD231"/>
      <c r="AE231"/>
      <c r="AF231"/>
      <c r="AG231"/>
      <c r="AH231" s="668"/>
    </row>
    <row r="232" spans="1:34" x14ac:dyDescent="0.2">
      <c r="A232"/>
      <c r="B232"/>
      <c r="C232"/>
      <c r="D232" s="668"/>
      <c r="E232" s="668"/>
      <c r="F232" s="668"/>
      <c r="G232" s="668"/>
      <c r="H232"/>
      <c r="I232"/>
      <c r="J232"/>
      <c r="K232"/>
      <c r="L232" s="668"/>
      <c r="M232" s="668"/>
      <c r="N232"/>
      <c r="O232"/>
      <c r="P232"/>
      <c r="Q232"/>
      <c r="R232"/>
      <c r="S232"/>
      <c r="T232"/>
      <c r="U232"/>
      <c r="V232"/>
      <c r="W232"/>
      <c r="X232" s="668"/>
      <c r="Y232" s="668"/>
      <c r="Z232" s="668"/>
      <c r="AA232" s="668"/>
      <c r="AB232"/>
      <c r="AC232"/>
      <c r="AD232"/>
      <c r="AE232"/>
      <c r="AF232"/>
      <c r="AG232"/>
      <c r="AH232" s="668"/>
    </row>
    <row r="233" spans="1:34" x14ac:dyDescent="0.2">
      <c r="A233"/>
      <c r="B233"/>
      <c r="C233"/>
      <c r="D233" s="668"/>
      <c r="E233" s="668"/>
      <c r="F233" s="668"/>
      <c r="G233" s="668"/>
      <c r="H233"/>
      <c r="I233"/>
      <c r="J233"/>
      <c r="K233"/>
      <c r="L233" s="668"/>
      <c r="M233" s="668"/>
      <c r="N233"/>
      <c r="O233"/>
      <c r="P233"/>
      <c r="Q233"/>
      <c r="R233"/>
      <c r="S233"/>
      <c r="T233"/>
      <c r="U233"/>
      <c r="V233"/>
      <c r="W233"/>
      <c r="X233" s="668"/>
      <c r="Y233" s="668"/>
      <c r="Z233" s="668"/>
      <c r="AA233" s="668"/>
      <c r="AB233"/>
      <c r="AC233"/>
      <c r="AD233"/>
      <c r="AE233"/>
      <c r="AF233"/>
      <c r="AG233"/>
      <c r="AH233" s="668"/>
    </row>
    <row r="234" spans="1:34" x14ac:dyDescent="0.2">
      <c r="A234"/>
      <c r="B234"/>
      <c r="C234"/>
      <c r="D234" s="668"/>
      <c r="E234" s="668"/>
      <c r="F234" s="668"/>
      <c r="G234" s="668"/>
      <c r="H234"/>
      <c r="I234"/>
      <c r="J234"/>
      <c r="K234"/>
      <c r="L234" s="668"/>
      <c r="M234" s="668"/>
      <c r="N234"/>
      <c r="O234"/>
      <c r="P234"/>
      <c r="Q234"/>
      <c r="R234"/>
      <c r="S234"/>
      <c r="T234"/>
      <c r="U234"/>
      <c r="V234"/>
      <c r="W234"/>
      <c r="X234" s="668"/>
      <c r="Y234" s="668"/>
      <c r="Z234" s="668"/>
      <c r="AA234" s="668"/>
      <c r="AB234"/>
      <c r="AC234"/>
      <c r="AD234"/>
      <c r="AE234"/>
      <c r="AF234"/>
      <c r="AG234"/>
      <c r="AH234" s="668"/>
    </row>
    <row r="235" spans="1:34" x14ac:dyDescent="0.2">
      <c r="A235"/>
      <c r="B235"/>
      <c r="C235"/>
      <c r="D235" s="668"/>
      <c r="E235" s="668"/>
      <c r="F235" s="668"/>
      <c r="G235" s="668"/>
      <c r="H235"/>
      <c r="I235"/>
      <c r="J235"/>
      <c r="K235"/>
      <c r="L235" s="668"/>
      <c r="M235" s="668"/>
      <c r="N235"/>
      <c r="O235"/>
      <c r="P235"/>
      <c r="Q235"/>
      <c r="R235"/>
      <c r="S235"/>
      <c r="T235"/>
      <c r="U235"/>
      <c r="V235"/>
      <c r="W235"/>
      <c r="X235" s="668"/>
      <c r="Y235" s="668"/>
      <c r="Z235" s="668"/>
      <c r="AA235" s="668"/>
      <c r="AB235"/>
      <c r="AC235"/>
      <c r="AD235"/>
      <c r="AE235"/>
      <c r="AF235"/>
      <c r="AG235"/>
      <c r="AH235" s="668"/>
    </row>
    <row r="236" spans="1:34" x14ac:dyDescent="0.2">
      <c r="A236"/>
      <c r="B236"/>
      <c r="C236"/>
      <c r="D236" s="668"/>
      <c r="E236" s="668"/>
      <c r="F236" s="668"/>
      <c r="G236" s="668"/>
      <c r="H236"/>
      <c r="I236"/>
      <c r="J236"/>
      <c r="K236"/>
      <c r="L236" s="668"/>
      <c r="M236" s="668"/>
      <c r="N236"/>
      <c r="O236"/>
      <c r="P236"/>
      <c r="Q236"/>
      <c r="R236"/>
      <c r="S236"/>
      <c r="T236"/>
      <c r="U236"/>
      <c r="V236"/>
      <c r="W236"/>
      <c r="X236" s="668"/>
      <c r="Y236" s="668"/>
      <c r="Z236" s="668"/>
      <c r="AA236" s="668"/>
      <c r="AB236"/>
      <c r="AG236"/>
      <c r="AH236" s="668"/>
    </row>
    <row r="237" spans="1:34" x14ac:dyDescent="0.2">
      <c r="A237"/>
      <c r="B237"/>
      <c r="C237"/>
      <c r="D237" s="668"/>
      <c r="E237" s="668"/>
      <c r="F237" s="668"/>
      <c r="G237" s="668"/>
      <c r="H237"/>
      <c r="I237"/>
      <c r="J237"/>
      <c r="K237"/>
      <c r="L237" s="668"/>
      <c r="M237" s="668"/>
      <c r="N237"/>
      <c r="O237"/>
      <c r="P237"/>
      <c r="Q237"/>
      <c r="R237"/>
      <c r="S237"/>
      <c r="X237" s="668"/>
      <c r="Y237" s="668"/>
      <c r="Z237" s="668"/>
      <c r="AA237" s="668"/>
      <c r="AB237"/>
      <c r="AC237"/>
      <c r="AD237"/>
      <c r="AE237"/>
      <c r="AF237"/>
      <c r="AG237"/>
      <c r="AH237" s="668"/>
    </row>
    <row r="238" spans="1:34" x14ac:dyDescent="0.2">
      <c r="A238"/>
      <c r="B238"/>
      <c r="C238"/>
      <c r="D238" s="668"/>
      <c r="E238" s="668"/>
      <c r="F238" s="668"/>
      <c r="G238" s="668"/>
      <c r="H238"/>
      <c r="I238"/>
      <c r="J238"/>
      <c r="K238"/>
      <c r="L238" s="668"/>
      <c r="M238" s="668"/>
      <c r="N238"/>
      <c r="O238"/>
      <c r="P238"/>
      <c r="Q238"/>
      <c r="R238"/>
      <c r="S238"/>
      <c r="X238" s="668"/>
      <c r="Y238" s="668"/>
      <c r="Z238" s="668"/>
      <c r="AA238" s="668"/>
      <c r="AB238"/>
      <c r="AC238"/>
      <c r="AD238"/>
      <c r="AE238"/>
      <c r="AF238"/>
      <c r="AG238"/>
      <c r="AH238" s="668"/>
    </row>
    <row r="239" spans="1:34" x14ac:dyDescent="0.2">
      <c r="A239"/>
      <c r="B239"/>
      <c r="C239"/>
      <c r="D239" s="668"/>
      <c r="E239" s="668"/>
      <c r="F239" s="668"/>
      <c r="G239" s="668"/>
      <c r="H239"/>
      <c r="I239"/>
      <c r="J239"/>
      <c r="K239"/>
      <c r="L239" s="668"/>
      <c r="M239" s="668"/>
      <c r="N239"/>
      <c r="O239"/>
      <c r="P239"/>
      <c r="Q239"/>
      <c r="R239"/>
      <c r="T239"/>
      <c r="U239"/>
      <c r="V239"/>
      <c r="W239"/>
      <c r="X239" s="668"/>
      <c r="Y239" s="668"/>
      <c r="Z239" s="668"/>
      <c r="AA239" s="668"/>
      <c r="AB239"/>
      <c r="AC239"/>
      <c r="AD239"/>
      <c r="AE239"/>
      <c r="AF239"/>
      <c r="AG239"/>
      <c r="AH239" s="668"/>
    </row>
    <row r="240" spans="1:34" x14ac:dyDescent="0.2">
      <c r="A240"/>
      <c r="B240"/>
      <c r="C240"/>
      <c r="D240" s="668"/>
      <c r="E240" s="668"/>
      <c r="F240" s="668"/>
      <c r="G240" s="668"/>
      <c r="H240"/>
      <c r="I240"/>
      <c r="J240"/>
      <c r="K240"/>
      <c r="L240" s="668"/>
      <c r="M240" s="668"/>
      <c r="N240"/>
      <c r="O240"/>
      <c r="P240"/>
      <c r="Q240"/>
      <c r="R240"/>
      <c r="S240"/>
      <c r="T240"/>
      <c r="U240"/>
      <c r="V240"/>
      <c r="W240"/>
      <c r="X240" s="668"/>
      <c r="Y240" s="668"/>
      <c r="Z240" s="668"/>
      <c r="AA240" s="668"/>
      <c r="AB240"/>
      <c r="AC240"/>
      <c r="AD240"/>
      <c r="AE240"/>
      <c r="AF240"/>
      <c r="AG240"/>
      <c r="AH240" s="668"/>
    </row>
    <row r="241" spans="1:34" x14ac:dyDescent="0.2">
      <c r="A241"/>
      <c r="B241"/>
      <c r="C241"/>
      <c r="D241" s="668"/>
      <c r="E241" s="668"/>
      <c r="F241" s="668"/>
      <c r="G241" s="668"/>
      <c r="H241"/>
      <c r="I241"/>
      <c r="J241"/>
      <c r="K241"/>
      <c r="L241" s="668"/>
      <c r="M241" s="668"/>
      <c r="N241"/>
      <c r="O241"/>
      <c r="S241"/>
      <c r="T241"/>
      <c r="U241"/>
      <c r="V241"/>
      <c r="W241"/>
      <c r="X241" s="668"/>
      <c r="Y241" s="668"/>
      <c r="Z241" s="668"/>
      <c r="AA241" s="668"/>
      <c r="AB241"/>
      <c r="AC241"/>
      <c r="AD241"/>
      <c r="AE241"/>
      <c r="AF241"/>
      <c r="AG241"/>
      <c r="AH241" s="668"/>
    </row>
    <row r="242" spans="1:34" x14ac:dyDescent="0.2">
      <c r="A242"/>
      <c r="B242"/>
      <c r="C242"/>
      <c r="D242" s="668"/>
      <c r="E242" s="668"/>
      <c r="F242" s="668"/>
      <c r="G242" s="668"/>
      <c r="H242"/>
      <c r="I242"/>
      <c r="J242"/>
      <c r="K242"/>
      <c r="L242" s="668"/>
      <c r="M242" s="668"/>
      <c r="N242"/>
      <c r="O242"/>
      <c r="P242"/>
      <c r="Q242"/>
      <c r="R242"/>
      <c r="S242"/>
      <c r="T242"/>
      <c r="U242"/>
      <c r="V242"/>
      <c r="W242"/>
      <c r="X242" s="668"/>
      <c r="Y242" s="668"/>
      <c r="Z242" s="668"/>
      <c r="AA242" s="668"/>
      <c r="AB242"/>
      <c r="AC242"/>
      <c r="AD242"/>
      <c r="AE242"/>
      <c r="AF242"/>
      <c r="AG242"/>
      <c r="AH242" s="668"/>
    </row>
    <row r="243" spans="1:34" x14ac:dyDescent="0.2">
      <c r="A243"/>
      <c r="B243"/>
      <c r="C243"/>
      <c r="D243" s="668"/>
      <c r="E243" s="668"/>
      <c r="F243" s="668"/>
      <c r="G243" s="668"/>
      <c r="H243"/>
      <c r="I243"/>
      <c r="J243"/>
      <c r="K243"/>
      <c r="L243" s="668"/>
      <c r="M243" s="668"/>
      <c r="N243"/>
      <c r="O243"/>
      <c r="P243"/>
      <c r="Q243"/>
      <c r="R243"/>
      <c r="S243"/>
      <c r="T243"/>
      <c r="U243"/>
      <c r="V243"/>
      <c r="W243"/>
      <c r="X243" s="668"/>
      <c r="Y243" s="668"/>
      <c r="Z243" s="668"/>
      <c r="AA243" s="668"/>
      <c r="AB243"/>
      <c r="AC243"/>
      <c r="AD243"/>
      <c r="AE243"/>
      <c r="AF243"/>
      <c r="AG243"/>
      <c r="AH243" s="668"/>
    </row>
    <row r="244" spans="1:34" x14ac:dyDescent="0.2">
      <c r="A244"/>
      <c r="B244"/>
      <c r="C244"/>
      <c r="D244" s="668"/>
      <c r="E244" s="668"/>
      <c r="F244" s="668"/>
      <c r="G244" s="668"/>
      <c r="H244"/>
      <c r="I244"/>
      <c r="J244"/>
      <c r="K244"/>
      <c r="L244" s="668"/>
      <c r="M244" s="668"/>
      <c r="N244"/>
      <c r="O244"/>
      <c r="P244"/>
      <c r="Q244"/>
      <c r="R244"/>
      <c r="S244"/>
      <c r="T244"/>
      <c r="U244"/>
      <c r="V244"/>
      <c r="W244"/>
      <c r="X244" s="668"/>
      <c r="Y244" s="668"/>
      <c r="Z244" s="668"/>
      <c r="AA244" s="668"/>
      <c r="AB244"/>
      <c r="AC244"/>
      <c r="AD244"/>
      <c r="AE244"/>
      <c r="AF244"/>
      <c r="AG244"/>
      <c r="AH244" s="668"/>
    </row>
    <row r="245" spans="1:34" x14ac:dyDescent="0.2">
      <c r="A245"/>
      <c r="B245"/>
      <c r="C245"/>
      <c r="D245" s="668"/>
      <c r="E245" s="668"/>
      <c r="F245" s="668"/>
      <c r="G245" s="668"/>
      <c r="H245"/>
      <c r="I245"/>
      <c r="J245"/>
      <c r="K245"/>
      <c r="L245" s="668"/>
      <c r="M245" s="668"/>
      <c r="N245"/>
      <c r="O245"/>
      <c r="P245"/>
      <c r="Q245"/>
      <c r="R245"/>
      <c r="S245"/>
      <c r="T245"/>
      <c r="U245"/>
      <c r="V245"/>
      <c r="W245"/>
      <c r="X245" s="668"/>
      <c r="Y245" s="668"/>
      <c r="Z245" s="668"/>
      <c r="AA245" s="668"/>
      <c r="AB245"/>
      <c r="AE245"/>
      <c r="AF245"/>
      <c r="AG245"/>
      <c r="AH245" s="668"/>
    </row>
    <row r="246" spans="1:34" x14ac:dyDescent="0.2">
      <c r="A246"/>
      <c r="B246"/>
      <c r="C246"/>
      <c r="D246" s="668"/>
      <c r="E246" s="668"/>
      <c r="F246" s="668"/>
      <c r="G246" s="668"/>
      <c r="H246"/>
      <c r="I246"/>
      <c r="J246"/>
      <c r="K246"/>
      <c r="L246" s="668"/>
      <c r="M246" s="668"/>
      <c r="N246"/>
      <c r="O246"/>
      <c r="P246"/>
      <c r="Q246"/>
      <c r="R246"/>
      <c r="S246"/>
      <c r="T246"/>
      <c r="U246"/>
      <c r="V246"/>
      <c r="W246"/>
      <c r="X246" s="668"/>
      <c r="Y246" s="668"/>
      <c r="Z246" s="668"/>
      <c r="AA246" s="668"/>
      <c r="AB246"/>
      <c r="AE246"/>
      <c r="AF246"/>
      <c r="AG246"/>
      <c r="AH246" s="668"/>
    </row>
    <row r="247" spans="1:34" x14ac:dyDescent="0.2">
      <c r="A247"/>
      <c r="B247"/>
      <c r="C247"/>
      <c r="D247" s="668"/>
      <c r="E247" s="668"/>
      <c r="F247" s="668"/>
      <c r="G247" s="668"/>
      <c r="H247"/>
      <c r="I247"/>
      <c r="J247"/>
      <c r="K247"/>
      <c r="L247" s="668"/>
      <c r="M247" s="668"/>
      <c r="N247"/>
      <c r="O247"/>
      <c r="P247"/>
      <c r="Q247"/>
      <c r="R247"/>
      <c r="S247"/>
      <c r="X247" s="668"/>
      <c r="Y247" s="668"/>
      <c r="Z247" s="668"/>
      <c r="AA247" s="668"/>
      <c r="AB247"/>
      <c r="AC247"/>
      <c r="AD247"/>
      <c r="AE247"/>
      <c r="AF247"/>
      <c r="AG247"/>
      <c r="AH247" s="668"/>
    </row>
    <row r="248" spans="1:34" x14ac:dyDescent="0.2">
      <c r="A248"/>
      <c r="B248"/>
      <c r="C248"/>
      <c r="D248" s="668"/>
      <c r="E248" s="668"/>
      <c r="F248" s="668"/>
      <c r="G248" s="668"/>
      <c r="H248"/>
      <c r="I248"/>
      <c r="J248"/>
      <c r="K248"/>
      <c r="L248" s="668"/>
      <c r="M248" s="668"/>
      <c r="N248"/>
      <c r="O248"/>
      <c r="P248"/>
      <c r="Q248"/>
      <c r="R248"/>
      <c r="S248"/>
      <c r="T248"/>
      <c r="U248"/>
      <c r="V248"/>
      <c r="W248"/>
      <c r="X248" s="668"/>
      <c r="Y248" s="668"/>
      <c r="Z248" s="668"/>
      <c r="AA248" s="668"/>
      <c r="AB248"/>
      <c r="AC248"/>
      <c r="AD248"/>
      <c r="AE248"/>
      <c r="AF248"/>
      <c r="AG248"/>
      <c r="AH248" s="668"/>
    </row>
    <row r="249" spans="1:34" x14ac:dyDescent="0.2">
      <c r="A249"/>
      <c r="B249"/>
      <c r="C249"/>
      <c r="D249" s="668"/>
      <c r="E249" s="668"/>
      <c r="F249" s="668"/>
      <c r="G249" s="668"/>
      <c r="H249"/>
      <c r="I249"/>
      <c r="J249"/>
      <c r="K249"/>
      <c r="L249" s="668"/>
      <c r="M249" s="668"/>
      <c r="N249"/>
      <c r="O249"/>
      <c r="P249"/>
      <c r="Q249"/>
      <c r="R249"/>
      <c r="S249"/>
      <c r="T249"/>
      <c r="U249"/>
      <c r="V249"/>
      <c r="W249"/>
      <c r="X249" s="668"/>
      <c r="Y249" s="668"/>
      <c r="Z249" s="668"/>
      <c r="AA249" s="668"/>
      <c r="AB249"/>
      <c r="AC249"/>
      <c r="AD249"/>
      <c r="AE249"/>
      <c r="AF249"/>
      <c r="AG249"/>
      <c r="AH249" s="668"/>
    </row>
    <row r="250" spans="1:34" x14ac:dyDescent="0.2">
      <c r="A250"/>
      <c r="B250"/>
      <c r="C250"/>
      <c r="D250" s="668"/>
      <c r="E250" s="668"/>
      <c r="F250" s="668"/>
      <c r="G250" s="668"/>
      <c r="H250"/>
      <c r="I250"/>
      <c r="J250"/>
      <c r="K250"/>
      <c r="L250" s="668"/>
      <c r="M250" s="668"/>
      <c r="N250"/>
      <c r="O250"/>
      <c r="P250"/>
      <c r="Q250"/>
      <c r="R250"/>
      <c r="S250"/>
      <c r="T250"/>
      <c r="U250"/>
      <c r="V250"/>
      <c r="W250"/>
      <c r="X250" s="668"/>
      <c r="Y250" s="668"/>
      <c r="Z250" s="668"/>
      <c r="AA250" s="668"/>
      <c r="AB250"/>
      <c r="AC250"/>
      <c r="AD250"/>
      <c r="AE250"/>
      <c r="AF250"/>
      <c r="AG250"/>
      <c r="AH250" s="668"/>
    </row>
    <row r="251" spans="1:34" x14ac:dyDescent="0.2">
      <c r="A251"/>
      <c r="B251"/>
      <c r="C251"/>
      <c r="D251" s="668"/>
      <c r="E251" s="668"/>
      <c r="F251" s="668"/>
      <c r="G251" s="668"/>
      <c r="H251"/>
      <c r="I251"/>
      <c r="J251"/>
      <c r="K251"/>
      <c r="L251" s="668"/>
      <c r="M251" s="668"/>
      <c r="N251"/>
      <c r="O251"/>
      <c r="P251"/>
      <c r="Q251"/>
      <c r="R251"/>
      <c r="S251"/>
      <c r="T251"/>
      <c r="U251"/>
      <c r="V251"/>
      <c r="W251"/>
      <c r="X251" s="668"/>
      <c r="Y251" s="668"/>
      <c r="Z251" s="668"/>
      <c r="AA251" s="668"/>
      <c r="AB251"/>
      <c r="AC251"/>
      <c r="AD251"/>
      <c r="AE251"/>
      <c r="AF251"/>
      <c r="AG251"/>
      <c r="AH251" s="668"/>
    </row>
    <row r="252" spans="1:34" x14ac:dyDescent="0.2">
      <c r="A252"/>
      <c r="B252"/>
      <c r="C252"/>
      <c r="D252" s="668"/>
      <c r="E252" s="668"/>
      <c r="F252" s="668"/>
      <c r="G252" s="668"/>
      <c r="H252"/>
      <c r="I252"/>
      <c r="J252"/>
      <c r="K252"/>
      <c r="L252" s="668"/>
      <c r="M252" s="668"/>
      <c r="N252"/>
      <c r="O252"/>
      <c r="P252"/>
      <c r="Q252"/>
      <c r="R252"/>
      <c r="S252"/>
      <c r="T252"/>
      <c r="U252"/>
      <c r="V252"/>
      <c r="W252"/>
      <c r="X252" s="668"/>
      <c r="Y252" s="668"/>
      <c r="Z252" s="668"/>
      <c r="AA252" s="668"/>
      <c r="AB252"/>
      <c r="AC252"/>
      <c r="AD252"/>
      <c r="AE252"/>
      <c r="AF252"/>
      <c r="AG252"/>
      <c r="AH252" s="668"/>
    </row>
    <row r="253" spans="1:34" x14ac:dyDescent="0.2">
      <c r="A253"/>
      <c r="B253"/>
      <c r="C253"/>
      <c r="D253" s="668"/>
      <c r="E253" s="668"/>
      <c r="F253" s="668"/>
      <c r="G253" s="668"/>
      <c r="H253"/>
      <c r="I253"/>
      <c r="J253"/>
      <c r="K253"/>
      <c r="L253" s="668"/>
      <c r="M253" s="668"/>
      <c r="N253"/>
      <c r="O253"/>
      <c r="P253"/>
      <c r="Q253"/>
      <c r="R253"/>
      <c r="S253"/>
      <c r="T253"/>
      <c r="U253"/>
      <c r="V253"/>
      <c r="W253"/>
      <c r="X253" s="668"/>
      <c r="Y253" s="668"/>
      <c r="Z253" s="668"/>
      <c r="AA253" s="668"/>
      <c r="AB253"/>
      <c r="AC253"/>
      <c r="AD253"/>
      <c r="AE253"/>
      <c r="AF253"/>
      <c r="AG253"/>
      <c r="AH253" s="668"/>
    </row>
    <row r="254" spans="1:34" x14ac:dyDescent="0.2">
      <c r="A254"/>
      <c r="B254"/>
      <c r="C254"/>
      <c r="D254" s="668"/>
      <c r="E254" s="668"/>
      <c r="F254" s="668"/>
      <c r="G254" s="668"/>
      <c r="H254"/>
      <c r="I254"/>
      <c r="J254"/>
      <c r="K254"/>
      <c r="L254" s="668"/>
      <c r="M254" s="668"/>
      <c r="N254"/>
      <c r="O254"/>
      <c r="P254"/>
      <c r="Q254"/>
      <c r="R254"/>
      <c r="S254"/>
      <c r="T254"/>
      <c r="U254"/>
      <c r="V254"/>
      <c r="W254"/>
      <c r="X254" s="668"/>
      <c r="Y254" s="668"/>
      <c r="Z254" s="668"/>
      <c r="AA254" s="668"/>
      <c r="AB254"/>
      <c r="AC254"/>
      <c r="AD254"/>
      <c r="AE254"/>
      <c r="AF254"/>
      <c r="AG254"/>
      <c r="AH254" s="668"/>
    </row>
    <row r="255" spans="1:34" x14ac:dyDescent="0.2">
      <c r="A255"/>
      <c r="B255"/>
      <c r="C255"/>
      <c r="D255" s="668"/>
      <c r="E255" s="668"/>
      <c r="F255" s="668"/>
      <c r="G255" s="668"/>
      <c r="H255"/>
      <c r="I255"/>
      <c r="J255"/>
      <c r="K255"/>
      <c r="L255" s="668"/>
      <c r="M255" s="668"/>
      <c r="N255"/>
      <c r="O255"/>
      <c r="P255"/>
      <c r="Q255"/>
      <c r="R255"/>
      <c r="S255"/>
      <c r="T255"/>
      <c r="U255"/>
      <c r="V255"/>
      <c r="W255"/>
      <c r="X255" s="668"/>
      <c r="Y255" s="668"/>
      <c r="Z255" s="668"/>
      <c r="AA255" s="668"/>
      <c r="AB255"/>
      <c r="AC255"/>
      <c r="AD255"/>
      <c r="AE255"/>
      <c r="AF255"/>
      <c r="AG255"/>
      <c r="AH255" s="668"/>
    </row>
    <row r="256" spans="1:34" x14ac:dyDescent="0.2">
      <c r="A256"/>
      <c r="B256"/>
      <c r="C256"/>
      <c r="D256" s="668"/>
      <c r="E256" s="668"/>
      <c r="F256" s="668"/>
      <c r="G256" s="668"/>
      <c r="H256"/>
      <c r="I256"/>
      <c r="J256"/>
      <c r="K256"/>
      <c r="L256" s="668"/>
      <c r="M256" s="668"/>
      <c r="N256"/>
      <c r="O256"/>
      <c r="P256"/>
      <c r="Q256"/>
      <c r="R256"/>
      <c r="S256"/>
      <c r="T256"/>
      <c r="U256"/>
      <c r="V256"/>
      <c r="W256"/>
      <c r="X256" s="668"/>
      <c r="Y256" s="668"/>
      <c r="Z256" s="668"/>
      <c r="AA256" s="668"/>
      <c r="AB256"/>
      <c r="AC256"/>
      <c r="AD256"/>
      <c r="AE256"/>
      <c r="AF256"/>
      <c r="AG256"/>
      <c r="AH256" s="668"/>
    </row>
    <row r="257" spans="1:34" x14ac:dyDescent="0.2">
      <c r="A257"/>
      <c r="B257"/>
      <c r="C257"/>
      <c r="D257" s="668"/>
      <c r="E257" s="668"/>
      <c r="F257" s="668"/>
      <c r="G257" s="668"/>
      <c r="H257"/>
      <c r="I257"/>
      <c r="J257"/>
      <c r="K257"/>
      <c r="L257" s="668"/>
      <c r="M257" s="668"/>
      <c r="N257"/>
      <c r="O257"/>
      <c r="P257"/>
      <c r="Q257"/>
      <c r="R257"/>
      <c r="S257"/>
      <c r="T257"/>
      <c r="U257"/>
      <c r="V257"/>
      <c r="W257"/>
      <c r="X257" s="668"/>
      <c r="Y257" s="668"/>
      <c r="Z257" s="668"/>
      <c r="AA257" s="668"/>
      <c r="AB257"/>
      <c r="AC257"/>
      <c r="AD257"/>
      <c r="AG257"/>
      <c r="AH257" s="668"/>
    </row>
    <row r="258" spans="1:34" x14ac:dyDescent="0.2">
      <c r="A258"/>
      <c r="B258"/>
      <c r="C258"/>
      <c r="D258" s="668"/>
      <c r="E258" s="668"/>
      <c r="F258" s="668"/>
      <c r="G258" s="668"/>
      <c r="H258"/>
      <c r="I258"/>
      <c r="J258"/>
      <c r="K258"/>
      <c r="L258" s="668"/>
      <c r="M258" s="668"/>
      <c r="N258"/>
      <c r="O258"/>
      <c r="P258"/>
      <c r="Q258"/>
      <c r="R258"/>
      <c r="S258"/>
      <c r="T258"/>
      <c r="U258"/>
      <c r="V258"/>
      <c r="W258"/>
      <c r="X258" s="668"/>
      <c r="Y258" s="668"/>
      <c r="Z258" s="668"/>
      <c r="AA258" s="668"/>
      <c r="AB258"/>
      <c r="AC258"/>
      <c r="AD258"/>
      <c r="AE258"/>
      <c r="AF258"/>
      <c r="AG258"/>
      <c r="AH258" s="668"/>
    </row>
    <row r="259" spans="1:34" x14ac:dyDescent="0.2">
      <c r="A259"/>
      <c r="B259"/>
      <c r="C259"/>
      <c r="D259" s="668"/>
      <c r="E259" s="668"/>
      <c r="F259" s="668"/>
      <c r="G259" s="668"/>
      <c r="H259"/>
      <c r="I259"/>
      <c r="J259"/>
      <c r="K259"/>
      <c r="L259" s="668"/>
      <c r="M259" s="668"/>
      <c r="N259"/>
      <c r="O259"/>
      <c r="P259"/>
      <c r="Q259"/>
      <c r="R259"/>
      <c r="S259"/>
      <c r="T259"/>
      <c r="U259"/>
      <c r="V259"/>
      <c r="W259"/>
      <c r="X259" s="668"/>
      <c r="Y259" s="668"/>
      <c r="Z259" s="668"/>
      <c r="AA259" s="668"/>
      <c r="AB259"/>
      <c r="AC259"/>
      <c r="AD259"/>
      <c r="AE259"/>
      <c r="AF259"/>
      <c r="AG259"/>
      <c r="AH259" s="668"/>
    </row>
    <row r="260" spans="1:34" x14ac:dyDescent="0.2">
      <c r="A260"/>
      <c r="B260"/>
      <c r="C260"/>
      <c r="D260" s="668"/>
      <c r="E260" s="668"/>
      <c r="F260" s="668"/>
      <c r="G260" s="668"/>
      <c r="H260"/>
      <c r="I260"/>
      <c r="J260"/>
      <c r="K260"/>
      <c r="L260" s="668"/>
      <c r="M260" s="668"/>
      <c r="N260"/>
      <c r="O260"/>
      <c r="P260"/>
      <c r="Q260"/>
      <c r="R260"/>
      <c r="S260"/>
      <c r="T260"/>
      <c r="U260"/>
      <c r="V260"/>
      <c r="W260"/>
      <c r="X260" s="668"/>
      <c r="Y260" s="668"/>
      <c r="Z260" s="668"/>
      <c r="AA260" s="668"/>
      <c r="AB260"/>
      <c r="AC260"/>
      <c r="AD260"/>
      <c r="AG260"/>
      <c r="AH260" s="668"/>
    </row>
    <row r="261" spans="1:34" x14ac:dyDescent="0.2">
      <c r="A261"/>
      <c r="B261"/>
      <c r="C261"/>
      <c r="D261" s="668"/>
      <c r="E261" s="668"/>
      <c r="F261" s="668"/>
      <c r="G261" s="668"/>
      <c r="H261"/>
      <c r="I261"/>
      <c r="J261"/>
      <c r="K261"/>
      <c r="L261" s="668"/>
      <c r="M261" s="668"/>
      <c r="N261"/>
      <c r="O261"/>
      <c r="P261"/>
      <c r="Q261"/>
      <c r="R261"/>
      <c r="S261"/>
      <c r="T261"/>
      <c r="U261"/>
      <c r="V261"/>
      <c r="W261"/>
      <c r="X261" s="668"/>
      <c r="Y261" s="668"/>
      <c r="Z261" s="668"/>
      <c r="AA261" s="668"/>
      <c r="AB261"/>
      <c r="AC261"/>
      <c r="AD261"/>
      <c r="AG261"/>
      <c r="AH261" s="668"/>
    </row>
    <row r="262" spans="1:34" x14ac:dyDescent="0.2">
      <c r="A262"/>
      <c r="B262"/>
      <c r="C262"/>
      <c r="D262" s="668"/>
      <c r="E262" s="668"/>
      <c r="F262" s="668"/>
      <c r="G262" s="668"/>
      <c r="H262"/>
      <c r="I262"/>
      <c r="J262"/>
      <c r="K262"/>
      <c r="L262" s="668"/>
      <c r="M262" s="668"/>
      <c r="N262"/>
      <c r="O262"/>
      <c r="P262"/>
      <c r="Q262"/>
      <c r="R262"/>
      <c r="S262"/>
      <c r="T262"/>
      <c r="U262"/>
      <c r="V262"/>
      <c r="W262"/>
      <c r="X262" s="668"/>
      <c r="Y262" s="668"/>
      <c r="Z262" s="668"/>
      <c r="AA262" s="668"/>
      <c r="AB262"/>
      <c r="AC262"/>
      <c r="AD262"/>
      <c r="AE262"/>
      <c r="AG262"/>
      <c r="AH262" s="668"/>
    </row>
    <row r="263" spans="1:34" x14ac:dyDescent="0.2">
      <c r="A263"/>
      <c r="B263"/>
      <c r="C263"/>
      <c r="D263" s="668"/>
      <c r="E263" s="668"/>
      <c r="F263" s="668"/>
      <c r="G263" s="668"/>
      <c r="H263"/>
      <c r="I263"/>
      <c r="J263"/>
      <c r="K263"/>
      <c r="L263" s="668"/>
      <c r="M263" s="668"/>
      <c r="N263"/>
      <c r="O263"/>
      <c r="P263"/>
      <c r="Q263"/>
      <c r="R263"/>
      <c r="S263"/>
      <c r="T263"/>
      <c r="U263"/>
      <c r="V263"/>
      <c r="W263"/>
      <c r="X263" s="668"/>
      <c r="Y263" s="668"/>
      <c r="Z263" s="668"/>
      <c r="AA263" s="668"/>
      <c r="AB263"/>
      <c r="AC263"/>
      <c r="AD263"/>
      <c r="AE263"/>
      <c r="AF263"/>
      <c r="AG263"/>
      <c r="AH263" s="668"/>
    </row>
    <row r="264" spans="1:34" x14ac:dyDescent="0.2">
      <c r="A264"/>
      <c r="B264"/>
      <c r="C264"/>
      <c r="D264" s="668"/>
      <c r="E264" s="668"/>
      <c r="F264" s="668"/>
      <c r="G264" s="668"/>
      <c r="H264"/>
      <c r="I264"/>
      <c r="J264"/>
      <c r="K264"/>
      <c r="L264" s="668"/>
      <c r="M264" s="668"/>
      <c r="N264"/>
      <c r="O264"/>
      <c r="P264"/>
      <c r="Q264"/>
      <c r="R264"/>
      <c r="S264"/>
      <c r="T264"/>
      <c r="U264"/>
      <c r="V264"/>
      <c r="W264"/>
      <c r="X264" s="668"/>
      <c r="Y264" s="668"/>
      <c r="Z264" s="668"/>
      <c r="AA264" s="668"/>
      <c r="AB264"/>
      <c r="AC264"/>
      <c r="AD264"/>
      <c r="AE264"/>
      <c r="AF264"/>
      <c r="AG264"/>
      <c r="AH264" s="668"/>
    </row>
    <row r="265" spans="1:34" x14ac:dyDescent="0.2">
      <c r="A265"/>
      <c r="B265"/>
      <c r="C265"/>
      <c r="D265" s="668"/>
      <c r="E265" s="668"/>
      <c r="F265" s="668"/>
      <c r="G265" s="668"/>
      <c r="H265"/>
      <c r="I265"/>
      <c r="J265"/>
      <c r="K265"/>
      <c r="L265" s="668"/>
      <c r="M265" s="668"/>
      <c r="N265"/>
      <c r="O265"/>
      <c r="P265"/>
      <c r="Q265"/>
      <c r="R265"/>
      <c r="S265"/>
      <c r="T265"/>
      <c r="U265"/>
      <c r="V265"/>
      <c r="W265"/>
      <c r="X265" s="668"/>
      <c r="Y265" s="668"/>
      <c r="Z265" s="668"/>
      <c r="AA265" s="668"/>
      <c r="AB265"/>
      <c r="AC265"/>
      <c r="AD265"/>
      <c r="AE265"/>
      <c r="AF265"/>
      <c r="AG265"/>
      <c r="AH265" s="668"/>
    </row>
    <row r="266" spans="1:34" x14ac:dyDescent="0.2">
      <c r="A266"/>
      <c r="B266"/>
      <c r="C266"/>
      <c r="D266" s="668"/>
      <c r="E266" s="668"/>
      <c r="F266" s="668"/>
      <c r="G266" s="668"/>
      <c r="H266"/>
      <c r="I266"/>
      <c r="J266"/>
      <c r="K266"/>
      <c r="L266" s="668"/>
      <c r="M266" s="668"/>
      <c r="N266"/>
      <c r="O266"/>
      <c r="P266"/>
      <c r="Q266"/>
      <c r="R266"/>
      <c r="S266"/>
      <c r="T266"/>
      <c r="U266"/>
      <c r="V266"/>
      <c r="W266"/>
      <c r="X266" s="668"/>
      <c r="Y266" s="668"/>
      <c r="Z266" s="668"/>
      <c r="AA266" s="668"/>
      <c r="AB266"/>
      <c r="AC266"/>
      <c r="AD266"/>
      <c r="AE266"/>
      <c r="AF266"/>
      <c r="AG266"/>
      <c r="AH266" s="668"/>
    </row>
    <row r="267" spans="1:34" x14ac:dyDescent="0.2">
      <c r="A267"/>
      <c r="B267"/>
      <c r="C267"/>
      <c r="D267" s="668"/>
      <c r="E267" s="668"/>
      <c r="F267" s="668"/>
      <c r="G267" s="668"/>
      <c r="H267"/>
      <c r="I267"/>
      <c r="J267"/>
      <c r="K267"/>
      <c r="L267" s="668"/>
      <c r="M267" s="668"/>
      <c r="N267"/>
      <c r="O267"/>
      <c r="P267"/>
      <c r="Q267"/>
      <c r="R267"/>
      <c r="S267"/>
      <c r="T267"/>
      <c r="U267"/>
      <c r="V267"/>
      <c r="W267"/>
      <c r="X267" s="668"/>
      <c r="Y267" s="668"/>
      <c r="Z267" s="668"/>
      <c r="AA267" s="668"/>
      <c r="AB267"/>
      <c r="AC267"/>
      <c r="AD267"/>
      <c r="AE267"/>
      <c r="AF267"/>
      <c r="AG267"/>
      <c r="AH267" s="668"/>
    </row>
    <row r="268" spans="1:34" x14ac:dyDescent="0.2">
      <c r="A268"/>
      <c r="B268"/>
      <c r="C268"/>
      <c r="D268" s="668"/>
      <c r="E268" s="668"/>
      <c r="F268" s="668"/>
      <c r="G268" s="668"/>
      <c r="H268"/>
      <c r="I268"/>
      <c r="J268"/>
      <c r="K268"/>
      <c r="L268" s="668"/>
      <c r="M268" s="668"/>
      <c r="N268"/>
      <c r="O268"/>
      <c r="P268"/>
      <c r="Q268"/>
      <c r="R268"/>
      <c r="S268"/>
      <c r="T268"/>
      <c r="U268"/>
      <c r="V268"/>
      <c r="W268"/>
      <c r="X268" s="668"/>
      <c r="Y268" s="668"/>
      <c r="Z268" s="668"/>
      <c r="AA268" s="668"/>
      <c r="AB268"/>
      <c r="AC268"/>
      <c r="AD268"/>
      <c r="AE268"/>
      <c r="AF268"/>
      <c r="AG268"/>
      <c r="AH268" s="668"/>
    </row>
    <row r="269" spans="1:34" x14ac:dyDescent="0.2">
      <c r="A269"/>
      <c r="B269"/>
      <c r="C269"/>
      <c r="D269" s="668"/>
      <c r="E269" s="668"/>
      <c r="F269" s="668"/>
      <c r="G269" s="668"/>
      <c r="H269"/>
      <c r="I269"/>
      <c r="J269"/>
      <c r="K269"/>
      <c r="L269" s="668"/>
      <c r="M269" s="668"/>
      <c r="N269"/>
      <c r="O269"/>
      <c r="P269"/>
      <c r="Q269"/>
      <c r="R269"/>
      <c r="S269"/>
      <c r="T269"/>
      <c r="U269"/>
      <c r="V269"/>
      <c r="W269"/>
      <c r="X269" s="668"/>
      <c r="Y269" s="668"/>
      <c r="Z269" s="668"/>
      <c r="AA269" s="668"/>
      <c r="AB269"/>
      <c r="AC269"/>
      <c r="AD269"/>
      <c r="AE269"/>
      <c r="AF269"/>
      <c r="AG269"/>
      <c r="AH269" s="668"/>
    </row>
    <row r="270" spans="1:34" x14ac:dyDescent="0.2">
      <c r="A270"/>
      <c r="B270"/>
      <c r="C270"/>
      <c r="D270" s="668"/>
      <c r="E270" s="668"/>
      <c r="F270" s="668"/>
      <c r="G270" s="668"/>
      <c r="H270"/>
      <c r="I270"/>
      <c r="J270"/>
      <c r="K270"/>
      <c r="L270" s="668"/>
      <c r="M270" s="668"/>
      <c r="N270"/>
      <c r="O270"/>
      <c r="P270"/>
      <c r="Q270"/>
      <c r="R270"/>
      <c r="S270"/>
      <c r="T270"/>
      <c r="U270"/>
      <c r="V270"/>
      <c r="W270"/>
      <c r="X270" s="668"/>
      <c r="Y270" s="668"/>
      <c r="Z270" s="668"/>
      <c r="AA270" s="668"/>
      <c r="AB270"/>
      <c r="AC270"/>
      <c r="AD270"/>
      <c r="AE270"/>
      <c r="AF270"/>
      <c r="AG270"/>
      <c r="AH270" s="668"/>
    </row>
    <row r="271" spans="1:34" x14ac:dyDescent="0.2">
      <c r="A271"/>
      <c r="B271"/>
      <c r="C271"/>
      <c r="D271" s="668"/>
      <c r="E271" s="668"/>
      <c r="F271" s="668"/>
      <c r="G271" s="668"/>
      <c r="H271"/>
      <c r="I271"/>
      <c r="J271"/>
      <c r="K271"/>
      <c r="L271" s="668"/>
      <c r="M271" s="668"/>
      <c r="N271"/>
      <c r="O271"/>
      <c r="P271"/>
      <c r="Q271"/>
      <c r="R271"/>
      <c r="S271"/>
      <c r="T271"/>
      <c r="U271"/>
      <c r="V271"/>
      <c r="W271"/>
      <c r="X271" s="668"/>
      <c r="Y271" s="668"/>
      <c r="Z271" s="668"/>
      <c r="AA271" s="668"/>
      <c r="AB271"/>
      <c r="AC271"/>
      <c r="AD271"/>
      <c r="AE271"/>
      <c r="AF271"/>
      <c r="AG271"/>
      <c r="AH271" s="668"/>
    </row>
    <row r="272" spans="1:34" x14ac:dyDescent="0.2">
      <c r="A272"/>
      <c r="B272"/>
      <c r="C272"/>
      <c r="D272" s="668"/>
      <c r="E272" s="668"/>
      <c r="F272" s="668"/>
      <c r="G272" s="668"/>
      <c r="H272"/>
      <c r="I272"/>
      <c r="J272"/>
      <c r="K272"/>
      <c r="L272" s="668"/>
      <c r="M272" s="668"/>
      <c r="N272"/>
      <c r="O272"/>
      <c r="P272"/>
      <c r="Q272"/>
      <c r="R272"/>
      <c r="S272"/>
      <c r="X272" s="668"/>
      <c r="Y272" s="668"/>
      <c r="Z272" s="668"/>
      <c r="AA272" s="668"/>
      <c r="AB272"/>
      <c r="AH272" s="668"/>
    </row>
    <row r="273" spans="1:36" x14ac:dyDescent="0.2">
      <c r="A273"/>
      <c r="B273"/>
      <c r="C273"/>
      <c r="D273" s="668"/>
      <c r="E273" s="668"/>
      <c r="F273" s="668"/>
      <c r="G273" s="668"/>
      <c r="H273"/>
      <c r="I273"/>
      <c r="J273"/>
      <c r="K273"/>
      <c r="L273" s="668"/>
      <c r="M273" s="668"/>
      <c r="N273"/>
      <c r="O273"/>
      <c r="P273"/>
      <c r="Q273"/>
      <c r="R273"/>
      <c r="S273"/>
      <c r="T273"/>
      <c r="U273"/>
      <c r="V273"/>
      <c r="W273"/>
      <c r="X273" s="668"/>
      <c r="Y273" s="668"/>
      <c r="Z273" s="668"/>
      <c r="AA273" s="668"/>
      <c r="AB273"/>
      <c r="AC273"/>
      <c r="AD273"/>
      <c r="AE273"/>
      <c r="AF273"/>
      <c r="AG273"/>
      <c r="AH273" s="668"/>
    </row>
    <row r="274" spans="1:36" x14ac:dyDescent="0.2">
      <c r="A274"/>
      <c r="B274"/>
      <c r="C274"/>
      <c r="D274" s="668"/>
      <c r="E274" s="668"/>
      <c r="F274" s="668"/>
      <c r="G274" s="668"/>
      <c r="H274"/>
      <c r="I274"/>
      <c r="J274"/>
      <c r="K274"/>
      <c r="L274" s="668"/>
      <c r="M274" s="668"/>
      <c r="N274"/>
      <c r="O274"/>
      <c r="P274"/>
      <c r="Q274"/>
      <c r="R274"/>
      <c r="S274"/>
      <c r="T274"/>
      <c r="U274"/>
      <c r="V274"/>
      <c r="W274"/>
      <c r="X274" s="668"/>
      <c r="Y274" s="668"/>
      <c r="Z274" s="668"/>
      <c r="AA274" s="668"/>
      <c r="AB274"/>
      <c r="AC274"/>
      <c r="AD274"/>
      <c r="AE274"/>
      <c r="AF274"/>
      <c r="AG274"/>
      <c r="AH274" s="668"/>
    </row>
    <row r="275" spans="1:36" x14ac:dyDescent="0.2">
      <c r="A275"/>
      <c r="B275"/>
      <c r="C275"/>
      <c r="D275" s="668"/>
      <c r="E275" s="668"/>
      <c r="F275" s="668"/>
      <c r="G275" s="668"/>
      <c r="H275"/>
      <c r="I275"/>
      <c r="J275"/>
      <c r="K275"/>
      <c r="L275" s="668"/>
      <c r="M275" s="668"/>
      <c r="N275"/>
      <c r="O275"/>
      <c r="P275"/>
      <c r="Q275"/>
      <c r="R275"/>
      <c r="S275"/>
      <c r="T275"/>
      <c r="U275"/>
      <c r="V275"/>
      <c r="W275"/>
      <c r="X275" s="668"/>
      <c r="Y275" s="668"/>
      <c r="Z275" s="668"/>
      <c r="AA275" s="668"/>
      <c r="AB275"/>
      <c r="AC275"/>
      <c r="AD275"/>
      <c r="AE275"/>
      <c r="AF275"/>
      <c r="AG275"/>
      <c r="AH275" s="668"/>
    </row>
    <row r="276" spans="1:36" x14ac:dyDescent="0.2">
      <c r="A276"/>
      <c r="B276"/>
      <c r="C276"/>
      <c r="D276" s="668"/>
      <c r="E276" s="668"/>
      <c r="F276" s="668"/>
      <c r="G276" s="668"/>
      <c r="H276"/>
      <c r="I276"/>
      <c r="J276"/>
      <c r="K276"/>
      <c r="L276" s="668"/>
      <c r="M276" s="668"/>
      <c r="N276"/>
      <c r="O276"/>
      <c r="P276"/>
      <c r="Q276"/>
      <c r="R276"/>
      <c r="S276"/>
      <c r="X276" s="668"/>
      <c r="Y276" s="668"/>
      <c r="Z276" s="668"/>
      <c r="AA276" s="668"/>
      <c r="AB276"/>
      <c r="AC276"/>
      <c r="AD276"/>
      <c r="AE276"/>
      <c r="AF276"/>
      <c r="AG276"/>
      <c r="AH276" s="668"/>
    </row>
    <row r="277" spans="1:36" x14ac:dyDescent="0.2">
      <c r="A277"/>
      <c r="B277"/>
      <c r="C277"/>
      <c r="D277" s="668"/>
      <c r="E277" s="668"/>
      <c r="F277" s="668"/>
      <c r="G277" s="668"/>
      <c r="H277"/>
      <c r="I277"/>
      <c r="J277"/>
      <c r="K277"/>
      <c r="L277" s="668"/>
      <c r="M277" s="668"/>
      <c r="N277"/>
      <c r="O277"/>
      <c r="P277"/>
      <c r="Q277"/>
      <c r="R277"/>
      <c r="S277"/>
      <c r="X277" s="668"/>
      <c r="Y277" s="668"/>
      <c r="Z277" s="668"/>
      <c r="AA277" s="668"/>
      <c r="AB277"/>
      <c r="AC277"/>
      <c r="AD277"/>
      <c r="AE277"/>
      <c r="AF277"/>
      <c r="AG277"/>
      <c r="AH277" s="668"/>
    </row>
    <row r="278" spans="1:36" x14ac:dyDescent="0.2">
      <c r="A278"/>
      <c r="B278"/>
      <c r="C278"/>
      <c r="D278" s="668"/>
      <c r="E278" s="668"/>
      <c r="F278" s="668"/>
      <c r="G278" s="668"/>
      <c r="H278"/>
      <c r="I278"/>
      <c r="J278"/>
      <c r="K278"/>
      <c r="L278" s="668"/>
      <c r="M278" s="668"/>
      <c r="N278"/>
      <c r="O278"/>
      <c r="P278"/>
      <c r="Q278"/>
      <c r="R278"/>
      <c r="S278"/>
      <c r="T278"/>
      <c r="U278"/>
      <c r="V278"/>
      <c r="W278"/>
      <c r="X278" s="668"/>
      <c r="Y278" s="668"/>
      <c r="Z278" s="668"/>
      <c r="AA278" s="668"/>
      <c r="AB278"/>
      <c r="AC278"/>
      <c r="AD278"/>
      <c r="AE278"/>
      <c r="AF278"/>
      <c r="AG278"/>
      <c r="AH278" s="668"/>
    </row>
    <row r="279" spans="1:36" x14ac:dyDescent="0.2">
      <c r="A279"/>
      <c r="B279"/>
      <c r="C279"/>
      <c r="D279" s="668"/>
      <c r="E279" s="668"/>
      <c r="F279" s="668"/>
      <c r="G279" s="668"/>
      <c r="H279"/>
      <c r="I279"/>
      <c r="J279"/>
      <c r="K279"/>
      <c r="L279" s="668"/>
      <c r="M279" s="668"/>
      <c r="N279"/>
      <c r="O279"/>
      <c r="P279"/>
      <c r="Q279"/>
      <c r="R279"/>
      <c r="S279"/>
      <c r="T279"/>
      <c r="U279"/>
      <c r="V279"/>
      <c r="W279"/>
      <c r="X279" s="668"/>
      <c r="Y279" s="668"/>
      <c r="Z279" s="668"/>
      <c r="AA279" s="668"/>
      <c r="AB279"/>
      <c r="AC279"/>
      <c r="AD279"/>
      <c r="AE279"/>
      <c r="AF279"/>
      <c r="AG279"/>
      <c r="AH279" s="668"/>
      <c r="AI279"/>
    </row>
    <row r="280" spans="1:36" x14ac:dyDescent="0.2">
      <c r="A280"/>
      <c r="B280"/>
      <c r="C280"/>
      <c r="D280" s="668"/>
      <c r="E280" s="668"/>
      <c r="F280" s="668"/>
      <c r="G280" s="668"/>
      <c r="H280"/>
      <c r="I280"/>
      <c r="J280"/>
      <c r="K280"/>
      <c r="L280" s="668"/>
      <c r="M280" s="668"/>
      <c r="N280"/>
      <c r="O280"/>
      <c r="P280"/>
      <c r="Q280"/>
      <c r="R280"/>
      <c r="S280"/>
      <c r="T280"/>
      <c r="U280"/>
      <c r="V280"/>
      <c r="W280"/>
      <c r="X280" s="668"/>
      <c r="Y280" s="668"/>
      <c r="Z280" s="668"/>
      <c r="AA280" s="668"/>
      <c r="AB280"/>
      <c r="AC280"/>
      <c r="AD280"/>
      <c r="AE280"/>
      <c r="AF280"/>
      <c r="AG280"/>
      <c r="AH280" s="668"/>
      <c r="AJ280"/>
    </row>
    <row r="281" spans="1:36" x14ac:dyDescent="0.2">
      <c r="A281"/>
      <c r="B281"/>
      <c r="C281"/>
      <c r="D281" s="668"/>
      <c r="E281" s="668"/>
      <c r="F281" s="668"/>
      <c r="G281" s="668"/>
      <c r="H281"/>
      <c r="I281"/>
      <c r="J281"/>
      <c r="K281"/>
      <c r="L281" s="668"/>
      <c r="M281" s="668"/>
      <c r="N281"/>
      <c r="O281"/>
      <c r="P281"/>
      <c r="Q281"/>
      <c r="R281"/>
      <c r="S281"/>
      <c r="T281"/>
      <c r="U281"/>
      <c r="V281"/>
      <c r="W281"/>
      <c r="X281" s="668"/>
      <c r="Y281" s="668"/>
      <c r="Z281" s="668"/>
      <c r="AA281" s="668"/>
      <c r="AB281"/>
      <c r="AC281"/>
      <c r="AD281"/>
      <c r="AE281"/>
      <c r="AF281"/>
      <c r="AG281"/>
      <c r="AH281" s="668"/>
    </row>
    <row r="282" spans="1:36" x14ac:dyDescent="0.2">
      <c r="A282"/>
      <c r="B282"/>
      <c r="C282"/>
      <c r="D282" s="668"/>
      <c r="E282" s="668"/>
      <c r="F282" s="668"/>
      <c r="G282" s="668"/>
      <c r="H282"/>
      <c r="I282"/>
      <c r="J282"/>
      <c r="L282" s="668"/>
      <c r="M282" s="668"/>
      <c r="N282"/>
      <c r="O282"/>
      <c r="P282"/>
      <c r="Q282"/>
      <c r="R282"/>
      <c r="S282"/>
      <c r="T282"/>
      <c r="U282"/>
      <c r="V282"/>
      <c r="W282"/>
      <c r="X282" s="668"/>
      <c r="Y282" s="668"/>
      <c r="Z282" s="668"/>
      <c r="AA282" s="668"/>
      <c r="AB282"/>
      <c r="AC282"/>
      <c r="AD282"/>
      <c r="AE282"/>
      <c r="AF282"/>
      <c r="AG282"/>
      <c r="AH282" s="668"/>
    </row>
    <row r="283" spans="1:36" x14ac:dyDescent="0.2">
      <c r="A283"/>
      <c r="B283"/>
      <c r="C283"/>
      <c r="D283" s="668"/>
      <c r="E283" s="668"/>
      <c r="F283" s="668"/>
      <c r="G283" s="668"/>
      <c r="H283"/>
      <c r="I283"/>
      <c r="J283"/>
      <c r="K283"/>
      <c r="L283" s="668"/>
      <c r="M283" s="668"/>
      <c r="N283"/>
      <c r="O283"/>
      <c r="P283"/>
      <c r="Q283"/>
      <c r="R283"/>
      <c r="S283"/>
      <c r="X283" s="668"/>
      <c r="Y283" s="668"/>
      <c r="Z283" s="668"/>
      <c r="AA283" s="668"/>
      <c r="AB283"/>
      <c r="AC283"/>
      <c r="AD283"/>
      <c r="AE283"/>
      <c r="AF283"/>
      <c r="AG283"/>
      <c r="AH283" s="668"/>
    </row>
    <row r="284" spans="1:36" x14ac:dyDescent="0.2">
      <c r="A284"/>
      <c r="B284"/>
      <c r="C284"/>
      <c r="D284" s="668"/>
      <c r="E284" s="668"/>
      <c r="F284" s="668"/>
      <c r="G284" s="668"/>
      <c r="H284"/>
      <c r="I284"/>
      <c r="J284"/>
      <c r="K284"/>
      <c r="L284" s="668"/>
      <c r="M284" s="668"/>
      <c r="N284"/>
      <c r="O284"/>
      <c r="P284"/>
      <c r="Q284"/>
      <c r="R284"/>
      <c r="S284"/>
      <c r="X284" s="668"/>
      <c r="Y284" s="668"/>
      <c r="Z284" s="668"/>
      <c r="AA284" s="668"/>
      <c r="AB284"/>
      <c r="AC284"/>
      <c r="AD284"/>
      <c r="AE284"/>
      <c r="AF284"/>
      <c r="AG284"/>
      <c r="AH284" s="668"/>
    </row>
    <row r="285" spans="1:36" x14ac:dyDescent="0.2">
      <c r="A285"/>
      <c r="B285"/>
      <c r="C285"/>
      <c r="D285" s="668"/>
      <c r="E285" s="668"/>
      <c r="F285" s="668"/>
      <c r="G285" s="668"/>
      <c r="H285"/>
      <c r="I285"/>
      <c r="J285"/>
      <c r="K285"/>
      <c r="L285" s="668"/>
      <c r="M285" s="668"/>
      <c r="N285"/>
      <c r="O285"/>
      <c r="P285"/>
      <c r="Q285"/>
      <c r="R285"/>
      <c r="S285"/>
      <c r="X285" s="668"/>
      <c r="Y285" s="668"/>
      <c r="Z285" s="668"/>
      <c r="AA285" s="668"/>
      <c r="AB285"/>
      <c r="AC285"/>
      <c r="AD285"/>
      <c r="AE285"/>
      <c r="AF285"/>
      <c r="AG285"/>
      <c r="AH285" s="668"/>
    </row>
    <row r="286" spans="1:36" x14ac:dyDescent="0.2">
      <c r="A286"/>
      <c r="B286"/>
      <c r="C286"/>
      <c r="D286" s="668"/>
      <c r="E286" s="668"/>
      <c r="F286" s="668"/>
      <c r="G286" s="668"/>
      <c r="H286"/>
      <c r="I286"/>
      <c r="J286"/>
      <c r="K286"/>
      <c r="L286" s="668"/>
      <c r="M286" s="668"/>
      <c r="N286"/>
      <c r="O286"/>
      <c r="P286"/>
      <c r="Q286"/>
      <c r="R286"/>
      <c r="S286"/>
      <c r="X286" s="668"/>
      <c r="Y286" s="668"/>
      <c r="Z286" s="668"/>
      <c r="AA286" s="668"/>
      <c r="AB286"/>
      <c r="AC286"/>
      <c r="AD286"/>
      <c r="AE286"/>
      <c r="AF286"/>
      <c r="AG286"/>
      <c r="AH286" s="668"/>
    </row>
    <row r="287" spans="1:36" x14ac:dyDescent="0.2">
      <c r="A287"/>
      <c r="B287"/>
      <c r="C287"/>
      <c r="D287" s="668"/>
      <c r="E287" s="668"/>
      <c r="F287" s="668"/>
      <c r="G287" s="668"/>
      <c r="H287"/>
      <c r="I287"/>
      <c r="J287"/>
      <c r="K287"/>
      <c r="L287" s="668"/>
      <c r="M287" s="668"/>
      <c r="N287"/>
      <c r="O287"/>
      <c r="P287"/>
      <c r="Q287"/>
      <c r="R287"/>
      <c r="S287"/>
      <c r="X287" s="668"/>
      <c r="Y287" s="668"/>
      <c r="Z287" s="668"/>
      <c r="AA287" s="668"/>
      <c r="AB287"/>
      <c r="AC287"/>
      <c r="AD287"/>
      <c r="AE287"/>
      <c r="AF287"/>
      <c r="AG287"/>
      <c r="AH287" s="668"/>
    </row>
    <row r="288" spans="1:36" x14ac:dyDescent="0.2">
      <c r="A288"/>
      <c r="B288"/>
      <c r="C288"/>
      <c r="D288" s="668"/>
      <c r="E288" s="668"/>
      <c r="F288" s="668"/>
      <c r="G288" s="668"/>
      <c r="H288"/>
      <c r="I288"/>
      <c r="J288"/>
      <c r="K288"/>
      <c r="L288" s="668"/>
      <c r="M288" s="668"/>
      <c r="N288"/>
      <c r="O288"/>
      <c r="P288"/>
      <c r="Q288"/>
      <c r="R288"/>
      <c r="S288"/>
      <c r="T288"/>
      <c r="U288"/>
      <c r="V288"/>
      <c r="W288"/>
      <c r="X288" s="668"/>
      <c r="Y288" s="668"/>
      <c r="Z288" s="668"/>
      <c r="AA288" s="668"/>
      <c r="AB288"/>
      <c r="AC288"/>
      <c r="AD288"/>
      <c r="AE288"/>
      <c r="AF288"/>
      <c r="AG288"/>
      <c r="AH288" s="668"/>
    </row>
    <row r="289" spans="1:34" x14ac:dyDescent="0.2">
      <c r="A289"/>
      <c r="B289"/>
      <c r="C289"/>
      <c r="D289" s="668"/>
      <c r="E289" s="668"/>
      <c r="F289" s="668"/>
      <c r="G289" s="668"/>
      <c r="H289"/>
      <c r="I289"/>
      <c r="J289"/>
      <c r="K289"/>
      <c r="L289" s="668"/>
      <c r="M289" s="668"/>
      <c r="N289"/>
      <c r="O289"/>
      <c r="P289"/>
      <c r="Q289"/>
      <c r="R289"/>
      <c r="S289"/>
      <c r="T289"/>
      <c r="U289"/>
      <c r="V289"/>
      <c r="W289"/>
      <c r="X289" s="668"/>
      <c r="Y289" s="668"/>
      <c r="Z289" s="668"/>
      <c r="AA289" s="668"/>
      <c r="AB289"/>
      <c r="AC289"/>
      <c r="AD289"/>
      <c r="AE289"/>
      <c r="AF289"/>
      <c r="AG289"/>
      <c r="AH289" s="668"/>
    </row>
    <row r="290" spans="1:34" x14ac:dyDescent="0.2">
      <c r="A290"/>
      <c r="B290"/>
      <c r="C290"/>
      <c r="D290" s="668"/>
      <c r="E290" s="668"/>
      <c r="F290" s="668"/>
      <c r="G290" s="668"/>
      <c r="H290"/>
      <c r="I290"/>
      <c r="J290"/>
      <c r="K290"/>
      <c r="L290" s="668"/>
      <c r="M290" s="668"/>
      <c r="N290"/>
      <c r="O290"/>
      <c r="P290"/>
      <c r="Q290"/>
      <c r="R290"/>
      <c r="S290"/>
      <c r="T290"/>
      <c r="U290"/>
      <c r="V290"/>
      <c r="W290"/>
      <c r="X290" s="668"/>
      <c r="Y290" s="668"/>
      <c r="Z290" s="668"/>
      <c r="AA290" s="668"/>
      <c r="AB290"/>
      <c r="AC290"/>
      <c r="AD290"/>
      <c r="AE290"/>
      <c r="AF290"/>
      <c r="AG290"/>
      <c r="AH290" s="668"/>
    </row>
    <row r="291" spans="1:34" x14ac:dyDescent="0.2">
      <c r="A291"/>
      <c r="B291"/>
      <c r="C291"/>
      <c r="D291" s="668"/>
      <c r="E291" s="668"/>
      <c r="F291" s="668"/>
      <c r="G291" s="668"/>
      <c r="H291"/>
      <c r="I291"/>
      <c r="J291"/>
      <c r="K291"/>
      <c r="L291" s="668"/>
      <c r="M291" s="668"/>
      <c r="N291"/>
      <c r="O291"/>
      <c r="P291"/>
      <c r="Q291"/>
      <c r="R291"/>
      <c r="S291"/>
      <c r="X291" s="668"/>
      <c r="Y291" s="668"/>
      <c r="Z291" s="668"/>
      <c r="AA291" s="668"/>
      <c r="AB291"/>
      <c r="AC291"/>
      <c r="AD291"/>
      <c r="AE291"/>
      <c r="AF291"/>
      <c r="AG291"/>
      <c r="AH291" s="668"/>
    </row>
    <row r="292" spans="1:34" x14ac:dyDescent="0.2">
      <c r="A292"/>
      <c r="B292"/>
      <c r="C292"/>
      <c r="D292" s="668"/>
      <c r="E292" s="668"/>
      <c r="F292" s="668"/>
      <c r="G292" s="668"/>
      <c r="H292"/>
      <c r="I292"/>
      <c r="J292"/>
      <c r="K292"/>
      <c r="L292" s="668"/>
      <c r="M292" s="668"/>
      <c r="N292"/>
      <c r="O292"/>
      <c r="P292"/>
      <c r="Q292"/>
      <c r="R292"/>
      <c r="S292"/>
      <c r="T292"/>
      <c r="U292"/>
      <c r="V292"/>
      <c r="W292"/>
      <c r="X292" s="668"/>
      <c r="Y292" s="668"/>
      <c r="Z292" s="668"/>
      <c r="AA292" s="668"/>
      <c r="AB292"/>
      <c r="AD292"/>
      <c r="AE292"/>
      <c r="AF292"/>
      <c r="AG292"/>
      <c r="AH292" s="668"/>
    </row>
    <row r="293" spans="1:34" x14ac:dyDescent="0.2">
      <c r="A293"/>
      <c r="B293"/>
      <c r="C293"/>
      <c r="D293" s="668"/>
      <c r="E293" s="668"/>
      <c r="F293" s="668"/>
      <c r="G293" s="668"/>
      <c r="H293"/>
      <c r="I293"/>
      <c r="J293"/>
      <c r="K293"/>
      <c r="L293" s="668"/>
      <c r="M293" s="668"/>
      <c r="N293"/>
      <c r="O293"/>
      <c r="P293"/>
      <c r="Q293"/>
      <c r="R293"/>
      <c r="S293"/>
      <c r="X293" s="668"/>
      <c r="Y293" s="668"/>
      <c r="Z293" s="668"/>
      <c r="AA293" s="668"/>
      <c r="AB293"/>
      <c r="AC293"/>
      <c r="AD293"/>
      <c r="AE293"/>
      <c r="AF293"/>
      <c r="AG293"/>
      <c r="AH293" s="668"/>
    </row>
    <row r="294" spans="1:34" x14ac:dyDescent="0.2">
      <c r="A294"/>
      <c r="B294"/>
      <c r="C294"/>
      <c r="D294" s="668"/>
      <c r="E294" s="668"/>
      <c r="F294" s="668"/>
      <c r="G294" s="668"/>
      <c r="H294"/>
      <c r="I294"/>
      <c r="J294"/>
      <c r="K294"/>
      <c r="L294" s="668"/>
      <c r="M294" s="668"/>
      <c r="N294"/>
      <c r="O294"/>
      <c r="P294"/>
      <c r="Q294"/>
      <c r="R294"/>
      <c r="S294"/>
      <c r="T294"/>
      <c r="U294"/>
      <c r="V294"/>
      <c r="X294" s="668"/>
      <c r="Y294" s="668"/>
      <c r="Z294" s="668"/>
      <c r="AA294" s="668"/>
      <c r="AB294"/>
      <c r="AC294"/>
      <c r="AD294"/>
      <c r="AE294"/>
      <c r="AF294"/>
      <c r="AG294"/>
      <c r="AH294" s="668"/>
    </row>
    <row r="295" spans="1:34" x14ac:dyDescent="0.2">
      <c r="A295"/>
      <c r="B295"/>
      <c r="C295"/>
      <c r="D295" s="668"/>
      <c r="E295" s="668"/>
      <c r="F295" s="668"/>
      <c r="G295" s="668"/>
      <c r="H295"/>
      <c r="I295"/>
      <c r="J295"/>
      <c r="K295"/>
      <c r="L295" s="668"/>
      <c r="M295" s="668"/>
      <c r="N295"/>
      <c r="O295"/>
      <c r="P295"/>
      <c r="Q295"/>
      <c r="R295"/>
      <c r="S295"/>
      <c r="T295"/>
      <c r="U295"/>
      <c r="V295"/>
      <c r="W295"/>
      <c r="X295" s="668"/>
      <c r="Y295" s="668"/>
      <c r="Z295" s="668"/>
      <c r="AA295" s="668"/>
      <c r="AB295"/>
      <c r="AC295"/>
      <c r="AD295"/>
      <c r="AE295"/>
      <c r="AF295"/>
      <c r="AG295"/>
      <c r="AH295" s="668"/>
    </row>
    <row r="296" spans="1:34" x14ac:dyDescent="0.2">
      <c r="A296"/>
      <c r="B296"/>
      <c r="C296"/>
      <c r="D296" s="668"/>
      <c r="E296" s="668"/>
      <c r="F296" s="668"/>
      <c r="G296" s="668"/>
      <c r="H296"/>
      <c r="I296"/>
      <c r="J296"/>
      <c r="K296"/>
      <c r="L296" s="668"/>
      <c r="M296" s="668"/>
      <c r="N296"/>
      <c r="O296"/>
      <c r="P296"/>
      <c r="Q296"/>
      <c r="R296"/>
      <c r="S296"/>
      <c r="X296" s="668"/>
      <c r="Y296" s="668"/>
      <c r="Z296" s="668"/>
      <c r="AA296" s="668"/>
      <c r="AB296"/>
      <c r="AC296"/>
      <c r="AD296"/>
      <c r="AE296"/>
      <c r="AF296"/>
      <c r="AG296"/>
      <c r="AH296" s="668"/>
    </row>
    <row r="297" spans="1:34" x14ac:dyDescent="0.2">
      <c r="A297"/>
      <c r="B297"/>
      <c r="C297"/>
      <c r="D297" s="668"/>
      <c r="E297" s="668"/>
      <c r="F297" s="668"/>
      <c r="G297" s="668"/>
      <c r="H297"/>
      <c r="I297"/>
      <c r="J297"/>
      <c r="K297"/>
      <c r="L297" s="668"/>
      <c r="M297" s="668"/>
      <c r="N297"/>
      <c r="O297"/>
      <c r="P297"/>
      <c r="Q297"/>
      <c r="R297"/>
      <c r="S297"/>
      <c r="T297"/>
      <c r="U297"/>
      <c r="V297"/>
      <c r="W297"/>
      <c r="X297" s="668"/>
      <c r="Y297" s="668"/>
      <c r="Z297" s="668"/>
      <c r="AA297" s="668"/>
      <c r="AB297"/>
      <c r="AC297"/>
      <c r="AD297"/>
      <c r="AE297"/>
      <c r="AF297"/>
      <c r="AG297"/>
      <c r="AH297" s="668"/>
    </row>
    <row r="298" spans="1:34" x14ac:dyDescent="0.2">
      <c r="A298"/>
      <c r="B298"/>
      <c r="C298"/>
      <c r="D298" s="668"/>
      <c r="E298" s="668"/>
      <c r="F298" s="668"/>
      <c r="G298" s="668"/>
      <c r="H298"/>
      <c r="I298"/>
      <c r="J298"/>
      <c r="K298"/>
      <c r="L298" s="668"/>
      <c r="M298" s="668"/>
      <c r="N298"/>
      <c r="O298"/>
      <c r="P298"/>
      <c r="Q298"/>
      <c r="R298"/>
      <c r="S298"/>
      <c r="T298"/>
      <c r="U298"/>
      <c r="V298"/>
      <c r="W298"/>
      <c r="X298" s="668"/>
      <c r="Y298" s="668"/>
      <c r="Z298" s="668"/>
      <c r="AA298" s="668"/>
      <c r="AB298"/>
      <c r="AC298"/>
      <c r="AD298"/>
      <c r="AE298"/>
      <c r="AF298"/>
      <c r="AG298"/>
      <c r="AH298" s="668"/>
    </row>
    <row r="299" spans="1:34" x14ac:dyDescent="0.2">
      <c r="A299"/>
      <c r="B299"/>
      <c r="C299"/>
      <c r="D299" s="668"/>
      <c r="E299" s="668"/>
      <c r="F299" s="668"/>
      <c r="G299" s="668"/>
      <c r="H299"/>
      <c r="I299"/>
      <c r="J299"/>
      <c r="K299"/>
      <c r="L299" s="668"/>
      <c r="M299" s="668"/>
      <c r="N299"/>
      <c r="O299"/>
      <c r="P299"/>
      <c r="Q299"/>
      <c r="R299"/>
      <c r="S299"/>
      <c r="T299"/>
      <c r="U299"/>
      <c r="V299"/>
      <c r="W299"/>
      <c r="X299" s="668"/>
      <c r="Y299" s="668"/>
      <c r="Z299" s="668"/>
      <c r="AA299" s="668"/>
      <c r="AB299"/>
      <c r="AC299"/>
      <c r="AD299"/>
      <c r="AE299"/>
      <c r="AF299"/>
      <c r="AG299"/>
      <c r="AH299" s="668"/>
    </row>
    <row r="300" spans="1:34" x14ac:dyDescent="0.2">
      <c r="A300"/>
      <c r="B300"/>
      <c r="C300"/>
      <c r="D300" s="668"/>
      <c r="E300" s="668"/>
      <c r="F300" s="668"/>
      <c r="G300" s="668"/>
      <c r="H300"/>
      <c r="I300"/>
      <c r="J300"/>
      <c r="K300"/>
      <c r="L300" s="668"/>
      <c r="M300" s="668"/>
      <c r="N300"/>
      <c r="O300"/>
      <c r="P300"/>
      <c r="Q300"/>
      <c r="R300"/>
      <c r="S300"/>
      <c r="T300"/>
      <c r="U300"/>
      <c r="V300"/>
      <c r="W300"/>
      <c r="X300" s="668"/>
      <c r="Y300" s="668"/>
      <c r="Z300" s="668"/>
      <c r="AA300" s="668"/>
      <c r="AB300"/>
      <c r="AC300"/>
      <c r="AD300"/>
      <c r="AE300"/>
      <c r="AF300"/>
      <c r="AG300"/>
      <c r="AH300" s="668"/>
    </row>
    <row r="301" spans="1:34" x14ac:dyDescent="0.2">
      <c r="A301"/>
      <c r="B301"/>
      <c r="C301"/>
      <c r="D301" s="668"/>
      <c r="E301" s="668"/>
      <c r="F301" s="668"/>
      <c r="G301" s="668"/>
      <c r="H301"/>
      <c r="I301"/>
      <c r="J301"/>
      <c r="K301"/>
      <c r="L301" s="668"/>
      <c r="M301" s="668"/>
      <c r="N301"/>
      <c r="O301"/>
      <c r="P301"/>
      <c r="Q301"/>
      <c r="R301"/>
      <c r="S301"/>
      <c r="T301"/>
      <c r="U301"/>
      <c r="V301"/>
      <c r="W301"/>
      <c r="X301" s="668"/>
      <c r="Y301" s="668"/>
      <c r="Z301" s="668"/>
      <c r="AA301" s="668"/>
      <c r="AB301"/>
      <c r="AC301"/>
      <c r="AD301"/>
      <c r="AE301"/>
      <c r="AH301" s="668"/>
    </row>
    <row r="302" spans="1:34" x14ac:dyDescent="0.2">
      <c r="A302"/>
      <c r="B302"/>
      <c r="C302"/>
      <c r="D302" s="668"/>
      <c r="E302" s="668"/>
      <c r="F302" s="668"/>
      <c r="G302" s="668"/>
      <c r="H302"/>
      <c r="I302"/>
      <c r="J302"/>
      <c r="K302"/>
      <c r="L302" s="668"/>
      <c r="M302" s="668"/>
      <c r="N302"/>
      <c r="O302"/>
      <c r="P302"/>
      <c r="Q302"/>
      <c r="R302"/>
      <c r="S302"/>
      <c r="X302" s="668"/>
      <c r="Y302" s="668"/>
      <c r="Z302" s="668"/>
      <c r="AA302" s="668"/>
      <c r="AB302"/>
      <c r="AD302"/>
      <c r="AE302"/>
      <c r="AF302"/>
      <c r="AG302"/>
      <c r="AH302" s="668"/>
    </row>
    <row r="303" spans="1:34" x14ac:dyDescent="0.2">
      <c r="A303"/>
      <c r="B303"/>
      <c r="C303"/>
      <c r="D303" s="668"/>
      <c r="E303" s="668"/>
      <c r="F303" s="668"/>
      <c r="G303" s="668"/>
      <c r="H303"/>
      <c r="I303"/>
      <c r="J303"/>
      <c r="K303"/>
      <c r="L303" s="668"/>
      <c r="M303" s="668"/>
      <c r="N303"/>
      <c r="O303"/>
      <c r="P303"/>
      <c r="Q303"/>
      <c r="R303"/>
      <c r="S303"/>
      <c r="T303"/>
      <c r="U303"/>
      <c r="V303"/>
      <c r="W303"/>
      <c r="X303" s="668"/>
      <c r="Y303" s="668"/>
      <c r="Z303" s="668"/>
      <c r="AA303" s="668"/>
      <c r="AB303"/>
      <c r="AC303"/>
      <c r="AD303"/>
      <c r="AE303"/>
      <c r="AF303"/>
      <c r="AG303"/>
      <c r="AH303" s="668"/>
    </row>
    <row r="304" spans="1:34" x14ac:dyDescent="0.2">
      <c r="A304"/>
      <c r="B304"/>
      <c r="C304"/>
      <c r="D304" s="668"/>
      <c r="E304" s="668"/>
      <c r="F304" s="668"/>
      <c r="G304" s="668"/>
      <c r="H304"/>
      <c r="I304"/>
      <c r="J304"/>
      <c r="K304"/>
      <c r="L304" s="668"/>
      <c r="M304" s="668"/>
      <c r="N304"/>
      <c r="O304"/>
      <c r="P304"/>
      <c r="Q304"/>
      <c r="R304"/>
      <c r="S304"/>
      <c r="X304" s="668"/>
      <c r="Y304" s="668"/>
      <c r="Z304" s="668"/>
      <c r="AA304" s="668"/>
      <c r="AB304"/>
      <c r="AC304"/>
      <c r="AD304"/>
      <c r="AE304"/>
      <c r="AF304"/>
      <c r="AG304"/>
      <c r="AH304" s="668"/>
    </row>
    <row r="305" spans="1:34" x14ac:dyDescent="0.2">
      <c r="A305"/>
      <c r="B305"/>
      <c r="C305"/>
      <c r="D305" s="668"/>
      <c r="E305" s="668"/>
      <c r="F305" s="668"/>
      <c r="G305" s="668"/>
      <c r="H305"/>
      <c r="I305"/>
      <c r="J305"/>
      <c r="K305"/>
      <c r="L305" s="668"/>
      <c r="M305" s="668"/>
      <c r="N305"/>
      <c r="O305"/>
      <c r="P305"/>
      <c r="Q305"/>
      <c r="R305"/>
      <c r="S305"/>
      <c r="X305" s="668"/>
      <c r="Y305" s="668"/>
      <c r="Z305" s="668"/>
      <c r="AA305" s="668"/>
      <c r="AB305"/>
      <c r="AC305"/>
      <c r="AD305"/>
      <c r="AE305"/>
      <c r="AF305"/>
      <c r="AG305"/>
      <c r="AH305" s="668"/>
    </row>
    <row r="306" spans="1:34" x14ac:dyDescent="0.2">
      <c r="A306"/>
      <c r="B306"/>
      <c r="C306"/>
      <c r="D306" s="668"/>
      <c r="E306" s="668"/>
      <c r="F306" s="668"/>
      <c r="G306" s="668"/>
      <c r="H306"/>
      <c r="I306"/>
      <c r="J306"/>
      <c r="K306"/>
      <c r="L306" s="668"/>
      <c r="M306" s="668"/>
      <c r="N306"/>
      <c r="O306"/>
      <c r="P306"/>
      <c r="Q306"/>
      <c r="R306"/>
      <c r="S306"/>
      <c r="T306"/>
      <c r="U306"/>
      <c r="V306"/>
      <c r="W306"/>
      <c r="X306" s="668"/>
      <c r="Y306" s="668"/>
      <c r="Z306" s="668"/>
      <c r="AA306" s="668"/>
      <c r="AB306"/>
      <c r="AC306"/>
      <c r="AD306"/>
      <c r="AE306"/>
      <c r="AF306"/>
      <c r="AG306"/>
      <c r="AH306" s="668"/>
    </row>
    <row r="307" spans="1:34" x14ac:dyDescent="0.2">
      <c r="A307"/>
      <c r="B307"/>
      <c r="C307"/>
      <c r="D307" s="668"/>
      <c r="E307" s="668"/>
      <c r="F307" s="668"/>
      <c r="G307" s="668"/>
      <c r="H307"/>
      <c r="I307"/>
      <c r="J307"/>
      <c r="K307"/>
      <c r="L307" s="668"/>
      <c r="M307" s="668"/>
      <c r="N307"/>
      <c r="O307"/>
      <c r="P307"/>
      <c r="Q307"/>
      <c r="R307"/>
      <c r="S307"/>
      <c r="T307"/>
      <c r="U307"/>
      <c r="V307"/>
      <c r="W307"/>
      <c r="X307" s="668"/>
      <c r="Y307" s="668"/>
      <c r="Z307" s="668"/>
      <c r="AA307" s="668"/>
      <c r="AB307"/>
      <c r="AC307"/>
      <c r="AD307"/>
      <c r="AE307"/>
      <c r="AF307"/>
      <c r="AG307"/>
      <c r="AH307" s="668"/>
    </row>
    <row r="308" spans="1:34" x14ac:dyDescent="0.2">
      <c r="A308"/>
      <c r="B308"/>
      <c r="C308"/>
      <c r="D308" s="668"/>
      <c r="E308" s="668"/>
      <c r="F308" s="668"/>
      <c r="G308" s="668"/>
      <c r="H308"/>
      <c r="I308"/>
      <c r="J308"/>
      <c r="K308"/>
      <c r="L308" s="668"/>
      <c r="M308" s="668"/>
      <c r="N308"/>
      <c r="O308"/>
      <c r="P308"/>
      <c r="Q308"/>
      <c r="R308"/>
      <c r="S308"/>
      <c r="X308" s="668"/>
      <c r="Y308" s="668"/>
      <c r="Z308" s="668"/>
      <c r="AA308" s="668"/>
      <c r="AB308"/>
      <c r="AC308"/>
      <c r="AD308"/>
      <c r="AE308"/>
      <c r="AF308"/>
      <c r="AG308"/>
      <c r="AH308" s="668"/>
    </row>
    <row r="309" spans="1:34" x14ac:dyDescent="0.2">
      <c r="A309"/>
      <c r="B309"/>
      <c r="C309"/>
      <c r="D309" s="668"/>
      <c r="E309" s="668"/>
      <c r="F309" s="668"/>
      <c r="G309" s="668"/>
      <c r="H309"/>
      <c r="I309"/>
      <c r="J309"/>
      <c r="K309"/>
      <c r="L309" s="668"/>
      <c r="M309" s="668"/>
      <c r="N309"/>
      <c r="O309"/>
      <c r="P309"/>
      <c r="Q309"/>
      <c r="R309"/>
      <c r="S309"/>
      <c r="T309"/>
      <c r="U309"/>
      <c r="V309"/>
      <c r="W309"/>
      <c r="X309" s="668"/>
      <c r="Y309" s="668"/>
      <c r="Z309" s="668"/>
      <c r="AA309" s="668"/>
      <c r="AB309"/>
      <c r="AC309"/>
      <c r="AD309"/>
      <c r="AE309"/>
      <c r="AF309"/>
      <c r="AG309"/>
      <c r="AH309" s="668"/>
    </row>
    <row r="310" spans="1:34" x14ac:dyDescent="0.2">
      <c r="A310"/>
      <c r="B310"/>
      <c r="C310"/>
      <c r="D310" s="668"/>
      <c r="E310" s="668"/>
      <c r="F310" s="668"/>
      <c r="G310" s="668"/>
      <c r="H310"/>
      <c r="I310"/>
      <c r="J310"/>
      <c r="K310"/>
      <c r="L310" s="668"/>
      <c r="M310" s="668"/>
      <c r="N310"/>
      <c r="O310"/>
      <c r="P310"/>
      <c r="Q310"/>
      <c r="R310"/>
      <c r="S310"/>
      <c r="T310"/>
      <c r="U310"/>
      <c r="V310"/>
      <c r="W310"/>
      <c r="X310" s="668"/>
      <c r="Y310" s="668"/>
      <c r="Z310" s="668"/>
      <c r="AA310" s="668"/>
      <c r="AB310"/>
      <c r="AC310"/>
      <c r="AD310"/>
      <c r="AE310"/>
      <c r="AF310"/>
      <c r="AG310"/>
      <c r="AH310" s="668"/>
    </row>
    <row r="311" spans="1:34" x14ac:dyDescent="0.2">
      <c r="A311"/>
      <c r="B311"/>
      <c r="C311"/>
      <c r="D311" s="668"/>
      <c r="E311" s="668"/>
      <c r="F311" s="668"/>
      <c r="G311" s="668"/>
      <c r="H311"/>
      <c r="I311"/>
      <c r="J311"/>
      <c r="K311"/>
      <c r="L311" s="668"/>
      <c r="M311" s="668"/>
      <c r="N311"/>
      <c r="O311"/>
      <c r="T311"/>
      <c r="U311"/>
      <c r="V311"/>
      <c r="W311"/>
      <c r="X311" s="668"/>
      <c r="Y311" s="668"/>
      <c r="Z311" s="668"/>
      <c r="AA311" s="668"/>
      <c r="AB311"/>
      <c r="AC311"/>
      <c r="AD311"/>
      <c r="AE311"/>
      <c r="AF311"/>
      <c r="AG311"/>
      <c r="AH311" s="668"/>
    </row>
    <row r="312" spans="1:34" x14ac:dyDescent="0.2">
      <c r="A312"/>
      <c r="B312"/>
      <c r="C312"/>
      <c r="D312" s="668"/>
      <c r="E312" s="668"/>
      <c r="F312" s="668"/>
      <c r="G312" s="668"/>
      <c r="H312"/>
      <c r="I312"/>
      <c r="J312"/>
      <c r="K312"/>
      <c r="L312" s="668"/>
      <c r="M312" s="668"/>
      <c r="N312"/>
      <c r="O312"/>
      <c r="P312"/>
      <c r="Q312"/>
      <c r="R312"/>
      <c r="S312"/>
      <c r="X312" s="668"/>
      <c r="Y312" s="668"/>
      <c r="Z312" s="668"/>
      <c r="AA312" s="668"/>
      <c r="AB312"/>
      <c r="AC312"/>
      <c r="AD312"/>
      <c r="AE312"/>
      <c r="AF312"/>
      <c r="AG312"/>
      <c r="AH312" s="668"/>
    </row>
    <row r="313" spans="1:34" x14ac:dyDescent="0.2">
      <c r="A313"/>
      <c r="B313"/>
      <c r="C313"/>
      <c r="D313" s="668"/>
      <c r="E313" s="668"/>
      <c r="F313" s="668"/>
      <c r="G313" s="668"/>
      <c r="H313"/>
      <c r="I313"/>
      <c r="J313"/>
      <c r="K313"/>
      <c r="L313" s="668"/>
      <c r="M313" s="668"/>
      <c r="N313"/>
      <c r="O313"/>
      <c r="P313"/>
      <c r="Q313"/>
      <c r="R313"/>
      <c r="S313"/>
      <c r="T313"/>
      <c r="U313"/>
      <c r="V313"/>
      <c r="W313"/>
      <c r="X313" s="668"/>
      <c r="Y313" s="668"/>
      <c r="Z313" s="668"/>
      <c r="AA313" s="668"/>
      <c r="AB313"/>
      <c r="AH313" s="668"/>
    </row>
    <row r="314" spans="1:34" x14ac:dyDescent="0.2">
      <c r="A314"/>
      <c r="B314"/>
      <c r="C314"/>
      <c r="D314" s="668"/>
      <c r="E314" s="668"/>
      <c r="F314" s="668"/>
      <c r="G314" s="668"/>
      <c r="H314"/>
      <c r="I314"/>
      <c r="J314"/>
      <c r="K314"/>
      <c r="L314" s="668"/>
      <c r="M314" s="668"/>
      <c r="N314"/>
      <c r="O314"/>
      <c r="P314"/>
      <c r="Q314"/>
      <c r="R314"/>
      <c r="S314"/>
      <c r="T314"/>
      <c r="U314"/>
      <c r="V314"/>
      <c r="W314"/>
      <c r="X314" s="668"/>
      <c r="Y314" s="668"/>
      <c r="Z314" s="668"/>
      <c r="AA314" s="668"/>
      <c r="AB314"/>
      <c r="AC314"/>
      <c r="AD314"/>
      <c r="AE314"/>
      <c r="AF314"/>
      <c r="AG314"/>
      <c r="AH314" s="668"/>
    </row>
    <row r="315" spans="1:34" x14ac:dyDescent="0.2">
      <c r="A315"/>
      <c r="B315"/>
      <c r="C315"/>
      <c r="D315" s="668"/>
      <c r="E315" s="668"/>
      <c r="F315" s="668"/>
      <c r="G315" s="668"/>
      <c r="H315"/>
      <c r="I315"/>
      <c r="J315"/>
      <c r="K315"/>
      <c r="L315" s="668"/>
      <c r="M315" s="668"/>
      <c r="N315"/>
      <c r="O315"/>
      <c r="P315"/>
      <c r="Q315"/>
      <c r="R315"/>
      <c r="S315"/>
      <c r="T315"/>
      <c r="U315"/>
      <c r="V315"/>
      <c r="W315"/>
      <c r="X315" s="668"/>
      <c r="Y315" s="668"/>
      <c r="Z315" s="668"/>
      <c r="AA315" s="668"/>
      <c r="AB315"/>
      <c r="AC315"/>
      <c r="AD315"/>
      <c r="AE315"/>
      <c r="AF315"/>
      <c r="AG315"/>
      <c r="AH315" s="668"/>
    </row>
    <row r="316" spans="1:34" x14ac:dyDescent="0.2">
      <c r="A316"/>
      <c r="B316"/>
      <c r="C316"/>
      <c r="D316" s="668"/>
      <c r="E316" s="668"/>
      <c r="F316" s="668"/>
      <c r="G316" s="668"/>
      <c r="H316"/>
      <c r="I316"/>
      <c r="J316"/>
      <c r="K316"/>
      <c r="L316" s="668"/>
      <c r="M316" s="668"/>
      <c r="N316"/>
      <c r="O316"/>
      <c r="P316"/>
      <c r="Q316"/>
      <c r="R316"/>
      <c r="S316"/>
      <c r="T316"/>
      <c r="U316"/>
      <c r="V316"/>
      <c r="W316"/>
      <c r="X316" s="668"/>
      <c r="Y316" s="668"/>
      <c r="Z316" s="668"/>
      <c r="AA316" s="668"/>
      <c r="AB316"/>
      <c r="AC316"/>
      <c r="AD316"/>
      <c r="AE316"/>
      <c r="AF316"/>
      <c r="AG316"/>
      <c r="AH316" s="668"/>
    </row>
    <row r="317" spans="1:34" x14ac:dyDescent="0.2">
      <c r="A317"/>
      <c r="B317"/>
      <c r="C317"/>
      <c r="D317" s="668"/>
      <c r="E317" s="668"/>
      <c r="F317" s="668"/>
      <c r="G317" s="668"/>
      <c r="H317"/>
      <c r="I317"/>
      <c r="J317"/>
      <c r="L317" s="668"/>
      <c r="M317" s="668"/>
      <c r="N317"/>
      <c r="O317"/>
      <c r="P317"/>
      <c r="Q317"/>
      <c r="R317"/>
      <c r="S317"/>
      <c r="X317" s="668"/>
      <c r="Y317" s="668"/>
      <c r="Z317" s="668"/>
      <c r="AA317" s="668"/>
      <c r="AB317"/>
      <c r="AC317"/>
      <c r="AD317"/>
      <c r="AE317"/>
      <c r="AF317"/>
      <c r="AG317"/>
      <c r="AH317" s="668"/>
    </row>
    <row r="318" spans="1:34" x14ac:dyDescent="0.2">
      <c r="A318"/>
      <c r="B318"/>
      <c r="C318"/>
      <c r="D318" s="668"/>
      <c r="E318" s="668"/>
      <c r="F318" s="668"/>
      <c r="G318" s="668"/>
      <c r="H318"/>
      <c r="I318"/>
      <c r="J318"/>
      <c r="K318"/>
      <c r="L318" s="668"/>
      <c r="M318" s="668"/>
      <c r="N318"/>
      <c r="O318"/>
      <c r="P318"/>
      <c r="Q318"/>
      <c r="R318"/>
      <c r="S318"/>
      <c r="T318"/>
      <c r="U318"/>
      <c r="V318"/>
      <c r="W318"/>
      <c r="X318" s="668"/>
      <c r="Y318" s="668"/>
      <c r="Z318" s="668"/>
      <c r="AA318" s="668"/>
      <c r="AB318"/>
      <c r="AC318"/>
      <c r="AD318"/>
      <c r="AE318"/>
      <c r="AF318"/>
      <c r="AG318"/>
      <c r="AH318" s="668"/>
    </row>
    <row r="319" spans="1:34" x14ac:dyDescent="0.2">
      <c r="A319"/>
      <c r="B319"/>
      <c r="C319"/>
      <c r="D319" s="668"/>
      <c r="E319" s="668"/>
      <c r="F319" s="668"/>
      <c r="G319" s="668"/>
      <c r="H319"/>
      <c r="I319"/>
      <c r="J319"/>
      <c r="K319"/>
      <c r="L319" s="668"/>
      <c r="M319" s="668"/>
      <c r="N319"/>
      <c r="O319"/>
      <c r="P319"/>
      <c r="Q319"/>
      <c r="R319"/>
      <c r="S319"/>
      <c r="T319"/>
      <c r="U319"/>
      <c r="V319"/>
      <c r="W319"/>
      <c r="X319" s="668"/>
      <c r="Y319" s="668"/>
      <c r="Z319" s="668"/>
      <c r="AA319" s="668"/>
      <c r="AB319"/>
      <c r="AC319"/>
      <c r="AD319"/>
      <c r="AE319"/>
      <c r="AF319"/>
      <c r="AG319"/>
      <c r="AH319" s="668"/>
    </row>
    <row r="320" spans="1:34" x14ac:dyDescent="0.2">
      <c r="A320"/>
      <c r="B320"/>
      <c r="C320"/>
      <c r="D320" s="668"/>
      <c r="E320" s="668"/>
      <c r="F320" s="668"/>
      <c r="G320" s="668"/>
      <c r="H320"/>
      <c r="I320"/>
      <c r="J320"/>
      <c r="K320"/>
      <c r="L320" s="668"/>
      <c r="M320" s="668"/>
      <c r="N320"/>
      <c r="O320"/>
      <c r="T320"/>
      <c r="U320"/>
      <c r="V320"/>
      <c r="W320"/>
      <c r="X320" s="668"/>
      <c r="Y320" s="668"/>
      <c r="Z320" s="668"/>
      <c r="AA320" s="668"/>
      <c r="AB320"/>
      <c r="AC320"/>
      <c r="AD320"/>
      <c r="AE320"/>
      <c r="AF320"/>
      <c r="AG320"/>
      <c r="AH320" s="668"/>
    </row>
    <row r="321" spans="1:36" x14ac:dyDescent="0.2">
      <c r="A321"/>
      <c r="B321"/>
      <c r="C321"/>
      <c r="D321" s="668"/>
      <c r="E321" s="668"/>
      <c r="F321" s="668"/>
      <c r="G321" s="668"/>
      <c r="H321"/>
      <c r="I321"/>
      <c r="J321"/>
      <c r="K321"/>
      <c r="L321" s="668"/>
      <c r="M321" s="668"/>
      <c r="N321"/>
      <c r="O321"/>
      <c r="P321"/>
      <c r="Q321"/>
      <c r="R321"/>
      <c r="S321"/>
      <c r="T321"/>
      <c r="U321"/>
      <c r="V321"/>
      <c r="W321"/>
      <c r="X321" s="668"/>
      <c r="Y321" s="668"/>
      <c r="Z321" s="668"/>
      <c r="AA321" s="668"/>
      <c r="AB321"/>
      <c r="AC321"/>
      <c r="AD321"/>
      <c r="AE321"/>
      <c r="AF321"/>
      <c r="AG321"/>
      <c r="AH321" s="668"/>
    </row>
    <row r="322" spans="1:36" x14ac:dyDescent="0.2">
      <c r="A322"/>
      <c r="B322"/>
      <c r="C322"/>
      <c r="D322" s="668"/>
      <c r="E322" s="668"/>
      <c r="F322" s="668"/>
      <c r="G322" s="668"/>
      <c r="H322"/>
      <c r="I322"/>
      <c r="J322"/>
      <c r="K322"/>
      <c r="L322" s="668"/>
      <c r="M322" s="668"/>
      <c r="N322"/>
      <c r="O322"/>
      <c r="T322"/>
      <c r="U322"/>
      <c r="V322"/>
      <c r="W322"/>
      <c r="X322" s="668"/>
      <c r="Y322" s="668"/>
      <c r="Z322" s="668"/>
      <c r="AA322" s="668"/>
      <c r="AC322"/>
      <c r="AD322"/>
      <c r="AE322"/>
      <c r="AF322"/>
      <c r="AG322"/>
      <c r="AH322" s="668"/>
    </row>
    <row r="323" spans="1:36" x14ac:dyDescent="0.2">
      <c r="A323"/>
      <c r="B323"/>
      <c r="C323"/>
      <c r="D323" s="668"/>
      <c r="E323" s="668"/>
      <c r="F323" s="668"/>
      <c r="G323" s="668"/>
      <c r="H323"/>
      <c r="I323"/>
      <c r="J323"/>
      <c r="K323"/>
      <c r="L323" s="668"/>
      <c r="M323" s="668"/>
      <c r="N323"/>
      <c r="O323"/>
      <c r="P323"/>
      <c r="Q323"/>
      <c r="R323"/>
      <c r="S323"/>
      <c r="T323"/>
      <c r="U323"/>
      <c r="V323"/>
      <c r="W323"/>
      <c r="X323" s="668"/>
      <c r="Y323" s="668"/>
      <c r="Z323" s="668"/>
      <c r="AA323" s="668"/>
      <c r="AB323"/>
      <c r="AC323"/>
      <c r="AD323"/>
      <c r="AE323"/>
      <c r="AF323"/>
      <c r="AG323"/>
      <c r="AH323" s="668"/>
    </row>
    <row r="324" spans="1:36" x14ac:dyDescent="0.2">
      <c r="A324"/>
      <c r="B324"/>
      <c r="C324"/>
      <c r="D324" s="668"/>
      <c r="E324" s="668"/>
      <c r="F324" s="668"/>
      <c r="G324" s="668"/>
      <c r="H324"/>
      <c r="I324"/>
      <c r="J324"/>
      <c r="K324"/>
      <c r="L324" s="668"/>
      <c r="M324" s="668"/>
      <c r="N324"/>
      <c r="O324"/>
      <c r="P324"/>
      <c r="Q324"/>
      <c r="R324"/>
      <c r="S324"/>
      <c r="T324"/>
      <c r="U324"/>
      <c r="V324"/>
      <c r="W324"/>
      <c r="X324" s="668"/>
      <c r="Y324" s="668"/>
      <c r="Z324" s="668"/>
      <c r="AA324" s="668"/>
      <c r="AB324"/>
      <c r="AC324"/>
      <c r="AD324"/>
      <c r="AE324"/>
      <c r="AF324"/>
      <c r="AG324"/>
      <c r="AH324" s="668"/>
    </row>
    <row r="325" spans="1:36" x14ac:dyDescent="0.2">
      <c r="A325"/>
      <c r="B325"/>
      <c r="C325"/>
      <c r="D325" s="668"/>
      <c r="E325" s="668"/>
      <c r="F325" s="668"/>
      <c r="G325" s="668"/>
      <c r="H325"/>
      <c r="I325"/>
      <c r="J325"/>
      <c r="K325"/>
      <c r="L325" s="668"/>
      <c r="M325" s="668"/>
      <c r="N325"/>
      <c r="O325"/>
      <c r="P325"/>
      <c r="Q325"/>
      <c r="R325"/>
      <c r="S325"/>
      <c r="T325"/>
      <c r="X325" s="668"/>
      <c r="Y325" s="668"/>
      <c r="Z325" s="668"/>
      <c r="AA325" s="668"/>
      <c r="AB325"/>
      <c r="AC325"/>
      <c r="AD325"/>
      <c r="AE325"/>
      <c r="AF325"/>
      <c r="AG325"/>
      <c r="AH325" s="668"/>
    </row>
    <row r="326" spans="1:36" x14ac:dyDescent="0.2">
      <c r="A326"/>
      <c r="B326"/>
      <c r="C326"/>
      <c r="D326" s="668"/>
      <c r="E326" s="668"/>
      <c r="F326" s="668"/>
      <c r="G326" s="668"/>
      <c r="H326"/>
      <c r="I326"/>
      <c r="J326"/>
      <c r="K326"/>
      <c r="L326" s="668"/>
      <c r="M326" s="668"/>
      <c r="N326"/>
      <c r="O326"/>
      <c r="P326"/>
      <c r="Q326"/>
      <c r="R326"/>
      <c r="S326"/>
      <c r="X326" s="668"/>
      <c r="Y326" s="668"/>
      <c r="Z326" s="668"/>
      <c r="AA326" s="668"/>
      <c r="AB326"/>
      <c r="AC326"/>
      <c r="AD326"/>
      <c r="AE326"/>
      <c r="AF326"/>
      <c r="AG326"/>
      <c r="AH326" s="668"/>
    </row>
    <row r="327" spans="1:36" x14ac:dyDescent="0.2">
      <c r="A327"/>
      <c r="B327"/>
      <c r="C327"/>
      <c r="D327" s="668"/>
      <c r="E327" s="668"/>
      <c r="F327" s="668"/>
      <c r="G327" s="668"/>
      <c r="H327"/>
      <c r="I327"/>
      <c r="J327"/>
      <c r="K327"/>
      <c r="L327" s="668"/>
      <c r="M327" s="668"/>
      <c r="N327"/>
      <c r="O327"/>
      <c r="P327"/>
      <c r="Q327"/>
      <c r="R327"/>
      <c r="S327"/>
      <c r="X327" s="668"/>
      <c r="Y327" s="668"/>
      <c r="Z327" s="668"/>
      <c r="AA327" s="668"/>
      <c r="AB327"/>
      <c r="AC327"/>
      <c r="AD327"/>
      <c r="AE327"/>
      <c r="AF327"/>
      <c r="AG327"/>
      <c r="AH327" s="668"/>
    </row>
    <row r="328" spans="1:36" x14ac:dyDescent="0.2">
      <c r="A328"/>
      <c r="B328"/>
      <c r="C328"/>
      <c r="D328" s="668"/>
      <c r="E328" s="668"/>
      <c r="F328" s="668"/>
      <c r="G328" s="668"/>
      <c r="H328"/>
      <c r="I328"/>
      <c r="J328"/>
      <c r="K328"/>
      <c r="L328" s="668"/>
      <c r="M328" s="668"/>
      <c r="N328"/>
      <c r="O328"/>
      <c r="P328"/>
      <c r="Q328"/>
      <c r="R328"/>
      <c r="S328"/>
      <c r="T328"/>
      <c r="U328"/>
      <c r="V328"/>
      <c r="W328"/>
      <c r="X328" s="668"/>
      <c r="Y328" s="668"/>
      <c r="Z328" s="668"/>
      <c r="AA328" s="668"/>
      <c r="AB328"/>
      <c r="AC328"/>
      <c r="AD328"/>
      <c r="AE328"/>
      <c r="AF328"/>
      <c r="AG328"/>
      <c r="AH328" s="668"/>
    </row>
    <row r="329" spans="1:36" x14ac:dyDescent="0.2">
      <c r="A329"/>
      <c r="B329"/>
      <c r="C329"/>
      <c r="D329" s="668"/>
      <c r="E329" s="668"/>
      <c r="F329" s="668"/>
      <c r="G329" s="668"/>
      <c r="H329"/>
      <c r="I329"/>
      <c r="J329"/>
      <c r="K329"/>
      <c r="L329" s="668"/>
      <c r="M329" s="668"/>
      <c r="N329"/>
      <c r="O329"/>
      <c r="P329"/>
      <c r="Q329"/>
      <c r="R329"/>
      <c r="S329"/>
      <c r="T329"/>
      <c r="U329"/>
      <c r="V329"/>
      <c r="W329"/>
      <c r="X329" s="668"/>
      <c r="Y329" s="668"/>
      <c r="Z329" s="668"/>
      <c r="AA329" s="668"/>
      <c r="AB329"/>
      <c r="AC329"/>
      <c r="AD329"/>
      <c r="AE329"/>
      <c r="AF329"/>
      <c r="AG329"/>
      <c r="AH329" s="668"/>
    </row>
    <row r="330" spans="1:36" x14ac:dyDescent="0.2">
      <c r="A330"/>
      <c r="B330"/>
      <c r="C330"/>
      <c r="D330" s="668"/>
      <c r="E330" s="668"/>
      <c r="F330" s="668"/>
      <c r="G330" s="668"/>
      <c r="H330"/>
      <c r="I330"/>
      <c r="J330"/>
      <c r="K330"/>
      <c r="L330" s="668"/>
      <c r="M330" s="668"/>
      <c r="N330"/>
      <c r="O330"/>
      <c r="P330"/>
      <c r="Q330"/>
      <c r="R330"/>
      <c r="S330"/>
      <c r="T330"/>
      <c r="U330"/>
      <c r="V330"/>
      <c r="W330"/>
      <c r="X330" s="668"/>
      <c r="Y330" s="668"/>
      <c r="Z330" s="668"/>
      <c r="AA330" s="668"/>
      <c r="AB330"/>
      <c r="AC330"/>
      <c r="AD330"/>
      <c r="AE330"/>
      <c r="AF330"/>
      <c r="AG330"/>
      <c r="AH330" s="668"/>
    </row>
    <row r="331" spans="1:36" x14ac:dyDescent="0.2">
      <c r="A331"/>
      <c r="B331"/>
      <c r="C331"/>
      <c r="D331" s="668"/>
      <c r="E331" s="668"/>
      <c r="F331" s="668"/>
      <c r="G331" s="668"/>
      <c r="H331"/>
      <c r="I331"/>
      <c r="J331"/>
      <c r="K331"/>
      <c r="L331" s="668"/>
      <c r="M331" s="668"/>
      <c r="N331"/>
      <c r="O331"/>
      <c r="P331"/>
      <c r="Q331"/>
      <c r="R331"/>
      <c r="S331"/>
      <c r="X331" s="668"/>
      <c r="Y331" s="668"/>
      <c r="Z331" s="668"/>
      <c r="AA331" s="668"/>
      <c r="AB331"/>
      <c r="AC331"/>
      <c r="AD331"/>
      <c r="AE331"/>
      <c r="AF331"/>
      <c r="AG331"/>
      <c r="AH331" s="668"/>
    </row>
    <row r="332" spans="1:36" x14ac:dyDescent="0.2">
      <c r="A332"/>
      <c r="B332"/>
      <c r="C332"/>
      <c r="D332" s="668"/>
      <c r="E332" s="668"/>
      <c r="F332" s="668"/>
      <c r="G332" s="668"/>
      <c r="H332"/>
      <c r="I332"/>
      <c r="J332"/>
      <c r="K332"/>
      <c r="L332" s="668"/>
      <c r="M332" s="668"/>
      <c r="N332"/>
      <c r="O332"/>
      <c r="P332"/>
      <c r="Q332"/>
      <c r="R332"/>
      <c r="S332"/>
      <c r="T332"/>
      <c r="U332"/>
      <c r="V332"/>
      <c r="W332"/>
      <c r="X332" s="668"/>
      <c r="Y332" s="668"/>
      <c r="Z332" s="668"/>
      <c r="AA332" s="668"/>
      <c r="AB332"/>
      <c r="AC332"/>
      <c r="AD332"/>
      <c r="AE332"/>
      <c r="AF332"/>
      <c r="AG332"/>
      <c r="AH332" s="668"/>
    </row>
    <row r="333" spans="1:36" x14ac:dyDescent="0.2">
      <c r="A333"/>
      <c r="B333"/>
      <c r="C333"/>
      <c r="D333" s="668"/>
      <c r="E333" s="668"/>
      <c r="F333" s="668"/>
      <c r="G333" s="668"/>
      <c r="H333"/>
      <c r="I333"/>
      <c r="J333"/>
      <c r="K333"/>
      <c r="L333" s="668"/>
      <c r="M333" s="668"/>
      <c r="N333"/>
      <c r="O333"/>
      <c r="P333"/>
      <c r="Q333"/>
      <c r="R333"/>
      <c r="S333"/>
      <c r="T333"/>
      <c r="U333"/>
      <c r="V333"/>
      <c r="W333"/>
      <c r="X333" s="668"/>
      <c r="Y333" s="668"/>
      <c r="Z333" s="668"/>
      <c r="AA333" s="668"/>
      <c r="AB333"/>
      <c r="AC333"/>
      <c r="AD333"/>
      <c r="AE333"/>
      <c r="AF333"/>
      <c r="AG333"/>
      <c r="AH333" s="668"/>
      <c r="AI333"/>
    </row>
    <row r="334" spans="1:36" x14ac:dyDescent="0.2">
      <c r="A334"/>
      <c r="B334"/>
      <c r="C334"/>
      <c r="D334" s="668"/>
      <c r="E334" s="668"/>
      <c r="F334" s="668"/>
      <c r="G334" s="668"/>
      <c r="H334"/>
      <c r="I334"/>
      <c r="J334"/>
      <c r="K334"/>
      <c r="L334" s="668"/>
      <c r="M334" s="668"/>
      <c r="N334"/>
      <c r="O334"/>
      <c r="P334"/>
      <c r="Q334"/>
      <c r="R334"/>
      <c r="S334"/>
      <c r="T334"/>
      <c r="U334"/>
      <c r="V334"/>
      <c r="W334"/>
      <c r="X334" s="668"/>
      <c r="Y334" s="668"/>
      <c r="Z334" s="668"/>
      <c r="AA334" s="668"/>
      <c r="AB334"/>
      <c r="AC334"/>
      <c r="AD334"/>
      <c r="AE334"/>
      <c r="AF334"/>
      <c r="AG334"/>
      <c r="AH334" s="668"/>
      <c r="AI334"/>
    </row>
    <row r="335" spans="1:36" x14ac:dyDescent="0.2">
      <c r="A335"/>
      <c r="B335"/>
      <c r="C335"/>
      <c r="D335" s="668"/>
      <c r="E335" s="668"/>
      <c r="F335" s="668"/>
      <c r="G335" s="668"/>
      <c r="H335"/>
      <c r="I335"/>
      <c r="J335"/>
      <c r="K335"/>
      <c r="L335" s="668"/>
      <c r="M335" s="668"/>
      <c r="N335"/>
      <c r="O335"/>
      <c r="P335"/>
      <c r="Q335"/>
      <c r="R335"/>
      <c r="S335"/>
      <c r="T335"/>
      <c r="U335"/>
      <c r="V335"/>
      <c r="W335"/>
      <c r="X335" s="668"/>
      <c r="Y335" s="668"/>
      <c r="Z335" s="668"/>
      <c r="AA335" s="668"/>
      <c r="AB335"/>
      <c r="AC335"/>
      <c r="AD335"/>
      <c r="AE335"/>
      <c r="AF335"/>
      <c r="AG335"/>
      <c r="AH335" s="668"/>
    </row>
    <row r="336" spans="1:36" x14ac:dyDescent="0.2">
      <c r="A336"/>
      <c r="B336"/>
      <c r="C336"/>
      <c r="D336" s="668"/>
      <c r="E336" s="668"/>
      <c r="F336" s="668"/>
      <c r="G336" s="668"/>
      <c r="H336"/>
      <c r="I336"/>
      <c r="J336"/>
      <c r="K336"/>
      <c r="L336" s="668"/>
      <c r="M336" s="668"/>
      <c r="N336"/>
      <c r="O336"/>
      <c r="P336"/>
      <c r="Q336"/>
      <c r="R336"/>
      <c r="S336"/>
      <c r="T336"/>
      <c r="U336"/>
      <c r="V336"/>
      <c r="W336"/>
      <c r="X336" s="668"/>
      <c r="Y336" s="668"/>
      <c r="Z336" s="668"/>
      <c r="AA336" s="668"/>
      <c r="AB336"/>
      <c r="AC336"/>
      <c r="AD336"/>
      <c r="AE336"/>
      <c r="AF336"/>
      <c r="AG336"/>
      <c r="AH336" s="668"/>
      <c r="AJ336"/>
    </row>
    <row r="337" spans="1:34" x14ac:dyDescent="0.2">
      <c r="A337"/>
      <c r="B337"/>
      <c r="C337"/>
      <c r="D337" s="668"/>
      <c r="E337" s="668"/>
      <c r="F337" s="668"/>
      <c r="G337" s="668"/>
      <c r="H337"/>
      <c r="I337"/>
      <c r="J337"/>
      <c r="K337"/>
      <c r="L337" s="668"/>
      <c r="M337" s="668"/>
      <c r="N337"/>
      <c r="O337"/>
      <c r="P337"/>
      <c r="Q337"/>
      <c r="R337"/>
      <c r="S337"/>
      <c r="T337"/>
      <c r="U337"/>
      <c r="V337"/>
      <c r="W337"/>
      <c r="X337" s="668"/>
      <c r="Y337" s="668"/>
      <c r="Z337" s="668"/>
      <c r="AA337" s="668"/>
      <c r="AB337"/>
      <c r="AC337"/>
      <c r="AD337"/>
      <c r="AE337"/>
      <c r="AF337"/>
      <c r="AG337"/>
      <c r="AH337" s="668"/>
    </row>
    <row r="338" spans="1:34" x14ac:dyDescent="0.2">
      <c r="A338"/>
      <c r="B338"/>
      <c r="C338"/>
      <c r="D338" s="668"/>
      <c r="E338" s="668"/>
      <c r="F338" s="668"/>
      <c r="G338" s="668"/>
      <c r="H338"/>
      <c r="I338"/>
      <c r="J338"/>
      <c r="K338"/>
      <c r="L338" s="668"/>
      <c r="M338" s="668"/>
      <c r="N338"/>
      <c r="O338"/>
      <c r="P338"/>
      <c r="Q338"/>
      <c r="R338"/>
      <c r="S338"/>
      <c r="T338"/>
      <c r="U338"/>
      <c r="V338"/>
      <c r="W338"/>
      <c r="X338" s="668"/>
      <c r="Y338" s="668"/>
      <c r="Z338" s="668"/>
      <c r="AA338" s="668"/>
      <c r="AB338"/>
      <c r="AC338"/>
      <c r="AD338"/>
      <c r="AE338"/>
      <c r="AF338"/>
      <c r="AG338"/>
      <c r="AH338" s="668"/>
    </row>
    <row r="339" spans="1:34" x14ac:dyDescent="0.2">
      <c r="A339"/>
      <c r="B339"/>
      <c r="C339"/>
      <c r="D339" s="668"/>
      <c r="E339" s="668"/>
      <c r="F339" s="668"/>
      <c r="G339" s="668"/>
      <c r="H339"/>
      <c r="I339"/>
      <c r="J339"/>
      <c r="K339"/>
      <c r="L339" s="668"/>
      <c r="M339" s="668"/>
      <c r="N339"/>
      <c r="P339"/>
      <c r="T339"/>
      <c r="X339" s="668"/>
      <c r="Y339" s="668"/>
      <c r="Z339" s="668"/>
      <c r="AA339" s="668"/>
      <c r="AB339"/>
      <c r="AC339"/>
      <c r="AD339"/>
      <c r="AE339"/>
      <c r="AF339"/>
      <c r="AG339"/>
      <c r="AH339" s="668"/>
    </row>
    <row r="340" spans="1:34" x14ac:dyDescent="0.2">
      <c r="A340"/>
      <c r="B340"/>
      <c r="C340"/>
      <c r="D340" s="668"/>
      <c r="E340" s="668"/>
      <c r="F340" s="668"/>
      <c r="G340" s="668"/>
      <c r="H340"/>
      <c r="I340"/>
      <c r="J340"/>
      <c r="K340"/>
      <c r="L340" s="668"/>
      <c r="M340" s="668"/>
      <c r="N340"/>
      <c r="O340"/>
      <c r="P340"/>
      <c r="T340"/>
      <c r="X340" s="668"/>
      <c r="Y340" s="668"/>
      <c r="Z340" s="668"/>
      <c r="AA340" s="668"/>
      <c r="AB340"/>
      <c r="AC340"/>
      <c r="AD340"/>
      <c r="AE340"/>
      <c r="AF340"/>
      <c r="AG340"/>
      <c r="AH340" s="668"/>
    </row>
    <row r="341" spans="1:34" x14ac:dyDescent="0.2">
      <c r="A341"/>
      <c r="B341"/>
      <c r="C341"/>
      <c r="D341" s="668"/>
      <c r="E341" s="668"/>
      <c r="F341" s="668"/>
      <c r="G341" s="668"/>
      <c r="H341"/>
      <c r="I341"/>
      <c r="J341"/>
      <c r="K341"/>
      <c r="L341" s="668"/>
      <c r="M341" s="668"/>
      <c r="N341"/>
      <c r="O341"/>
      <c r="P341"/>
      <c r="Q341"/>
      <c r="R341"/>
      <c r="S341"/>
      <c r="T341"/>
      <c r="U341"/>
      <c r="V341"/>
      <c r="W341"/>
      <c r="X341" s="668"/>
      <c r="Y341" s="668"/>
      <c r="Z341" s="668"/>
      <c r="AA341" s="668"/>
      <c r="AB341"/>
      <c r="AC341"/>
      <c r="AD341"/>
      <c r="AE341"/>
      <c r="AF341"/>
      <c r="AG341"/>
      <c r="AH341" s="668"/>
    </row>
    <row r="342" spans="1:34" x14ac:dyDescent="0.2">
      <c r="A342"/>
      <c r="B342"/>
      <c r="C342"/>
      <c r="D342" s="668"/>
      <c r="E342" s="668"/>
      <c r="F342" s="668"/>
      <c r="G342" s="668"/>
      <c r="H342"/>
      <c r="I342"/>
      <c r="J342"/>
      <c r="K342"/>
      <c r="L342" s="668"/>
      <c r="M342" s="668"/>
      <c r="N342"/>
      <c r="O342"/>
      <c r="P342"/>
      <c r="Q342"/>
      <c r="R342"/>
      <c r="S342"/>
      <c r="T342"/>
      <c r="U342"/>
      <c r="V342"/>
      <c r="W342"/>
      <c r="X342" s="668"/>
      <c r="Y342" s="668"/>
      <c r="Z342" s="668"/>
      <c r="AA342" s="668"/>
      <c r="AB342"/>
      <c r="AC342"/>
      <c r="AD342"/>
      <c r="AE342"/>
      <c r="AF342"/>
      <c r="AG342"/>
      <c r="AH342" s="668"/>
    </row>
    <row r="343" spans="1:34" x14ac:dyDescent="0.2">
      <c r="A343"/>
      <c r="B343"/>
      <c r="C343"/>
      <c r="D343" s="668"/>
      <c r="E343" s="668"/>
      <c r="F343" s="668"/>
      <c r="G343" s="668"/>
      <c r="H343"/>
      <c r="I343"/>
      <c r="J343"/>
      <c r="K343"/>
      <c r="L343" s="668"/>
      <c r="M343" s="668"/>
      <c r="N343"/>
      <c r="O343"/>
      <c r="P343"/>
      <c r="Q343"/>
      <c r="R343"/>
      <c r="S343"/>
      <c r="T343"/>
      <c r="U343"/>
      <c r="V343"/>
      <c r="W343"/>
      <c r="X343" s="668"/>
      <c r="Y343" s="668"/>
      <c r="Z343" s="668"/>
      <c r="AA343" s="668"/>
      <c r="AB343"/>
      <c r="AC343"/>
      <c r="AD343"/>
      <c r="AE343"/>
      <c r="AF343"/>
      <c r="AG343"/>
      <c r="AH343" s="668"/>
    </row>
    <row r="344" spans="1:34" x14ac:dyDescent="0.2">
      <c r="A344"/>
      <c r="B344"/>
      <c r="C344"/>
      <c r="D344" s="668"/>
      <c r="E344" s="668"/>
      <c r="F344" s="668"/>
      <c r="G344" s="668"/>
      <c r="H344"/>
      <c r="I344"/>
      <c r="J344"/>
      <c r="K344"/>
      <c r="L344" s="668"/>
      <c r="M344" s="668"/>
      <c r="N344"/>
      <c r="O344"/>
      <c r="P344"/>
      <c r="Q344"/>
      <c r="R344"/>
      <c r="S344"/>
      <c r="T344"/>
      <c r="U344"/>
      <c r="V344"/>
      <c r="W344"/>
      <c r="X344" s="668"/>
      <c r="Y344" s="668"/>
      <c r="Z344" s="668"/>
      <c r="AA344" s="668"/>
      <c r="AB344"/>
      <c r="AC344"/>
      <c r="AD344"/>
      <c r="AE344"/>
      <c r="AF344"/>
      <c r="AG344"/>
      <c r="AH344" s="668"/>
    </row>
    <row r="345" spans="1:34" x14ac:dyDescent="0.2">
      <c r="A345"/>
      <c r="B345"/>
      <c r="C345"/>
      <c r="D345" s="668"/>
      <c r="E345" s="668"/>
      <c r="F345" s="668"/>
      <c r="G345" s="668"/>
      <c r="H345"/>
      <c r="I345"/>
      <c r="J345"/>
      <c r="K345"/>
      <c r="L345" s="668"/>
      <c r="M345" s="668"/>
      <c r="N345"/>
      <c r="O345"/>
      <c r="P345"/>
      <c r="Q345"/>
      <c r="R345"/>
      <c r="S345"/>
      <c r="T345"/>
      <c r="U345"/>
      <c r="V345"/>
      <c r="W345"/>
      <c r="X345" s="668"/>
      <c r="Y345" s="668"/>
      <c r="Z345" s="668"/>
      <c r="AA345" s="668"/>
      <c r="AB345"/>
      <c r="AC345"/>
      <c r="AD345"/>
      <c r="AE345"/>
      <c r="AF345"/>
      <c r="AG345"/>
      <c r="AH345" s="668"/>
    </row>
    <row r="346" spans="1:34" x14ac:dyDescent="0.2">
      <c r="A346"/>
      <c r="B346"/>
      <c r="C346"/>
      <c r="D346" s="668"/>
      <c r="E346" s="668"/>
      <c r="F346" s="668"/>
      <c r="G346" s="668"/>
      <c r="H346"/>
      <c r="I346"/>
      <c r="J346"/>
      <c r="K346"/>
      <c r="L346" s="668"/>
      <c r="M346" s="668"/>
      <c r="P346"/>
      <c r="T346"/>
      <c r="X346" s="668"/>
      <c r="Y346" s="668"/>
      <c r="Z346" s="668"/>
      <c r="AA346" s="668"/>
      <c r="AB346"/>
      <c r="AC346"/>
      <c r="AD346"/>
      <c r="AE346"/>
      <c r="AF346"/>
      <c r="AG346"/>
      <c r="AH346" s="668"/>
    </row>
    <row r="347" spans="1:34" x14ac:dyDescent="0.2">
      <c r="A347"/>
      <c r="B347"/>
      <c r="C347"/>
      <c r="D347" s="668"/>
      <c r="E347" s="668"/>
      <c r="F347" s="668"/>
      <c r="G347" s="668"/>
      <c r="H347"/>
      <c r="I347"/>
      <c r="J347"/>
      <c r="K347"/>
      <c r="L347" s="668"/>
      <c r="M347" s="668"/>
      <c r="P347"/>
      <c r="T347"/>
      <c r="X347" s="668"/>
      <c r="Y347" s="668"/>
      <c r="Z347" s="668"/>
      <c r="AA347" s="668"/>
      <c r="AB347"/>
      <c r="AC347"/>
      <c r="AD347"/>
      <c r="AE347"/>
      <c r="AF347"/>
      <c r="AG347"/>
      <c r="AH347" s="668"/>
    </row>
    <row r="348" spans="1:34" x14ac:dyDescent="0.2">
      <c r="A348"/>
      <c r="B348"/>
      <c r="C348"/>
      <c r="D348" s="668"/>
      <c r="E348" s="668"/>
      <c r="F348" s="668"/>
      <c r="G348" s="668"/>
      <c r="H348"/>
      <c r="I348"/>
      <c r="J348"/>
      <c r="K348"/>
      <c r="L348" s="668"/>
      <c r="M348" s="668"/>
      <c r="N348"/>
      <c r="O348"/>
      <c r="P348"/>
      <c r="Q348"/>
      <c r="R348"/>
      <c r="S348"/>
      <c r="T348"/>
      <c r="U348"/>
      <c r="V348"/>
      <c r="W348"/>
      <c r="X348" s="668"/>
      <c r="Y348" s="668"/>
      <c r="Z348" s="668"/>
      <c r="AA348" s="668"/>
      <c r="AB348"/>
      <c r="AC348"/>
      <c r="AD348"/>
      <c r="AE348"/>
      <c r="AF348"/>
      <c r="AG348"/>
      <c r="AH348" s="668"/>
    </row>
    <row r="349" spans="1:34" x14ac:dyDescent="0.2">
      <c r="A349"/>
      <c r="B349"/>
      <c r="C349"/>
      <c r="D349" s="668"/>
      <c r="E349" s="668"/>
      <c r="F349" s="668"/>
      <c r="G349" s="668"/>
      <c r="H349"/>
      <c r="I349"/>
      <c r="J349"/>
      <c r="K349"/>
      <c r="L349" s="668"/>
      <c r="M349" s="668"/>
      <c r="N349"/>
      <c r="O349"/>
      <c r="P349"/>
      <c r="Q349"/>
      <c r="R349"/>
      <c r="S349"/>
      <c r="X349" s="668"/>
      <c r="Y349" s="668"/>
      <c r="Z349" s="668"/>
      <c r="AA349" s="668"/>
      <c r="AB349"/>
      <c r="AC349"/>
      <c r="AD349"/>
      <c r="AE349"/>
      <c r="AF349"/>
      <c r="AG349"/>
      <c r="AH349" s="668"/>
    </row>
    <row r="350" spans="1:34" x14ac:dyDescent="0.2">
      <c r="A350"/>
      <c r="B350"/>
      <c r="C350"/>
      <c r="D350" s="668"/>
      <c r="E350" s="668"/>
      <c r="F350" s="668"/>
      <c r="G350" s="668"/>
      <c r="H350"/>
      <c r="I350"/>
      <c r="J350"/>
      <c r="K350"/>
      <c r="L350" s="668"/>
      <c r="M350" s="668"/>
      <c r="N350"/>
      <c r="O350"/>
      <c r="P350"/>
      <c r="Q350"/>
      <c r="R350"/>
      <c r="S350"/>
      <c r="T350"/>
      <c r="U350"/>
      <c r="V350"/>
      <c r="W350"/>
      <c r="X350" s="668"/>
      <c r="Y350" s="668"/>
      <c r="Z350" s="668"/>
      <c r="AA350" s="668"/>
      <c r="AB350"/>
      <c r="AC350"/>
      <c r="AD350"/>
      <c r="AE350"/>
      <c r="AF350"/>
      <c r="AG350"/>
      <c r="AH350" s="668"/>
    </row>
    <row r="351" spans="1:34" x14ac:dyDescent="0.2">
      <c r="A351"/>
      <c r="B351"/>
      <c r="C351"/>
      <c r="D351" s="668"/>
      <c r="E351" s="668"/>
      <c r="F351" s="668"/>
      <c r="G351" s="668"/>
      <c r="H351"/>
      <c r="I351"/>
      <c r="J351"/>
      <c r="K351"/>
      <c r="L351" s="668"/>
      <c r="M351" s="668"/>
      <c r="N351"/>
      <c r="O351"/>
      <c r="P351"/>
      <c r="Q351"/>
      <c r="R351"/>
      <c r="S351"/>
      <c r="T351"/>
      <c r="U351"/>
      <c r="V351"/>
      <c r="W351"/>
      <c r="X351" s="668"/>
      <c r="Y351" s="668"/>
      <c r="Z351" s="668"/>
      <c r="AA351" s="668"/>
      <c r="AB351"/>
      <c r="AD351"/>
      <c r="AE351"/>
      <c r="AF351"/>
      <c r="AG351"/>
      <c r="AH351" s="668"/>
    </row>
    <row r="352" spans="1:34" x14ac:dyDescent="0.2">
      <c r="A352"/>
      <c r="B352"/>
      <c r="C352"/>
      <c r="D352" s="668"/>
      <c r="E352" s="668"/>
      <c r="F352" s="668"/>
      <c r="G352" s="668"/>
      <c r="H352"/>
      <c r="I352"/>
      <c r="J352"/>
      <c r="K352"/>
      <c r="L352" s="668"/>
      <c r="M352" s="668"/>
      <c r="N352"/>
      <c r="O352"/>
      <c r="P352"/>
      <c r="Q352"/>
      <c r="R352"/>
      <c r="S352"/>
      <c r="T352"/>
      <c r="U352"/>
      <c r="V352"/>
      <c r="W352"/>
      <c r="X352" s="668"/>
      <c r="Y352" s="668"/>
      <c r="Z352" s="668"/>
      <c r="AA352" s="668"/>
      <c r="AB352"/>
      <c r="AC352"/>
      <c r="AD352"/>
      <c r="AE352"/>
      <c r="AF352"/>
      <c r="AG352"/>
      <c r="AH352" s="668"/>
    </row>
    <row r="353" spans="1:34" x14ac:dyDescent="0.2">
      <c r="A353"/>
      <c r="B353"/>
      <c r="C353"/>
      <c r="D353" s="668"/>
      <c r="E353" s="668"/>
      <c r="F353" s="668"/>
      <c r="G353" s="668"/>
      <c r="H353"/>
      <c r="I353"/>
      <c r="J353"/>
      <c r="K353"/>
      <c r="L353" s="668"/>
      <c r="M353" s="668"/>
      <c r="N353"/>
      <c r="O353"/>
      <c r="P353"/>
      <c r="Q353"/>
      <c r="R353"/>
      <c r="S353"/>
      <c r="X353" s="668"/>
      <c r="Y353" s="668"/>
      <c r="Z353" s="668"/>
      <c r="AA353" s="668"/>
      <c r="AB353"/>
      <c r="AC353"/>
      <c r="AD353"/>
      <c r="AE353"/>
      <c r="AF353"/>
      <c r="AG353"/>
      <c r="AH353" s="668"/>
    </row>
    <row r="354" spans="1:34" x14ac:dyDescent="0.2">
      <c r="A354"/>
      <c r="B354"/>
      <c r="C354"/>
      <c r="D354" s="668"/>
      <c r="E354" s="668"/>
      <c r="F354" s="668"/>
      <c r="G354" s="668"/>
      <c r="H354"/>
      <c r="I354"/>
      <c r="J354"/>
      <c r="K354"/>
      <c r="L354" s="668"/>
      <c r="M354" s="668"/>
      <c r="N354"/>
      <c r="O354"/>
      <c r="P354"/>
      <c r="Q354"/>
      <c r="R354"/>
      <c r="S354"/>
      <c r="T354"/>
      <c r="U354"/>
      <c r="V354"/>
      <c r="W354"/>
      <c r="X354" s="668"/>
      <c r="Y354" s="668"/>
      <c r="Z354" s="668"/>
      <c r="AA354" s="668"/>
      <c r="AB354"/>
      <c r="AC354"/>
      <c r="AD354"/>
      <c r="AE354"/>
      <c r="AF354"/>
      <c r="AG354"/>
      <c r="AH354" s="668"/>
    </row>
    <row r="355" spans="1:34" x14ac:dyDescent="0.2">
      <c r="A355"/>
      <c r="B355"/>
      <c r="C355"/>
      <c r="D355" s="668"/>
      <c r="E355" s="668"/>
      <c r="F355" s="668"/>
      <c r="G355" s="668"/>
      <c r="H355"/>
      <c r="I355"/>
      <c r="J355"/>
      <c r="K355"/>
      <c r="L355" s="668"/>
      <c r="M355" s="668"/>
      <c r="N355"/>
      <c r="O355"/>
      <c r="P355"/>
      <c r="Q355"/>
      <c r="R355"/>
      <c r="S355"/>
      <c r="X355" s="668"/>
      <c r="Y355" s="668"/>
      <c r="Z355" s="668"/>
      <c r="AA355" s="668"/>
      <c r="AB355"/>
      <c r="AC355"/>
      <c r="AD355"/>
      <c r="AE355"/>
      <c r="AF355"/>
      <c r="AG355"/>
      <c r="AH355" s="668"/>
    </row>
    <row r="356" spans="1:34" x14ac:dyDescent="0.2">
      <c r="A356"/>
      <c r="B356"/>
      <c r="C356"/>
      <c r="D356" s="668"/>
      <c r="E356" s="668"/>
      <c r="F356" s="668"/>
      <c r="G356" s="668"/>
      <c r="H356"/>
      <c r="I356"/>
      <c r="J356"/>
      <c r="K356"/>
      <c r="L356" s="668"/>
      <c r="M356" s="668"/>
      <c r="N356"/>
      <c r="O356"/>
      <c r="P356"/>
      <c r="Q356"/>
      <c r="R356"/>
      <c r="S356"/>
      <c r="X356" s="668"/>
      <c r="Y356" s="668"/>
      <c r="Z356" s="668"/>
      <c r="AA356" s="668"/>
      <c r="AB356"/>
      <c r="AC356"/>
      <c r="AD356"/>
      <c r="AE356"/>
      <c r="AF356"/>
      <c r="AG356"/>
      <c r="AH356" s="668"/>
    </row>
    <row r="357" spans="1:34" x14ac:dyDescent="0.2">
      <c r="A357"/>
      <c r="B357"/>
      <c r="C357"/>
      <c r="D357" s="668"/>
      <c r="E357" s="668"/>
      <c r="F357" s="668"/>
      <c r="G357" s="668"/>
      <c r="H357"/>
      <c r="I357"/>
      <c r="J357"/>
      <c r="K357"/>
      <c r="L357" s="668"/>
      <c r="M357" s="668"/>
      <c r="N357"/>
      <c r="O357"/>
      <c r="P357"/>
      <c r="Q357"/>
      <c r="R357"/>
      <c r="S357"/>
      <c r="T357"/>
      <c r="U357"/>
      <c r="V357"/>
      <c r="W357"/>
      <c r="X357" s="668"/>
      <c r="Y357" s="668"/>
      <c r="Z357" s="668"/>
      <c r="AA357" s="668"/>
      <c r="AB357"/>
      <c r="AC357"/>
      <c r="AD357"/>
      <c r="AE357"/>
      <c r="AF357"/>
      <c r="AG357"/>
      <c r="AH357" s="668"/>
    </row>
    <row r="358" spans="1:34" x14ac:dyDescent="0.2">
      <c r="A358"/>
      <c r="B358"/>
      <c r="C358"/>
      <c r="D358" s="668"/>
      <c r="E358" s="668"/>
      <c r="F358" s="668"/>
      <c r="G358" s="668"/>
      <c r="H358"/>
      <c r="I358"/>
      <c r="J358"/>
      <c r="K358"/>
      <c r="L358" s="668"/>
      <c r="M358" s="668"/>
      <c r="N358"/>
      <c r="O358"/>
      <c r="P358"/>
      <c r="Q358"/>
      <c r="R358"/>
      <c r="S358"/>
      <c r="T358"/>
      <c r="U358"/>
      <c r="V358"/>
      <c r="W358"/>
      <c r="X358" s="668"/>
      <c r="Y358" s="668"/>
      <c r="Z358" s="668"/>
      <c r="AA358" s="668"/>
      <c r="AB358"/>
      <c r="AC358"/>
      <c r="AD358"/>
      <c r="AE358"/>
      <c r="AF358"/>
      <c r="AG358"/>
      <c r="AH358" s="668"/>
    </row>
    <row r="359" spans="1:34" x14ac:dyDescent="0.2">
      <c r="A359"/>
      <c r="B359"/>
      <c r="C359"/>
      <c r="D359" s="668"/>
      <c r="E359" s="668"/>
      <c r="F359" s="668"/>
      <c r="G359" s="668"/>
      <c r="H359"/>
      <c r="I359"/>
      <c r="J359"/>
      <c r="L359" s="668"/>
      <c r="M359" s="668"/>
      <c r="N359"/>
      <c r="O359"/>
      <c r="P359"/>
      <c r="Q359"/>
      <c r="R359"/>
      <c r="S359"/>
      <c r="T359"/>
      <c r="U359"/>
      <c r="V359"/>
      <c r="W359"/>
      <c r="X359" s="668"/>
      <c r="Y359" s="668"/>
      <c r="Z359" s="668"/>
      <c r="AA359" s="668"/>
      <c r="AB359"/>
      <c r="AC359"/>
      <c r="AD359"/>
      <c r="AE359"/>
      <c r="AF359"/>
      <c r="AG359"/>
      <c r="AH359" s="668"/>
    </row>
    <row r="360" spans="1:34" x14ac:dyDescent="0.2">
      <c r="A360"/>
      <c r="B360"/>
      <c r="C360"/>
      <c r="D360" s="668"/>
      <c r="E360" s="668"/>
      <c r="F360" s="668"/>
      <c r="G360" s="668"/>
      <c r="H360"/>
      <c r="I360"/>
      <c r="J360"/>
      <c r="L360" s="668"/>
      <c r="M360" s="668"/>
      <c r="N360"/>
      <c r="O360"/>
      <c r="P360"/>
      <c r="Q360"/>
      <c r="R360"/>
      <c r="S360"/>
      <c r="T360"/>
      <c r="U360"/>
      <c r="V360"/>
      <c r="W360"/>
      <c r="X360" s="668"/>
      <c r="Y360" s="668"/>
      <c r="Z360" s="668"/>
      <c r="AA360" s="668"/>
      <c r="AB360"/>
      <c r="AC360"/>
      <c r="AD360"/>
      <c r="AE360"/>
      <c r="AF360"/>
      <c r="AG360"/>
      <c r="AH360" s="668"/>
    </row>
    <row r="361" spans="1:34" x14ac:dyDescent="0.2">
      <c r="A361"/>
      <c r="B361"/>
      <c r="C361"/>
      <c r="D361" s="668"/>
      <c r="E361" s="668"/>
      <c r="F361" s="668"/>
      <c r="G361" s="668"/>
      <c r="H361"/>
      <c r="I361"/>
      <c r="J361"/>
      <c r="L361" s="668"/>
      <c r="M361" s="668"/>
      <c r="N361"/>
      <c r="O361"/>
      <c r="P361"/>
      <c r="Q361"/>
      <c r="R361"/>
      <c r="S361"/>
      <c r="T361"/>
      <c r="U361"/>
      <c r="V361"/>
      <c r="W361"/>
      <c r="X361" s="668"/>
      <c r="Y361" s="668"/>
      <c r="Z361" s="668"/>
      <c r="AA361" s="668"/>
      <c r="AB361"/>
      <c r="AC361"/>
      <c r="AD361"/>
      <c r="AE361"/>
      <c r="AF361"/>
      <c r="AG361"/>
      <c r="AH361" s="668"/>
    </row>
    <row r="362" spans="1:34" x14ac:dyDescent="0.2">
      <c r="A362"/>
      <c r="B362"/>
      <c r="C362"/>
      <c r="D362" s="668"/>
      <c r="E362" s="668"/>
      <c r="F362" s="668"/>
      <c r="G362" s="668"/>
      <c r="H362"/>
      <c r="I362"/>
      <c r="J362"/>
      <c r="L362" s="668"/>
      <c r="M362" s="668"/>
      <c r="N362"/>
      <c r="O362"/>
      <c r="P362"/>
      <c r="Q362"/>
      <c r="R362"/>
      <c r="S362"/>
      <c r="T362"/>
      <c r="U362"/>
      <c r="V362"/>
      <c r="W362"/>
      <c r="X362" s="668"/>
      <c r="Y362" s="668"/>
      <c r="Z362" s="668"/>
      <c r="AA362" s="668"/>
      <c r="AB362"/>
      <c r="AC362"/>
      <c r="AD362"/>
      <c r="AE362"/>
      <c r="AF362"/>
      <c r="AG362"/>
      <c r="AH362" s="668"/>
    </row>
    <row r="363" spans="1:34" x14ac:dyDescent="0.2">
      <c r="A363"/>
      <c r="B363"/>
      <c r="C363"/>
      <c r="D363" s="668"/>
      <c r="E363" s="668"/>
      <c r="F363" s="668"/>
      <c r="G363" s="668"/>
      <c r="H363"/>
      <c r="I363"/>
      <c r="J363"/>
      <c r="K363"/>
      <c r="L363" s="668"/>
      <c r="M363" s="668"/>
      <c r="N363"/>
      <c r="O363"/>
      <c r="P363"/>
      <c r="Q363"/>
      <c r="R363"/>
      <c r="S363"/>
      <c r="T363"/>
      <c r="U363"/>
      <c r="V363"/>
      <c r="W363"/>
      <c r="X363" s="668"/>
      <c r="Y363" s="668"/>
      <c r="Z363" s="668"/>
      <c r="AA363" s="668"/>
      <c r="AC363"/>
      <c r="AD363"/>
      <c r="AE363"/>
      <c r="AF363"/>
      <c r="AG363"/>
      <c r="AH363" s="668"/>
    </row>
    <row r="364" spans="1:34" x14ac:dyDescent="0.2">
      <c r="A364"/>
      <c r="B364"/>
      <c r="C364"/>
      <c r="D364" s="668"/>
      <c r="E364" s="668"/>
      <c r="F364" s="668"/>
      <c r="G364" s="668"/>
      <c r="H364"/>
      <c r="I364"/>
      <c r="J364"/>
      <c r="K364"/>
      <c r="L364" s="668"/>
      <c r="M364" s="668"/>
      <c r="N364"/>
      <c r="O364"/>
      <c r="P364"/>
      <c r="Q364"/>
      <c r="R364"/>
      <c r="S364"/>
      <c r="T364"/>
      <c r="U364"/>
      <c r="V364"/>
      <c r="W364"/>
      <c r="X364" s="668"/>
      <c r="Y364" s="668"/>
      <c r="Z364" s="668"/>
      <c r="AA364" s="668"/>
      <c r="AB364"/>
      <c r="AC364"/>
      <c r="AD364"/>
      <c r="AE364"/>
      <c r="AF364"/>
      <c r="AG364"/>
      <c r="AH364" s="668"/>
    </row>
    <row r="365" spans="1:34" x14ac:dyDescent="0.2">
      <c r="A365"/>
      <c r="B365"/>
      <c r="C365"/>
      <c r="D365" s="668"/>
      <c r="E365" s="668"/>
      <c r="F365" s="668"/>
      <c r="G365" s="668"/>
      <c r="H365"/>
      <c r="I365"/>
      <c r="J365"/>
      <c r="L365" s="668"/>
      <c r="M365" s="668"/>
      <c r="N365"/>
      <c r="O365"/>
      <c r="P365"/>
      <c r="Q365"/>
      <c r="R365"/>
      <c r="S365"/>
      <c r="T365"/>
      <c r="U365"/>
      <c r="V365"/>
      <c r="W365"/>
      <c r="X365" s="668"/>
      <c r="Y365" s="668"/>
      <c r="Z365" s="668"/>
      <c r="AA365" s="668"/>
      <c r="AB365"/>
      <c r="AC365"/>
      <c r="AD365"/>
      <c r="AE365"/>
      <c r="AF365"/>
      <c r="AG365"/>
      <c r="AH365" s="668"/>
    </row>
    <row r="366" spans="1:34" x14ac:dyDescent="0.2">
      <c r="A366"/>
      <c r="B366"/>
      <c r="C366"/>
      <c r="D366" s="668"/>
      <c r="E366" s="668"/>
      <c r="F366" s="668"/>
      <c r="G366" s="668"/>
      <c r="H366"/>
      <c r="I366"/>
      <c r="J366"/>
      <c r="L366" s="668"/>
      <c r="M366" s="668"/>
      <c r="N366"/>
      <c r="O366"/>
      <c r="P366"/>
      <c r="Q366"/>
      <c r="R366"/>
      <c r="S366"/>
      <c r="T366"/>
      <c r="U366"/>
      <c r="V366"/>
      <c r="W366"/>
      <c r="X366" s="668"/>
      <c r="Y366" s="668"/>
      <c r="Z366" s="668"/>
      <c r="AA366" s="668"/>
      <c r="AB366"/>
      <c r="AC366"/>
      <c r="AD366"/>
      <c r="AE366"/>
      <c r="AF366"/>
      <c r="AG366"/>
      <c r="AH366" s="668"/>
    </row>
    <row r="367" spans="1:34" x14ac:dyDescent="0.2">
      <c r="A367"/>
      <c r="B367"/>
      <c r="C367"/>
      <c r="D367" s="668"/>
      <c r="E367" s="668"/>
      <c r="F367" s="668"/>
      <c r="G367" s="668"/>
      <c r="H367"/>
      <c r="I367"/>
      <c r="J367"/>
      <c r="L367" s="668"/>
      <c r="M367" s="668"/>
      <c r="N367"/>
      <c r="O367"/>
      <c r="P367"/>
      <c r="Q367"/>
      <c r="R367"/>
      <c r="S367"/>
      <c r="T367"/>
      <c r="U367"/>
      <c r="V367"/>
      <c r="W367"/>
      <c r="X367" s="668"/>
      <c r="Y367" s="668"/>
      <c r="Z367" s="668"/>
      <c r="AA367" s="668"/>
      <c r="AB367"/>
      <c r="AC367"/>
      <c r="AD367"/>
      <c r="AE367"/>
      <c r="AF367"/>
      <c r="AG367"/>
      <c r="AH367" s="668"/>
    </row>
    <row r="368" spans="1:34" x14ac:dyDescent="0.2">
      <c r="A368"/>
      <c r="B368"/>
      <c r="C368"/>
      <c r="D368" s="668"/>
      <c r="E368" s="668"/>
      <c r="F368" s="668"/>
      <c r="G368" s="668"/>
      <c r="H368"/>
      <c r="I368"/>
      <c r="J368"/>
      <c r="L368" s="668"/>
      <c r="M368" s="668"/>
      <c r="N368"/>
      <c r="O368"/>
      <c r="P368"/>
      <c r="Q368"/>
      <c r="R368"/>
      <c r="S368"/>
      <c r="T368"/>
      <c r="U368"/>
      <c r="V368"/>
      <c r="W368"/>
      <c r="X368" s="668"/>
      <c r="Y368" s="668"/>
      <c r="Z368" s="668"/>
      <c r="AA368" s="668"/>
      <c r="AG368"/>
      <c r="AH368" s="668"/>
    </row>
    <row r="369" spans="1:34" x14ac:dyDescent="0.2">
      <c r="A369"/>
      <c r="B369"/>
      <c r="C369"/>
      <c r="D369" s="668"/>
      <c r="E369" s="668"/>
      <c r="F369" s="668"/>
      <c r="G369" s="668"/>
      <c r="H369"/>
      <c r="I369"/>
      <c r="J369"/>
      <c r="L369" s="668"/>
      <c r="M369" s="668"/>
      <c r="N369"/>
      <c r="O369"/>
      <c r="P369"/>
      <c r="Q369"/>
      <c r="R369"/>
      <c r="S369"/>
      <c r="T369"/>
      <c r="U369"/>
      <c r="V369"/>
      <c r="W369"/>
      <c r="X369" s="668"/>
      <c r="Y369" s="668"/>
      <c r="Z369" s="668"/>
      <c r="AA369" s="668"/>
      <c r="AB369"/>
      <c r="AC369"/>
      <c r="AD369"/>
      <c r="AE369"/>
      <c r="AF369"/>
      <c r="AG369"/>
      <c r="AH369" s="668"/>
    </row>
    <row r="370" spans="1:34" x14ac:dyDescent="0.2">
      <c r="A370"/>
      <c r="B370"/>
      <c r="C370"/>
      <c r="D370" s="668"/>
      <c r="E370" s="668"/>
      <c r="F370" s="668"/>
      <c r="G370" s="668"/>
      <c r="H370"/>
      <c r="I370"/>
      <c r="J370"/>
      <c r="K370"/>
      <c r="L370" s="668"/>
      <c r="M370" s="668"/>
      <c r="N370"/>
      <c r="O370"/>
      <c r="P370"/>
      <c r="Q370"/>
      <c r="R370"/>
      <c r="S370"/>
      <c r="T370"/>
      <c r="U370"/>
      <c r="V370"/>
      <c r="W370"/>
      <c r="X370" s="668"/>
      <c r="Y370" s="668"/>
      <c r="Z370" s="668"/>
      <c r="AA370" s="668"/>
      <c r="AB370"/>
      <c r="AC370"/>
      <c r="AD370"/>
      <c r="AE370"/>
      <c r="AF370"/>
      <c r="AG370"/>
      <c r="AH370" s="668"/>
    </row>
    <row r="371" spans="1:34" x14ac:dyDescent="0.2">
      <c r="A371"/>
      <c r="B371"/>
      <c r="C371"/>
      <c r="D371" s="668"/>
      <c r="E371" s="668"/>
      <c r="F371" s="668"/>
      <c r="G371" s="668"/>
      <c r="H371"/>
      <c r="I371"/>
      <c r="J371"/>
      <c r="L371" s="668"/>
      <c r="M371" s="668"/>
      <c r="O371"/>
      <c r="P371"/>
      <c r="Q371"/>
      <c r="R371"/>
      <c r="S371"/>
      <c r="X371" s="668"/>
      <c r="Y371" s="668"/>
      <c r="Z371" s="668"/>
      <c r="AA371" s="668"/>
      <c r="AB371"/>
      <c r="AC371"/>
      <c r="AD371"/>
      <c r="AE371"/>
      <c r="AF371"/>
      <c r="AG371"/>
      <c r="AH371" s="668"/>
    </row>
    <row r="372" spans="1:34" x14ac:dyDescent="0.2">
      <c r="A372"/>
      <c r="B372"/>
      <c r="C372"/>
      <c r="D372" s="668"/>
      <c r="E372" s="668"/>
      <c r="F372" s="668"/>
      <c r="G372" s="668"/>
      <c r="H372"/>
      <c r="I372"/>
      <c r="J372"/>
      <c r="L372" s="668"/>
      <c r="M372" s="668"/>
      <c r="N372"/>
      <c r="O372"/>
      <c r="P372"/>
      <c r="Q372"/>
      <c r="R372"/>
      <c r="S372"/>
      <c r="X372" s="668"/>
      <c r="Y372" s="668"/>
      <c r="Z372" s="668"/>
      <c r="AA372" s="668"/>
      <c r="AB372"/>
      <c r="AC372"/>
      <c r="AD372"/>
      <c r="AE372"/>
      <c r="AF372"/>
      <c r="AG372"/>
      <c r="AH372" s="668"/>
    </row>
    <row r="373" spans="1:34" x14ac:dyDescent="0.2">
      <c r="A373"/>
      <c r="B373"/>
      <c r="C373"/>
      <c r="D373" s="668"/>
      <c r="E373" s="668"/>
      <c r="F373" s="668"/>
      <c r="G373" s="668"/>
      <c r="H373"/>
      <c r="I373"/>
      <c r="J373"/>
      <c r="K373"/>
      <c r="L373" s="668"/>
      <c r="M373" s="668"/>
      <c r="N373"/>
      <c r="O373"/>
      <c r="P373"/>
      <c r="Q373"/>
      <c r="R373"/>
      <c r="S373"/>
      <c r="X373" s="668"/>
      <c r="Y373" s="668"/>
      <c r="Z373" s="668"/>
      <c r="AA373" s="668"/>
      <c r="AB373"/>
      <c r="AC373"/>
      <c r="AD373"/>
      <c r="AE373"/>
      <c r="AF373"/>
      <c r="AG373"/>
      <c r="AH373" s="668"/>
    </row>
    <row r="374" spans="1:34" x14ac:dyDescent="0.2">
      <c r="A374"/>
      <c r="B374"/>
      <c r="C374"/>
      <c r="D374" s="668"/>
      <c r="E374" s="668"/>
      <c r="F374" s="668"/>
      <c r="G374" s="668"/>
      <c r="H374"/>
      <c r="I374"/>
      <c r="J374"/>
      <c r="L374" s="668"/>
      <c r="M374" s="668"/>
      <c r="N374"/>
      <c r="O374"/>
      <c r="P374"/>
      <c r="Q374"/>
      <c r="R374"/>
      <c r="S374"/>
      <c r="X374" s="668"/>
      <c r="Y374" s="668"/>
      <c r="Z374" s="668"/>
      <c r="AA374" s="668"/>
      <c r="AB374"/>
      <c r="AC374"/>
      <c r="AD374"/>
      <c r="AE374"/>
      <c r="AF374"/>
      <c r="AG374"/>
      <c r="AH374" s="668"/>
    </row>
    <row r="375" spans="1:34" x14ac:dyDescent="0.2">
      <c r="A375"/>
      <c r="B375"/>
      <c r="C375"/>
      <c r="D375" s="668"/>
      <c r="E375" s="668"/>
      <c r="F375" s="668"/>
      <c r="G375" s="668"/>
      <c r="H375"/>
      <c r="I375"/>
      <c r="J375"/>
      <c r="L375" s="668"/>
      <c r="M375" s="668"/>
      <c r="N375"/>
      <c r="O375"/>
      <c r="P375"/>
      <c r="Q375"/>
      <c r="R375"/>
      <c r="S375"/>
      <c r="X375" s="668"/>
      <c r="Y375" s="668"/>
      <c r="Z375" s="668"/>
      <c r="AA375" s="668"/>
      <c r="AB375"/>
      <c r="AC375"/>
      <c r="AD375"/>
      <c r="AE375"/>
      <c r="AF375"/>
      <c r="AG375"/>
      <c r="AH375" s="668"/>
    </row>
    <row r="376" spans="1:34" x14ac:dyDescent="0.2">
      <c r="A376"/>
      <c r="B376"/>
      <c r="C376"/>
      <c r="D376" s="668"/>
      <c r="E376" s="668"/>
      <c r="F376" s="668"/>
      <c r="G376" s="668"/>
      <c r="H376"/>
      <c r="I376"/>
      <c r="J376"/>
      <c r="K376"/>
      <c r="L376" s="668"/>
      <c r="M376" s="668"/>
      <c r="N376"/>
      <c r="O376"/>
      <c r="P376"/>
      <c r="Q376"/>
      <c r="R376"/>
      <c r="S376"/>
      <c r="X376" s="668"/>
      <c r="Y376" s="668"/>
      <c r="Z376" s="668"/>
      <c r="AA376" s="668"/>
      <c r="AB376"/>
      <c r="AC376"/>
      <c r="AD376"/>
      <c r="AE376"/>
      <c r="AF376"/>
      <c r="AG376"/>
      <c r="AH376" s="668"/>
    </row>
    <row r="377" spans="1:34" x14ac:dyDescent="0.2">
      <c r="A377"/>
      <c r="B377"/>
      <c r="C377"/>
      <c r="D377" s="668"/>
      <c r="E377" s="668"/>
      <c r="F377" s="668"/>
      <c r="G377" s="668"/>
      <c r="H377"/>
      <c r="I377"/>
      <c r="J377"/>
      <c r="L377" s="668"/>
      <c r="M377" s="668"/>
      <c r="N377"/>
      <c r="O377"/>
      <c r="P377"/>
      <c r="Q377"/>
      <c r="R377"/>
      <c r="S377"/>
      <c r="X377" s="668"/>
      <c r="Y377" s="668"/>
      <c r="Z377" s="668"/>
      <c r="AA377" s="668"/>
      <c r="AB377"/>
      <c r="AC377"/>
      <c r="AD377"/>
      <c r="AE377"/>
      <c r="AF377"/>
      <c r="AG377"/>
      <c r="AH377" s="668"/>
    </row>
    <row r="378" spans="1:34" x14ac:dyDescent="0.2">
      <c r="A378"/>
      <c r="B378"/>
      <c r="C378"/>
      <c r="D378" s="668"/>
      <c r="E378" s="668"/>
      <c r="F378" s="668"/>
      <c r="G378" s="668"/>
      <c r="H378"/>
      <c r="I378"/>
      <c r="J378"/>
      <c r="K378"/>
      <c r="L378" s="668"/>
      <c r="M378" s="668"/>
      <c r="N378"/>
      <c r="O378"/>
      <c r="P378"/>
      <c r="Q378"/>
      <c r="R378"/>
      <c r="S378"/>
      <c r="X378" s="668"/>
      <c r="Y378" s="668"/>
      <c r="Z378" s="668"/>
      <c r="AA378" s="668"/>
      <c r="AB378"/>
      <c r="AD378"/>
      <c r="AE378"/>
      <c r="AF378"/>
      <c r="AG378"/>
      <c r="AH378" s="668"/>
    </row>
    <row r="379" spans="1:34" x14ac:dyDescent="0.2">
      <c r="A379"/>
      <c r="B379"/>
      <c r="C379"/>
      <c r="D379" s="668"/>
      <c r="E379" s="668"/>
      <c r="F379" s="668"/>
      <c r="G379" s="668"/>
      <c r="H379"/>
      <c r="I379"/>
      <c r="J379"/>
      <c r="K379"/>
      <c r="L379" s="668"/>
      <c r="M379" s="668"/>
      <c r="N379"/>
      <c r="O379"/>
      <c r="P379"/>
      <c r="Q379"/>
      <c r="R379"/>
      <c r="S379"/>
      <c r="X379" s="668"/>
      <c r="Y379" s="668"/>
      <c r="Z379" s="668"/>
      <c r="AA379" s="668"/>
      <c r="AB379"/>
      <c r="AD379"/>
      <c r="AE379"/>
      <c r="AF379"/>
      <c r="AG379"/>
      <c r="AH379" s="668"/>
    </row>
    <row r="380" spans="1:34" x14ac:dyDescent="0.2">
      <c r="A380"/>
      <c r="B380"/>
      <c r="C380"/>
      <c r="D380" s="668"/>
      <c r="E380" s="668"/>
      <c r="F380" s="668"/>
      <c r="G380" s="668"/>
      <c r="H380"/>
      <c r="I380"/>
      <c r="J380"/>
      <c r="K380"/>
      <c r="L380" s="668"/>
      <c r="M380" s="668"/>
      <c r="N380"/>
      <c r="O380"/>
      <c r="P380"/>
      <c r="Q380"/>
      <c r="R380"/>
      <c r="S380"/>
      <c r="X380" s="668"/>
      <c r="Y380" s="668"/>
      <c r="Z380" s="668"/>
      <c r="AA380" s="668"/>
      <c r="AB380"/>
      <c r="AC380"/>
      <c r="AD380"/>
      <c r="AE380"/>
      <c r="AF380"/>
      <c r="AG380"/>
      <c r="AH380" s="668"/>
    </row>
    <row r="381" spans="1:34" x14ac:dyDescent="0.2">
      <c r="A381"/>
      <c r="B381"/>
      <c r="C381"/>
      <c r="D381" s="668"/>
      <c r="E381" s="668"/>
      <c r="F381" s="668"/>
      <c r="G381" s="668"/>
      <c r="H381"/>
      <c r="I381"/>
      <c r="J381"/>
      <c r="K381"/>
      <c r="L381" s="668"/>
      <c r="M381" s="668"/>
      <c r="N381"/>
      <c r="O381"/>
      <c r="P381"/>
      <c r="Q381"/>
      <c r="R381"/>
      <c r="S381"/>
      <c r="X381" s="668"/>
      <c r="Y381" s="668"/>
      <c r="Z381" s="668"/>
      <c r="AA381" s="668"/>
      <c r="AB381"/>
      <c r="AC381"/>
      <c r="AD381"/>
      <c r="AE381"/>
      <c r="AF381"/>
      <c r="AG381"/>
      <c r="AH381" s="668"/>
    </row>
    <row r="382" spans="1:34" x14ac:dyDescent="0.2">
      <c r="A382"/>
      <c r="B382"/>
      <c r="C382"/>
      <c r="D382" s="668"/>
      <c r="E382" s="668"/>
      <c r="F382" s="668"/>
      <c r="G382" s="668"/>
      <c r="H382"/>
      <c r="I382"/>
      <c r="J382"/>
      <c r="K382"/>
      <c r="L382" s="668"/>
      <c r="M382" s="668"/>
      <c r="N382"/>
      <c r="O382"/>
      <c r="P382"/>
      <c r="Q382"/>
      <c r="R382"/>
      <c r="S382"/>
      <c r="X382" s="668"/>
      <c r="Y382" s="668"/>
      <c r="Z382" s="668"/>
      <c r="AA382" s="668"/>
      <c r="AB382"/>
      <c r="AC382"/>
      <c r="AD382"/>
      <c r="AE382"/>
      <c r="AF382"/>
      <c r="AG382"/>
      <c r="AH382" s="668"/>
    </row>
    <row r="383" spans="1:34" x14ac:dyDescent="0.2">
      <c r="A383"/>
      <c r="B383"/>
      <c r="C383"/>
      <c r="D383" s="668"/>
      <c r="E383" s="668"/>
      <c r="F383" s="668"/>
      <c r="G383" s="668"/>
      <c r="H383"/>
      <c r="I383"/>
      <c r="J383"/>
      <c r="K383"/>
      <c r="L383" s="668"/>
      <c r="M383" s="668"/>
      <c r="N383"/>
      <c r="O383"/>
      <c r="P383"/>
      <c r="Q383"/>
      <c r="R383"/>
      <c r="S383"/>
      <c r="X383" s="668"/>
      <c r="Y383" s="668"/>
      <c r="Z383" s="668"/>
      <c r="AA383" s="668"/>
      <c r="AB383"/>
      <c r="AC383"/>
      <c r="AD383"/>
      <c r="AE383"/>
      <c r="AF383"/>
      <c r="AG383"/>
      <c r="AH383" s="668"/>
    </row>
    <row r="384" spans="1:34" x14ac:dyDescent="0.2">
      <c r="A384"/>
      <c r="B384"/>
      <c r="C384"/>
      <c r="D384" s="668"/>
      <c r="E384" s="668"/>
      <c r="F384" s="668"/>
      <c r="G384" s="668"/>
      <c r="H384"/>
      <c r="I384"/>
      <c r="J384"/>
      <c r="K384"/>
      <c r="L384" s="668"/>
      <c r="M384" s="668"/>
      <c r="N384"/>
      <c r="O384"/>
      <c r="P384"/>
      <c r="Q384"/>
      <c r="R384"/>
      <c r="S384"/>
      <c r="X384" s="668"/>
      <c r="Y384" s="668"/>
      <c r="Z384" s="668"/>
      <c r="AA384" s="668"/>
      <c r="AB384"/>
      <c r="AC384"/>
      <c r="AD384"/>
      <c r="AE384"/>
      <c r="AF384"/>
      <c r="AG384"/>
      <c r="AH384" s="668"/>
    </row>
    <row r="385" spans="1:36" x14ac:dyDescent="0.2">
      <c r="A385"/>
      <c r="B385"/>
      <c r="C385"/>
      <c r="D385" s="668"/>
      <c r="E385" s="668"/>
      <c r="F385" s="668"/>
      <c r="G385" s="668"/>
      <c r="H385"/>
      <c r="I385"/>
      <c r="J385"/>
      <c r="K385"/>
      <c r="L385" s="668"/>
      <c r="M385" s="668"/>
      <c r="N385"/>
      <c r="O385"/>
      <c r="P385"/>
      <c r="Q385"/>
      <c r="R385"/>
      <c r="S385"/>
      <c r="X385" s="668"/>
      <c r="Y385" s="668"/>
      <c r="Z385" s="668"/>
      <c r="AA385" s="668"/>
      <c r="AB385"/>
      <c r="AC385"/>
      <c r="AD385"/>
      <c r="AE385"/>
      <c r="AF385"/>
      <c r="AG385"/>
      <c r="AH385" s="668"/>
    </row>
    <row r="386" spans="1:36" x14ac:dyDescent="0.2">
      <c r="A386"/>
      <c r="B386"/>
      <c r="C386"/>
      <c r="D386" s="668"/>
      <c r="E386" s="668"/>
      <c r="F386" s="668"/>
      <c r="G386" s="668"/>
      <c r="H386"/>
      <c r="I386"/>
      <c r="J386"/>
      <c r="K386"/>
      <c r="L386" s="668"/>
      <c r="M386" s="668"/>
      <c r="N386"/>
      <c r="O386"/>
      <c r="P386"/>
      <c r="Q386"/>
      <c r="R386"/>
      <c r="S386"/>
      <c r="X386" s="668"/>
      <c r="Y386" s="668"/>
      <c r="Z386" s="668"/>
      <c r="AA386" s="668"/>
      <c r="AB386"/>
      <c r="AC386"/>
      <c r="AD386"/>
      <c r="AE386"/>
      <c r="AF386"/>
      <c r="AG386"/>
      <c r="AH386" s="668"/>
    </row>
    <row r="387" spans="1:36" x14ac:dyDescent="0.2">
      <c r="A387"/>
      <c r="B387"/>
      <c r="C387"/>
      <c r="D387" s="668"/>
      <c r="E387" s="668"/>
      <c r="F387" s="668"/>
      <c r="G387" s="668"/>
      <c r="H387"/>
      <c r="I387"/>
      <c r="J387"/>
      <c r="K387"/>
      <c r="L387" s="668"/>
      <c r="M387" s="668"/>
      <c r="N387"/>
      <c r="O387"/>
      <c r="P387"/>
      <c r="Q387"/>
      <c r="R387"/>
      <c r="S387"/>
      <c r="X387" s="668"/>
      <c r="Y387" s="668"/>
      <c r="Z387" s="668"/>
      <c r="AA387" s="668"/>
      <c r="AB387"/>
      <c r="AC387"/>
      <c r="AD387"/>
      <c r="AE387"/>
      <c r="AF387"/>
      <c r="AG387"/>
      <c r="AH387" s="668"/>
    </row>
    <row r="388" spans="1:36" x14ac:dyDescent="0.2">
      <c r="A388"/>
      <c r="B388"/>
      <c r="C388"/>
      <c r="D388" s="668"/>
      <c r="E388" s="668"/>
      <c r="F388" s="668"/>
      <c r="G388" s="668"/>
      <c r="H388"/>
      <c r="I388"/>
      <c r="J388"/>
      <c r="K388"/>
      <c r="L388" s="668"/>
      <c r="M388" s="668"/>
      <c r="N388"/>
      <c r="O388"/>
      <c r="P388"/>
      <c r="Q388"/>
      <c r="R388"/>
      <c r="S388"/>
      <c r="X388" s="668"/>
      <c r="Y388" s="668"/>
      <c r="Z388" s="668"/>
      <c r="AA388" s="668"/>
      <c r="AB388"/>
      <c r="AC388"/>
      <c r="AD388"/>
      <c r="AE388"/>
      <c r="AF388"/>
      <c r="AG388"/>
      <c r="AH388" s="668"/>
    </row>
    <row r="389" spans="1:36" x14ac:dyDescent="0.2">
      <c r="A389"/>
      <c r="B389"/>
      <c r="C389"/>
      <c r="D389" s="668"/>
      <c r="E389" s="668"/>
      <c r="F389" s="668"/>
      <c r="G389" s="668"/>
      <c r="H389"/>
      <c r="I389"/>
      <c r="J389"/>
      <c r="K389"/>
      <c r="L389" s="668"/>
      <c r="M389" s="668"/>
      <c r="N389"/>
      <c r="O389"/>
      <c r="P389"/>
      <c r="Q389"/>
      <c r="R389"/>
      <c r="S389"/>
      <c r="X389" s="668"/>
      <c r="Y389" s="668"/>
      <c r="Z389" s="668"/>
      <c r="AA389" s="668"/>
      <c r="AB389"/>
      <c r="AC389"/>
      <c r="AD389"/>
      <c r="AE389"/>
      <c r="AF389"/>
      <c r="AG389"/>
      <c r="AH389" s="668"/>
    </row>
    <row r="390" spans="1:36" x14ac:dyDescent="0.2">
      <c r="A390"/>
      <c r="B390"/>
      <c r="C390"/>
      <c r="D390" s="668"/>
      <c r="E390" s="668"/>
      <c r="F390" s="668"/>
      <c r="G390" s="668"/>
      <c r="H390"/>
      <c r="I390"/>
      <c r="J390"/>
      <c r="L390" s="668"/>
      <c r="M390" s="668"/>
      <c r="N390"/>
      <c r="O390"/>
      <c r="P390"/>
      <c r="Q390"/>
      <c r="R390"/>
      <c r="S390"/>
      <c r="X390" s="668"/>
      <c r="Y390" s="668"/>
      <c r="Z390" s="668"/>
      <c r="AA390" s="668"/>
      <c r="AB390"/>
      <c r="AC390"/>
      <c r="AD390"/>
      <c r="AE390"/>
      <c r="AF390"/>
      <c r="AG390"/>
      <c r="AH390" s="668"/>
    </row>
    <row r="391" spans="1:36" x14ac:dyDescent="0.2">
      <c r="A391"/>
      <c r="B391"/>
      <c r="C391"/>
      <c r="D391" s="668"/>
      <c r="E391" s="668"/>
      <c r="F391" s="668"/>
      <c r="G391" s="668"/>
      <c r="H391"/>
      <c r="I391"/>
      <c r="J391"/>
      <c r="K391"/>
      <c r="L391" s="668"/>
      <c r="M391" s="668"/>
      <c r="N391"/>
      <c r="O391"/>
      <c r="P391"/>
      <c r="Q391"/>
      <c r="R391"/>
      <c r="S391"/>
      <c r="X391" s="668"/>
      <c r="Y391" s="668"/>
      <c r="Z391" s="668"/>
      <c r="AA391" s="668"/>
      <c r="AB391"/>
      <c r="AC391"/>
      <c r="AD391"/>
      <c r="AE391"/>
      <c r="AF391"/>
      <c r="AG391"/>
      <c r="AH391" s="668"/>
    </row>
    <row r="392" spans="1:36" x14ac:dyDescent="0.2">
      <c r="A392"/>
      <c r="B392"/>
      <c r="C392"/>
      <c r="D392" s="668"/>
      <c r="E392" s="668"/>
      <c r="F392" s="668"/>
      <c r="G392" s="668"/>
      <c r="H392"/>
      <c r="I392"/>
      <c r="J392"/>
      <c r="K392"/>
      <c r="L392" s="668"/>
      <c r="M392" s="668"/>
      <c r="N392"/>
      <c r="O392"/>
      <c r="P392"/>
      <c r="Q392"/>
      <c r="R392"/>
      <c r="S392"/>
      <c r="X392" s="668"/>
      <c r="Y392" s="668"/>
      <c r="Z392" s="668"/>
      <c r="AA392" s="668"/>
      <c r="AB392"/>
      <c r="AC392"/>
      <c r="AD392"/>
      <c r="AE392"/>
      <c r="AF392"/>
      <c r="AG392"/>
      <c r="AH392" s="668"/>
    </row>
    <row r="393" spans="1:36" x14ac:dyDescent="0.2">
      <c r="A393"/>
      <c r="B393"/>
      <c r="C393"/>
      <c r="D393" s="668"/>
      <c r="E393" s="668"/>
      <c r="F393" s="668"/>
      <c r="G393" s="668"/>
      <c r="H393"/>
      <c r="I393"/>
      <c r="J393"/>
      <c r="K393"/>
      <c r="L393" s="668"/>
      <c r="M393" s="668"/>
      <c r="N393"/>
      <c r="O393"/>
      <c r="P393"/>
      <c r="Q393"/>
      <c r="R393"/>
      <c r="S393"/>
      <c r="T393"/>
      <c r="U393"/>
      <c r="V393"/>
      <c r="W393"/>
      <c r="X393" s="668"/>
      <c r="Y393" s="668"/>
      <c r="Z393" s="668"/>
      <c r="AA393" s="668"/>
      <c r="AB393"/>
      <c r="AC393"/>
      <c r="AD393"/>
      <c r="AE393"/>
      <c r="AF393"/>
      <c r="AG393"/>
      <c r="AH393" s="668"/>
    </row>
    <row r="394" spans="1:36" x14ac:dyDescent="0.2">
      <c r="A394"/>
      <c r="B394"/>
      <c r="C394"/>
      <c r="D394" s="668"/>
      <c r="E394" s="668"/>
      <c r="F394" s="668"/>
      <c r="G394" s="668"/>
      <c r="H394"/>
      <c r="I394"/>
      <c r="J394"/>
      <c r="K394"/>
      <c r="L394" s="668"/>
      <c r="M394" s="668"/>
      <c r="N394"/>
      <c r="O394"/>
      <c r="P394"/>
      <c r="Q394"/>
      <c r="R394"/>
      <c r="S394"/>
      <c r="X394" s="668"/>
      <c r="Y394" s="668"/>
      <c r="Z394" s="668"/>
      <c r="AA394" s="668"/>
      <c r="AB394"/>
      <c r="AC394"/>
      <c r="AD394"/>
      <c r="AE394"/>
      <c r="AF394"/>
      <c r="AG394"/>
      <c r="AH394" s="668"/>
    </row>
    <row r="395" spans="1:36" x14ac:dyDescent="0.2">
      <c r="A395"/>
      <c r="B395"/>
      <c r="C395"/>
      <c r="D395" s="668"/>
      <c r="E395" s="668"/>
      <c r="F395" s="668"/>
      <c r="G395" s="668"/>
      <c r="H395"/>
      <c r="I395"/>
      <c r="J395"/>
      <c r="K395"/>
      <c r="L395" s="668"/>
      <c r="M395" s="668"/>
      <c r="N395"/>
      <c r="O395"/>
      <c r="P395"/>
      <c r="Q395"/>
      <c r="R395"/>
      <c r="S395"/>
      <c r="X395" s="668"/>
      <c r="Y395" s="668"/>
      <c r="Z395" s="668"/>
      <c r="AA395" s="668"/>
      <c r="AB395"/>
      <c r="AC395"/>
      <c r="AD395"/>
      <c r="AE395"/>
      <c r="AF395"/>
      <c r="AG395"/>
      <c r="AH395" s="668"/>
    </row>
    <row r="396" spans="1:36" x14ac:dyDescent="0.2">
      <c r="A396"/>
      <c r="B396"/>
      <c r="C396"/>
      <c r="D396" s="668"/>
      <c r="E396" s="668"/>
      <c r="F396" s="668"/>
      <c r="G396" s="668"/>
      <c r="H396"/>
      <c r="I396"/>
      <c r="J396"/>
      <c r="K396"/>
      <c r="L396" s="668"/>
      <c r="M396" s="668"/>
      <c r="N396"/>
      <c r="O396"/>
      <c r="P396"/>
      <c r="Q396"/>
      <c r="R396"/>
      <c r="S396"/>
      <c r="T396"/>
      <c r="U396"/>
      <c r="V396"/>
      <c r="W396"/>
      <c r="X396" s="668"/>
      <c r="Y396" s="668"/>
      <c r="Z396" s="668"/>
      <c r="AA396" s="668"/>
      <c r="AB396"/>
      <c r="AC396"/>
      <c r="AD396"/>
      <c r="AE396"/>
      <c r="AF396"/>
      <c r="AG396"/>
      <c r="AH396" s="668"/>
      <c r="AI396"/>
    </row>
    <row r="397" spans="1:36" x14ac:dyDescent="0.2">
      <c r="A397"/>
      <c r="B397"/>
      <c r="C397"/>
      <c r="D397" s="668"/>
      <c r="E397" s="668"/>
      <c r="F397" s="668"/>
      <c r="G397" s="668"/>
      <c r="H397"/>
      <c r="I397"/>
      <c r="J397"/>
      <c r="K397"/>
      <c r="L397" s="668"/>
      <c r="M397" s="668"/>
      <c r="N397"/>
      <c r="O397"/>
      <c r="P397"/>
      <c r="Q397"/>
      <c r="R397"/>
      <c r="S397"/>
      <c r="T397"/>
      <c r="U397"/>
      <c r="V397"/>
      <c r="W397"/>
      <c r="X397" s="668"/>
      <c r="Y397" s="668"/>
      <c r="Z397" s="668"/>
      <c r="AA397" s="668"/>
      <c r="AB397"/>
      <c r="AC397"/>
      <c r="AD397"/>
      <c r="AE397"/>
      <c r="AF397"/>
      <c r="AG397"/>
      <c r="AH397" s="668"/>
    </row>
    <row r="398" spans="1:36" x14ac:dyDescent="0.2">
      <c r="A398"/>
      <c r="B398"/>
      <c r="C398"/>
      <c r="D398" s="668"/>
      <c r="E398" s="668"/>
      <c r="F398" s="668"/>
      <c r="G398" s="668"/>
      <c r="H398"/>
      <c r="I398"/>
      <c r="J398"/>
      <c r="K398"/>
      <c r="L398" s="668"/>
      <c r="M398" s="668"/>
      <c r="N398"/>
      <c r="O398"/>
      <c r="P398"/>
      <c r="Q398"/>
      <c r="R398"/>
      <c r="S398"/>
      <c r="T398"/>
      <c r="U398"/>
      <c r="V398"/>
      <c r="W398"/>
      <c r="X398" s="668"/>
      <c r="Y398" s="668"/>
      <c r="Z398" s="668"/>
      <c r="AA398" s="668"/>
      <c r="AB398"/>
      <c r="AC398"/>
      <c r="AD398"/>
      <c r="AE398"/>
      <c r="AF398"/>
      <c r="AG398"/>
      <c r="AH398" s="668"/>
      <c r="AI398"/>
    </row>
    <row r="399" spans="1:36" x14ac:dyDescent="0.2">
      <c r="A399"/>
      <c r="B399"/>
      <c r="C399"/>
      <c r="D399" s="668"/>
      <c r="E399" s="668"/>
      <c r="F399" s="668"/>
      <c r="G399" s="668"/>
      <c r="H399"/>
      <c r="I399"/>
      <c r="J399"/>
      <c r="K399"/>
      <c r="L399" s="668"/>
      <c r="M399" s="668"/>
      <c r="N399"/>
      <c r="O399"/>
      <c r="P399"/>
      <c r="Q399"/>
      <c r="R399"/>
      <c r="S399"/>
      <c r="T399"/>
      <c r="U399"/>
      <c r="V399"/>
      <c r="W399"/>
      <c r="X399" s="668"/>
      <c r="Y399" s="668"/>
      <c r="Z399" s="668"/>
      <c r="AA399" s="668"/>
      <c r="AB399"/>
      <c r="AC399"/>
      <c r="AD399"/>
      <c r="AE399"/>
      <c r="AF399"/>
      <c r="AG399"/>
      <c r="AH399" s="668"/>
      <c r="AJ399"/>
    </row>
    <row r="400" spans="1:36" x14ac:dyDescent="0.2">
      <c r="A400"/>
      <c r="B400"/>
      <c r="C400"/>
      <c r="D400" s="668"/>
      <c r="E400" s="668"/>
      <c r="F400" s="668"/>
      <c r="G400" s="668"/>
      <c r="H400"/>
      <c r="I400"/>
      <c r="J400"/>
      <c r="K400"/>
      <c r="L400" s="668"/>
      <c r="M400" s="668"/>
      <c r="N400"/>
      <c r="O400"/>
      <c r="P400"/>
      <c r="Q400"/>
      <c r="R400"/>
      <c r="S400"/>
      <c r="X400" s="668"/>
      <c r="Y400" s="668"/>
      <c r="Z400" s="668"/>
      <c r="AA400" s="668"/>
      <c r="AB400"/>
      <c r="AC400"/>
      <c r="AD400"/>
      <c r="AE400"/>
      <c r="AF400"/>
      <c r="AG400"/>
      <c r="AH400" s="668"/>
    </row>
    <row r="401" spans="1:34" x14ac:dyDescent="0.2">
      <c r="A401"/>
      <c r="B401"/>
      <c r="C401"/>
      <c r="D401" s="668"/>
      <c r="E401" s="668"/>
      <c r="F401" s="668"/>
      <c r="G401" s="668"/>
      <c r="H401"/>
      <c r="I401"/>
      <c r="J401"/>
      <c r="K401"/>
      <c r="L401" s="668"/>
      <c r="M401" s="668"/>
      <c r="N401"/>
      <c r="O401"/>
      <c r="P401"/>
      <c r="Q401"/>
      <c r="R401"/>
      <c r="S401"/>
      <c r="X401" s="668"/>
      <c r="Y401" s="668"/>
      <c r="Z401" s="668"/>
      <c r="AA401" s="668"/>
      <c r="AB401"/>
      <c r="AC401"/>
      <c r="AD401"/>
      <c r="AE401"/>
      <c r="AF401"/>
      <c r="AG401"/>
      <c r="AH401" s="668"/>
    </row>
    <row r="402" spans="1:34" x14ac:dyDescent="0.2">
      <c r="A402"/>
      <c r="B402"/>
      <c r="C402"/>
      <c r="D402" s="668"/>
      <c r="E402" s="668"/>
      <c r="F402" s="668"/>
      <c r="G402" s="668"/>
      <c r="H402"/>
      <c r="I402"/>
      <c r="J402"/>
      <c r="K402"/>
      <c r="L402" s="668"/>
      <c r="M402" s="668"/>
      <c r="N402"/>
      <c r="O402"/>
      <c r="P402"/>
      <c r="Q402"/>
      <c r="R402"/>
      <c r="S402"/>
      <c r="T402"/>
      <c r="U402"/>
      <c r="V402"/>
      <c r="W402"/>
      <c r="X402" s="668"/>
      <c r="Y402" s="668"/>
      <c r="Z402" s="668"/>
      <c r="AA402" s="668"/>
      <c r="AB402"/>
      <c r="AC402"/>
      <c r="AD402"/>
      <c r="AE402"/>
      <c r="AF402"/>
      <c r="AG402"/>
      <c r="AH402" s="668"/>
    </row>
    <row r="403" spans="1:34" x14ac:dyDescent="0.2">
      <c r="A403"/>
      <c r="B403"/>
      <c r="C403"/>
      <c r="D403" s="668"/>
      <c r="E403" s="668"/>
      <c r="F403" s="668"/>
      <c r="G403" s="668"/>
      <c r="H403"/>
      <c r="I403"/>
      <c r="J403"/>
      <c r="K403"/>
      <c r="L403" s="668"/>
      <c r="M403" s="668"/>
      <c r="N403"/>
      <c r="O403"/>
      <c r="P403"/>
      <c r="Q403"/>
      <c r="R403"/>
      <c r="S403"/>
      <c r="X403" s="668"/>
      <c r="Y403" s="668"/>
      <c r="Z403" s="668"/>
      <c r="AA403" s="668"/>
      <c r="AB403"/>
      <c r="AC403"/>
      <c r="AD403"/>
      <c r="AE403"/>
      <c r="AF403"/>
      <c r="AG403"/>
      <c r="AH403" s="668"/>
    </row>
    <row r="404" spans="1:34" x14ac:dyDescent="0.2">
      <c r="A404"/>
      <c r="B404"/>
      <c r="C404"/>
      <c r="D404" s="668"/>
      <c r="E404" s="668"/>
      <c r="F404" s="668"/>
      <c r="G404" s="668"/>
      <c r="H404"/>
      <c r="I404"/>
      <c r="J404"/>
      <c r="K404"/>
      <c r="L404" s="668"/>
      <c r="M404" s="668"/>
      <c r="N404"/>
      <c r="O404"/>
      <c r="P404"/>
      <c r="Q404"/>
      <c r="R404"/>
      <c r="S404"/>
      <c r="X404" s="668"/>
      <c r="Y404" s="668"/>
      <c r="Z404" s="668"/>
      <c r="AA404" s="668"/>
      <c r="AB404"/>
      <c r="AC404"/>
      <c r="AD404"/>
      <c r="AE404"/>
      <c r="AF404"/>
      <c r="AG404"/>
      <c r="AH404" s="668"/>
    </row>
    <row r="405" spans="1:34" x14ac:dyDescent="0.2">
      <c r="A405"/>
      <c r="B405"/>
      <c r="C405"/>
      <c r="D405" s="668"/>
      <c r="E405" s="668"/>
      <c r="F405" s="668"/>
      <c r="G405" s="668"/>
      <c r="H405"/>
      <c r="I405"/>
      <c r="J405"/>
      <c r="K405"/>
      <c r="L405" s="668"/>
      <c r="M405" s="668"/>
      <c r="N405"/>
      <c r="O405"/>
      <c r="P405"/>
      <c r="Q405"/>
      <c r="R405"/>
      <c r="S405"/>
      <c r="X405" s="668"/>
      <c r="Y405" s="668"/>
      <c r="Z405" s="668"/>
      <c r="AA405" s="668"/>
      <c r="AB405"/>
      <c r="AC405"/>
      <c r="AD405"/>
      <c r="AE405"/>
      <c r="AF405"/>
      <c r="AG405"/>
      <c r="AH405" s="668"/>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election activeCell="K17" sqref="K17"/>
    </sheetView>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403</v>
      </c>
      <c r="F1" t="s">
        <v>969</v>
      </c>
      <c r="G1" t="s">
        <v>970</v>
      </c>
    </row>
    <row r="2" spans="1:7" x14ac:dyDescent="0.2">
      <c r="A2"/>
      <c r="B2" s="668"/>
      <c r="C2" s="668"/>
      <c r="E2" t="e" cm="1">
        <f t="array" ref="E2">_xlfn.XLOOKUP(AssetId,AggregatedUUTRangeTol[AssetId],AggregatedUUTRangeTol[])</f>
        <v>#N/A</v>
      </c>
    </row>
    <row r="3" spans="1:7" x14ac:dyDescent="0.2">
      <c r="A3"/>
      <c r="B3" s="668"/>
      <c r="C3" s="668"/>
    </row>
    <row r="4" spans="1:7" x14ac:dyDescent="0.2">
      <c r="A4"/>
      <c r="B4" s="668"/>
      <c r="C4" s="668"/>
    </row>
    <row r="5" spans="1:7" x14ac:dyDescent="0.2">
      <c r="A5"/>
      <c r="B5" s="668"/>
      <c r="C5" s="668"/>
    </row>
    <row r="6" spans="1:7" x14ac:dyDescent="0.2">
      <c r="A6"/>
      <c r="B6" s="668"/>
      <c r="C6" s="668"/>
    </row>
    <row r="7" spans="1:7" x14ac:dyDescent="0.2">
      <c r="A7"/>
      <c r="B7" s="668"/>
      <c r="C7" s="668"/>
    </row>
    <row r="8" spans="1:7" x14ac:dyDescent="0.2">
      <c r="A8"/>
      <c r="B8" s="668"/>
      <c r="C8" s="668"/>
    </row>
    <row r="9" spans="1:7" x14ac:dyDescent="0.2">
      <c r="A9"/>
      <c r="B9" s="668"/>
      <c r="C9" s="668"/>
    </row>
    <row r="10" spans="1:7" x14ac:dyDescent="0.2">
      <c r="A10"/>
      <c r="B10" s="668"/>
      <c r="C10" s="668"/>
    </row>
    <row r="11" spans="1:7" x14ac:dyDescent="0.2">
      <c r="A11"/>
      <c r="B11" s="668"/>
      <c r="C11" s="668"/>
    </row>
    <row r="12" spans="1:7" x14ac:dyDescent="0.2">
      <c r="A12"/>
      <c r="B12" s="668"/>
      <c r="C12" s="668"/>
    </row>
    <row r="13" spans="1:7" x14ac:dyDescent="0.2">
      <c r="A13"/>
      <c r="B13" s="668"/>
      <c r="C13" s="668"/>
    </row>
    <row r="14" spans="1:7" x14ac:dyDescent="0.2">
      <c r="A14"/>
      <c r="B14" s="668"/>
      <c r="C14" s="668"/>
    </row>
    <row r="15" spans="1:7" x14ac:dyDescent="0.2">
      <c r="A15"/>
      <c r="B15" s="668"/>
      <c r="C15" s="668"/>
    </row>
    <row r="16" spans="1:7" x14ac:dyDescent="0.2">
      <c r="A16"/>
      <c r="B16" s="668"/>
      <c r="C16" s="668"/>
    </row>
    <row r="17" spans="1:3" x14ac:dyDescent="0.2">
      <c r="A17"/>
      <c r="B17" s="668"/>
      <c r="C17" s="668"/>
    </row>
    <row r="18" spans="1:3" x14ac:dyDescent="0.2">
      <c r="A18"/>
      <c r="B18" s="668"/>
      <c r="C18" s="668"/>
    </row>
    <row r="19" spans="1:3" x14ac:dyDescent="0.2">
      <c r="A19"/>
      <c r="B19" s="668"/>
      <c r="C19" s="668"/>
    </row>
    <row r="20" spans="1:3" x14ac:dyDescent="0.2">
      <c r="A20"/>
      <c r="B20" s="668"/>
      <c r="C20" s="668"/>
    </row>
    <row r="21" spans="1:3" x14ac:dyDescent="0.2">
      <c r="A21"/>
      <c r="B21" s="668"/>
      <c r="C21" s="668"/>
    </row>
    <row r="22" spans="1:3" x14ac:dyDescent="0.2">
      <c r="A22"/>
      <c r="B22" s="668"/>
      <c r="C22" s="668"/>
    </row>
    <row r="23" spans="1:3" x14ac:dyDescent="0.2">
      <c r="A23"/>
      <c r="B23" s="668"/>
      <c r="C23" s="668"/>
    </row>
    <row r="24" spans="1:3" x14ac:dyDescent="0.2">
      <c r="A24"/>
      <c r="B24" s="668"/>
      <c r="C24" s="668"/>
    </row>
    <row r="25" spans="1:3" x14ac:dyDescent="0.2">
      <c r="A25"/>
      <c r="B25" s="668"/>
      <c r="C25" s="668"/>
    </row>
    <row r="26" spans="1:3" x14ac:dyDescent="0.2">
      <c r="A26"/>
      <c r="B26" s="668"/>
      <c r="C26" s="668"/>
    </row>
    <row r="27" spans="1:3" x14ac:dyDescent="0.2">
      <c r="A27"/>
      <c r="B27" s="668"/>
      <c r="C27" s="668"/>
    </row>
    <row r="28" spans="1:3" x14ac:dyDescent="0.2">
      <c r="A28"/>
      <c r="B28" s="668"/>
      <c r="C28" s="668"/>
    </row>
    <row r="29" spans="1:3" x14ac:dyDescent="0.2">
      <c r="A29"/>
      <c r="B29" s="668"/>
      <c r="C29" s="668"/>
    </row>
    <row r="30" spans="1:3" x14ac:dyDescent="0.2">
      <c r="A30"/>
      <c r="B30" s="668"/>
      <c r="C30" s="668"/>
    </row>
    <row r="31" spans="1:3" x14ac:dyDescent="0.2">
      <c r="A31"/>
      <c r="B31" s="668"/>
      <c r="C31" s="668"/>
    </row>
    <row r="32" spans="1:3" x14ac:dyDescent="0.2">
      <c r="A32"/>
      <c r="B32" s="668"/>
      <c r="C32" s="668"/>
    </row>
    <row r="33" spans="1:3" x14ac:dyDescent="0.2">
      <c r="A33"/>
      <c r="B33" s="668"/>
      <c r="C33" s="668"/>
    </row>
    <row r="34" spans="1:3" x14ac:dyDescent="0.2">
      <c r="A34"/>
      <c r="B34" s="668"/>
      <c r="C34" s="668"/>
    </row>
    <row r="35" spans="1:3" x14ac:dyDescent="0.2">
      <c r="A35"/>
      <c r="B35" s="668"/>
      <c r="C35" s="668"/>
    </row>
    <row r="36" spans="1:3" x14ac:dyDescent="0.2">
      <c r="A36"/>
      <c r="B36" s="668"/>
      <c r="C36" s="668"/>
    </row>
    <row r="37" spans="1:3" x14ac:dyDescent="0.2">
      <c r="A37"/>
      <c r="B37" s="668"/>
      <c r="C37" s="668"/>
    </row>
    <row r="38" spans="1:3" x14ac:dyDescent="0.2">
      <c r="A38"/>
      <c r="B38" s="668"/>
      <c r="C38" s="668"/>
    </row>
    <row r="39" spans="1:3" x14ac:dyDescent="0.2">
      <c r="A39"/>
      <c r="B39" s="668"/>
      <c r="C39" s="668"/>
    </row>
    <row r="40" spans="1:3" x14ac:dyDescent="0.2">
      <c r="A40"/>
      <c r="B40" s="668"/>
      <c r="C40" s="668"/>
    </row>
    <row r="41" spans="1:3" x14ac:dyDescent="0.2">
      <c r="A41"/>
      <c r="B41" s="668"/>
      <c r="C41" s="668"/>
    </row>
    <row r="42" spans="1:3" x14ac:dyDescent="0.2">
      <c r="A42"/>
      <c r="B42" s="668"/>
      <c r="C42" s="668"/>
    </row>
    <row r="43" spans="1:3" x14ac:dyDescent="0.2">
      <c r="A43"/>
      <c r="B43" s="668"/>
      <c r="C43" s="668"/>
    </row>
    <row r="44" spans="1:3" x14ac:dyDescent="0.2">
      <c r="A44"/>
      <c r="B44" s="668"/>
      <c r="C44" s="668"/>
    </row>
    <row r="45" spans="1:3" x14ac:dyDescent="0.2">
      <c r="A45"/>
      <c r="B45" s="668"/>
      <c r="C45" s="668"/>
    </row>
    <row r="46" spans="1:3" x14ac:dyDescent="0.2">
      <c r="A46"/>
      <c r="B46" s="668"/>
      <c r="C46" s="668"/>
    </row>
    <row r="47" spans="1:3" x14ac:dyDescent="0.2">
      <c r="A47"/>
      <c r="B47" s="668"/>
      <c r="C47" s="668"/>
    </row>
    <row r="48" spans="1:3" x14ac:dyDescent="0.2">
      <c r="A48"/>
      <c r="B48" s="668"/>
      <c r="C48" s="668"/>
    </row>
    <row r="49" spans="1:3" x14ac:dyDescent="0.2">
      <c r="A49"/>
      <c r="B49" s="668"/>
      <c r="C49" s="668"/>
    </row>
    <row r="50" spans="1:3" x14ac:dyDescent="0.2">
      <c r="A50"/>
      <c r="B50" s="668"/>
      <c r="C50" s="668"/>
    </row>
    <row r="51" spans="1:3" x14ac:dyDescent="0.2">
      <c r="A51"/>
      <c r="B51" s="668"/>
      <c r="C51" s="668"/>
    </row>
    <row r="52" spans="1:3" x14ac:dyDescent="0.2">
      <c r="A52"/>
      <c r="B52" s="668"/>
      <c r="C52" s="668"/>
    </row>
    <row r="53" spans="1:3" x14ac:dyDescent="0.2">
      <c r="A53"/>
      <c r="B53" s="668"/>
      <c r="C53" s="668"/>
    </row>
    <row r="54" spans="1:3" x14ac:dyDescent="0.2">
      <c r="A54"/>
      <c r="B54" s="668"/>
      <c r="C54" s="668"/>
    </row>
    <row r="55" spans="1:3" x14ac:dyDescent="0.2">
      <c r="A55"/>
      <c r="B55" s="668"/>
      <c r="C55" s="668"/>
    </row>
    <row r="56" spans="1:3" x14ac:dyDescent="0.2">
      <c r="A56"/>
      <c r="B56" s="668"/>
      <c r="C56" s="668"/>
    </row>
    <row r="57" spans="1:3" x14ac:dyDescent="0.2">
      <c r="A57"/>
      <c r="B57" s="668"/>
      <c r="C57" s="668"/>
    </row>
    <row r="58" spans="1:3" x14ac:dyDescent="0.2">
      <c r="A58"/>
      <c r="B58" s="668"/>
      <c r="C58" s="668"/>
    </row>
    <row r="59" spans="1:3" x14ac:dyDescent="0.2">
      <c r="A59"/>
      <c r="B59" s="668"/>
      <c r="C59" s="668"/>
    </row>
    <row r="60" spans="1:3" x14ac:dyDescent="0.2">
      <c r="A60"/>
      <c r="B60" s="668"/>
      <c r="C60" s="668"/>
    </row>
    <row r="61" spans="1:3" x14ac:dyDescent="0.2">
      <c r="A61"/>
      <c r="B61" s="668"/>
      <c r="C61" s="668"/>
    </row>
    <row r="62" spans="1:3" x14ac:dyDescent="0.2">
      <c r="A62"/>
      <c r="B62" s="668"/>
      <c r="C62" s="668"/>
    </row>
    <row r="63" spans="1:3" x14ac:dyDescent="0.2">
      <c r="A63"/>
      <c r="B63" s="668"/>
      <c r="C63" s="668"/>
    </row>
    <row r="64" spans="1:3" x14ac:dyDescent="0.2">
      <c r="A64"/>
      <c r="B64" s="668"/>
      <c r="C64" s="668"/>
    </row>
    <row r="65" spans="1:3" x14ac:dyDescent="0.2">
      <c r="A65"/>
      <c r="B65" s="668"/>
      <c r="C65" s="668"/>
    </row>
    <row r="66" spans="1:3" x14ac:dyDescent="0.2">
      <c r="A66"/>
      <c r="B66" s="668"/>
      <c r="C66" s="668"/>
    </row>
    <row r="67" spans="1:3" x14ac:dyDescent="0.2">
      <c r="A67"/>
      <c r="B67" s="668"/>
      <c r="C67" s="668"/>
    </row>
    <row r="68" spans="1:3" x14ac:dyDescent="0.2">
      <c r="A68"/>
      <c r="B68" s="668"/>
      <c r="C68" s="668"/>
    </row>
    <row r="69" spans="1:3" x14ac:dyDescent="0.2">
      <c r="A69"/>
      <c r="B69" s="668"/>
      <c r="C69" s="668"/>
    </row>
    <row r="70" spans="1:3" x14ac:dyDescent="0.2">
      <c r="A70"/>
      <c r="B70" s="668"/>
      <c r="C70" s="668"/>
    </row>
    <row r="71" spans="1:3" x14ac:dyDescent="0.2">
      <c r="A71"/>
      <c r="B71" s="668"/>
      <c r="C71" s="668"/>
    </row>
    <row r="72" spans="1:3" x14ac:dyDescent="0.2">
      <c r="A72"/>
      <c r="B72" s="668"/>
      <c r="C72" s="668"/>
    </row>
    <row r="73" spans="1:3" x14ac:dyDescent="0.2">
      <c r="A73"/>
      <c r="B73" s="668"/>
      <c r="C73" s="668"/>
    </row>
    <row r="74" spans="1:3" x14ac:dyDescent="0.2">
      <c r="A74"/>
      <c r="B74" s="668"/>
      <c r="C74" s="668"/>
    </row>
    <row r="75" spans="1:3" x14ac:dyDescent="0.2">
      <c r="A75"/>
      <c r="B75" s="668"/>
      <c r="C75" s="668"/>
    </row>
    <row r="76" spans="1:3" x14ac:dyDescent="0.2">
      <c r="A76"/>
      <c r="B76" s="668"/>
      <c r="C76" s="668"/>
    </row>
    <row r="77" spans="1:3" x14ac:dyDescent="0.2">
      <c r="A77"/>
      <c r="B77" s="668"/>
      <c r="C77" s="668"/>
    </row>
    <row r="78" spans="1:3" x14ac:dyDescent="0.2">
      <c r="A78"/>
      <c r="B78" s="668"/>
      <c r="C78" s="668"/>
    </row>
    <row r="79" spans="1:3" x14ac:dyDescent="0.2">
      <c r="A79"/>
      <c r="B79" s="668"/>
      <c r="C79" s="668"/>
    </row>
    <row r="80" spans="1:3" x14ac:dyDescent="0.2">
      <c r="A80"/>
      <c r="B80" s="668"/>
      <c r="C80" s="668"/>
    </row>
    <row r="81" spans="1:3" x14ac:dyDescent="0.2">
      <c r="A81"/>
      <c r="B81" s="668"/>
      <c r="C81" s="668"/>
    </row>
    <row r="82" spans="1:3" x14ac:dyDescent="0.2">
      <c r="A82"/>
      <c r="B82" s="668"/>
      <c r="C82" s="668"/>
    </row>
    <row r="83" spans="1:3" x14ac:dyDescent="0.2">
      <c r="A83"/>
      <c r="B83" s="668"/>
      <c r="C83" s="668"/>
    </row>
    <row r="84" spans="1:3" x14ac:dyDescent="0.2">
      <c r="A84"/>
      <c r="B84" s="668"/>
      <c r="C84" s="668"/>
    </row>
    <row r="85" spans="1:3" x14ac:dyDescent="0.2">
      <c r="A85"/>
      <c r="B85" s="668"/>
      <c r="C85" s="668"/>
    </row>
    <row r="86" spans="1:3" x14ac:dyDescent="0.2">
      <c r="A86"/>
      <c r="B86" s="668"/>
      <c r="C86" s="668"/>
    </row>
    <row r="87" spans="1:3" x14ac:dyDescent="0.2">
      <c r="A87"/>
      <c r="B87" s="668"/>
      <c r="C87" s="668"/>
    </row>
    <row r="88" spans="1:3" x14ac:dyDescent="0.2">
      <c r="A88"/>
      <c r="B88" s="668"/>
      <c r="C88" s="668"/>
    </row>
    <row r="89" spans="1:3" x14ac:dyDescent="0.2">
      <c r="A89"/>
      <c r="B89" s="668"/>
      <c r="C89" s="668"/>
    </row>
    <row r="90" spans="1:3" x14ac:dyDescent="0.2">
      <c r="A90"/>
      <c r="B90" s="668"/>
      <c r="C90" s="668"/>
    </row>
    <row r="91" spans="1:3" x14ac:dyDescent="0.2">
      <c r="A91"/>
      <c r="B91" s="668"/>
      <c r="C91" s="668"/>
    </row>
    <row r="92" spans="1:3" x14ac:dyDescent="0.2">
      <c r="A92"/>
      <c r="B92" s="668"/>
      <c r="C92" s="668"/>
    </row>
    <row r="93" spans="1:3" x14ac:dyDescent="0.2">
      <c r="A93"/>
      <c r="B93" s="668"/>
      <c r="C93" s="668"/>
    </row>
    <row r="94" spans="1:3" x14ac:dyDescent="0.2">
      <c r="A94"/>
      <c r="B94" s="668"/>
      <c r="C94" s="668"/>
    </row>
    <row r="95" spans="1:3" x14ac:dyDescent="0.2">
      <c r="A95"/>
      <c r="B95" s="668"/>
      <c r="C95" s="668"/>
    </row>
    <row r="96" spans="1:3" x14ac:dyDescent="0.2">
      <c r="A96"/>
      <c r="B96" s="668"/>
      <c r="C96" s="668"/>
    </row>
    <row r="97" spans="1:3" x14ac:dyDescent="0.2">
      <c r="A97"/>
      <c r="B97" s="668"/>
      <c r="C97" s="668"/>
    </row>
    <row r="98" spans="1:3" x14ac:dyDescent="0.2">
      <c r="A98"/>
      <c r="B98" s="668"/>
      <c r="C98" s="668"/>
    </row>
    <row r="99" spans="1:3" x14ac:dyDescent="0.2">
      <c r="A99"/>
      <c r="B99" s="668"/>
      <c r="C99" s="668"/>
    </row>
    <row r="100" spans="1:3" x14ac:dyDescent="0.2">
      <c r="A100"/>
      <c r="B100" s="668"/>
      <c r="C100" s="668"/>
    </row>
    <row r="101" spans="1:3" x14ac:dyDescent="0.2">
      <c r="A101"/>
      <c r="B101" s="668"/>
      <c r="C101" s="668"/>
    </row>
    <row r="102" spans="1:3" x14ac:dyDescent="0.2">
      <c r="A102"/>
      <c r="B102" s="668"/>
      <c r="C102" s="668"/>
    </row>
    <row r="103" spans="1:3" x14ac:dyDescent="0.2">
      <c r="A103"/>
      <c r="B103" s="668"/>
      <c r="C103" s="668"/>
    </row>
    <row r="104" spans="1:3" x14ac:dyDescent="0.2">
      <c r="A104"/>
      <c r="B104" s="668"/>
      <c r="C104" s="668"/>
    </row>
    <row r="105" spans="1:3" x14ac:dyDescent="0.2">
      <c r="A105"/>
      <c r="B105" s="668"/>
      <c r="C105" s="668"/>
    </row>
    <row r="106" spans="1:3" x14ac:dyDescent="0.2">
      <c r="A106"/>
      <c r="B106" s="668"/>
      <c r="C106" s="668"/>
    </row>
    <row r="107" spans="1:3" x14ac:dyDescent="0.2">
      <c r="A107"/>
      <c r="B107" s="668"/>
      <c r="C107" s="668"/>
    </row>
    <row r="108" spans="1:3" x14ac:dyDescent="0.2">
      <c r="A108"/>
      <c r="B108" s="668"/>
      <c r="C108" s="668"/>
    </row>
    <row r="109" spans="1:3" x14ac:dyDescent="0.2">
      <c r="A109"/>
      <c r="B109" s="668"/>
      <c r="C109" s="668"/>
    </row>
    <row r="110" spans="1:3" x14ac:dyDescent="0.2">
      <c r="A110"/>
      <c r="B110" s="668"/>
      <c r="C110" s="668"/>
    </row>
    <row r="111" spans="1:3" x14ac:dyDescent="0.2">
      <c r="A111"/>
      <c r="B111" s="668"/>
      <c r="C111" s="668"/>
    </row>
    <row r="112" spans="1:3" x14ac:dyDescent="0.2">
      <c r="A112"/>
      <c r="B112" s="668"/>
      <c r="C112" s="668"/>
    </row>
    <row r="113" spans="1:3" x14ac:dyDescent="0.2">
      <c r="A113"/>
      <c r="B113" s="668"/>
      <c r="C113" s="668"/>
    </row>
    <row r="114" spans="1:3" x14ac:dyDescent="0.2">
      <c r="A114"/>
      <c r="B114" s="668"/>
      <c r="C114" s="668"/>
    </row>
    <row r="115" spans="1:3" x14ac:dyDescent="0.2">
      <c r="A115"/>
      <c r="B115" s="668"/>
      <c r="C115" s="668"/>
    </row>
    <row r="116" spans="1:3" x14ac:dyDescent="0.2">
      <c r="A116"/>
      <c r="B116" s="668"/>
      <c r="C116" s="668"/>
    </row>
    <row r="117" spans="1:3" x14ac:dyDescent="0.2">
      <c r="A117"/>
      <c r="B117" s="668"/>
      <c r="C117" s="668"/>
    </row>
    <row r="118" spans="1:3" x14ac:dyDescent="0.2">
      <c r="A118"/>
      <c r="B118" s="668"/>
      <c r="C118" s="668"/>
    </row>
    <row r="119" spans="1:3" x14ac:dyDescent="0.2">
      <c r="A119"/>
      <c r="B119" s="668"/>
      <c r="C119" s="668"/>
    </row>
    <row r="120" spans="1:3" x14ac:dyDescent="0.2">
      <c r="A120"/>
      <c r="B120" s="668"/>
      <c r="C120" s="668"/>
    </row>
    <row r="121" spans="1:3" x14ac:dyDescent="0.2">
      <c r="A121"/>
      <c r="B121" s="668"/>
      <c r="C121" s="668"/>
    </row>
    <row r="122" spans="1:3" x14ac:dyDescent="0.2">
      <c r="A122"/>
      <c r="B122" s="668"/>
      <c r="C122" s="668"/>
    </row>
    <row r="123" spans="1:3" x14ac:dyDescent="0.2">
      <c r="A123"/>
      <c r="B123" s="668"/>
      <c r="C123" s="668"/>
    </row>
    <row r="124" spans="1:3" x14ac:dyDescent="0.2">
      <c r="A124"/>
      <c r="B124" s="668"/>
      <c r="C124" s="668"/>
    </row>
    <row r="125" spans="1:3" x14ac:dyDescent="0.2">
      <c r="A125"/>
      <c r="B125" s="668"/>
      <c r="C125" s="668"/>
    </row>
    <row r="126" spans="1:3" x14ac:dyDescent="0.2">
      <c r="A126"/>
      <c r="B126" s="668"/>
      <c r="C126" s="668"/>
    </row>
    <row r="127" spans="1:3" x14ac:dyDescent="0.2">
      <c r="A127"/>
      <c r="B127" s="668"/>
      <c r="C127" s="668"/>
    </row>
    <row r="128" spans="1:3" x14ac:dyDescent="0.2">
      <c r="A128"/>
      <c r="B128" s="668"/>
      <c r="C128" s="668"/>
    </row>
    <row r="129" spans="1:3" x14ac:dyDescent="0.2">
      <c r="A129"/>
      <c r="B129" s="668"/>
      <c r="C129" s="668"/>
    </row>
    <row r="130" spans="1:3" x14ac:dyDescent="0.2">
      <c r="A130"/>
      <c r="B130" s="668"/>
      <c r="C130" s="668"/>
    </row>
    <row r="131" spans="1:3" x14ac:dyDescent="0.2">
      <c r="A131"/>
      <c r="B131" s="668"/>
      <c r="C131" s="668"/>
    </row>
    <row r="132" spans="1:3" x14ac:dyDescent="0.2">
      <c r="A132"/>
      <c r="B132" s="668"/>
      <c r="C132" s="668"/>
    </row>
    <row r="133" spans="1:3" x14ac:dyDescent="0.2">
      <c r="A133"/>
      <c r="B133" s="668"/>
      <c r="C133" s="668"/>
    </row>
    <row r="134" spans="1:3" x14ac:dyDescent="0.2">
      <c r="A134"/>
      <c r="B134" s="668"/>
      <c r="C134" s="668"/>
    </row>
    <row r="135" spans="1:3" x14ac:dyDescent="0.2">
      <c r="A135"/>
      <c r="B135" s="668"/>
      <c r="C135" s="668"/>
    </row>
    <row r="136" spans="1:3" x14ac:dyDescent="0.2">
      <c r="A136"/>
      <c r="B136" s="668"/>
      <c r="C136" s="668"/>
    </row>
    <row r="137" spans="1:3" x14ac:dyDescent="0.2">
      <c r="A137"/>
      <c r="B137" s="668"/>
      <c r="C137" s="668"/>
    </row>
    <row r="138" spans="1:3" x14ac:dyDescent="0.2">
      <c r="A138"/>
      <c r="B138" s="668"/>
      <c r="C138" s="668"/>
    </row>
    <row r="139" spans="1:3" x14ac:dyDescent="0.2">
      <c r="A139"/>
      <c r="B139" s="668"/>
      <c r="C139" s="668"/>
    </row>
    <row r="140" spans="1:3" x14ac:dyDescent="0.2">
      <c r="A140"/>
      <c r="B140" s="668"/>
      <c r="C140" s="668"/>
    </row>
    <row r="141" spans="1:3" x14ac:dyDescent="0.2">
      <c r="A141"/>
      <c r="B141" s="668"/>
      <c r="C141" s="668"/>
    </row>
    <row r="142" spans="1:3" x14ac:dyDescent="0.2">
      <c r="A142"/>
      <c r="B142" s="668"/>
      <c r="C142" s="668"/>
    </row>
    <row r="143" spans="1:3" x14ac:dyDescent="0.2">
      <c r="A143"/>
      <c r="B143" s="668"/>
      <c r="C143" s="668"/>
    </row>
    <row r="144" spans="1:3" x14ac:dyDescent="0.2">
      <c r="A144"/>
      <c r="B144" s="668"/>
      <c r="C144" s="668"/>
    </row>
    <row r="145" spans="1:3" x14ac:dyDescent="0.2">
      <c r="A145"/>
      <c r="B145" s="668"/>
      <c r="C145" s="668"/>
    </row>
    <row r="146" spans="1:3" x14ac:dyDescent="0.2">
      <c r="A146"/>
      <c r="B146" s="668"/>
      <c r="C146" s="668"/>
    </row>
    <row r="147" spans="1:3" x14ac:dyDescent="0.2">
      <c r="A147"/>
      <c r="B147" s="668"/>
      <c r="C147" s="668"/>
    </row>
    <row r="148" spans="1:3" x14ac:dyDescent="0.2">
      <c r="A148"/>
      <c r="B148" s="668"/>
      <c r="C148" s="668"/>
    </row>
    <row r="149" spans="1:3" x14ac:dyDescent="0.2">
      <c r="A149"/>
      <c r="B149" s="668"/>
      <c r="C149" s="668"/>
    </row>
    <row r="150" spans="1:3" x14ac:dyDescent="0.2">
      <c r="A150"/>
      <c r="B150" s="668"/>
      <c r="C150" s="668"/>
    </row>
    <row r="151" spans="1:3" x14ac:dyDescent="0.2">
      <c r="A151"/>
      <c r="B151" s="668"/>
      <c r="C151" s="668"/>
    </row>
    <row r="152" spans="1:3" x14ac:dyDescent="0.2">
      <c r="A152"/>
      <c r="B152" s="668"/>
      <c r="C152" s="668"/>
    </row>
    <row r="153" spans="1:3" x14ac:dyDescent="0.2">
      <c r="A153"/>
      <c r="B153" s="668"/>
      <c r="C153" s="668"/>
    </row>
    <row r="154" spans="1:3" x14ac:dyDescent="0.2">
      <c r="A154"/>
      <c r="B154" s="668"/>
      <c r="C154" s="668"/>
    </row>
    <row r="155" spans="1:3" x14ac:dyDescent="0.2">
      <c r="A155"/>
      <c r="B155" s="668"/>
      <c r="C155" s="668"/>
    </row>
    <row r="156" spans="1:3" x14ac:dyDescent="0.2">
      <c r="A156"/>
      <c r="B156" s="668"/>
      <c r="C156" s="668"/>
    </row>
    <row r="157" spans="1:3" x14ac:dyDescent="0.2">
      <c r="A157"/>
      <c r="B157" s="668"/>
      <c r="C157" s="668"/>
    </row>
    <row r="158" spans="1:3" x14ac:dyDescent="0.2">
      <c r="A158"/>
      <c r="B158" s="668"/>
      <c r="C158" s="668"/>
    </row>
    <row r="159" spans="1:3" x14ac:dyDescent="0.2">
      <c r="A159"/>
      <c r="B159" s="668"/>
      <c r="C159" s="668"/>
    </row>
    <row r="160" spans="1:3" x14ac:dyDescent="0.2">
      <c r="A160"/>
      <c r="B160" s="668"/>
      <c r="C160" s="668"/>
    </row>
    <row r="161" spans="1:3" x14ac:dyDescent="0.2">
      <c r="A161"/>
      <c r="B161" s="668"/>
      <c r="C161" s="668"/>
    </row>
    <row r="162" spans="1:3" x14ac:dyDescent="0.2">
      <c r="A162"/>
      <c r="B162" s="668"/>
      <c r="C162" s="668"/>
    </row>
    <row r="163" spans="1:3" x14ac:dyDescent="0.2">
      <c r="A163"/>
      <c r="B163" s="668"/>
      <c r="C163" s="668"/>
    </row>
    <row r="164" spans="1:3" x14ac:dyDescent="0.2">
      <c r="A164"/>
      <c r="B164" s="668"/>
      <c r="C164" s="668"/>
    </row>
    <row r="165" spans="1:3" x14ac:dyDescent="0.2">
      <c r="A165"/>
      <c r="B165" s="668"/>
      <c r="C165" s="668"/>
    </row>
    <row r="166" spans="1:3" x14ac:dyDescent="0.2">
      <c r="A166"/>
      <c r="B166" s="668"/>
      <c r="C166" s="668"/>
    </row>
    <row r="167" spans="1:3" x14ac:dyDescent="0.2">
      <c r="A167"/>
      <c r="B167" s="668"/>
      <c r="C167" s="668"/>
    </row>
    <row r="168" spans="1:3" x14ac:dyDescent="0.2">
      <c r="A168"/>
      <c r="B168" s="668"/>
      <c r="C168" s="668"/>
    </row>
    <row r="169" spans="1:3" x14ac:dyDescent="0.2">
      <c r="A169"/>
      <c r="B169" s="668"/>
      <c r="C169" s="668"/>
    </row>
    <row r="170" spans="1:3" x14ac:dyDescent="0.2">
      <c r="A170"/>
      <c r="B170" s="668"/>
      <c r="C170" s="668"/>
    </row>
    <row r="171" spans="1:3" x14ac:dyDescent="0.2">
      <c r="A171"/>
      <c r="B171" s="668"/>
      <c r="C171" s="668"/>
    </row>
    <row r="172" spans="1:3" x14ac:dyDescent="0.2">
      <c r="A172"/>
      <c r="B172" s="668"/>
      <c r="C172" s="668"/>
    </row>
    <row r="173" spans="1:3" x14ac:dyDescent="0.2">
      <c r="A173"/>
      <c r="B173" s="668"/>
      <c r="C173" s="668"/>
    </row>
    <row r="174" spans="1:3" x14ac:dyDescent="0.2">
      <c r="A174"/>
      <c r="B174" s="668"/>
      <c r="C174" s="668"/>
    </row>
    <row r="175" spans="1:3" x14ac:dyDescent="0.2">
      <c r="A175"/>
      <c r="B175" s="668"/>
      <c r="C175" s="668"/>
    </row>
    <row r="176" spans="1:3" x14ac:dyDescent="0.2">
      <c r="A176"/>
      <c r="B176" s="668"/>
      <c r="C176" s="668"/>
    </row>
    <row r="177" spans="1:3" x14ac:dyDescent="0.2">
      <c r="A177"/>
      <c r="B177" s="668"/>
      <c r="C177" s="668"/>
    </row>
    <row r="178" spans="1:3" x14ac:dyDescent="0.2">
      <c r="A178"/>
      <c r="B178" s="668"/>
      <c r="C178" s="668"/>
    </row>
    <row r="179" spans="1:3" x14ac:dyDescent="0.2">
      <c r="A179"/>
      <c r="B179" s="668"/>
      <c r="C179" s="668"/>
    </row>
    <row r="180" spans="1:3" x14ac:dyDescent="0.2">
      <c r="A180"/>
      <c r="B180" s="668"/>
      <c r="C180" s="668"/>
    </row>
    <row r="181" spans="1:3" x14ac:dyDescent="0.2">
      <c r="A181"/>
      <c r="B181" s="668"/>
      <c r="C181" s="668"/>
    </row>
    <row r="182" spans="1:3" x14ac:dyDescent="0.2">
      <c r="A182"/>
      <c r="B182" s="668"/>
      <c r="C182" s="668"/>
    </row>
    <row r="183" spans="1:3" x14ac:dyDescent="0.2">
      <c r="A183"/>
      <c r="B183" s="668"/>
      <c r="C183" s="668"/>
    </row>
    <row r="184" spans="1:3" x14ac:dyDescent="0.2">
      <c r="A184"/>
      <c r="B184" s="668"/>
      <c r="C184" s="668"/>
    </row>
    <row r="185" spans="1:3" x14ac:dyDescent="0.2">
      <c r="A185"/>
      <c r="B185" s="668"/>
      <c r="C185" s="668"/>
    </row>
    <row r="186" spans="1:3" x14ac:dyDescent="0.2">
      <c r="A186"/>
      <c r="B186" s="668"/>
      <c r="C186" s="668"/>
    </row>
    <row r="187" spans="1:3" x14ac:dyDescent="0.2">
      <c r="A187"/>
      <c r="B187" s="668"/>
      <c r="C187" s="668"/>
    </row>
    <row r="188" spans="1:3" x14ac:dyDescent="0.2">
      <c r="A188"/>
      <c r="B188" s="668"/>
      <c r="C188" s="668"/>
    </row>
    <row r="189" spans="1:3" x14ac:dyDescent="0.2">
      <c r="A189"/>
      <c r="B189" s="668"/>
      <c r="C189" s="668"/>
    </row>
    <row r="190" spans="1:3" x14ac:dyDescent="0.2">
      <c r="A190"/>
      <c r="B190" s="668"/>
      <c r="C190" s="668"/>
    </row>
    <row r="191" spans="1:3" x14ac:dyDescent="0.2">
      <c r="A191"/>
      <c r="B191" s="668"/>
      <c r="C191" s="668"/>
    </row>
    <row r="192" spans="1:3" x14ac:dyDescent="0.2">
      <c r="A192"/>
      <c r="B192" s="668"/>
      <c r="C192" s="668"/>
    </row>
    <row r="193" spans="1:3" x14ac:dyDescent="0.2">
      <c r="A193"/>
      <c r="B193" s="668"/>
      <c r="C193" s="668"/>
    </row>
    <row r="194" spans="1:3" x14ac:dyDescent="0.2">
      <c r="A194"/>
      <c r="B194" s="668"/>
      <c r="C194" s="668"/>
    </row>
    <row r="195" spans="1:3" x14ac:dyDescent="0.2">
      <c r="A195"/>
      <c r="B195" s="668"/>
      <c r="C195" s="668"/>
    </row>
    <row r="196" spans="1:3" x14ac:dyDescent="0.2">
      <c r="A196"/>
      <c r="B196" s="668"/>
      <c r="C196" s="668"/>
    </row>
    <row r="197" spans="1:3" x14ac:dyDescent="0.2">
      <c r="A197"/>
      <c r="B197" s="668"/>
      <c r="C197" s="668"/>
    </row>
    <row r="198" spans="1:3" x14ac:dyDescent="0.2">
      <c r="A198"/>
      <c r="B198" s="668"/>
      <c r="C198" s="668"/>
    </row>
    <row r="199" spans="1:3" x14ac:dyDescent="0.2">
      <c r="A199"/>
      <c r="B199" s="668"/>
      <c r="C199" s="668"/>
    </row>
    <row r="200" spans="1:3" x14ac:dyDescent="0.2">
      <c r="A200"/>
      <c r="B200" s="668"/>
      <c r="C200" s="668"/>
    </row>
    <row r="201" spans="1:3" x14ac:dyDescent="0.2">
      <c r="A201"/>
      <c r="B201" s="668"/>
      <c r="C201" s="668"/>
    </row>
    <row r="202" spans="1:3" x14ac:dyDescent="0.2">
      <c r="A202"/>
      <c r="B202" s="668"/>
      <c r="C202" s="668"/>
    </row>
    <row r="203" spans="1:3" x14ac:dyDescent="0.2">
      <c r="A203"/>
      <c r="B203" s="668"/>
      <c r="C203" s="668"/>
    </row>
    <row r="204" spans="1:3" x14ac:dyDescent="0.2">
      <c r="A204"/>
      <c r="B204" s="668"/>
      <c r="C204" s="668"/>
    </row>
    <row r="205" spans="1:3" x14ac:dyDescent="0.2">
      <c r="A205"/>
      <c r="B205" s="668"/>
      <c r="C205" s="668"/>
    </row>
    <row r="206" spans="1:3" x14ac:dyDescent="0.2">
      <c r="A206"/>
      <c r="B206" s="668"/>
      <c r="C206" s="668"/>
    </row>
    <row r="207" spans="1:3" x14ac:dyDescent="0.2">
      <c r="A207"/>
      <c r="B207" s="668"/>
      <c r="C207" s="668"/>
    </row>
    <row r="208" spans="1:3" x14ac:dyDescent="0.2">
      <c r="A208"/>
      <c r="B208" s="668"/>
      <c r="C208" s="668"/>
    </row>
    <row r="209" spans="1:3" x14ac:dyDescent="0.2">
      <c r="A209"/>
      <c r="B209" s="668"/>
      <c r="C209" s="668"/>
    </row>
    <row r="210" spans="1:3" x14ac:dyDescent="0.2">
      <c r="A210"/>
      <c r="B210" s="668"/>
      <c r="C210" s="668"/>
    </row>
    <row r="211" spans="1:3" x14ac:dyDescent="0.2">
      <c r="A211"/>
      <c r="B211" s="668"/>
      <c r="C211" s="668"/>
    </row>
    <row r="212" spans="1:3" x14ac:dyDescent="0.2">
      <c r="A212"/>
      <c r="B212" s="668"/>
      <c r="C212" s="668"/>
    </row>
    <row r="213" spans="1:3" x14ac:dyDescent="0.2">
      <c r="A213"/>
      <c r="B213" s="668"/>
      <c r="C213" s="668"/>
    </row>
    <row r="214" spans="1:3" x14ac:dyDescent="0.2">
      <c r="A214"/>
      <c r="B214" s="668"/>
      <c r="C214" s="668"/>
    </row>
    <row r="215" spans="1:3" x14ac:dyDescent="0.2">
      <c r="A215"/>
      <c r="B215" s="668"/>
      <c r="C215" s="668"/>
    </row>
    <row r="216" spans="1:3" x14ac:dyDescent="0.2">
      <c r="A216"/>
      <c r="B216" s="668"/>
      <c r="C216" s="668"/>
    </row>
    <row r="217" spans="1:3" x14ac:dyDescent="0.2">
      <c r="A217"/>
      <c r="B217" s="668"/>
      <c r="C217" s="668"/>
    </row>
    <row r="218" spans="1:3" x14ac:dyDescent="0.2">
      <c r="A218"/>
      <c r="B218" s="668"/>
      <c r="C218" s="668"/>
    </row>
    <row r="219" spans="1:3" x14ac:dyDescent="0.2">
      <c r="A219"/>
      <c r="B219" s="668"/>
      <c r="C219" s="668"/>
    </row>
    <row r="220" spans="1:3" x14ac:dyDescent="0.2">
      <c r="A220"/>
      <c r="B220" s="668"/>
      <c r="C220" s="668"/>
    </row>
    <row r="221" spans="1:3" x14ac:dyDescent="0.2">
      <c r="A221"/>
      <c r="B221" s="668"/>
      <c r="C221" s="668"/>
    </row>
    <row r="222" spans="1:3" x14ac:dyDescent="0.2">
      <c r="A222"/>
      <c r="B222" s="668"/>
      <c r="C222" s="668"/>
    </row>
    <row r="223" spans="1:3" x14ac:dyDescent="0.2">
      <c r="A223"/>
      <c r="B223" s="668"/>
      <c r="C223" s="668"/>
    </row>
    <row r="224" spans="1:3" x14ac:dyDescent="0.2">
      <c r="A224"/>
      <c r="B224" s="668"/>
      <c r="C224" s="668"/>
    </row>
    <row r="225" spans="1:3" x14ac:dyDescent="0.2">
      <c r="A225"/>
      <c r="B225" s="668"/>
      <c r="C225" s="668"/>
    </row>
    <row r="226" spans="1:3" x14ac:dyDescent="0.2">
      <c r="A226"/>
      <c r="B226" s="668"/>
      <c r="C226" s="668"/>
    </row>
    <row r="227" spans="1:3" x14ac:dyDescent="0.2">
      <c r="A227"/>
      <c r="B227" s="668"/>
      <c r="C227" s="668"/>
    </row>
    <row r="228" spans="1:3" x14ac:dyDescent="0.2">
      <c r="A228"/>
      <c r="B228" s="668"/>
      <c r="C228" s="668"/>
    </row>
    <row r="229" spans="1:3" x14ac:dyDescent="0.2">
      <c r="A229"/>
      <c r="B229" s="668"/>
      <c r="C229" s="668"/>
    </row>
    <row r="230" spans="1:3" x14ac:dyDescent="0.2">
      <c r="A230"/>
      <c r="B230" s="668"/>
      <c r="C230" s="668"/>
    </row>
    <row r="231" spans="1:3" x14ac:dyDescent="0.2">
      <c r="A231"/>
      <c r="B231" s="668"/>
      <c r="C231" s="668"/>
    </row>
    <row r="232" spans="1:3" x14ac:dyDescent="0.2">
      <c r="A232"/>
      <c r="B232" s="668"/>
      <c r="C232" s="668"/>
    </row>
    <row r="233" spans="1:3" x14ac:dyDescent="0.2">
      <c r="A233"/>
      <c r="B233" s="668"/>
      <c r="C233" s="668"/>
    </row>
    <row r="234" spans="1:3" x14ac:dyDescent="0.2">
      <c r="A234"/>
      <c r="B234" s="668"/>
      <c r="C234" s="668"/>
    </row>
    <row r="235" spans="1:3" x14ac:dyDescent="0.2">
      <c r="A235"/>
      <c r="B235" s="668"/>
      <c r="C235" s="668"/>
    </row>
    <row r="236" spans="1:3" x14ac:dyDescent="0.2">
      <c r="A236"/>
      <c r="B236" s="668"/>
      <c r="C236" s="668"/>
    </row>
    <row r="237" spans="1:3" x14ac:dyDescent="0.2">
      <c r="A237"/>
      <c r="B237" s="668"/>
      <c r="C237" s="668"/>
    </row>
    <row r="238" spans="1:3" x14ac:dyDescent="0.2">
      <c r="A238"/>
      <c r="B238" s="668"/>
      <c r="C238" s="668"/>
    </row>
    <row r="239" spans="1:3" x14ac:dyDescent="0.2">
      <c r="A239"/>
      <c r="B239" s="668"/>
      <c r="C239" s="668"/>
    </row>
    <row r="240" spans="1:3" x14ac:dyDescent="0.2">
      <c r="A240"/>
      <c r="B240" s="668"/>
      <c r="C240" s="668"/>
    </row>
    <row r="241" spans="1:3" x14ac:dyDescent="0.2">
      <c r="A241"/>
      <c r="B241" s="668"/>
      <c r="C241" s="668"/>
    </row>
    <row r="242" spans="1:3" x14ac:dyDescent="0.2">
      <c r="A242"/>
      <c r="B242" s="668"/>
      <c r="C242" s="668"/>
    </row>
    <row r="243" spans="1:3" x14ac:dyDescent="0.2">
      <c r="A243"/>
      <c r="B243" s="668"/>
      <c r="C243" s="668"/>
    </row>
    <row r="244" spans="1:3" x14ac:dyDescent="0.2">
      <c r="A244"/>
      <c r="B244" s="668"/>
      <c r="C244" s="668"/>
    </row>
    <row r="245" spans="1:3" x14ac:dyDescent="0.2">
      <c r="A245"/>
      <c r="B245" s="668"/>
      <c r="C245" s="668"/>
    </row>
    <row r="246" spans="1:3" x14ac:dyDescent="0.2">
      <c r="A246"/>
      <c r="B246" s="668"/>
      <c r="C246" s="668"/>
    </row>
    <row r="247" spans="1:3" x14ac:dyDescent="0.2">
      <c r="A247"/>
      <c r="B247" s="668"/>
      <c r="C247" s="668"/>
    </row>
    <row r="248" spans="1:3" x14ac:dyDescent="0.2">
      <c r="A248"/>
      <c r="B248" s="668"/>
      <c r="C248" s="668"/>
    </row>
    <row r="249" spans="1:3" x14ac:dyDescent="0.2">
      <c r="A249"/>
      <c r="B249" s="668"/>
      <c r="C249" s="668"/>
    </row>
    <row r="250" spans="1:3" x14ac:dyDescent="0.2">
      <c r="A250"/>
      <c r="B250" s="668"/>
      <c r="C250" s="668"/>
    </row>
    <row r="251" spans="1:3" x14ac:dyDescent="0.2">
      <c r="A251"/>
      <c r="B251" s="668"/>
      <c r="C251" s="668"/>
    </row>
    <row r="252" spans="1:3" x14ac:dyDescent="0.2">
      <c r="A252"/>
      <c r="B252" s="668"/>
      <c r="C252" s="668"/>
    </row>
    <row r="253" spans="1:3" x14ac:dyDescent="0.2">
      <c r="A253"/>
      <c r="B253" s="668"/>
      <c r="C253" s="668"/>
    </row>
    <row r="254" spans="1:3" x14ac:dyDescent="0.2">
      <c r="A254"/>
      <c r="B254" s="668"/>
      <c r="C254" s="668"/>
    </row>
    <row r="255" spans="1:3" x14ac:dyDescent="0.2">
      <c r="A255"/>
      <c r="B255" s="668"/>
      <c r="C255" s="668"/>
    </row>
    <row r="256" spans="1:3" x14ac:dyDescent="0.2">
      <c r="A256"/>
      <c r="B256" s="668"/>
      <c r="C256" s="668"/>
    </row>
    <row r="257" spans="1:3" x14ac:dyDescent="0.2">
      <c r="A257"/>
      <c r="B257" s="668"/>
      <c r="C257" s="668"/>
    </row>
    <row r="258" spans="1:3" x14ac:dyDescent="0.2">
      <c r="A258"/>
      <c r="B258" s="668"/>
      <c r="C258" s="668"/>
    </row>
    <row r="259" spans="1:3" x14ac:dyDescent="0.2">
      <c r="A259"/>
      <c r="B259" s="668"/>
      <c r="C259" s="668"/>
    </row>
    <row r="260" spans="1:3" x14ac:dyDescent="0.2">
      <c r="A260"/>
      <c r="B260" s="668"/>
      <c r="C260" s="668"/>
    </row>
    <row r="261" spans="1:3" x14ac:dyDescent="0.2">
      <c r="A261"/>
      <c r="B261" s="668"/>
      <c r="C261" s="668"/>
    </row>
    <row r="262" spans="1:3" x14ac:dyDescent="0.2">
      <c r="A262"/>
      <c r="B262" s="668"/>
      <c r="C262" s="668"/>
    </row>
    <row r="263" spans="1:3" x14ac:dyDescent="0.2">
      <c r="A263"/>
      <c r="B263" s="668"/>
      <c r="C263" s="668"/>
    </row>
    <row r="264" spans="1:3" x14ac:dyDescent="0.2">
      <c r="A264"/>
      <c r="B264" s="668"/>
      <c r="C264" s="668"/>
    </row>
    <row r="265" spans="1:3" x14ac:dyDescent="0.2">
      <c r="A265"/>
      <c r="B265" s="668"/>
      <c r="C265" s="668"/>
    </row>
    <row r="266" spans="1:3" x14ac:dyDescent="0.2">
      <c r="A266"/>
      <c r="B266" s="668"/>
      <c r="C266" s="668"/>
    </row>
    <row r="267" spans="1:3" x14ac:dyDescent="0.2">
      <c r="A267"/>
      <c r="B267" s="668"/>
      <c r="C267" s="668"/>
    </row>
    <row r="268" spans="1:3" x14ac:dyDescent="0.2">
      <c r="A268"/>
      <c r="B268" s="668"/>
      <c r="C268" s="668"/>
    </row>
    <row r="269" spans="1:3" x14ac:dyDescent="0.2">
      <c r="A269"/>
      <c r="B269" s="668"/>
      <c r="C269" s="668"/>
    </row>
    <row r="270" spans="1:3" x14ac:dyDescent="0.2">
      <c r="A270"/>
      <c r="B270" s="668"/>
      <c r="C270" s="668"/>
    </row>
    <row r="271" spans="1:3" x14ac:dyDescent="0.2">
      <c r="A271"/>
      <c r="B271" s="668"/>
      <c r="C271" s="668"/>
    </row>
    <row r="272" spans="1:3" x14ac:dyDescent="0.2">
      <c r="A272"/>
      <c r="B272" s="668"/>
      <c r="C272" s="668"/>
    </row>
    <row r="273" spans="1:3" x14ac:dyDescent="0.2">
      <c r="A273"/>
      <c r="B273" s="668"/>
      <c r="C273" s="668"/>
    </row>
    <row r="274" spans="1:3" x14ac:dyDescent="0.2">
      <c r="A274"/>
      <c r="B274" s="668"/>
      <c r="C274" s="668"/>
    </row>
    <row r="275" spans="1:3" x14ac:dyDescent="0.2">
      <c r="A275"/>
      <c r="B275" s="668"/>
      <c r="C275" s="668"/>
    </row>
    <row r="276" spans="1:3" x14ac:dyDescent="0.2">
      <c r="A276"/>
      <c r="B276" s="668"/>
      <c r="C276" s="668"/>
    </row>
    <row r="277" spans="1:3" x14ac:dyDescent="0.2">
      <c r="A277"/>
      <c r="B277" s="668"/>
      <c r="C277" s="668"/>
    </row>
    <row r="278" spans="1:3" x14ac:dyDescent="0.2">
      <c r="A278"/>
      <c r="B278" s="668"/>
      <c r="C278" s="668"/>
    </row>
    <row r="279" spans="1:3" x14ac:dyDescent="0.2">
      <c r="A279"/>
      <c r="B279" s="668"/>
      <c r="C279" s="668"/>
    </row>
    <row r="280" spans="1:3" x14ac:dyDescent="0.2">
      <c r="A280"/>
      <c r="B280" s="668"/>
      <c r="C280" s="668"/>
    </row>
    <row r="281" spans="1:3" x14ac:dyDescent="0.2">
      <c r="A281"/>
      <c r="B281" s="668"/>
      <c r="C281" s="668"/>
    </row>
    <row r="282" spans="1:3" x14ac:dyDescent="0.2">
      <c r="A282"/>
      <c r="B282" s="668"/>
      <c r="C282" s="668"/>
    </row>
    <row r="283" spans="1:3" x14ac:dyDescent="0.2">
      <c r="A283"/>
      <c r="B283" s="668"/>
      <c r="C283" s="668"/>
    </row>
    <row r="284" spans="1:3" x14ac:dyDescent="0.2">
      <c r="A284"/>
      <c r="B284" s="668"/>
      <c r="C284" s="668"/>
    </row>
    <row r="285" spans="1:3" x14ac:dyDescent="0.2">
      <c r="A285"/>
      <c r="B285" s="668"/>
      <c r="C285" s="668"/>
    </row>
    <row r="286" spans="1:3" x14ac:dyDescent="0.2">
      <c r="A286"/>
      <c r="B286" s="668"/>
      <c r="C286" s="668"/>
    </row>
    <row r="287" spans="1:3" x14ac:dyDescent="0.2">
      <c r="A287"/>
      <c r="B287" s="668"/>
      <c r="C287" s="668"/>
    </row>
    <row r="288" spans="1:3" x14ac:dyDescent="0.2">
      <c r="A288"/>
      <c r="B288" s="668"/>
      <c r="C288" s="668"/>
    </row>
    <row r="289" spans="1:3" x14ac:dyDescent="0.2">
      <c r="A289"/>
      <c r="B289" s="668"/>
      <c r="C289" s="668"/>
    </row>
    <row r="290" spans="1:3" x14ac:dyDescent="0.2">
      <c r="A290"/>
      <c r="B290" s="668"/>
      <c r="C290" s="668"/>
    </row>
    <row r="291" spans="1:3" x14ac:dyDescent="0.2">
      <c r="A291"/>
      <c r="B291" s="668"/>
      <c r="C291" s="668"/>
    </row>
    <row r="292" spans="1:3" x14ac:dyDescent="0.2">
      <c r="A292"/>
      <c r="B292" s="668"/>
      <c r="C292" s="668"/>
    </row>
    <row r="293" spans="1:3" x14ac:dyDescent="0.2">
      <c r="A293"/>
      <c r="B293" s="668"/>
      <c r="C293" s="668"/>
    </row>
    <row r="294" spans="1:3" x14ac:dyDescent="0.2">
      <c r="A294"/>
      <c r="B294" s="668"/>
      <c r="C294" s="668"/>
    </row>
    <row r="295" spans="1:3" x14ac:dyDescent="0.2">
      <c r="A295"/>
      <c r="B295" s="668"/>
      <c r="C295" s="668"/>
    </row>
    <row r="296" spans="1:3" x14ac:dyDescent="0.2">
      <c r="A296"/>
      <c r="B296" s="668"/>
      <c r="C296" s="668"/>
    </row>
    <row r="297" spans="1:3" x14ac:dyDescent="0.2">
      <c r="A297"/>
      <c r="B297" s="668"/>
      <c r="C297" s="668"/>
    </row>
    <row r="298" spans="1:3" x14ac:dyDescent="0.2">
      <c r="A298"/>
      <c r="B298" s="668"/>
      <c r="C298" s="668"/>
    </row>
    <row r="299" spans="1:3" x14ac:dyDescent="0.2">
      <c r="A299"/>
      <c r="B299" s="668"/>
      <c r="C299" s="668"/>
    </row>
    <row r="300" spans="1:3" x14ac:dyDescent="0.2">
      <c r="A300"/>
      <c r="B300" s="668"/>
      <c r="C300" s="668"/>
    </row>
    <row r="301" spans="1:3" x14ac:dyDescent="0.2">
      <c r="A301"/>
      <c r="B301" s="668"/>
      <c r="C301" s="668"/>
    </row>
    <row r="302" spans="1:3" x14ac:dyDescent="0.2">
      <c r="A302"/>
      <c r="B302" s="668"/>
      <c r="C302" s="668"/>
    </row>
    <row r="303" spans="1:3" x14ac:dyDescent="0.2">
      <c r="A303"/>
      <c r="B303" s="668"/>
      <c r="C303" s="668"/>
    </row>
    <row r="304" spans="1:3" x14ac:dyDescent="0.2">
      <c r="A304"/>
      <c r="B304" s="668"/>
      <c r="C304" s="668"/>
    </row>
    <row r="305" spans="1:3" x14ac:dyDescent="0.2">
      <c r="A305"/>
      <c r="B305" s="668"/>
      <c r="C305" s="668"/>
    </row>
    <row r="306" spans="1:3" x14ac:dyDescent="0.2">
      <c r="A306"/>
      <c r="B306" s="668"/>
      <c r="C306" s="668"/>
    </row>
    <row r="307" spans="1:3" x14ac:dyDescent="0.2">
      <c r="A307"/>
      <c r="B307" s="668"/>
      <c r="C307" s="668"/>
    </row>
    <row r="308" spans="1:3" x14ac:dyDescent="0.2">
      <c r="A308"/>
      <c r="B308" s="668"/>
      <c r="C308" s="668"/>
    </row>
    <row r="309" spans="1:3" x14ac:dyDescent="0.2">
      <c r="A309"/>
      <c r="B309" s="668"/>
      <c r="C309" s="668"/>
    </row>
    <row r="310" spans="1:3" x14ac:dyDescent="0.2">
      <c r="A310"/>
      <c r="B310" s="668"/>
      <c r="C310" s="668"/>
    </row>
    <row r="311" spans="1:3" x14ac:dyDescent="0.2">
      <c r="A311"/>
      <c r="B311" s="668"/>
      <c r="C311" s="668"/>
    </row>
    <row r="312" spans="1:3" x14ac:dyDescent="0.2">
      <c r="A312"/>
      <c r="B312" s="668"/>
      <c r="C312" s="668"/>
    </row>
    <row r="313" spans="1:3" x14ac:dyDescent="0.2">
      <c r="A313"/>
      <c r="B313" s="668"/>
      <c r="C313" s="668"/>
    </row>
    <row r="314" spans="1:3" x14ac:dyDescent="0.2">
      <c r="A314"/>
      <c r="B314" s="668"/>
      <c r="C314" s="668"/>
    </row>
    <row r="315" spans="1:3" x14ac:dyDescent="0.2">
      <c r="A315"/>
      <c r="B315" s="668"/>
      <c r="C315" s="668"/>
    </row>
    <row r="316" spans="1:3" x14ac:dyDescent="0.2">
      <c r="A316"/>
      <c r="B316" s="668"/>
      <c r="C316" s="668"/>
    </row>
    <row r="317" spans="1:3" x14ac:dyDescent="0.2">
      <c r="A317"/>
      <c r="B317" s="668"/>
      <c r="C317" s="668"/>
    </row>
    <row r="318" spans="1:3" x14ac:dyDescent="0.2">
      <c r="A318"/>
      <c r="B318" s="668"/>
      <c r="C318" s="668"/>
    </row>
    <row r="319" spans="1:3" x14ac:dyDescent="0.2">
      <c r="A319"/>
      <c r="B319" s="668"/>
      <c r="C319" s="668"/>
    </row>
    <row r="320" spans="1:3" x14ac:dyDescent="0.2">
      <c r="A320"/>
      <c r="B320" s="668"/>
      <c r="C320" s="668"/>
    </row>
    <row r="321" spans="1:3" x14ac:dyDescent="0.2">
      <c r="A321"/>
      <c r="B321" s="668"/>
      <c r="C321" s="668"/>
    </row>
    <row r="322" spans="1:3" x14ac:dyDescent="0.2">
      <c r="A322"/>
      <c r="B322" s="668"/>
      <c r="C322" s="668"/>
    </row>
    <row r="323" spans="1:3" x14ac:dyDescent="0.2">
      <c r="A323"/>
      <c r="B323" s="668"/>
      <c r="C323" s="668"/>
    </row>
    <row r="324" spans="1:3" x14ac:dyDescent="0.2">
      <c r="A324"/>
      <c r="B324" s="668"/>
      <c r="C324" s="668"/>
    </row>
    <row r="325" spans="1:3" x14ac:dyDescent="0.2">
      <c r="A325"/>
      <c r="B325" s="668"/>
      <c r="C325" s="668"/>
    </row>
    <row r="326" spans="1:3" x14ac:dyDescent="0.2">
      <c r="A326"/>
      <c r="B326" s="668"/>
      <c r="C326" s="668"/>
    </row>
    <row r="327" spans="1:3" x14ac:dyDescent="0.2">
      <c r="A327"/>
      <c r="B327" s="668"/>
      <c r="C327" s="668"/>
    </row>
    <row r="328" spans="1:3" x14ac:dyDescent="0.2">
      <c r="A328"/>
      <c r="B328" s="668"/>
      <c r="C328" s="668"/>
    </row>
    <row r="329" spans="1:3" x14ac:dyDescent="0.2">
      <c r="A329"/>
      <c r="B329" s="668"/>
      <c r="C329" s="668"/>
    </row>
    <row r="330" spans="1:3" x14ac:dyDescent="0.2">
      <c r="A330"/>
      <c r="B330" s="668"/>
      <c r="C330" s="668"/>
    </row>
    <row r="331" spans="1:3" x14ac:dyDescent="0.2">
      <c r="A331"/>
      <c r="B331" s="668"/>
      <c r="C331" s="668"/>
    </row>
    <row r="332" spans="1:3" x14ac:dyDescent="0.2">
      <c r="A332"/>
      <c r="B332" s="668"/>
      <c r="C332" s="668"/>
    </row>
    <row r="333" spans="1:3" x14ac:dyDescent="0.2">
      <c r="A333"/>
      <c r="B333" s="668"/>
      <c r="C333" s="668"/>
    </row>
    <row r="334" spans="1:3" x14ac:dyDescent="0.2">
      <c r="A334"/>
      <c r="B334" s="668"/>
      <c r="C334" s="668"/>
    </row>
    <row r="335" spans="1:3" x14ac:dyDescent="0.2">
      <c r="A335"/>
      <c r="B335" s="668"/>
      <c r="C335" s="668"/>
    </row>
    <row r="336" spans="1:3" x14ac:dyDescent="0.2">
      <c r="A336"/>
      <c r="B336" s="668"/>
      <c r="C336" s="668"/>
    </row>
    <row r="337" spans="1:3" x14ac:dyDescent="0.2">
      <c r="A337"/>
      <c r="B337" s="668"/>
      <c r="C337" s="668"/>
    </row>
    <row r="338" spans="1:3" x14ac:dyDescent="0.2">
      <c r="A338"/>
      <c r="B338" s="668"/>
      <c r="C338" s="668"/>
    </row>
    <row r="339" spans="1:3" x14ac:dyDescent="0.2">
      <c r="A339"/>
      <c r="B339" s="668"/>
      <c r="C339" s="668"/>
    </row>
    <row r="340" spans="1:3" x14ac:dyDescent="0.2">
      <c r="A340"/>
      <c r="B340" s="668"/>
      <c r="C340" s="668"/>
    </row>
    <row r="341" spans="1:3" x14ac:dyDescent="0.2">
      <c r="A341"/>
      <c r="B341" s="668"/>
      <c r="C341" s="668"/>
    </row>
    <row r="342" spans="1:3" x14ac:dyDescent="0.2">
      <c r="A342"/>
      <c r="B342" s="668"/>
      <c r="C342" s="668"/>
    </row>
    <row r="343" spans="1:3" x14ac:dyDescent="0.2">
      <c r="A343"/>
      <c r="B343" s="668"/>
      <c r="C343" s="668"/>
    </row>
    <row r="344" spans="1:3" x14ac:dyDescent="0.2">
      <c r="A344"/>
      <c r="B344" s="668"/>
      <c r="C344" s="668"/>
    </row>
    <row r="345" spans="1:3" x14ac:dyDescent="0.2">
      <c r="A345"/>
      <c r="B345" s="668"/>
      <c r="C345" s="668"/>
    </row>
    <row r="346" spans="1:3" x14ac:dyDescent="0.2">
      <c r="A346"/>
      <c r="B346" s="668"/>
      <c r="C346" s="668"/>
    </row>
    <row r="347" spans="1:3" x14ac:dyDescent="0.2">
      <c r="A347"/>
      <c r="B347" s="668"/>
      <c r="C347" s="668"/>
    </row>
    <row r="348" spans="1:3" x14ac:dyDescent="0.2">
      <c r="A348"/>
      <c r="B348" s="668"/>
      <c r="C348" s="668"/>
    </row>
    <row r="349" spans="1:3" x14ac:dyDescent="0.2">
      <c r="A349"/>
      <c r="B349" s="668"/>
      <c r="C349" s="668"/>
    </row>
    <row r="350" spans="1:3" x14ac:dyDescent="0.2">
      <c r="A350"/>
      <c r="B350" s="668"/>
      <c r="C350" s="668"/>
    </row>
    <row r="351" spans="1:3" x14ac:dyDescent="0.2">
      <c r="A351"/>
      <c r="B351" s="668"/>
      <c r="C351" s="668"/>
    </row>
    <row r="352" spans="1:3" x14ac:dyDescent="0.2">
      <c r="A352"/>
      <c r="B352" s="668"/>
      <c r="C352" s="668"/>
    </row>
    <row r="353" spans="1:3" x14ac:dyDescent="0.2">
      <c r="A353"/>
      <c r="B353" s="668"/>
      <c r="C353" s="668"/>
    </row>
    <row r="354" spans="1:3" x14ac:dyDescent="0.2">
      <c r="A354"/>
      <c r="B354" s="668"/>
      <c r="C354" s="668"/>
    </row>
    <row r="355" spans="1:3" x14ac:dyDescent="0.2">
      <c r="A355"/>
      <c r="B355" s="668"/>
      <c r="C355" s="668"/>
    </row>
    <row r="356" spans="1:3" x14ac:dyDescent="0.2">
      <c r="A356"/>
      <c r="B356" s="668"/>
      <c r="C356" s="668"/>
    </row>
    <row r="357" spans="1:3" x14ac:dyDescent="0.2">
      <c r="A357"/>
      <c r="B357" s="668"/>
      <c r="C357" s="668"/>
    </row>
    <row r="358" spans="1:3" x14ac:dyDescent="0.2">
      <c r="A358"/>
      <c r="B358" s="668"/>
      <c r="C358" s="668"/>
    </row>
    <row r="359" spans="1:3" x14ac:dyDescent="0.2">
      <c r="A359"/>
      <c r="B359" s="668"/>
      <c r="C359" s="668"/>
    </row>
    <row r="360" spans="1:3" x14ac:dyDescent="0.2">
      <c r="A360"/>
      <c r="B360" s="668"/>
      <c r="C360" s="668"/>
    </row>
    <row r="361" spans="1:3" x14ac:dyDescent="0.2">
      <c r="A361"/>
      <c r="B361" s="668"/>
      <c r="C361" s="668"/>
    </row>
    <row r="362" spans="1:3" x14ac:dyDescent="0.2">
      <c r="A362"/>
      <c r="B362" s="668"/>
      <c r="C362" s="668"/>
    </row>
    <row r="363" spans="1:3" x14ac:dyDescent="0.2">
      <c r="A363"/>
      <c r="B363" s="668"/>
      <c r="C363" s="668"/>
    </row>
    <row r="364" spans="1:3" x14ac:dyDescent="0.2">
      <c r="A364"/>
      <c r="B364" s="668"/>
      <c r="C364" s="668"/>
    </row>
    <row r="365" spans="1:3" x14ac:dyDescent="0.2">
      <c r="A365"/>
      <c r="B365" s="668"/>
      <c r="C365" s="668"/>
    </row>
    <row r="366" spans="1:3" x14ac:dyDescent="0.2">
      <c r="A366"/>
      <c r="B366" s="668"/>
      <c r="C366" s="668"/>
    </row>
    <row r="367" spans="1:3" x14ac:dyDescent="0.2">
      <c r="A367"/>
      <c r="B367" s="668"/>
      <c r="C367" s="668"/>
    </row>
    <row r="368" spans="1:3" x14ac:dyDescent="0.2">
      <c r="A368"/>
      <c r="B368" s="668"/>
      <c r="C368" s="668"/>
    </row>
    <row r="369" spans="1:3" x14ac:dyDescent="0.2">
      <c r="A369"/>
      <c r="B369" s="668"/>
      <c r="C369" s="668"/>
    </row>
    <row r="370" spans="1:3" x14ac:dyDescent="0.2">
      <c r="A370"/>
      <c r="B370" s="668"/>
      <c r="C370" s="668"/>
    </row>
    <row r="371" spans="1:3" x14ac:dyDescent="0.2">
      <c r="A371"/>
      <c r="B371" s="668"/>
      <c r="C371" s="668"/>
    </row>
    <row r="372" spans="1:3" x14ac:dyDescent="0.2">
      <c r="A372"/>
      <c r="B372" s="668"/>
      <c r="C372" s="668"/>
    </row>
    <row r="373" spans="1:3" x14ac:dyDescent="0.2">
      <c r="A373"/>
      <c r="B373" s="668"/>
      <c r="C373" s="668"/>
    </row>
    <row r="374" spans="1:3" x14ac:dyDescent="0.2">
      <c r="A374"/>
      <c r="B374" s="668"/>
      <c r="C374" s="668"/>
    </row>
    <row r="375" spans="1:3" x14ac:dyDescent="0.2">
      <c r="A375"/>
      <c r="B375" s="668"/>
      <c r="C375" s="668"/>
    </row>
    <row r="376" spans="1:3" x14ac:dyDescent="0.2">
      <c r="A376"/>
      <c r="B376" s="668"/>
      <c r="C376" s="668"/>
    </row>
    <row r="377" spans="1:3" x14ac:dyDescent="0.2">
      <c r="A377"/>
      <c r="B377" s="668"/>
      <c r="C377" s="668"/>
    </row>
    <row r="378" spans="1:3" x14ac:dyDescent="0.2">
      <c r="A378"/>
      <c r="B378" s="668"/>
      <c r="C378" s="668"/>
    </row>
    <row r="379" spans="1:3" x14ac:dyDescent="0.2">
      <c r="A379"/>
      <c r="B379" s="668"/>
      <c r="C379" s="668"/>
    </row>
    <row r="380" spans="1:3" x14ac:dyDescent="0.2">
      <c r="A380"/>
      <c r="B380" s="668"/>
      <c r="C380" s="668"/>
    </row>
    <row r="381" spans="1:3" x14ac:dyDescent="0.2">
      <c r="A381"/>
      <c r="B381" s="668"/>
      <c r="C381" s="668"/>
    </row>
    <row r="382" spans="1:3" x14ac:dyDescent="0.2">
      <c r="A382"/>
      <c r="B382" s="668"/>
      <c r="C382" s="668"/>
    </row>
    <row r="383" spans="1:3" x14ac:dyDescent="0.2">
      <c r="A383"/>
      <c r="B383" s="668"/>
      <c r="C383" s="668"/>
    </row>
    <row r="384" spans="1:3" x14ac:dyDescent="0.2">
      <c r="A384"/>
      <c r="B384" s="668"/>
      <c r="C384" s="668"/>
    </row>
    <row r="385" spans="1:3" x14ac:dyDescent="0.2">
      <c r="A385"/>
      <c r="B385" s="668"/>
      <c r="C385" s="668"/>
    </row>
    <row r="386" spans="1:3" x14ac:dyDescent="0.2">
      <c r="A386"/>
      <c r="B386" s="668"/>
      <c r="C386" s="668"/>
    </row>
    <row r="387" spans="1:3" x14ac:dyDescent="0.2">
      <c r="A387"/>
      <c r="B387" s="668"/>
      <c r="C387" s="668"/>
    </row>
    <row r="388" spans="1:3" x14ac:dyDescent="0.2">
      <c r="A388"/>
      <c r="B388" s="668"/>
      <c r="C388" s="668"/>
    </row>
    <row r="389" spans="1:3" x14ac:dyDescent="0.2">
      <c r="A389"/>
      <c r="B389" s="668"/>
      <c r="C389" s="668"/>
    </row>
    <row r="390" spans="1:3" x14ac:dyDescent="0.2">
      <c r="A390"/>
      <c r="B390" s="668"/>
      <c r="C390" s="668"/>
    </row>
    <row r="391" spans="1:3" x14ac:dyDescent="0.2">
      <c r="A391"/>
      <c r="B391" s="668"/>
      <c r="C391" s="668"/>
    </row>
    <row r="392" spans="1:3" x14ac:dyDescent="0.2">
      <c r="A392"/>
      <c r="B392" s="668"/>
      <c r="C392" s="668"/>
    </row>
    <row r="393" spans="1:3" x14ac:dyDescent="0.2">
      <c r="A393"/>
      <c r="B393" s="668"/>
      <c r="C393" s="668"/>
    </row>
    <row r="394" spans="1:3" x14ac:dyDescent="0.2">
      <c r="A394"/>
      <c r="B394" s="668"/>
      <c r="C394" s="668"/>
    </row>
    <row r="395" spans="1:3" x14ac:dyDescent="0.2">
      <c r="A395"/>
      <c r="B395" s="668"/>
      <c r="C395" s="668"/>
    </row>
    <row r="396" spans="1:3" x14ac:dyDescent="0.2">
      <c r="A396"/>
      <c r="B396" s="668"/>
      <c r="C396" s="668"/>
    </row>
    <row r="397" spans="1:3" x14ac:dyDescent="0.2">
      <c r="A397"/>
      <c r="B397" s="668"/>
      <c r="C397" s="668"/>
    </row>
    <row r="398" spans="1:3" x14ac:dyDescent="0.2">
      <c r="A398"/>
      <c r="B398" s="668"/>
      <c r="C398" s="668"/>
    </row>
    <row r="399" spans="1:3" x14ac:dyDescent="0.2">
      <c r="A399"/>
      <c r="B399" s="668"/>
      <c r="C399" s="668"/>
    </row>
    <row r="400" spans="1:3" x14ac:dyDescent="0.2">
      <c r="A400"/>
      <c r="B400" s="668"/>
      <c r="C400" s="668"/>
    </row>
    <row r="401" spans="1:3" x14ac:dyDescent="0.2">
      <c r="A401"/>
      <c r="B401" s="668"/>
      <c r="C401" s="668"/>
    </row>
    <row r="402" spans="1:3" x14ac:dyDescent="0.2">
      <c r="A402"/>
      <c r="B402" s="668"/>
      <c r="C402" s="668"/>
    </row>
    <row r="403" spans="1:3" x14ac:dyDescent="0.2">
      <c r="A403"/>
      <c r="B403" s="668"/>
      <c r="C403" s="66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18"/>
  <sheetViews>
    <sheetView workbookViewId="0">
      <selection activeCell="O12" sqref="O1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2" x14ac:dyDescent="0.2">
      <c r="A1"/>
      <c r="B1"/>
      <c r="C1"/>
      <c r="D1"/>
      <c r="E1"/>
      <c r="F1"/>
      <c r="G1"/>
      <c r="H1"/>
      <c r="I1" t="s">
        <v>964</v>
      </c>
      <c r="J1" t="s">
        <v>965</v>
      </c>
      <c r="K1" t="s">
        <v>966</v>
      </c>
      <c r="L1" t="s">
        <v>967</v>
      </c>
      <c r="M1" t="s">
        <v>968</v>
      </c>
      <c r="O1" s="39" t="s">
        <v>403</v>
      </c>
      <c r="P1" t="s">
        <v>957</v>
      </c>
      <c r="Q1" t="s">
        <v>958</v>
      </c>
      <c r="R1" t="s">
        <v>959</v>
      </c>
      <c r="S1" t="s">
        <v>960</v>
      </c>
      <c r="T1" t="s">
        <v>961</v>
      </c>
      <c r="U1" t="s">
        <v>962</v>
      </c>
      <c r="V1" t="s">
        <v>963</v>
      </c>
    </row>
    <row r="2" spans="1:22" x14ac:dyDescent="0.2">
      <c r="A2"/>
      <c r="B2"/>
      <c r="C2"/>
      <c r="D2"/>
      <c r="E2"/>
      <c r="F2"/>
      <c r="G2" s="672"/>
      <c r="H2" s="668"/>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row>
    <row r="3" spans="1:22" x14ac:dyDescent="0.2">
      <c r="A3"/>
      <c r="B3"/>
      <c r="C3"/>
      <c r="D3"/>
      <c r="E3"/>
      <c r="F3"/>
      <c r="G3" s="668"/>
      <c r="H3" s="668"/>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s="668"/>
      <c r="H4" s="668"/>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s="668"/>
      <c r="H5" s="668"/>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2" x14ac:dyDescent="0.2">
      <c r="A6"/>
      <c r="B6"/>
      <c r="C6"/>
      <c r="D6"/>
      <c r="E6"/>
      <c r="F6"/>
      <c r="G6" s="668"/>
      <c r="H6" s="668"/>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2" x14ac:dyDescent="0.2">
      <c r="A7"/>
      <c r="B7"/>
      <c r="C7"/>
      <c r="D7"/>
      <c r="E7"/>
      <c r="F7"/>
      <c r="G7" s="668"/>
      <c r="H7" s="668"/>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2" x14ac:dyDescent="0.2">
      <c r="A8"/>
      <c r="B8"/>
      <c r="C8"/>
      <c r="D8"/>
      <c r="E8"/>
      <c r="F8"/>
      <c r="G8" s="668"/>
      <c r="H8" s="66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s="668"/>
      <c r="H9" s="668"/>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2" x14ac:dyDescent="0.2">
      <c r="A10"/>
      <c r="B10"/>
      <c r="C10"/>
      <c r="D10"/>
      <c r="E10"/>
      <c r="F10"/>
      <c r="G10" s="668"/>
      <c r="H10" s="668"/>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s="668"/>
      <c r="H11" s="668"/>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s="668"/>
      <c r="H12" s="668"/>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s="668"/>
      <c r="H13" s="668"/>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s="668"/>
      <c r="H14" s="668"/>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s="668"/>
      <c r="H15" s="668"/>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2" x14ac:dyDescent="0.2">
      <c r="A16"/>
      <c r="B16"/>
      <c r="C16"/>
      <c r="D16"/>
      <c r="E16"/>
      <c r="F16"/>
      <c r="G16" s="668"/>
      <c r="H16" s="668"/>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s="668"/>
      <c r="H17" s="668"/>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s="668"/>
      <c r="H18" s="66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s="668"/>
      <c r="H19" s="668"/>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s="668"/>
      <c r="H20" s="668"/>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s="668"/>
      <c r="H21" s="668"/>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s="668"/>
      <c r="H22" s="668"/>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s="668"/>
      <c r="H23" s="668"/>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s="668"/>
      <c r="H24" s="668"/>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s="668"/>
      <c r="H25" s="668"/>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s="668"/>
      <c r="H26" s="668"/>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s="668"/>
      <c r="H27" s="668"/>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s="668"/>
      <c r="H28" s="66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s="668"/>
      <c r="H29" s="668"/>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s="668"/>
      <c r="H30" s="668"/>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s="668"/>
      <c r="H31" s="668"/>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s="668"/>
      <c r="H32" s="668"/>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s="668"/>
      <c r="H33" s="668"/>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s="668"/>
      <c r="H34" s="668"/>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s="668"/>
      <c r="H35" s="668"/>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s="668"/>
      <c r="H36" s="668"/>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s="668"/>
      <c r="H37" s="668"/>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s="668"/>
      <c r="H38" s="66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s="668"/>
      <c r="H39" s="668"/>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s="668"/>
      <c r="H40" s="668"/>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s="668"/>
      <c r="H41" s="668"/>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s="668"/>
      <c r="H42" s="668"/>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s="668"/>
      <c r="H43" s="668"/>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s="668"/>
      <c r="H44" s="668"/>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s="668"/>
      <c r="H45" s="668"/>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s="668"/>
      <c r="H46" s="668"/>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s="668"/>
      <c r="H47" s="668"/>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s="668"/>
      <c r="H48" s="66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s="668"/>
      <c r="H49" s="668"/>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s="668"/>
      <c r="H50" s="668"/>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s="668"/>
      <c r="H51" s="668"/>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s="668"/>
      <c r="H52" s="668"/>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s="668"/>
      <c r="H53" s="668"/>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s="668"/>
      <c r="H54" s="668"/>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s="668"/>
      <c r="H55" s="668"/>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s="668"/>
      <c r="H56" s="668"/>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s="668"/>
      <c r="H57" s="668"/>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s="668"/>
      <c r="H58" s="66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s="668"/>
      <c r="H59" s="668"/>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s="668"/>
      <c r="H60" s="668"/>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s="668"/>
      <c r="H61" s="668"/>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s="668"/>
      <c r="H62" s="668"/>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s="668"/>
      <c r="H63" s="668"/>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s="668"/>
      <c r="H64" s="668"/>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s="668"/>
      <c r="H65" s="668"/>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s="668"/>
      <c r="H66" s="668"/>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s="668"/>
      <c r="H67" s="668"/>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s="668"/>
      <c r="H68" s="6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s="668"/>
      <c r="H69" s="668"/>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s="668"/>
      <c r="H70" s="668"/>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s="668"/>
      <c r="H71" s="668"/>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s="668"/>
      <c r="H72" s="668"/>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s="668"/>
      <c r="H73" s="668"/>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s="668"/>
      <c r="H74" s="668"/>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s="668"/>
      <c r="H75" s="668"/>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s="668"/>
      <c r="H76" s="668"/>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s="668"/>
      <c r="H77" s="668"/>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s="668"/>
      <c r="H78" s="66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s="668"/>
      <c r="H79" s="668"/>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s="668"/>
      <c r="H80" s="668"/>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s="668"/>
      <c r="H81" s="668"/>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s="668"/>
      <c r="H82" s="668"/>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s="668"/>
      <c r="H83" s="668"/>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s="668"/>
      <c r="H84" s="668"/>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s="668"/>
      <c r="H85" s="668"/>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s="668"/>
      <c r="H86" s="668"/>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s="668"/>
      <c r="H87" s="668"/>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s="668"/>
      <c r="H88" s="66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s="668"/>
      <c r="H89" s="668"/>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s="668"/>
      <c r="H90" s="668"/>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s="668"/>
      <c r="H91" s="668"/>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s="668"/>
      <c r="H92" s="668"/>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s="668"/>
      <c r="H93" s="668"/>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s="668"/>
      <c r="H94" s="668"/>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s="668"/>
      <c r="H95" s="668"/>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s="668"/>
      <c r="H96" s="668"/>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s="668"/>
      <c r="H97" s="668"/>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s="668"/>
      <c r="H98" s="66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s="668"/>
      <c r="H99" s="668"/>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s="668"/>
      <c r="H100" s="668"/>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s="668"/>
      <c r="H101" s="668"/>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s="668"/>
      <c r="H102" s="668"/>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s="668"/>
      <c r="H103" s="668"/>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s="668"/>
      <c r="H104" s="668"/>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s="668"/>
      <c r="H105" s="668"/>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s="668"/>
      <c r="H106" s="668"/>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s="668"/>
      <c r="H107" s="668"/>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s="668"/>
      <c r="H108" s="66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s="668"/>
      <c r="H109" s="668"/>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s="668"/>
      <c r="H110" s="668"/>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s="668"/>
      <c r="H111" s="668"/>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s="668"/>
      <c r="H112" s="668"/>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s="668"/>
      <c r="H113" s="668"/>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s="668"/>
      <c r="H114" s="668"/>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s="668"/>
      <c r="H115" s="668"/>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s="668"/>
      <c r="H116" s="668"/>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s="668"/>
      <c r="H117" s="668"/>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s="668"/>
      <c r="H118" s="66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s="668"/>
      <c r="H119" s="668"/>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s="668"/>
      <c r="H120" s="668"/>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s="668"/>
      <c r="H121" s="668"/>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s="668"/>
      <c r="H122" s="668"/>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s="668"/>
      <c r="H123" s="668"/>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s="668"/>
      <c r="H124" s="668"/>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s="668"/>
      <c r="H125" s="668"/>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s="668"/>
      <c r="H126" s="668"/>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s="668"/>
      <c r="H127" s="668"/>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s="668"/>
      <c r="H128" s="66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s="668"/>
      <c r="H129" s="668"/>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s="668"/>
      <c r="H130" s="668"/>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s="668"/>
      <c r="H131" s="668"/>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s="668"/>
      <c r="H132" s="668"/>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s="668"/>
      <c r="H133" s="668"/>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s="668"/>
      <c r="H134" s="668"/>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s="668"/>
      <c r="H135" s="668"/>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s="668"/>
      <c r="H136" s="668"/>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s="668"/>
      <c r="H137" s="668"/>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s="668"/>
      <c r="H138" s="66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s="668"/>
      <c r="H139" s="668"/>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s="668"/>
      <c r="H140" s="668"/>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s="668"/>
      <c r="H141" s="668"/>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s="668"/>
      <c r="H142" s="668"/>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s="668"/>
      <c r="H143" s="668"/>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s="668"/>
      <c r="H144" s="668"/>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s="668"/>
      <c r="H145" s="668"/>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s="668"/>
      <c r="H146" s="668"/>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s="668"/>
      <c r="H147" s="668"/>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s="668"/>
      <c r="H148" s="66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s="668"/>
      <c r="H149" s="668"/>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s="668"/>
      <c r="H150" s="668"/>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s="668"/>
      <c r="H151" s="668"/>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s="668"/>
      <c r="H152" s="668"/>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s="668"/>
      <c r="H153" s="668"/>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s="668"/>
      <c r="H154" s="668"/>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s="668"/>
      <c r="H155" s="668"/>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s="668"/>
      <c r="H156" s="668"/>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s="668"/>
      <c r="H157" s="668"/>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s="668"/>
      <c r="H158" s="66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s="668"/>
      <c r="H159" s="668"/>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s="668"/>
      <c r="H160" s="668"/>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s="668"/>
      <c r="H161" s="668"/>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s="668"/>
      <c r="H162" s="668"/>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s="668"/>
      <c r="H163" s="668"/>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s="668"/>
      <c r="H164" s="668"/>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s="668"/>
      <c r="H165" s="668"/>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s="668"/>
      <c r="H166" s="668"/>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s="668"/>
      <c r="H167" s="668"/>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s="668"/>
      <c r="H168" s="6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s="668"/>
      <c r="H169" s="668"/>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s="668"/>
      <c r="H170" s="668"/>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s="668"/>
      <c r="H171" s="668"/>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s="668"/>
      <c r="H172" s="668"/>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s="668"/>
      <c r="H173" s="668"/>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s="668"/>
      <c r="H174" s="668"/>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s="668"/>
      <c r="H175" s="668"/>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s="668"/>
      <c r="H176" s="668"/>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s="668"/>
      <c r="H177" s="668"/>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s="668"/>
      <c r="H178" s="66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s="668"/>
      <c r="H179" s="668"/>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s="668"/>
      <c r="H180" s="668"/>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s="668"/>
      <c r="H181" s="668"/>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s="668"/>
      <c r="H182" s="668"/>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s="668"/>
      <c r="H183" s="668"/>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s="668"/>
      <c r="H184" s="668"/>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s="668"/>
      <c r="H185" s="668"/>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s="668"/>
      <c r="H186" s="668"/>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s="668"/>
      <c r="H187" s="668"/>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s="668"/>
      <c r="H188" s="66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s="668"/>
      <c r="H189" s="668"/>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s="668"/>
      <c r="H190" s="668"/>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s="668"/>
      <c r="H191" s="668"/>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s="668"/>
      <c r="H192" s="668"/>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s="668"/>
      <c r="H193" s="668"/>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s="668"/>
      <c r="H194" s="668"/>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s="668"/>
      <c r="H195" s="668"/>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s="668"/>
      <c r="H196" s="668"/>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s="668"/>
      <c r="H197" s="668"/>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s="668"/>
      <c r="H198" s="66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s="668"/>
      <c r="H199" s="668"/>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s="668"/>
      <c r="H200" s="668"/>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s="668"/>
      <c r="H201" s="668"/>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s="668"/>
      <c r="H202" s="668"/>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s="668"/>
      <c r="H203" s="668"/>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s="668"/>
      <c r="H204" s="668"/>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s="668"/>
      <c r="H205" s="668"/>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s="668"/>
      <c r="H206" s="668"/>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s="668"/>
      <c r="H207" s="668"/>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s="668"/>
      <c r="H208" s="66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s="668"/>
      <c r="H209" s="668"/>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s="668"/>
      <c r="H210" s="668"/>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s="668"/>
      <c r="H211" s="668"/>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s="668"/>
      <c r="H212" s="668"/>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s="668"/>
      <c r="H213" s="668"/>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s="668"/>
      <c r="H214" s="668"/>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s="668"/>
      <c r="H215" s="668"/>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s="668"/>
      <c r="H216" s="668"/>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s="668"/>
      <c r="H217" s="668"/>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s="668"/>
      <c r="H218" s="66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s="668"/>
      <c r="H219" s="668"/>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s="668"/>
      <c r="H220" s="668"/>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s="668"/>
      <c r="H221" s="668"/>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s="668"/>
      <c r="H222" s="668"/>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s="668"/>
      <c r="H223" s="668"/>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s="668"/>
      <c r="H224" s="668"/>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s="668"/>
      <c r="H225" s="668"/>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s="668"/>
      <c r="H226" s="668"/>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s="668"/>
      <c r="H227" s="668"/>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s="668"/>
      <c r="H228" s="66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s="668"/>
      <c r="H229" s="668"/>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s="668"/>
      <c r="H230" s="668"/>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s="668"/>
      <c r="H231" s="668"/>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s="668"/>
      <c r="H232" s="668"/>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s="668"/>
      <c r="H233" s="668"/>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s="668"/>
      <c r="H234" s="668"/>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s="668"/>
      <c r="H235" s="668"/>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s="668"/>
      <c r="H236" s="668"/>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s="668"/>
      <c r="H237" s="668"/>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s="668"/>
      <c r="H238" s="66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s="668"/>
      <c r="H239" s="668"/>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s="668"/>
      <c r="H240" s="668"/>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s="668"/>
      <c r="H241" s="668"/>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s="668"/>
      <c r="H242" s="668"/>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s="668"/>
      <c r="H243" s="668"/>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s="668"/>
      <c r="H244" s="668"/>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s="668"/>
      <c r="H245" s="668"/>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s="668"/>
      <c r="H246" s="668"/>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s="668"/>
      <c r="H247" s="668"/>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s="668"/>
      <c r="H248" s="66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s="668"/>
      <c r="H249" s="668"/>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s="668"/>
      <c r="H250" s="668"/>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s="668"/>
      <c r="H251" s="668"/>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s="668"/>
      <c r="H252" s="668"/>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s="668"/>
      <c r="H253" s="668"/>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s="668"/>
      <c r="H254" s="668"/>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s="668"/>
      <c r="H255" s="668"/>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s="668"/>
      <c r="H256" s="668"/>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s="668"/>
      <c r="H257" s="668"/>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s="668"/>
      <c r="H258" s="66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s="668"/>
      <c r="H259" s="668"/>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s="668"/>
      <c r="H260" s="668"/>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s="668"/>
      <c r="H261" s="668"/>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s="668"/>
      <c r="H262" s="668"/>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s="668"/>
      <c r="H263" s="668"/>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s="668"/>
      <c r="H264" s="668"/>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s="668"/>
      <c r="H265" s="668"/>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s="668"/>
      <c r="H266" s="668"/>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s="668"/>
      <c r="H267" s="668"/>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s="668"/>
      <c r="H268" s="6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s="668"/>
      <c r="H269" s="668"/>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s="668"/>
      <c r="H270" s="668"/>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s="668"/>
      <c r="H271" s="668"/>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s="668"/>
      <c r="H272" s="668"/>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s="668"/>
      <c r="H273" s="668"/>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s="668"/>
      <c r="H274" s="668"/>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s="668"/>
      <c r="H275" s="668"/>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s="668"/>
      <c r="H276" s="668"/>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s="668"/>
      <c r="H277" s="668"/>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s="668"/>
      <c r="H278" s="66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s="668"/>
      <c r="H279" s="668"/>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s="668"/>
      <c r="H280" s="668"/>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s="668"/>
      <c r="H281" s="668"/>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s="668"/>
      <c r="H282" s="668"/>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s="668"/>
      <c r="H283" s="668"/>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s="668"/>
      <c r="H284" s="668"/>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s="668"/>
      <c r="H285" s="668"/>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s="668"/>
      <c r="H286" s="668"/>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s="668"/>
      <c r="H287" s="668"/>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s="668"/>
      <c r="H288" s="66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s="668"/>
      <c r="H289" s="668"/>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s="668"/>
      <c r="H290" s="668"/>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s="668"/>
      <c r="H291" s="668"/>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s="668"/>
      <c r="H292" s="668"/>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s="668"/>
      <c r="H293" s="668"/>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s="668"/>
      <c r="H294" s="668"/>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s="668"/>
      <c r="H295" s="668"/>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s="668"/>
      <c r="H296" s="668"/>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s="668"/>
      <c r="H297" s="668"/>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s="668"/>
      <c r="H298" s="66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s="668"/>
      <c r="H299" s="668"/>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s="668"/>
      <c r="H300" s="668"/>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s="668"/>
      <c r="H301" s="668"/>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s="668"/>
      <c r="H302" s="668"/>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s="668"/>
      <c r="H303" s="668"/>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s="668"/>
      <c r="H304" s="668"/>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s="668"/>
      <c r="H305" s="668"/>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s="668"/>
      <c r="H306" s="668"/>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s="668"/>
      <c r="H307" s="668"/>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s="668"/>
      <c r="H308" s="66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s="668"/>
      <c r="H309" s="668"/>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s="668"/>
      <c r="H310" s="668"/>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s="668"/>
      <c r="H311" s="668"/>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s="668"/>
      <c r="H312" s="668"/>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s="668"/>
      <c r="H313" s="668"/>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s="668"/>
      <c r="H314" s="668"/>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s="668"/>
      <c r="H315" s="668"/>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s="668"/>
      <c r="H316" s="668"/>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s="668"/>
      <c r="H317" s="668"/>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s="668"/>
      <c r="H318" s="66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s="668"/>
      <c r="H319" s="668"/>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s="668"/>
      <c r="H320" s="668"/>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s="668"/>
      <c r="H321" s="668"/>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s="668"/>
      <c r="H322" s="668"/>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s="668"/>
      <c r="H323" s="668"/>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s="668"/>
      <c r="H324" s="668"/>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s="668"/>
      <c r="H325" s="668"/>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s="668"/>
      <c r="H326" s="668"/>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s="668"/>
      <c r="H327" s="668"/>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s="668"/>
      <c r="H328" s="66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s="668"/>
      <c r="H329" s="668"/>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s="668"/>
      <c r="H330" s="668"/>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s="668"/>
      <c r="H331" s="668"/>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s="668"/>
      <c r="H332" s="668"/>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s="668"/>
      <c r="H333" s="668"/>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s="668"/>
      <c r="H334" s="668"/>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s="668"/>
      <c r="H335" s="668"/>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s="668"/>
      <c r="H336" s="668"/>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s="668"/>
      <c r="H337" s="668"/>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s="668"/>
      <c r="H338" s="66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s="668"/>
      <c r="H339" s="668"/>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s="668"/>
      <c r="H340" s="668"/>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s="668"/>
      <c r="H341" s="668"/>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s="668"/>
      <c r="H342" s="668"/>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s="668"/>
      <c r="H343" s="668"/>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s="668"/>
      <c r="H344" s="668"/>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s="668"/>
      <c r="H345" s="668"/>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s="668"/>
      <c r="H346" s="668"/>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s="668"/>
      <c r="H347" s="668"/>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s="668"/>
      <c r="H348" s="66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s="668"/>
      <c r="H349" s="668"/>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s="668"/>
      <c r="H350" s="668"/>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s="668"/>
      <c r="H351" s="668"/>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s="668"/>
      <c r="H352" s="668"/>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s="668"/>
      <c r="H353" s="668"/>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s="668"/>
      <c r="H354" s="668"/>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s="668"/>
      <c r="H355" s="668"/>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s="668"/>
      <c r="H356" s="668"/>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s="668"/>
      <c r="H357" s="668"/>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s="668"/>
      <c r="H358" s="66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s="668"/>
      <c r="H359" s="668"/>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s="668"/>
      <c r="H360" s="668"/>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s="668"/>
      <c r="H361" s="668"/>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s="668"/>
      <c r="H362" s="668"/>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s="668"/>
      <c r="H363" s="668"/>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s="668"/>
      <c r="H364" s="668"/>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s="668"/>
      <c r="H365" s="668"/>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s="668"/>
      <c r="H366" s="668"/>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s="668"/>
      <c r="H367" s="668"/>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s="668"/>
      <c r="H368" s="6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s="668"/>
      <c r="H369" s="668"/>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s="668"/>
      <c r="H370" s="668"/>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s="668"/>
      <c r="H371" s="668"/>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s="668"/>
      <c r="H372" s="668"/>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s="668"/>
      <c r="H373" s="668"/>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s="668"/>
      <c r="H374" s="668"/>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s="668"/>
      <c r="H375" s="668"/>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s="668"/>
      <c r="H376" s="668"/>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s="668"/>
      <c r="H377" s="668"/>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s="668"/>
      <c r="H378" s="66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s="668"/>
      <c r="H379" s="668"/>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s="668"/>
      <c r="H380" s="668"/>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s="668"/>
      <c r="H381" s="668"/>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s="668"/>
      <c r="H382" s="668"/>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s="668"/>
      <c r="H383" s="668"/>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s="668"/>
      <c r="H384" s="668"/>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s="668"/>
      <c r="H385" s="668"/>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s="668"/>
      <c r="H386" s="668"/>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s="668"/>
      <c r="H387" s="668"/>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s="668"/>
      <c r="H388" s="66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s="668"/>
      <c r="H389" s="668"/>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s="668"/>
      <c r="H390" s="668"/>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s="668"/>
      <c r="H391" s="668"/>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s="668"/>
      <c r="H392" s="668"/>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s="668"/>
      <c r="H393" s="668"/>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s="668"/>
      <c r="H394" s="668"/>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s="668"/>
      <c r="H395" s="668"/>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s="668"/>
      <c r="H396" s="668"/>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s="668"/>
      <c r="H397" s="668"/>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s="668"/>
      <c r="H398" s="66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s="668"/>
      <c r="H399" s="668"/>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s="668"/>
      <c r="H400" s="668"/>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s="668"/>
      <c r="H401" s="668"/>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s="668"/>
      <c r="H402" s="668"/>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s="668"/>
      <c r="H403" s="668"/>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s="668"/>
      <c r="H404" s="668"/>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s="668"/>
      <c r="H405" s="668"/>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s="668"/>
      <c r="H406" s="668"/>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s="668"/>
      <c r="H407" s="668"/>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s="668"/>
      <c r="H408" s="66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s="668"/>
      <c r="H409" s="668"/>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s="668"/>
      <c r="H410" s="668"/>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s="668"/>
      <c r="H411" s="668"/>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s="668"/>
      <c r="H412" s="668"/>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s="668"/>
      <c r="H413" s="668"/>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s="668"/>
      <c r="H414" s="668"/>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s="668"/>
      <c r="H415" s="668"/>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s="668"/>
      <c r="H416" s="668"/>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s="668"/>
      <c r="H417" s="668"/>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s="668"/>
      <c r="H418" s="66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956</v>
      </c>
      <c r="B1" s="333"/>
      <c r="C1" s="523" t="s">
        <v>50</v>
      </c>
      <c r="D1" s="524"/>
      <c r="E1" s="524"/>
      <c r="F1" s="524"/>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25" t="s">
        <v>102</v>
      </c>
      <c r="K3" s="526"/>
      <c r="L3" s="527"/>
      <c r="M3" s="316"/>
      <c r="N3" s="542" t="s">
        <v>91</v>
      </c>
      <c r="O3" s="542"/>
      <c r="P3" s="542"/>
      <c r="Q3" s="542"/>
      <c r="R3" s="542"/>
      <c r="S3" s="542"/>
      <c r="T3" s="494"/>
    </row>
    <row r="4" spans="1:22" s="291" customFormat="1" x14ac:dyDescent="0.2">
      <c r="A4" s="334"/>
      <c r="B4" s="144"/>
      <c r="C4" s="145" t="s">
        <v>232</v>
      </c>
      <c r="D4" s="298" t="str">
        <f>IF(Condition="","",Condition)</f>
        <v/>
      </c>
      <c r="E4" s="316"/>
      <c r="F4" s="316"/>
      <c r="G4" s="316"/>
      <c r="H4" s="316"/>
      <c r="I4" s="316"/>
      <c r="J4" s="530" t="s">
        <v>1</v>
      </c>
      <c r="K4" s="531"/>
      <c r="L4" s="146">
        <f>IFERROR(Survey!N2,0)</f>
        <v>0</v>
      </c>
      <c r="M4" s="316"/>
      <c r="N4" s="147" t="s">
        <v>90</v>
      </c>
      <c r="O4" s="148" t="s">
        <v>89</v>
      </c>
      <c r="P4" s="528" t="s">
        <v>100</v>
      </c>
      <c r="Q4" s="529"/>
      <c r="R4" s="147" t="s">
        <v>137</v>
      </c>
      <c r="S4" s="147" t="s">
        <v>141</v>
      </c>
      <c r="T4" s="494"/>
    </row>
    <row r="5" spans="1:22" s="291" customFormat="1" x14ac:dyDescent="0.2">
      <c r="A5" s="334"/>
      <c r="B5" s="144"/>
      <c r="C5" s="145" t="s">
        <v>41</v>
      </c>
      <c r="D5" s="546" t="e">
        <f>companyName</f>
        <v>#N/A</v>
      </c>
      <c r="E5" s="547"/>
      <c r="F5" s="547"/>
      <c r="G5" s="547"/>
      <c r="H5" s="548"/>
      <c r="I5" s="299"/>
      <c r="J5" s="530" t="s">
        <v>2</v>
      </c>
      <c r="K5" s="531"/>
      <c r="L5" s="146">
        <f>IFERROR(Survey!N3,0)</f>
        <v>0</v>
      </c>
      <c r="M5" s="316"/>
      <c r="N5" s="462">
        <v>1</v>
      </c>
      <c r="O5" s="149"/>
      <c r="P5" s="504" t="str">
        <f>VLOOKUP(N5,Alerts[],3,FALSE)</f>
        <v/>
      </c>
      <c r="Q5" s="505"/>
      <c r="R5" s="463" t="str" cm="1">
        <f t="array" ref="R5">IFZERO(VLOOKUP(N5,Alerts[],4,FALSE),"")</f>
        <v/>
      </c>
      <c r="S5" s="150" t="str" cm="1">
        <f t="array" ref="S5">IFZERO(VLOOKUP(N5,Alerts[],5,FALSE),"")</f>
        <v/>
      </c>
      <c r="T5" s="494"/>
    </row>
    <row r="6" spans="1:22" s="291" customFormat="1" x14ac:dyDescent="0.2">
      <c r="A6" s="334"/>
      <c r="B6" s="144"/>
      <c r="C6" s="145" t="s">
        <v>40</v>
      </c>
      <c r="D6" s="543" t="e">
        <f>VLOOKUP("assetName",WorkItemDetails[],2,FALSE)</f>
        <v>#N/A</v>
      </c>
      <c r="E6" s="544"/>
      <c r="F6" s="544"/>
      <c r="G6" s="544"/>
      <c r="H6" s="545"/>
      <c r="J6" s="530" t="s">
        <v>101</v>
      </c>
      <c r="K6" s="531"/>
      <c r="L6" s="146">
        <f>L4-L5</f>
        <v>0</v>
      </c>
      <c r="M6" s="316"/>
      <c r="N6" s="462">
        <v>2</v>
      </c>
      <c r="O6" s="149"/>
      <c r="P6" s="504" t="str">
        <f>VLOOKUP(N6,Alerts[],3,FALSE)</f>
        <v/>
      </c>
      <c r="Q6" s="505"/>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04" t="str">
        <f>VLOOKUP(N7,Alerts[],3,FALSE)</f>
        <v/>
      </c>
      <c r="Q7" s="505"/>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04" t="str">
        <f>VLOOKUP(N8,Alerts[],3,FALSE)</f>
        <v/>
      </c>
      <c r="Q8" s="505"/>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2">
        <v>5</v>
      </c>
      <c r="O9" s="149"/>
      <c r="P9" s="504" t="str">
        <f>VLOOKUP(N9,Alerts[],3,FALSE)</f>
        <v/>
      </c>
      <c r="Q9" s="505"/>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04" t="str">
        <f>VLOOKUP(N10,Alerts[],3,FALSE)</f>
        <v/>
      </c>
      <c r="Q10" s="505"/>
      <c r="R10" s="463" t="str" cm="1">
        <f t="array" ref="R10">IFZERO(VLOOKUP(N10,Alerts[],4,FALSE),"")</f>
        <v/>
      </c>
      <c r="S10" s="150" t="str" cm="1">
        <f t="array" ref="S10">IFZERO(VLOOKUP(N10,Alerts[],5,FALSE),"")</f>
        <v/>
      </c>
      <c r="T10" s="494"/>
    </row>
    <row r="11" spans="1:22" s="291" customFormat="1" x14ac:dyDescent="0.2">
      <c r="A11" s="334"/>
      <c r="B11" s="144"/>
      <c r="C11" s="153" t="s">
        <v>53</v>
      </c>
      <c r="D11" s="492">
        <f>VLOOKUP("serial_number",DaqbookServiceRecord[], 2, FALSE)</f>
        <v>0</v>
      </c>
      <c r="E11" s="316"/>
      <c r="F11" s="316"/>
      <c r="G11" s="317" t="str">
        <f>IF(OR(ISBLANK(D3),ISBLANK(D13)),"",IF(D13&lt;D3,"!!!!! DAQBOOK IS OUT OF CERTIFICATION !!!!!",""))</f>
        <v/>
      </c>
      <c r="H11" s="316"/>
      <c r="I11" s="316"/>
      <c r="J11" s="316"/>
      <c r="K11" s="316"/>
      <c r="L11" s="316"/>
      <c r="M11" s="316"/>
      <c r="N11" s="462">
        <v>7</v>
      </c>
      <c r="O11" s="149"/>
      <c r="P11" s="504" t="str">
        <f>VLOOKUP(N11,Alerts[],3,FALSE)</f>
        <v/>
      </c>
      <c r="Q11" s="505"/>
      <c r="R11" s="463" t="str" cm="1">
        <f t="array" ref="R11">IFZERO(VLOOKUP(N11,Alerts[],4,FALSE),"")</f>
        <v/>
      </c>
      <c r="S11" s="150" t="str" cm="1">
        <f t="array" ref="S11">IFZERO(VLOOKUP(N11,Alerts[],5,FALSE),"")</f>
        <v/>
      </c>
      <c r="T11" s="494"/>
    </row>
    <row r="12" spans="1:22" s="291" customFormat="1" x14ac:dyDescent="0.2">
      <c r="A12" s="334"/>
      <c r="B12" s="144"/>
      <c r="C12" s="153" t="s">
        <v>87</v>
      </c>
      <c r="D12" s="292">
        <f>VLOOKUP("service_date",DaqbookServiceRecord[], 2, FALSE)</f>
        <v>0</v>
      </c>
      <c r="E12" s="316"/>
      <c r="F12" s="316"/>
      <c r="G12" s="317" t="str">
        <f>IF(IF(COUNTIFS(DataForChannels1to14[],"&gt;"&amp;B2,DataForChannels1to14[],"&lt;"&amp;(B2+200))&gt;0,1,0)=1,"!!!!! OVEN OVERSHOT IN POINTS 1-14 !!!!!","")</f>
        <v/>
      </c>
      <c r="H12" s="316"/>
      <c r="I12" s="316"/>
      <c r="J12" s="337"/>
      <c r="K12" s="320"/>
      <c r="L12" s="337"/>
      <c r="M12" s="320"/>
      <c r="N12" s="462">
        <v>8</v>
      </c>
      <c r="O12" s="149"/>
      <c r="P12" s="504" t="str">
        <f>VLOOKUP(N12,Alerts[],3,FALSE)</f>
        <v/>
      </c>
      <c r="Q12" s="505"/>
      <c r="R12" s="463" t="str" cm="1">
        <f t="array" ref="R12">IFZERO(VLOOKUP(N12,Alerts[],4,FALSE),"")</f>
        <v/>
      </c>
      <c r="S12" s="150" t="str" cm="1">
        <f t="array" ref="S12">IFZERO(VLOOKUP(N12,Alerts[],5,FALSE),"")</f>
        <v/>
      </c>
      <c r="T12" s="494"/>
    </row>
    <row r="13" spans="1:22" s="291" customFormat="1" x14ac:dyDescent="0.2">
      <c r="A13" s="334"/>
      <c r="B13" s="154"/>
      <c r="C13" s="155" t="s">
        <v>86</v>
      </c>
      <c r="D13" s="292">
        <f>VLOOKUP("next_service_date",DaqbookServiceRecord[], 2, FALSE)</f>
        <v>0</v>
      </c>
      <c r="E13" s="316"/>
      <c r="F13" s="341"/>
      <c r="G13" s="332" t="str">
        <f>IF(IF(COUNTIFS(DataForChannels15to28[],"&gt;"&amp;B2,DataForChannels15to28[],"&lt;"&amp;(B2+200))&gt;0,1,0)=1,"!!!!! OVEN OVERSHOT IN POINTS 15-28 !!!!!","")</f>
        <v/>
      </c>
      <c r="H13" s="316"/>
      <c r="I13" s="316"/>
      <c r="J13" s="252" t="s">
        <v>327</v>
      </c>
      <c r="K13" s="540" t="str">
        <f>IFERROR(VLOOKUP("PoNumber",WorkItemDetails[],2,FALSE),"")</f>
        <v/>
      </c>
      <c r="L13" s="541"/>
      <c r="M13" s="316"/>
      <c r="N13" s="462">
        <v>9</v>
      </c>
      <c r="O13" s="149"/>
      <c r="P13" s="504" t="str">
        <f>VLOOKUP(N13,Alerts[],3,FALSE)</f>
        <v/>
      </c>
      <c r="Q13" s="505"/>
      <c r="R13" s="463" t="str" cm="1">
        <f t="array" ref="R13">IFZERO(VLOOKUP(N13,Alerts[],4,FALSE),"")</f>
        <v/>
      </c>
      <c r="S13" s="150" t="str" cm="1">
        <f t="array" ref="S13">IFZERO(VLOOKUP(N13,Alerts[],5,FALSE),"")</f>
        <v/>
      </c>
      <c r="T13" s="494"/>
    </row>
    <row r="14" spans="1:22" s="291" customFormat="1" x14ac:dyDescent="0.2">
      <c r="A14" s="334"/>
      <c r="B14" s="144"/>
      <c r="C14" s="153" t="s">
        <v>88</v>
      </c>
      <c r="D14" s="492">
        <f>VLOOKUP("certificate_number",DaqbookServiceRecord[], 2, FALSE)</f>
        <v>0</v>
      </c>
      <c r="E14" s="316"/>
      <c r="F14" s="316"/>
      <c r="G14" s="317" t="str">
        <f>IF(IF(COUNTIFS(DataForChannels29to40[],"&gt;"&amp;B2,DataForChannels29to40[],"&lt;"&amp;(B2+200))&gt;0,1,0)=1,"!!!!! OVEN OVERSHOT IN POINTS 29-40 !!!!!","")</f>
        <v/>
      </c>
      <c r="H14" s="316"/>
      <c r="I14" s="316"/>
      <c r="J14" s="156" t="s">
        <v>136</v>
      </c>
      <c r="K14" s="549"/>
      <c r="L14" s="550"/>
      <c r="M14" s="316"/>
      <c r="N14" s="462">
        <v>10</v>
      </c>
      <c r="O14" s="149"/>
      <c r="P14" s="504" t="str">
        <f>VLOOKUP(N14,Alerts[],3,FALSE)</f>
        <v/>
      </c>
      <c r="Q14" s="505"/>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34"/>
      <c r="L15" s="535"/>
      <c r="M15" s="316"/>
      <c r="N15" s="462">
        <v>11</v>
      </c>
      <c r="O15" s="149"/>
      <c r="P15" s="504" t="str">
        <f>VLOOKUP(N15,Alerts[],3,FALSE)</f>
        <v/>
      </c>
      <c r="Q15" s="505"/>
      <c r="R15" s="463" t="str" cm="1">
        <f t="array" ref="R15">IFZERO(VLOOKUP(N15,Alerts[],4,FALSE),"")</f>
        <v/>
      </c>
      <c r="S15" s="150" t="str" cm="1">
        <f t="array" ref="S15">IFZERO(VLOOKUP(N15,Alerts[],5,FALSE),"")</f>
        <v/>
      </c>
      <c r="T15" s="494"/>
    </row>
    <row r="16" spans="1:22" s="291" customFormat="1" x14ac:dyDescent="0.2">
      <c r="A16" s="334"/>
      <c r="B16" s="158"/>
      <c r="C16" s="196" t="s">
        <v>266</v>
      </c>
      <c r="D16" s="309"/>
      <c r="E16" s="316"/>
      <c r="F16" s="156" t="s">
        <v>77</v>
      </c>
      <c r="G16" s="441" t="s">
        <v>271</v>
      </c>
      <c r="H16" s="442"/>
      <c r="I16" s="316"/>
      <c r="J16" s="554" t="s">
        <v>165</v>
      </c>
      <c r="K16" s="555"/>
      <c r="L16" s="297"/>
      <c r="M16" s="316"/>
      <c r="N16" s="462">
        <v>12</v>
      </c>
      <c r="O16" s="149"/>
      <c r="P16" s="504" t="str">
        <f>VLOOKUP(N16,Alerts[],3,FALSE)</f>
        <v/>
      </c>
      <c r="Q16" s="505"/>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54" t="s">
        <v>166</v>
      </c>
      <c r="K17" s="555"/>
      <c r="L17" s="160" t="str">
        <f>IF(K15="SIM Load Hot",TEXT(D26,"hh:mm"),"")</f>
        <v/>
      </c>
      <c r="M17" s="316"/>
      <c r="N17" s="462">
        <v>13</v>
      </c>
      <c r="O17" s="149"/>
      <c r="P17" s="504" t="str">
        <f>VLOOKUP(N17,Alerts[],3,FALSE)</f>
        <v/>
      </c>
      <c r="Q17" s="505"/>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06" t="s">
        <v>19</v>
      </c>
      <c r="H18" s="507"/>
      <c r="I18" s="317"/>
      <c r="J18" s="342"/>
      <c r="K18" s="316"/>
      <c r="L18" s="317"/>
      <c r="M18" s="316"/>
      <c r="N18" s="462">
        <v>14</v>
      </c>
      <c r="O18" s="149"/>
      <c r="P18" s="504" t="str">
        <f>VLOOKUP(N18,Alerts[],3,FALSE)</f>
        <v/>
      </c>
      <c r="Q18" s="505"/>
      <c r="R18" s="463" t="str" cm="1">
        <f t="array" ref="R18">IFZERO(VLOOKUP(N18,Alerts[],4,FALSE),"")</f>
        <v/>
      </c>
      <c r="S18" s="150" t="str" cm="1">
        <f t="array" ref="S18">IFZERO(VLOOKUP(N18,Alerts[],5,FALSE),"")</f>
        <v/>
      </c>
      <c r="T18" s="494"/>
    </row>
    <row r="19" spans="1:22" s="291" customFormat="1" x14ac:dyDescent="0.2">
      <c r="A19" s="334"/>
      <c r="B19" s="144"/>
      <c r="C19" s="145" t="s">
        <v>10</v>
      </c>
      <c r="D19" s="669">
        <f>Tolerances</f>
        <v>0</v>
      </c>
      <c r="E19" s="316"/>
      <c r="F19" s="157" t="s">
        <v>79</v>
      </c>
      <c r="G19" s="532" t="str">
        <f>IF(K15="Salt",0, IF(OR(K15="Hot",K15="SIM Load Hot"),IF(OR(D26="",D28=""),"N/A",IF(ISBLANK(D26),"N/A",D28-D26)),"N/A"))</f>
        <v>N/A</v>
      </c>
      <c r="H19" s="533"/>
      <c r="I19" s="343" t="str">
        <f>IF(G19="N/A","N/A",IF(G19=0,"&lt;2",ROUND(IF(LEN(G19)&gt;3,G19*1440,RIGHT(TEXT(G19,"hh:mm"),2)),0))&amp;" MINUTES")</f>
        <v>N/A</v>
      </c>
      <c r="J19" s="496">
        <f>V21</f>
        <v>40</v>
      </c>
      <c r="K19" s="316"/>
      <c r="L19" s="317"/>
      <c r="M19" s="316"/>
      <c r="N19" s="462">
        <v>15</v>
      </c>
      <c r="O19" s="149"/>
      <c r="P19" s="504" t="str">
        <f>VLOOKUP(N19,Alerts[],3,FALSE)</f>
        <v/>
      </c>
      <c r="Q19" s="505"/>
      <c r="R19" s="463" t="str" cm="1">
        <f t="array" ref="R19">IFZERO(VLOOKUP(N19,Alerts[],4,FALSE),"")</f>
        <v/>
      </c>
      <c r="S19" s="150" t="str" cm="1">
        <f t="array" ref="S19">IFZERO(VLOOKUP(N19,Alerts[],5,FALSE),"")</f>
        <v/>
      </c>
      <c r="T19" s="494"/>
      <c r="U19" s="299" t="s">
        <v>955</v>
      </c>
      <c r="V19" s="299">
        <f>L20</f>
        <v>1</v>
      </c>
    </row>
    <row r="20" spans="1:22" s="291" customFormat="1" ht="13.7" customHeight="1" x14ac:dyDescent="0.2">
      <c r="A20" s="192"/>
      <c r="B20" s="536" t="str">
        <f>IF(E20=TRUE,"SAT Tolerance (per AMS2750):","SAT Tolerance (per BAC5621):")</f>
        <v>SAT Tolerance (per BAC5621):</v>
      </c>
      <c r="C20" s="537"/>
      <c r="D20" s="412" t="e">
        <f>G94</f>
        <v>#N/A</v>
      </c>
      <c r="E20" s="477" t="b">
        <v>0</v>
      </c>
      <c r="F20" s="316"/>
      <c r="G20" s="316"/>
      <c r="H20" s="316"/>
      <c r="I20" s="317"/>
      <c r="J20" s="316"/>
      <c r="K20" s="316"/>
      <c r="L20" s="478">
        <v>1</v>
      </c>
      <c r="M20" s="316"/>
      <c r="N20" s="462">
        <v>16</v>
      </c>
      <c r="O20" s="149"/>
      <c r="P20" s="504" t="str">
        <f>VLOOKUP(N20,Alerts[],3,FALSE)</f>
        <v/>
      </c>
      <c r="Q20" s="505"/>
      <c r="R20" s="463" t="str" cm="1">
        <f t="array" ref="R20">IFZERO(VLOOKUP(N20,Alerts[],4,FALSE),"")</f>
        <v/>
      </c>
      <c r="S20" s="150" t="str" cm="1">
        <f t="array" ref="S20">IFZERO(VLOOKUP(N20,Alerts[],5,FALSE),"")</f>
        <v/>
      </c>
      <c r="T20" s="494"/>
      <c r="U20" s="299" t="s">
        <v>954</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04" t="str">
        <f>VLOOKUP(N21,Alerts[],3,FALSE)</f>
        <v/>
      </c>
      <c r="Q21" s="505"/>
      <c r="R21" s="463" t="str" cm="1">
        <f t="array" ref="R21">IFZERO(VLOOKUP(N21,Alerts[],4,FALSE),"")</f>
        <v/>
      </c>
      <c r="S21" s="150" t="str" cm="1">
        <f t="array" ref="S21">IFZERO(VLOOKUP(N21,Alerts[],5,FALSE),"")</f>
        <v/>
      </c>
      <c r="T21" s="494"/>
      <c r="U21" s="299" t="s">
        <v>953</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04" t="str">
        <f>VLOOKUP(N22,Alerts[],3,FALSE)</f>
        <v/>
      </c>
      <c r="Q22" s="505"/>
      <c r="R22" s="463" t="str" cm="1">
        <f t="array" ref="R22">IFZERO(VLOOKUP(N22,Alerts[],4,FALSE),"")</f>
        <v/>
      </c>
      <c r="S22" s="150" t="str" cm="1">
        <f t="array" ref="S22">IFZERO(VLOOKUP(N22,Alerts[],5,FALSE),"")</f>
        <v/>
      </c>
      <c r="T22" s="494"/>
      <c r="U22" s="299" t="s">
        <v>952</v>
      </c>
      <c r="V22" s="299">
        <f>V20+1</f>
        <v>1</v>
      </c>
    </row>
    <row r="23" spans="1:22" s="291" customFormat="1" x14ac:dyDescent="0.2">
      <c r="A23" s="334"/>
      <c r="B23" s="144"/>
      <c r="C23" s="444" t="s">
        <v>917</v>
      </c>
      <c r="D23" s="295"/>
      <c r="E23" s="316"/>
      <c r="F23" s="163" t="s">
        <v>97</v>
      </c>
      <c r="G23" s="562" t="s">
        <v>375</v>
      </c>
      <c r="H23" s="563"/>
      <c r="I23" s="563"/>
      <c r="J23" s="563"/>
      <c r="K23" s="564"/>
      <c r="L23" s="317"/>
      <c r="M23" s="316"/>
      <c r="N23" s="462">
        <v>19</v>
      </c>
      <c r="O23" s="149"/>
      <c r="P23" s="504" t="str">
        <f>VLOOKUP(N23,Alerts[],3,FALSE)</f>
        <v/>
      </c>
      <c r="Q23" s="505"/>
      <c r="R23" s="463" t="str" cm="1">
        <f t="array" ref="R23">IFZERO(VLOOKUP(N23,Alerts[],4,FALSE),"")</f>
        <v/>
      </c>
      <c r="S23" s="150" t="str" cm="1">
        <f t="array" ref="S23">IFZERO(VLOOKUP(N23,Alerts[],5,FALSE),"")</f>
        <v/>
      </c>
      <c r="T23" s="494"/>
      <c r="U23" s="299" t="s">
        <v>951</v>
      </c>
      <c r="V23" s="299">
        <f>V20+V21</f>
        <v>40</v>
      </c>
    </row>
    <row r="24" spans="1:22" s="291" customFormat="1" x14ac:dyDescent="0.2">
      <c r="A24" s="334"/>
      <c r="B24" s="538" t="s">
        <v>556</v>
      </c>
      <c r="C24" s="539"/>
      <c r="D24" s="295">
        <v>1</v>
      </c>
      <c r="E24" s="316"/>
      <c r="F24" s="163" t="s">
        <v>98</v>
      </c>
      <c r="G24" s="565"/>
      <c r="H24" s="566"/>
      <c r="I24" s="566"/>
      <c r="J24" s="566"/>
      <c r="K24" s="567"/>
      <c r="L24" s="317"/>
      <c r="M24" s="316"/>
      <c r="N24" s="462">
        <v>20</v>
      </c>
      <c r="O24" s="149"/>
      <c r="P24" s="504" t="str">
        <f>VLOOKUP(N24,Alerts[],3,FALSE)</f>
        <v/>
      </c>
      <c r="Q24" s="505"/>
      <c r="R24" s="463" t="str" cm="1">
        <f t="array" ref="R24">IFZERO(VLOOKUP(N24,Alerts[],4,FALSE),"")</f>
        <v/>
      </c>
      <c r="S24" s="150" t="str" cm="1">
        <f t="array" ref="S24">IFZERO(VLOOKUP(N24,Alerts[],5,FALSE),"")</f>
        <v/>
      </c>
      <c r="T24" s="494"/>
      <c r="U24" s="299" t="s">
        <v>950</v>
      </c>
      <c r="V24" s="299" t="str">
        <f>IF(V19=1,"","DaqBook points "&amp;V22&amp;"-"&amp;V23&amp;" used.")</f>
        <v/>
      </c>
    </row>
    <row r="25" spans="1:22" s="291" customFormat="1" x14ac:dyDescent="0.2">
      <c r="A25" s="334"/>
      <c r="B25" s="331"/>
      <c r="C25" s="332"/>
      <c r="D25" s="339"/>
      <c r="E25" s="316"/>
      <c r="F25" s="163" t="s">
        <v>99</v>
      </c>
      <c r="G25" s="565"/>
      <c r="H25" s="566"/>
      <c r="I25" s="566"/>
      <c r="J25" s="566"/>
      <c r="K25" s="567"/>
      <c r="L25" s="317"/>
      <c r="M25" s="316"/>
      <c r="N25" s="462">
        <v>21</v>
      </c>
      <c r="O25" s="149"/>
      <c r="P25" s="504" t="str">
        <f>VLOOKUP(N25,Alerts[],3,FALSE)</f>
        <v/>
      </c>
      <c r="Q25" s="505"/>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04" t="str">
        <f>VLOOKUP(N26,Alerts[],3,FALSE)</f>
        <v/>
      </c>
      <c r="Q26" s="505"/>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274</v>
      </c>
      <c r="G27" s="251" t="str">
        <f>G28</f>
        <v/>
      </c>
      <c r="H27" s="560" t="str">
        <f>IF(ISBLANK(D6),"",IF(CheckRec="x","CHECK INSTRUMENT CAL DATES!!!!             CHECK INSTRUMENT CAL DATES!!!!",""))</f>
        <v/>
      </c>
      <c r="I27" s="561"/>
      <c r="J27" s="561"/>
      <c r="K27" s="561"/>
      <c r="L27" s="317"/>
      <c r="M27" s="316"/>
      <c r="N27" s="462">
        <v>23</v>
      </c>
      <c r="O27" s="149"/>
      <c r="P27" s="504" t="str">
        <f>VLOOKUP(N27,Alerts[],3,FALSE)</f>
        <v/>
      </c>
      <c r="Q27" s="505"/>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275</v>
      </c>
      <c r="G28" s="251" t="str">
        <f>IF(CheckRec="y","Cal by Customer",IF(D$3,D$3,""))</f>
        <v/>
      </c>
      <c r="H28" s="560"/>
      <c r="I28" s="561"/>
      <c r="J28" s="561"/>
      <c r="K28" s="561"/>
      <c r="L28" s="317"/>
      <c r="M28" s="316"/>
      <c r="N28" s="462">
        <v>24</v>
      </c>
      <c r="O28" s="149"/>
      <c r="P28" s="504" t="str">
        <f>VLOOKUP(N28,Alerts[],3,FALSE)</f>
        <v/>
      </c>
      <c r="Q28" s="505"/>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276</v>
      </c>
      <c r="G29" s="317"/>
      <c r="H29" s="317"/>
      <c r="I29" s="317"/>
      <c r="J29" s="317"/>
      <c r="K29" s="317"/>
      <c r="L29" s="317"/>
      <c r="M29" s="316"/>
      <c r="N29" s="462">
        <v>25</v>
      </c>
      <c r="O29" s="149"/>
      <c r="P29" s="504" t="str">
        <f>VLOOKUP(N29,Alerts[],3,FALSE)</f>
        <v/>
      </c>
      <c r="Q29" s="505"/>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04" t="str">
        <f>VLOOKUP(N30,Alerts[],3,FALSE)</f>
        <v/>
      </c>
      <c r="Q30" s="505"/>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04" t="str">
        <f>VLOOKUP(N31,Alerts[],3,FALSE)</f>
        <v/>
      </c>
      <c r="Q31" s="505"/>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04" t="str">
        <f>VLOOKUP(N32,Alerts[],3,FALSE)</f>
        <v/>
      </c>
      <c r="Q32" s="505"/>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04" t="str">
        <f>VLOOKUP(N33,Alerts[],3,FALSE)</f>
        <v/>
      </c>
      <c r="Q33" s="505"/>
      <c r="R33" s="463" t="str" cm="1">
        <f t="array" ref="R33">IFZERO(VLOOKUP(N33,Alerts[],4,FALSE),"")</f>
        <v/>
      </c>
      <c r="S33" s="150" t="str" cm="1">
        <f t="array" ref="S33">IFZERO(VLOOKUP(N33,Alerts[],5,FALSE),"")</f>
        <v/>
      </c>
      <c r="T33" s="494"/>
    </row>
    <row r="34" spans="1:23" s="291" customFormat="1" ht="12.75" customHeight="1" x14ac:dyDescent="0.2">
      <c r="A34" s="334"/>
      <c r="B34" s="525" t="s">
        <v>49</v>
      </c>
      <c r="C34" s="526"/>
      <c r="D34" s="526"/>
      <c r="E34" s="526"/>
      <c r="F34" s="526"/>
      <c r="G34" s="526"/>
      <c r="H34" s="526"/>
      <c r="I34" s="526"/>
      <c r="J34" s="526"/>
      <c r="K34" s="526"/>
      <c r="L34" s="527"/>
      <c r="M34" s="316"/>
      <c r="N34" s="462">
        <v>30</v>
      </c>
      <c r="O34" s="149"/>
      <c r="P34" s="504" t="str">
        <f>VLOOKUP(N34,Alerts[],3,FALSE)</f>
        <v/>
      </c>
      <c r="Q34" s="505"/>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04" t="str">
        <f>VLOOKUP(N35,Alerts[],3,FALSE)</f>
        <v/>
      </c>
      <c r="Q35" s="505"/>
      <c r="R35" s="463" t="str" cm="1">
        <f t="array" ref="R35">IFZERO(VLOOKUP(N35,Alerts[],4,FALSE),"")</f>
        <v/>
      </c>
      <c r="S35" s="150" t="str" cm="1">
        <f t="array" ref="S35">IFZERO(VLOOKUP(N35,Alerts[],5,FALSE),"")</f>
        <v/>
      </c>
      <c r="T35" s="495"/>
    </row>
    <row r="36" spans="1:23" s="291" customFormat="1" ht="13.5" thickBot="1" x14ac:dyDescent="0.25">
      <c r="A36" s="500" t="s">
        <v>926</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04" t="str">
        <f>VLOOKUP(N36,Alerts[],3,FALSE)</f>
        <v/>
      </c>
      <c r="Q36" s="505"/>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04" t="str">
        <f>VLOOKUP(N37,Alerts[],3,FALSE)</f>
        <v/>
      </c>
      <c r="Q37" s="505"/>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04" t="str">
        <f>VLOOKUP(N38,Alerts[],3,FALSE)</f>
        <v/>
      </c>
      <c r="Q38" s="505"/>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04" t="str">
        <f>VLOOKUP(N39,Alerts[],3,FALSE)</f>
        <v/>
      </c>
      <c r="Q39" s="505"/>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04" t="str">
        <f>VLOOKUP(N40,Alerts[],3,FALSE)</f>
        <v/>
      </c>
      <c r="Q40" s="505"/>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04" t="str">
        <f>VLOOKUP(N41,Alerts[],3,FALSE)</f>
        <v/>
      </c>
      <c r="Q41" s="505"/>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04" t="str">
        <f>VLOOKUP(N42,Alerts[],3,FALSE)</f>
        <v/>
      </c>
      <c r="Q42" s="505"/>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04" t="str">
        <f>VLOOKUP(N43,Alerts[],3,FALSE)</f>
        <v/>
      </c>
      <c r="Q43" s="505"/>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04" t="str">
        <f>VLOOKUP(N44,Alerts[],3,FALSE)</f>
        <v/>
      </c>
      <c r="Q44" s="505"/>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51" t="s">
        <v>33</v>
      </c>
      <c r="E46" s="552"/>
      <c r="F46" s="552"/>
      <c r="G46" s="552"/>
      <c r="H46" s="552"/>
      <c r="I46" s="553"/>
      <c r="J46" s="360"/>
      <c r="K46" s="360"/>
      <c r="L46" s="360"/>
      <c r="M46" s="568" t="s">
        <v>332</v>
      </c>
      <c r="N46" s="569"/>
      <c r="O46" s="570"/>
      <c r="P46" s="571"/>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333</v>
      </c>
      <c r="N47" s="314" t="s">
        <v>334</v>
      </c>
      <c r="O47" s="361"/>
      <c r="P47" s="558" t="s">
        <v>335</v>
      </c>
      <c r="Q47" s="558"/>
      <c r="R47" s="432" t="s">
        <v>336</v>
      </c>
      <c r="S47" s="320"/>
      <c r="T47" s="320"/>
      <c r="U47" s="320"/>
    </row>
    <row r="48" spans="1:23" x14ac:dyDescent="0.2">
      <c r="A48" s="334"/>
      <c r="B48" s="358"/>
      <c r="C48" s="430" t="s">
        <v>34</v>
      </c>
      <c r="D48" s="303"/>
      <c r="E48" s="303"/>
      <c r="F48" s="303"/>
      <c r="G48" s="303"/>
      <c r="H48" s="303"/>
      <c r="I48" s="303"/>
      <c r="J48" s="360"/>
      <c r="K48" s="360"/>
      <c r="L48" s="360"/>
      <c r="M48" s="559" t="s">
        <v>337</v>
      </c>
      <c r="N48" s="559"/>
      <c r="O48" s="362"/>
      <c r="P48" s="517" t="s">
        <v>384</v>
      </c>
      <c r="Q48" s="518"/>
      <c r="R48" s="519"/>
      <c r="S48" s="363"/>
      <c r="T48" s="321"/>
      <c r="U48" s="517" t="s">
        <v>387</v>
      </c>
      <c r="V48" s="518"/>
      <c r="W48" s="519"/>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861</v>
      </c>
      <c r="L49" s="360"/>
      <c r="M49" s="252" t="s">
        <v>338</v>
      </c>
      <c r="N49" s="313" t="str">
        <f>IF(PB="","",PB)</f>
        <v/>
      </c>
      <c r="O49" s="330"/>
      <c r="P49" s="520" t="s">
        <v>389</v>
      </c>
      <c r="Q49" s="521"/>
      <c r="R49" s="522"/>
      <c r="S49" s="433"/>
      <c r="T49" s="322"/>
      <c r="U49" s="520" t="s">
        <v>388</v>
      </c>
      <c r="V49" s="521"/>
      <c r="W49" s="522"/>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339</v>
      </c>
      <c r="N50" s="313" t="str">
        <f>IF(Integral="","",Integral)</f>
        <v/>
      </c>
      <c r="O50" s="330"/>
      <c r="P50" s="508" t="s">
        <v>340</v>
      </c>
      <c r="Q50" s="509"/>
      <c r="R50" s="510"/>
      <c r="S50" s="366"/>
      <c r="T50" s="323"/>
      <c r="U50" s="508" t="s">
        <v>340</v>
      </c>
      <c r="V50" s="509"/>
      <c r="W50" s="510"/>
      <c r="X50" s="320"/>
    </row>
    <row r="51" spans="1:24" x14ac:dyDescent="0.2">
      <c r="A51" s="334"/>
      <c r="B51" s="367"/>
      <c r="C51" s="429" t="s">
        <v>57</v>
      </c>
      <c r="D51" s="303"/>
      <c r="E51" s="303"/>
      <c r="F51" s="303"/>
      <c r="G51" s="303"/>
      <c r="H51" s="303"/>
      <c r="I51" s="303"/>
      <c r="J51" s="360"/>
      <c r="K51" s="368"/>
      <c r="L51" s="360"/>
      <c r="M51" s="416" t="s">
        <v>341</v>
      </c>
      <c r="N51" s="313" t="str">
        <f>IF(Derivative="","",Derivative)</f>
        <v/>
      </c>
      <c r="O51" s="316"/>
      <c r="P51" s="520" t="s">
        <v>385</v>
      </c>
      <c r="Q51" s="521"/>
      <c r="R51" s="522"/>
      <c r="S51" s="433"/>
      <c r="T51" s="324"/>
      <c r="U51" s="520" t="s">
        <v>390</v>
      </c>
      <c r="V51" s="521"/>
      <c r="W51" s="522"/>
      <c r="X51" s="304"/>
    </row>
    <row r="52" spans="1:24" x14ac:dyDescent="0.2">
      <c r="A52" s="334"/>
      <c r="B52" s="358"/>
      <c r="C52" s="429" t="s">
        <v>347</v>
      </c>
      <c r="D52" s="303"/>
      <c r="E52" s="303"/>
      <c r="F52" s="303"/>
      <c r="G52" s="303"/>
      <c r="H52" s="303"/>
      <c r="I52" s="303"/>
      <c r="J52" s="360"/>
      <c r="K52" s="368"/>
      <c r="L52" s="360"/>
      <c r="M52" s="416" t="s">
        <v>342</v>
      </c>
      <c r="N52" s="313" t="str">
        <f>IF(Other1="","",Other1)</f>
        <v/>
      </c>
      <c r="O52" s="330"/>
      <c r="P52" s="508" t="s">
        <v>340</v>
      </c>
      <c r="Q52" s="509"/>
      <c r="R52" s="510"/>
      <c r="S52" s="366"/>
      <c r="T52" s="325"/>
      <c r="U52" s="508" t="s">
        <v>340</v>
      </c>
      <c r="V52" s="509"/>
      <c r="W52" s="510"/>
      <c r="X52" s="320"/>
    </row>
    <row r="53" spans="1:24" ht="12.75" customHeight="1" x14ac:dyDescent="0.2">
      <c r="A53" s="334"/>
      <c r="B53" s="358"/>
      <c r="C53" s="429" t="s">
        <v>58</v>
      </c>
      <c r="D53" s="308"/>
      <c r="E53" s="308"/>
      <c r="F53" s="308"/>
      <c r="G53" s="308"/>
      <c r="H53" s="308"/>
      <c r="I53" s="308"/>
      <c r="J53" s="360"/>
      <c r="K53" s="369"/>
      <c r="L53" s="369"/>
      <c r="M53" s="417" t="s">
        <v>342</v>
      </c>
      <c r="N53" s="313" t="str">
        <f>IF(Other2="","",Other2)</f>
        <v/>
      </c>
      <c r="O53" s="330"/>
      <c r="P53" s="511" t="s">
        <v>386</v>
      </c>
      <c r="Q53" s="512"/>
      <c r="R53" s="513"/>
      <c r="S53" s="434"/>
      <c r="T53" s="326"/>
      <c r="U53" s="511" t="s">
        <v>391</v>
      </c>
      <c r="V53" s="512"/>
      <c r="W53" s="513"/>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369</v>
      </c>
      <c r="N54" s="312">
        <v>0</v>
      </c>
      <c r="O54" s="318"/>
      <c r="P54" s="514"/>
      <c r="Q54" s="515"/>
      <c r="R54" s="516"/>
      <c r="S54" s="371"/>
      <c r="T54" s="327"/>
      <c r="U54" s="514"/>
      <c r="V54" s="515"/>
      <c r="W54" s="516"/>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370</v>
      </c>
      <c r="N55" s="312">
        <v>0</v>
      </c>
      <c r="O55" s="318"/>
      <c r="P55" s="255" t="s">
        <v>343</v>
      </c>
      <c r="Q55" s="255" t="s">
        <v>14</v>
      </c>
      <c r="R55" s="263" t="s">
        <v>344</v>
      </c>
      <c r="S55" s="373"/>
      <c r="T55" s="328"/>
      <c r="U55" s="315" t="s">
        <v>345</v>
      </c>
      <c r="V55" s="255" t="s">
        <v>14</v>
      </c>
      <c r="W55" s="255" t="s">
        <v>346</v>
      </c>
    </row>
    <row r="56" spans="1:24" x14ac:dyDescent="0.2">
      <c r="A56" s="334"/>
      <c r="B56" s="374"/>
      <c r="C56" s="431" t="s">
        <v>153</v>
      </c>
      <c r="D56" s="303"/>
      <c r="E56" s="303"/>
      <c r="F56" s="303"/>
      <c r="G56" s="303"/>
      <c r="H56" s="303"/>
      <c r="I56" s="303"/>
      <c r="J56" s="375"/>
      <c r="K56" s="424"/>
      <c r="L56" s="425"/>
      <c r="M56" s="423" t="s">
        <v>371</v>
      </c>
      <c r="N56" s="312">
        <v>0</v>
      </c>
      <c r="O56" s="318"/>
      <c r="P56" s="435"/>
      <c r="Q56" s="436"/>
      <c r="R56" s="437"/>
      <c r="S56" s="376"/>
      <c r="T56" s="329"/>
      <c r="U56" s="438"/>
      <c r="V56" s="436"/>
      <c r="W56" s="435"/>
    </row>
    <row r="57" spans="1:24" x14ac:dyDescent="0.2">
      <c r="A57" s="334"/>
      <c r="B57" s="355"/>
      <c r="C57" s="252" t="s">
        <v>348</v>
      </c>
      <c r="D57" s="304"/>
      <c r="E57" s="304"/>
      <c r="F57" s="304"/>
      <c r="G57" s="304"/>
      <c r="H57" s="304"/>
      <c r="I57" s="304"/>
      <c r="J57" s="316"/>
      <c r="K57" s="426"/>
      <c r="L57" s="427"/>
      <c r="M57" s="428" t="s">
        <v>372</v>
      </c>
      <c r="N57" s="312">
        <v>0</v>
      </c>
      <c r="O57" s="318"/>
      <c r="P57" s="316"/>
      <c r="Q57" s="316"/>
      <c r="R57" s="316"/>
      <c r="S57" s="316"/>
    </row>
    <row r="58" spans="1:24" x14ac:dyDescent="0.2">
      <c r="A58" s="334"/>
      <c r="B58" s="355"/>
      <c r="C58" s="551" t="s">
        <v>158</v>
      </c>
      <c r="D58" s="552"/>
      <c r="E58" s="552"/>
      <c r="F58" s="552"/>
      <c r="G58" s="552"/>
      <c r="H58" s="552"/>
      <c r="I58" s="552"/>
      <c r="J58" s="552"/>
      <c r="K58" s="556"/>
      <c r="L58" s="557"/>
      <c r="M58" s="320"/>
      <c r="N58" s="320"/>
      <c r="O58" s="320"/>
      <c r="P58" s="320"/>
      <c r="Q58" s="320"/>
      <c r="R58" s="320"/>
      <c r="S58" s="320"/>
      <c r="T58" s="320"/>
      <c r="U58" s="320"/>
    </row>
    <row r="59" spans="1:24" x14ac:dyDescent="0.2">
      <c r="A59" s="334"/>
      <c r="B59" s="355"/>
      <c r="C59" s="551" t="s">
        <v>163</v>
      </c>
      <c r="D59" s="552"/>
      <c r="E59" s="552"/>
      <c r="F59" s="552"/>
      <c r="G59" s="552"/>
      <c r="H59" s="552"/>
      <c r="I59" s="552"/>
      <c r="J59" s="552"/>
      <c r="K59" s="552"/>
      <c r="L59" s="553"/>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161</v>
      </c>
      <c r="E60" s="311"/>
      <c r="F60" s="182" t="s">
        <v>159</v>
      </c>
      <c r="G60" s="183"/>
      <c r="H60" s="183"/>
      <c r="I60" s="183"/>
      <c r="J60" s="184"/>
      <c r="K60" s="311"/>
      <c r="L60" s="185" t="s">
        <v>160</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162</v>
      </c>
      <c r="E61" s="311"/>
      <c r="F61" s="187" t="s">
        <v>164</v>
      </c>
      <c r="G61" s="188"/>
      <c r="H61" s="188"/>
      <c r="I61" s="189"/>
      <c r="J61" s="311"/>
      <c r="K61" s="190" t="s">
        <v>160</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367</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909</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907</v>
      </c>
      <c r="G85" t="s">
        <v>151</v>
      </c>
      <c r="H85" t="s">
        <v>150</v>
      </c>
      <c r="I85" s="39" t="s">
        <v>908</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t="s">
        <v>267</v>
      </c>
      <c r="G93" s="398" t="e">
        <f>VLOOKUP(G97,G86:H91,2,FALSE)</f>
        <v>#N/A</v>
      </c>
      <c r="H93" s="399" t="s">
        <v>268</v>
      </c>
      <c r="I93" s="400"/>
      <c r="J93" s="393"/>
      <c r="K93" s="394"/>
      <c r="L93" s="395"/>
      <c r="M93" s="390"/>
      <c r="N93" s="391"/>
      <c r="O93" s="391"/>
      <c r="P93" s="391"/>
      <c r="Q93" s="390"/>
      <c r="R93" s="316"/>
      <c r="S93" s="316"/>
    </row>
    <row r="94" spans="1:19" x14ac:dyDescent="0.2">
      <c r="A94" s="387"/>
      <c r="B94" s="388"/>
      <c r="C94" s="389"/>
      <c r="D94" s="390"/>
      <c r="E94" s="396"/>
      <c r="F94" s="401"/>
      <c r="G94" s="402" t="e">
        <f>F93&amp;G93&amp;H93</f>
        <v>#N/A</v>
      </c>
      <c r="H94" s="403"/>
      <c r="J94" s="393"/>
      <c r="K94" s="394"/>
      <c r="L94" s="395"/>
      <c r="M94" s="390"/>
      <c r="N94" s="391"/>
      <c r="O94" s="391"/>
      <c r="P94" s="391"/>
      <c r="Q94" s="390"/>
      <c r="R94" s="316"/>
      <c r="S94" s="316"/>
    </row>
    <row r="95" spans="1:19" x14ac:dyDescent="0.2">
      <c r="A95" s="387"/>
      <c r="B95" s="388"/>
      <c r="C95" s="389"/>
      <c r="D95" s="390"/>
      <c r="E95" s="392"/>
      <c r="F95" s="393"/>
      <c r="G95" s="394" t="e">
        <f>ROUNDDOWN(G93,2-(1+INT(LOG10(ABS(G93)))))</f>
        <v>#N/A</v>
      </c>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925</v>
      </c>
      <c r="G97" s="389"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da70V7/E18s5Zj0ejx/jbTGCZaUUX4pdA1jJKkS0cWpVpWrd6/lOjBVuAFtrrs0SUQGx8y7r8MuCMGX4B0dJw==" saltValue="WB7aw/kfM8taLkNg6LRDEA=="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66"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943</v>
      </c>
      <c r="B1" s="1" t="s">
        <v>942</v>
      </c>
    </row>
    <row r="2" spans="1:2" x14ac:dyDescent="0.2">
      <c r="A2" t="s">
        <v>944</v>
      </c>
      <c r="B2" t="b">
        <v>1</v>
      </c>
    </row>
  </sheetData>
  <sheetProtection algorithmName="SHA-512" hashValue="fEPOqNkDvWmqTrL2R3pm0GY6SETNSKQxnnnKwGKMCsDBhTqwuq4+U65WIKJDoY8TmwDb7jcTcgwrzKWTCcPXsQ==" saltValue="MiGGS0WUaJo4YXT/B+cTcg=="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892</v>
      </c>
      <c r="C2" s="48" t="s">
        <v>893</v>
      </c>
      <c r="D2" s="48" t="s">
        <v>894</v>
      </c>
      <c r="E2" s="48" t="s">
        <v>399</v>
      </c>
      <c r="F2" s="48" t="s">
        <v>895</v>
      </c>
      <c r="G2" s="48" t="s">
        <v>896</v>
      </c>
      <c r="H2" s="48" t="s">
        <v>897</v>
      </c>
      <c r="I2" s="48" t="s">
        <v>898</v>
      </c>
      <c r="J2" s="48" t="s">
        <v>899</v>
      </c>
      <c r="K2" s="48" t="s">
        <v>400</v>
      </c>
      <c r="L2" s="48" t="s">
        <v>900</v>
      </c>
      <c r="M2" s="48" t="s">
        <v>901</v>
      </c>
      <c r="N2" s="48" t="s">
        <v>902</v>
      </c>
      <c r="O2" s="48" t="s">
        <v>903</v>
      </c>
      <c r="P2" s="52"/>
      <c r="Q2" s="443" t="s">
        <v>14</v>
      </c>
      <c r="R2" s="48" t="s">
        <v>878</v>
      </c>
      <c r="S2" s="48" t="s">
        <v>879</v>
      </c>
      <c r="T2" s="48" t="s">
        <v>880</v>
      </c>
      <c r="U2" s="48" t="s">
        <v>881</v>
      </c>
      <c r="V2" s="48" t="s">
        <v>882</v>
      </c>
      <c r="W2" s="48" t="s">
        <v>883</v>
      </c>
      <c r="X2" s="48" t="s">
        <v>884</v>
      </c>
      <c r="Y2" s="48" t="s">
        <v>885</v>
      </c>
      <c r="Z2" s="48" t="s">
        <v>886</v>
      </c>
      <c r="AA2" s="48" t="s">
        <v>887</v>
      </c>
      <c r="AB2" s="48" t="s">
        <v>888</v>
      </c>
      <c r="AC2" s="48" t="s">
        <v>889</v>
      </c>
      <c r="AD2" s="48" t="s">
        <v>890</v>
      </c>
      <c r="AE2" s="48" t="s">
        <v>891</v>
      </c>
      <c r="AF2" s="52"/>
      <c r="AG2" s="443" t="s">
        <v>14</v>
      </c>
      <c r="AH2" s="87" t="s">
        <v>866</v>
      </c>
      <c r="AI2" s="87" t="s">
        <v>867</v>
      </c>
      <c r="AJ2" s="87" t="s">
        <v>868</v>
      </c>
      <c r="AK2" s="87" t="s">
        <v>869</v>
      </c>
      <c r="AL2" s="87" t="s">
        <v>870</v>
      </c>
      <c r="AM2" s="87" t="s">
        <v>871</v>
      </c>
      <c r="AN2" s="87" t="s">
        <v>872</v>
      </c>
      <c r="AO2" s="87" t="s">
        <v>873</v>
      </c>
      <c r="AP2" s="87" t="s">
        <v>874</v>
      </c>
      <c r="AQ2" s="87" t="s">
        <v>875</v>
      </c>
      <c r="AR2" s="87" t="s">
        <v>876</v>
      </c>
      <c r="AS2" s="87" t="s">
        <v>877</v>
      </c>
    </row>
    <row r="3" spans="1:45" x14ac:dyDescent="0.2">
      <c r="A3" s="670"/>
      <c r="B3" s="671"/>
      <c r="C3" s="671"/>
      <c r="D3" s="671"/>
      <c r="E3" s="671"/>
      <c r="F3" s="671"/>
      <c r="G3" s="671"/>
      <c r="H3" s="671"/>
      <c r="I3" s="671"/>
      <c r="J3" s="671"/>
      <c r="K3" s="671"/>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cQHYUHcRPo+WCEB2MkIODnxIgSmHFvjT4kGJp6C6+sNVqJ+MJVhY0qmE/B/e71HLbPO4umDyowXEnxMr63ZStg==" saltValue="n7DCVbhrZ4QwXdoztkGtr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4">
        <f>Main!D3</f>
        <v>0</v>
      </c>
      <c r="E10" s="574"/>
      <c r="F10" s="574"/>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73" t="s">
        <v>377</v>
      </c>
      <c r="F15" s="573"/>
      <c r="G15" s="573"/>
      <c r="H15" s="573"/>
    </row>
    <row r="16" spans="3:8" ht="15" x14ac:dyDescent="0.2">
      <c r="C16" s="133"/>
      <c r="D16" s="75"/>
      <c r="E16" s="300" t="s">
        <v>124</v>
      </c>
      <c r="F16" s="300"/>
      <c r="G16" s="300"/>
      <c r="H16" s="300"/>
    </row>
    <row r="17" spans="3:8" ht="15" x14ac:dyDescent="0.2">
      <c r="C17" s="133"/>
      <c r="D17" s="75"/>
      <c r="E17" s="572" t="s">
        <v>125</v>
      </c>
      <c r="F17" s="572"/>
      <c r="G17" s="572"/>
      <c r="H17" s="572"/>
    </row>
    <row r="18" spans="3:8" ht="15" x14ac:dyDescent="0.2">
      <c r="C18" s="133"/>
      <c r="D18" s="75"/>
      <c r="E18" s="572" t="s">
        <v>6</v>
      </c>
      <c r="F18" s="572"/>
      <c r="G18" s="572"/>
      <c r="H18" s="572"/>
    </row>
    <row r="19" spans="3:8" ht="15" x14ac:dyDescent="0.2">
      <c r="C19" s="133"/>
      <c r="D19" s="75"/>
      <c r="E19" s="572" t="s">
        <v>130</v>
      </c>
      <c r="F19" s="572"/>
      <c r="G19" s="572"/>
      <c r="H19" s="572"/>
    </row>
    <row r="20" spans="3:8" ht="15" x14ac:dyDescent="0.2">
      <c r="C20" s="133"/>
      <c r="D20" s="75"/>
      <c r="E20" s="572" t="s">
        <v>127</v>
      </c>
      <c r="F20" s="572"/>
      <c r="G20" s="572"/>
      <c r="H20" s="572"/>
    </row>
    <row r="21" spans="3:8" ht="15" x14ac:dyDescent="0.2">
      <c r="C21" s="133"/>
      <c r="D21" s="75"/>
      <c r="E21" s="572" t="s">
        <v>128</v>
      </c>
      <c r="F21" s="572"/>
      <c r="G21" s="572"/>
      <c r="H21" s="572"/>
    </row>
    <row r="22" spans="3:8" ht="15" x14ac:dyDescent="0.2">
      <c r="C22" s="133"/>
      <c r="D22" s="75"/>
      <c r="E22" s="572" t="s">
        <v>106</v>
      </c>
      <c r="F22" s="572"/>
      <c r="G22" s="572"/>
      <c r="H22" s="572"/>
    </row>
    <row r="23" spans="3:8" ht="15" x14ac:dyDescent="0.2">
      <c r="C23" s="133"/>
      <c r="D23" s="75"/>
      <c r="E23" s="572" t="s">
        <v>129</v>
      </c>
      <c r="F23" s="572"/>
      <c r="G23" s="572"/>
      <c r="H23" s="572"/>
    </row>
    <row r="24" spans="3:8" ht="15" x14ac:dyDescent="0.2">
      <c r="C24" s="84"/>
      <c r="D24" s="75"/>
      <c r="E24" s="572" t="s">
        <v>149</v>
      </c>
      <c r="F24" s="572"/>
      <c r="G24" s="572"/>
      <c r="H24" s="572"/>
    </row>
    <row r="25" spans="3:8" ht="15" x14ac:dyDescent="0.2">
      <c r="C25" s="84"/>
      <c r="D25" s="75"/>
      <c r="E25" s="572"/>
      <c r="F25" s="572"/>
      <c r="G25" s="572"/>
      <c r="H25" s="572"/>
    </row>
    <row r="26" spans="3:8" ht="15" x14ac:dyDescent="0.2">
      <c r="C26" s="84"/>
      <c r="D26" s="75"/>
      <c r="E26" s="572"/>
      <c r="F26" s="572"/>
      <c r="G26" s="572"/>
      <c r="H26" s="572"/>
    </row>
    <row r="27" spans="3:8" ht="15" x14ac:dyDescent="0.2">
      <c r="C27" s="84"/>
      <c r="D27" s="75"/>
      <c r="E27" s="572"/>
      <c r="F27" s="572"/>
      <c r="G27" s="572"/>
      <c r="H27" s="572"/>
    </row>
    <row r="28" spans="3:8" ht="15" x14ac:dyDescent="0.2">
      <c r="C28" s="84"/>
      <c r="D28" s="75"/>
      <c r="E28" s="572"/>
      <c r="F28" s="572"/>
      <c r="G28" s="572"/>
      <c r="H28" s="572"/>
    </row>
    <row r="29" spans="3:8" ht="15" x14ac:dyDescent="0.2">
      <c r="C29" s="84"/>
      <c r="D29" s="75"/>
      <c r="E29" s="572"/>
      <c r="F29" s="572"/>
      <c r="G29" s="572"/>
      <c r="H29" s="572"/>
    </row>
    <row r="30" spans="3:8" ht="15" x14ac:dyDescent="0.2">
      <c r="C30" s="84"/>
      <c r="D30" s="75"/>
      <c r="E30" s="572"/>
      <c r="F30" s="572"/>
      <c r="G30" s="572"/>
      <c r="H30" s="572"/>
    </row>
    <row r="31" spans="3:8" ht="15" x14ac:dyDescent="0.2">
      <c r="C31" s="260" t="s">
        <v>378</v>
      </c>
      <c r="E31" s="572"/>
      <c r="F31" s="572"/>
      <c r="G31" s="572"/>
      <c r="H31" s="572"/>
    </row>
    <row r="32" spans="3:8" ht="15" x14ac:dyDescent="0.2">
      <c r="C32" s="84"/>
      <c r="D32" s="75"/>
      <c r="E32" s="572"/>
      <c r="F32" s="572"/>
      <c r="G32" s="572"/>
      <c r="H32" s="572"/>
    </row>
    <row r="33" spans="3:8" ht="15" x14ac:dyDescent="0.2">
      <c r="C33" s="84"/>
      <c r="D33" s="75"/>
      <c r="E33" s="572"/>
      <c r="F33" s="572"/>
      <c r="G33" s="572"/>
      <c r="H33" s="572"/>
    </row>
    <row r="34" spans="3:8" ht="15" x14ac:dyDescent="0.2">
      <c r="C34" s="84"/>
      <c r="D34" s="75"/>
      <c r="E34" s="572"/>
      <c r="F34" s="572"/>
      <c r="G34" s="572"/>
      <c r="H34" s="572"/>
    </row>
    <row r="35" spans="3:8" ht="15" x14ac:dyDescent="0.2">
      <c r="C35" s="84"/>
      <c r="D35" s="75"/>
      <c r="E35" s="572"/>
      <c r="F35" s="572"/>
      <c r="G35" s="572"/>
      <c r="H35" s="572"/>
    </row>
    <row r="36" spans="3:8" ht="15" x14ac:dyDescent="0.2">
      <c r="C36" s="75"/>
      <c r="D36" s="75"/>
      <c r="E36" s="572"/>
      <c r="F36" s="572"/>
      <c r="G36" s="572"/>
      <c r="H36" s="572"/>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fmifWfQNGliqXuHAwTFIbFRUAgVL4IlbWjGAI/RNy3DZ8WjTRwFB1CN6UghJGg4RZmLEwTybRFiVGDmJy5W1nA==" saltValue="Ym9ZrSKO6JOASth86tEJh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9" zoomScale="70" zoomScaleNormal="100" zoomScaleSheetLayoutView="70" workbookViewId="0">
      <selection activeCell="E45" sqref="E4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1" t="s">
        <v>116</v>
      </c>
      <c r="E1" s="591"/>
      <c r="F1" s="591"/>
      <c r="G1" s="591"/>
      <c r="H1" s="591"/>
      <c r="I1" s="591"/>
      <c r="J1" s="591"/>
      <c r="K1" s="591"/>
      <c r="L1" s="591"/>
      <c r="M1" s="591"/>
    </row>
    <row r="2" spans="1:18" ht="23.25" customHeight="1" x14ac:dyDescent="0.3">
      <c r="C2" s="242"/>
      <c r="D2" s="242" t="s">
        <v>325</v>
      </c>
      <c r="E2" s="242"/>
      <c r="F2" s="242"/>
      <c r="G2" s="242"/>
      <c r="H2" s="242"/>
      <c r="I2" s="242"/>
      <c r="J2" s="242"/>
      <c r="K2" s="242"/>
      <c r="L2" s="242"/>
      <c r="M2" s="242"/>
    </row>
    <row r="3" spans="1:18" ht="23.25" x14ac:dyDescent="0.35">
      <c r="C3" s="592"/>
      <c r="D3" s="592"/>
      <c r="E3" s="592"/>
      <c r="F3" s="592"/>
      <c r="G3" s="592"/>
      <c r="H3" s="592"/>
      <c r="I3" s="592"/>
      <c r="J3" s="592"/>
      <c r="K3" s="592"/>
      <c r="L3" s="592"/>
      <c r="M3" s="592"/>
    </row>
    <row r="4" spans="1:18" ht="23.25" x14ac:dyDescent="0.35">
      <c r="C4" s="226"/>
      <c r="D4" s="226"/>
      <c r="E4" s="226"/>
      <c r="F4" s="226"/>
      <c r="G4" s="226"/>
      <c r="H4" s="226"/>
      <c r="I4" s="226"/>
      <c r="J4" s="226"/>
      <c r="K4" s="226"/>
      <c r="L4" s="226"/>
      <c r="M4" s="226"/>
    </row>
    <row r="5" spans="1:18" ht="23.25" x14ac:dyDescent="0.35">
      <c r="C5" s="609" t="s">
        <v>6</v>
      </c>
      <c r="D5" s="609"/>
      <c r="E5" s="609"/>
      <c r="F5" s="609"/>
      <c r="G5" s="609"/>
      <c r="H5" s="609"/>
      <c r="I5" s="609"/>
      <c r="J5" s="609"/>
      <c r="K5" s="609"/>
      <c r="L5" s="609"/>
      <c r="M5" s="609"/>
    </row>
    <row r="6" spans="1:18" ht="23.25" x14ac:dyDescent="0.35">
      <c r="C6" s="227"/>
      <c r="D6" s="227"/>
      <c r="E6" s="575" t="str">
        <f>IFERROR(CONCATENATE("Report Number: ", WorkItemNumber),"")</f>
        <v/>
      </c>
      <c r="F6" s="575"/>
      <c r="G6" s="575"/>
      <c r="H6" s="575"/>
      <c r="I6" s="575"/>
      <c r="J6" s="575"/>
      <c r="K6" s="575"/>
      <c r="L6" s="227"/>
      <c r="M6" s="227"/>
    </row>
    <row r="7" spans="1:18" ht="18.75" customHeight="1" x14ac:dyDescent="0.3">
      <c r="G7" s="587"/>
      <c r="H7" s="587"/>
      <c r="I7" s="201"/>
      <c r="R7" t="str">
        <f>CONCATENATE("Page ",Main!L9," of ",Main!L10)</f>
        <v xml:space="preserve">Page  of </v>
      </c>
    </row>
    <row r="8" spans="1:18" ht="18" customHeight="1" x14ac:dyDescent="0.25">
      <c r="G8" s="604"/>
      <c r="H8" s="604"/>
      <c r="J8" s="81"/>
      <c r="K8" s="228" t="s">
        <v>322</v>
      </c>
      <c r="L8" s="588">
        <f>FormNumber</f>
        <v>0</v>
      </c>
      <c r="M8" s="588"/>
      <c r="N8" s="588"/>
      <c r="O8" s="588"/>
    </row>
    <row r="9" spans="1:18" ht="18" customHeight="1" x14ac:dyDescent="0.25">
      <c r="A9" s="228" t="s">
        <v>279</v>
      </c>
      <c r="B9" s="34" t="e">
        <f>Main!D5</f>
        <v>#N/A</v>
      </c>
      <c r="J9" s="81"/>
      <c r="K9" s="228" t="s">
        <v>323</v>
      </c>
      <c r="L9" s="589">
        <f>CalMethod</f>
        <v>0</v>
      </c>
      <c r="M9" s="589"/>
      <c r="N9" s="589"/>
      <c r="O9" s="589"/>
    </row>
    <row r="10" spans="1:18" ht="18" customHeight="1" x14ac:dyDescent="0.25">
      <c r="A10" s="90"/>
      <c r="B10" s="223" t="str" cm="1">
        <f t="array" ref="B10">IFZERO('Customer Table'!R2,"")</f>
        <v/>
      </c>
      <c r="J10" s="81"/>
      <c r="K10" s="228"/>
      <c r="L10" s="589"/>
      <c r="M10" s="589"/>
      <c r="N10" s="589"/>
      <c r="O10" s="589"/>
    </row>
    <row r="11" spans="1:18" ht="18" customHeight="1" x14ac:dyDescent="0.25">
      <c r="A11" s="90"/>
      <c r="B11" s="223" t="str" cm="1">
        <f t="array" ref="B11">IFZERO('Customer Table'!S2,"")</f>
        <v/>
      </c>
      <c r="J11" s="81"/>
      <c r="K11" s="228" t="s">
        <v>324</v>
      </c>
      <c r="L11" s="588">
        <f>TolSource</f>
        <v>0</v>
      </c>
      <c r="M11" s="588"/>
      <c r="N11" s="588"/>
      <c r="O11" s="588"/>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Ranges</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Tolerances</f>
        <v>0</v>
      </c>
      <c r="M15" s="228" t="s">
        <v>291</v>
      </c>
      <c r="N15" s="236">
        <f>Main!D3</f>
        <v>0</v>
      </c>
      <c r="O15" s="207"/>
    </row>
    <row r="16" spans="1:18" ht="18" customHeight="1" x14ac:dyDescent="0.25">
      <c r="A16" s="234" t="s">
        <v>282</v>
      </c>
      <c r="B16" s="606">
        <f>SerialNumber</f>
        <v>0</v>
      </c>
      <c r="C16" s="606"/>
      <c r="D16" s="606"/>
      <c r="E16" s="606"/>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595">
        <f>Class</f>
        <v>0</v>
      </c>
      <c r="C18" s="595"/>
      <c r="D18" s="595"/>
      <c r="E18" s="595"/>
      <c r="G18" s="228" t="s">
        <v>289</v>
      </c>
      <c r="H18" s="232">
        <f>CubicFeet</f>
        <v>0</v>
      </c>
      <c r="M18" s="228" t="s">
        <v>293</v>
      </c>
      <c r="N18" s="232" t="str">
        <f>Main!G18</f>
        <v>ACCEPTED</v>
      </c>
      <c r="O18" s="207"/>
    </row>
    <row r="19" spans="1:19" ht="18" customHeight="1" x14ac:dyDescent="0.25">
      <c r="A19" s="218"/>
      <c r="B19" s="596"/>
      <c r="C19" s="596"/>
      <c r="D19" s="596"/>
      <c r="E19" s="596"/>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607">
        <f>Controller</f>
        <v>0</v>
      </c>
      <c r="C21" s="607"/>
      <c r="D21" s="607"/>
      <c r="E21" s="607"/>
      <c r="F21" s="219" t="s">
        <v>296</v>
      </c>
      <c r="G21" s="607">
        <f>ContSN</f>
        <v>0</v>
      </c>
      <c r="H21" s="607"/>
      <c r="I21" s="607"/>
      <c r="J21" s="219" t="s">
        <v>297</v>
      </c>
      <c r="K21" s="231">
        <f>ContTol</f>
        <v>0</v>
      </c>
      <c r="L21" s="205"/>
      <c r="M21" s="219" t="s">
        <v>298</v>
      </c>
      <c r="N21" s="244" t="str">
        <f>Main!G27</f>
        <v/>
      </c>
      <c r="O21" s="206"/>
    </row>
    <row r="22" spans="1:19" ht="18" customHeight="1" x14ac:dyDescent="0.25">
      <c r="A22" s="237" t="s">
        <v>295</v>
      </c>
      <c r="B22" s="608">
        <f>_xlnm.Recorder</f>
        <v>0</v>
      </c>
      <c r="C22" s="608"/>
      <c r="D22" s="608"/>
      <c r="E22" s="608"/>
      <c r="F22" s="220" t="s">
        <v>296</v>
      </c>
      <c r="G22" s="608">
        <f>RecSN</f>
        <v>0</v>
      </c>
      <c r="H22" s="608"/>
      <c r="I22" s="608"/>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"°F / " &amp; TEXT(Survey!N3,"0.0") &amp; "°F"</f>
        <v>0.0°F / 0.0°F</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"°F"</f>
        <v>#NUM!</v>
      </c>
      <c r="O26" s="207"/>
    </row>
    <row r="27" spans="1:19" ht="18" customHeight="1" x14ac:dyDescent="0.2">
      <c r="A27" s="238"/>
      <c r="B27" s="208"/>
      <c r="C27" s="605" t="s">
        <v>307</v>
      </c>
      <c r="D27" s="605"/>
      <c r="E27" s="605"/>
      <c r="F27" s="605"/>
      <c r="G27" s="605"/>
      <c r="H27" s="605"/>
      <c r="I27" s="605"/>
      <c r="J27" s="605"/>
      <c r="K27" s="605"/>
      <c r="L27" s="605"/>
      <c r="M27" s="605"/>
      <c r="N27" s="208"/>
      <c r="O27" s="209"/>
    </row>
    <row r="28" spans="1:19" ht="8.1" customHeight="1" x14ac:dyDescent="0.2"/>
    <row r="29" spans="1:19" ht="18" customHeight="1" x14ac:dyDescent="0.2">
      <c r="A29" s="601" t="s">
        <v>277</v>
      </c>
      <c r="B29" s="602"/>
      <c r="C29" s="603"/>
      <c r="D29" s="601" t="s">
        <v>308</v>
      </c>
      <c r="E29" s="602"/>
      <c r="F29" s="602"/>
      <c r="G29" s="603"/>
      <c r="H29" s="601" t="s">
        <v>278</v>
      </c>
      <c r="I29" s="602"/>
      <c r="J29" s="602"/>
      <c r="K29" s="603"/>
      <c r="L29" s="601" t="s">
        <v>259</v>
      </c>
      <c r="M29" s="602"/>
      <c r="N29" s="602"/>
      <c r="O29" s="603"/>
    </row>
    <row r="30" spans="1:19" ht="18" customHeight="1" x14ac:dyDescent="0.2">
      <c r="A30" s="224"/>
      <c r="B30" s="214" t="s">
        <v>971</v>
      </c>
      <c r="C30" s="225"/>
      <c r="D30" s="598" t="str">
        <f>CONCATENATE(Main!D22,"°F"," / ",Main!D23,"% RH")</f>
        <v>°F / % RH</v>
      </c>
      <c r="E30" s="599"/>
      <c r="F30" s="599"/>
      <c r="G30" s="600"/>
      <c r="H30" s="598">
        <f>OvenLocation</f>
        <v>0</v>
      </c>
      <c r="I30" s="599"/>
      <c r="J30" s="599"/>
      <c r="K30" s="600"/>
      <c r="L30" s="598">
        <f>Condition</f>
        <v>0</v>
      </c>
      <c r="M30" s="599"/>
      <c r="N30" s="599"/>
      <c r="O30" s="600"/>
    </row>
    <row r="31" spans="1:19" ht="18" customHeight="1" x14ac:dyDescent="0.2"/>
    <row r="32" spans="1:19" ht="18" customHeight="1" x14ac:dyDescent="0.25">
      <c r="A32" s="247" t="s">
        <v>309</v>
      </c>
      <c r="B32" s="590" t="s">
        <v>310</v>
      </c>
      <c r="C32" s="590"/>
      <c r="D32" s="247" t="s">
        <v>273</v>
      </c>
      <c r="E32" s="247" t="s">
        <v>272</v>
      </c>
      <c r="F32" s="247" t="s">
        <v>311</v>
      </c>
      <c r="G32" s="81"/>
      <c r="H32" s="81"/>
      <c r="I32" s="247" t="s">
        <v>309</v>
      </c>
      <c r="J32" s="590" t="s">
        <v>310</v>
      </c>
      <c r="K32" s="590"/>
      <c r="L32" s="247" t="s">
        <v>273</v>
      </c>
      <c r="M32" s="247" t="s">
        <v>272</v>
      </c>
      <c r="N32" s="247" t="s">
        <v>311</v>
      </c>
    </row>
    <row r="33" spans="1:14" ht="18" customHeight="1" x14ac:dyDescent="0.2">
      <c r="A33" s="248" t="str">
        <f>IF(B33="","",1)</f>
        <v/>
      </c>
      <c r="B33" s="587" t="str">
        <f>IF(Main!O5="","",Main!O5)</f>
        <v/>
      </c>
      <c r="C33" s="587"/>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7" t="str">
        <f>IF(Main!O25="","",Main!O25)</f>
        <v/>
      </c>
      <c r="K33" s="587"/>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7" t="str">
        <f>IF(Main!O6="","",Main!O6)</f>
        <v/>
      </c>
      <c r="C34" s="587"/>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7" t="str">
        <f>IF(Main!O26="","",Main!O26)</f>
        <v/>
      </c>
      <c r="K34" s="587"/>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7" t="str">
        <f>IF(Main!O7="","",Main!O7)</f>
        <v/>
      </c>
      <c r="C35" s="587"/>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7" t="str">
        <f>IF(Main!O27="","",Main!O27)</f>
        <v/>
      </c>
      <c r="K35" s="587"/>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7" t="str">
        <f>IF(Main!O8="","",Main!O8)</f>
        <v/>
      </c>
      <c r="C36" s="587"/>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7" t="str">
        <f>IF(Main!O28="","",Main!O28)</f>
        <v/>
      </c>
      <c r="K36" s="587"/>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7" t="str">
        <f>IF(Main!O9="","",Main!O9)</f>
        <v/>
      </c>
      <c r="C37" s="587"/>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7" t="str">
        <f>IF(Main!O29="","",Main!O29)</f>
        <v/>
      </c>
      <c r="K37" s="587"/>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7" t="str">
        <f>IF(Main!O10="","",Main!O10)</f>
        <v/>
      </c>
      <c r="C38" s="587"/>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7" t="str">
        <f>IF(Main!O30="","",Main!O30)</f>
        <v/>
      </c>
      <c r="K38" s="587"/>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7" t="str">
        <f>IF(Main!O11="","",Main!O11)</f>
        <v/>
      </c>
      <c r="C39" s="587"/>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7" t="str">
        <f>IF(Main!O31="","",Main!O31)</f>
        <v/>
      </c>
      <c r="K39" s="587"/>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7" t="str">
        <f>IF(Main!O12="","",Main!O12)</f>
        <v/>
      </c>
      <c r="C40" s="587"/>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7" t="str">
        <f>IF(Main!O32="","",Main!O32)</f>
        <v/>
      </c>
      <c r="K40" s="587"/>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7" t="str">
        <f>IF(Main!O13="","",Main!O13)</f>
        <v/>
      </c>
      <c r="C41" s="587"/>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7" t="str">
        <f>IF(Main!O33="","",Main!O33)</f>
        <v/>
      </c>
      <c r="K41" s="587"/>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7" t="str">
        <f>IF(Main!O14="","",Main!O14)</f>
        <v/>
      </c>
      <c r="C42" s="587"/>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7" t="str">
        <f>IF(Main!O34="","",Main!O34)</f>
        <v/>
      </c>
      <c r="K42" s="587"/>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7" t="str">
        <f>IF(Main!O15="","",Main!O15)</f>
        <v/>
      </c>
      <c r="C43" s="587"/>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7" t="str">
        <f>IF(Main!O35="","",Main!O35)</f>
        <v/>
      </c>
      <c r="K43" s="587"/>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7" t="str">
        <f>IF(Main!O16="","",Main!O16)</f>
        <v/>
      </c>
      <c r="C44" s="587"/>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7" t="str">
        <f>IF(Main!O36="","",Main!O36)</f>
        <v/>
      </c>
      <c r="K44" s="587"/>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7" t="str">
        <f>IF(Main!O17="","",Main!O17)</f>
        <v/>
      </c>
      <c r="C45" s="587"/>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7" t="str">
        <f>IF(Main!O37="","",Main!O37)</f>
        <v/>
      </c>
      <c r="K45" s="587"/>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7" t="str">
        <f>IF(Main!O18="","",Main!O18)</f>
        <v/>
      </c>
      <c r="C46" s="587"/>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7" t="str">
        <f>IF(Main!O38="","",Main!O38)</f>
        <v/>
      </c>
      <c r="K46" s="587"/>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7" t="str">
        <f>IF(Main!O19="","",Main!O19)</f>
        <v/>
      </c>
      <c r="C47" s="587"/>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7" t="str">
        <f>IF(Main!O39="","",Main!O39)</f>
        <v/>
      </c>
      <c r="K47" s="587"/>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7" t="str">
        <f>IF(Main!O20="","",Main!O20)</f>
        <v/>
      </c>
      <c r="C48" s="587"/>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7" t="str">
        <f>IF(Main!O40="","",Main!O40)</f>
        <v/>
      </c>
      <c r="K48" s="587"/>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7" t="str">
        <f>IF(Main!O21="","",Main!O21)</f>
        <v/>
      </c>
      <c r="C49" s="587"/>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7" t="str">
        <f>IF(Main!O41="","",Main!O41)</f>
        <v/>
      </c>
      <c r="K49" s="587"/>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7" t="str">
        <f>IF(Main!O22="","",Main!O22)</f>
        <v/>
      </c>
      <c r="C50" s="587"/>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7" t="str">
        <f>IF(Main!O42="","",Main!O42)</f>
        <v/>
      </c>
      <c r="K50" s="587"/>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7" t="str">
        <f>IF(Main!O23="","",Main!O23)</f>
        <v/>
      </c>
      <c r="C51" s="587"/>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7" t="str">
        <f>IF(Main!O43="","",Main!O43)</f>
        <v/>
      </c>
      <c r="K51" s="587"/>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7" t="str">
        <f>IF(Main!O24="","",Main!O24)</f>
        <v/>
      </c>
      <c r="C52" s="587"/>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7" t="str">
        <f>IF(Main!O44="","",Main!O44)</f>
        <v/>
      </c>
      <c r="K52" s="587"/>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4" t="s">
        <v>312</v>
      </c>
      <c r="C53" s="594"/>
      <c r="D53" s="594"/>
      <c r="E53" s="594"/>
      <c r="F53" s="594"/>
      <c r="G53" s="594"/>
      <c r="H53" s="594"/>
      <c r="I53" s="594"/>
      <c r="J53" s="594"/>
      <c r="K53" s="594"/>
      <c r="L53" s="594"/>
      <c r="M53" s="594"/>
      <c r="N53" s="594"/>
    </row>
    <row r="54" spans="1:20" ht="18" customHeight="1" x14ac:dyDescent="0.25">
      <c r="A54" s="250" t="s">
        <v>313</v>
      </c>
      <c r="B54" s="589" t="str">
        <f>CONCATENATE(Main!G23,"  ",FurnaceSpecificComments,Main!V24)</f>
        <v xml:space="preserve">Found in tolerance.  No adjustment required.  </v>
      </c>
      <c r="C54" s="589"/>
      <c r="D54" s="589"/>
      <c r="E54" s="589"/>
      <c r="F54" s="589"/>
      <c r="G54" s="589"/>
      <c r="H54" s="589"/>
      <c r="I54" s="589"/>
      <c r="J54" s="589"/>
      <c r="K54" s="589"/>
      <c r="L54" s="589"/>
      <c r="M54" s="589"/>
      <c r="N54" s="589"/>
      <c r="O54" s="589"/>
    </row>
    <row r="55" spans="1:20" ht="18" customHeight="1" x14ac:dyDescent="0.25">
      <c r="A55" s="78"/>
      <c r="B55" s="589"/>
      <c r="C55" s="589"/>
      <c r="D55" s="589"/>
      <c r="E55" s="589"/>
      <c r="F55" s="589"/>
      <c r="G55" s="589"/>
      <c r="H55" s="589"/>
      <c r="I55" s="589"/>
      <c r="J55" s="589"/>
      <c r="K55" s="589"/>
      <c r="L55" s="589"/>
      <c r="M55" s="589"/>
      <c r="N55" s="589"/>
      <c r="O55" s="589"/>
    </row>
    <row r="56" spans="1:20" ht="18" customHeight="1" x14ac:dyDescent="0.25">
      <c r="A56" s="78"/>
      <c r="B56" s="589"/>
      <c r="C56" s="589"/>
      <c r="D56" s="589"/>
      <c r="E56" s="589"/>
      <c r="F56" s="589"/>
      <c r="G56" s="589"/>
      <c r="H56" s="589"/>
      <c r="I56" s="589"/>
      <c r="J56" s="589"/>
      <c r="K56" s="589"/>
      <c r="L56" s="589"/>
      <c r="M56" s="589"/>
      <c r="N56" s="589"/>
      <c r="O56" s="589"/>
    </row>
    <row r="57" spans="1:20" ht="18" customHeight="1" x14ac:dyDescent="0.25">
      <c r="A57" s="78"/>
      <c r="B57" s="589"/>
      <c r="C57" s="589"/>
      <c r="D57" s="589"/>
      <c r="E57" s="589"/>
      <c r="F57" s="589"/>
      <c r="G57" s="589"/>
      <c r="H57" s="589"/>
      <c r="I57" s="589"/>
      <c r="J57" s="589"/>
      <c r="K57" s="589"/>
      <c r="L57" s="589"/>
      <c r="M57" s="589"/>
      <c r="N57" s="589"/>
      <c r="O57" s="589"/>
    </row>
    <row r="58" spans="1:20" ht="18" customHeight="1" x14ac:dyDescent="0.25">
      <c r="A58" s="78"/>
      <c r="B58" s="589"/>
      <c r="C58" s="589"/>
      <c r="D58" s="589"/>
      <c r="E58" s="589"/>
      <c r="F58" s="589"/>
      <c r="G58" s="589"/>
      <c r="H58" s="589"/>
      <c r="I58" s="589"/>
      <c r="J58" s="589"/>
      <c r="K58" s="589"/>
      <c r="L58" s="589"/>
      <c r="M58" s="589"/>
      <c r="N58" s="589"/>
      <c r="O58" s="589"/>
    </row>
    <row r="59" spans="1:20" ht="18" customHeight="1" x14ac:dyDescent="0.25">
      <c r="A59" s="78"/>
      <c r="B59" s="589"/>
      <c r="C59" s="589"/>
      <c r="D59" s="589"/>
      <c r="E59" s="589"/>
      <c r="F59" s="589"/>
      <c r="G59" s="589"/>
      <c r="H59" s="589"/>
      <c r="I59" s="589"/>
      <c r="J59" s="589"/>
      <c r="K59" s="589"/>
      <c r="L59" s="589"/>
      <c r="M59" s="589"/>
      <c r="N59" s="589"/>
      <c r="O59" s="589"/>
    </row>
    <row r="60" spans="1:20" ht="18" customHeight="1" x14ac:dyDescent="0.2">
      <c r="A60" s="593" t="s">
        <v>321</v>
      </c>
      <c r="B60" s="593"/>
      <c r="C60" s="593"/>
      <c r="D60" s="593"/>
      <c r="E60" s="593"/>
      <c r="F60" s="593"/>
      <c r="G60" s="593"/>
      <c r="H60" s="593"/>
      <c r="I60" s="593"/>
      <c r="J60" s="593"/>
      <c r="K60" s="593"/>
      <c r="L60" s="593"/>
      <c r="M60" s="593"/>
      <c r="N60" s="593"/>
      <c r="O60" s="593"/>
    </row>
    <row r="61" spans="1:20" ht="18" customHeight="1" x14ac:dyDescent="0.2">
      <c r="A61" s="597" t="s">
        <v>314</v>
      </c>
      <c r="B61" s="597"/>
      <c r="C61" s="597"/>
      <c r="D61" s="597"/>
      <c r="E61" s="597"/>
      <c r="F61" s="586" t="s">
        <v>315</v>
      </c>
      <c r="G61" s="586"/>
      <c r="H61" s="586"/>
      <c r="I61" s="586" t="s">
        <v>316</v>
      </c>
      <c r="J61" s="586"/>
      <c r="K61" s="586" t="s">
        <v>317</v>
      </c>
      <c r="L61" s="586"/>
      <c r="M61" s="586" t="s">
        <v>318</v>
      </c>
      <c r="N61" s="586"/>
      <c r="O61" s="586"/>
      <c r="R61" s="39" t="s">
        <v>859</v>
      </c>
      <c r="T61" s="39" t="s">
        <v>860</v>
      </c>
    </row>
    <row r="62" spans="1:20" ht="18" customHeight="1" x14ac:dyDescent="0.2">
      <c r="A62" s="576" t="str">
        <f>IF(F62="","",CONCATENATE(T62," - ",R62))</f>
        <v/>
      </c>
      <c r="B62" s="577"/>
      <c r="C62" s="577"/>
      <c r="D62" s="577"/>
      <c r="E62" s="578"/>
      <c r="F62" s="576" t="str" cm="1">
        <f t="array" ref="F62">IFERROR(
  _xlfn.XLOOKUP(
    Main!D9,
    _xlfn._xlws.FILTER(AssetPool[asset_tag], AssetPool[root_category_name]="DAQ Modules"),
    _xlfn._xlws.FILTER(AssetPool[serial_number], AssetPool[root_category_name]="DAQ Modules")
  ),
  ""
)</f>
        <v/>
      </c>
      <c r="G62" s="577"/>
      <c r="H62" s="578"/>
      <c r="I62" s="582" t="str">
        <f>IF(F62="","",Main!D12)</f>
        <v/>
      </c>
      <c r="J62" s="583"/>
      <c r="K62" s="582" t="str">
        <f>IF(F62="","",Main!D13)</f>
        <v/>
      </c>
      <c r="L62" s="583"/>
      <c r="M62" s="611" t="str">
        <f>IF(F62="","",REPLACE(Main!D14,3,1,""))</f>
        <v/>
      </c>
      <c r="N62" s="612"/>
      <c r="O62" s="613"/>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9" t="str">
        <f t="shared" ref="A63:A68" si="0">IF(Q63="","",CONCATENATE(T63," - ",R63))</f>
        <v/>
      </c>
      <c r="B63" s="580"/>
      <c r="C63" s="580"/>
      <c r="D63" s="580"/>
      <c r="E63" s="581"/>
      <c r="F63" s="579" t="str">
        <f>IF(Main!D48="","",Main!D48)</f>
        <v/>
      </c>
      <c r="G63" s="580"/>
      <c r="H63" s="581"/>
      <c r="I63" s="584" t="str">
        <f>IF(Q63="","",Main!D49)</f>
        <v/>
      </c>
      <c r="J63" s="585"/>
      <c r="K63" s="584" t="str">
        <f>IF(Q63="","",Main!D50)</f>
        <v/>
      </c>
      <c r="L63" s="585"/>
      <c r="M63" s="579" t="str">
        <f>IF(Q63="","",Main!D54)</f>
        <v/>
      </c>
      <c r="N63" s="580"/>
      <c r="O63" s="581"/>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9" t="str">
        <f t="shared" si="0"/>
        <v/>
      </c>
      <c r="B64" s="580"/>
      <c r="C64" s="580"/>
      <c r="D64" s="580"/>
      <c r="E64" s="581"/>
      <c r="F64" s="579" t="str">
        <f>IF(Main!E48="","",Main!E48)</f>
        <v/>
      </c>
      <c r="G64" s="580"/>
      <c r="H64" s="581"/>
      <c r="I64" s="584" t="str">
        <f>IF(Q64="","",Main!E49)</f>
        <v/>
      </c>
      <c r="J64" s="585"/>
      <c r="K64" s="584" t="str">
        <f>IF(Q64="","",Main!E50)</f>
        <v/>
      </c>
      <c r="L64" s="585"/>
      <c r="M64" s="579" t="str">
        <f>IF(Q64="","",Main!E54)</f>
        <v/>
      </c>
      <c r="N64" s="580"/>
      <c r="O64" s="581"/>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9" t="str">
        <f t="shared" si="0"/>
        <v/>
      </c>
      <c r="B65" s="580"/>
      <c r="C65" s="580"/>
      <c r="D65" s="580"/>
      <c r="E65" s="581"/>
      <c r="F65" s="579" t="str">
        <f>IF(Main!F48="","",Main!F48)</f>
        <v/>
      </c>
      <c r="G65" s="580"/>
      <c r="H65" s="581"/>
      <c r="I65" s="584" t="str">
        <f>IF(Q65="","",Main!F49)</f>
        <v/>
      </c>
      <c r="J65" s="585"/>
      <c r="K65" s="584" t="str">
        <f>IF(Q65="","",Main!F50)</f>
        <v/>
      </c>
      <c r="L65" s="585"/>
      <c r="M65" s="579" t="str">
        <f>IF(Q65="","",Main!F54)</f>
        <v/>
      </c>
      <c r="N65" s="580"/>
      <c r="O65" s="581"/>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9" t="str">
        <f t="shared" si="0"/>
        <v/>
      </c>
      <c r="B66" s="580"/>
      <c r="C66" s="580"/>
      <c r="D66" s="580"/>
      <c r="E66" s="581"/>
      <c r="F66" s="579" t="str">
        <f>IF(Main!G48="","",Main!G48)</f>
        <v/>
      </c>
      <c r="G66" s="580"/>
      <c r="H66" s="581"/>
      <c r="I66" s="584" t="str">
        <f>IF(Q66="","",Main!G49)</f>
        <v/>
      </c>
      <c r="J66" s="585"/>
      <c r="K66" s="584" t="str">
        <f>IF(Q66="","",Main!G50)</f>
        <v/>
      </c>
      <c r="L66" s="585"/>
      <c r="M66" s="579" t="str">
        <f>IF(Q66="","",Main!G54)</f>
        <v/>
      </c>
      <c r="N66" s="580"/>
      <c r="O66" s="581"/>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9" t="str">
        <f t="shared" si="0"/>
        <v/>
      </c>
      <c r="B67" s="580"/>
      <c r="C67" s="580"/>
      <c r="D67" s="580"/>
      <c r="E67" s="581"/>
      <c r="F67" s="579" t="str">
        <f>IF(Main!H48="","",Main!H48)</f>
        <v/>
      </c>
      <c r="G67" s="580"/>
      <c r="H67" s="581"/>
      <c r="I67" s="584" t="str">
        <f>IF(Q67="","",Main!H49)</f>
        <v/>
      </c>
      <c r="J67" s="585"/>
      <c r="K67" s="584" t="str">
        <f>IF(Q67="","",Main!H50)</f>
        <v/>
      </c>
      <c r="L67" s="585"/>
      <c r="M67" s="579" t="str">
        <f>IF(Q67="","",Main!H54)</f>
        <v/>
      </c>
      <c r="N67" s="580"/>
      <c r="O67" s="581"/>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9" t="str">
        <f t="shared" si="0"/>
        <v/>
      </c>
      <c r="B68" s="580"/>
      <c r="C68" s="580"/>
      <c r="D68" s="580"/>
      <c r="E68" s="581"/>
      <c r="F68" s="579" t="str">
        <f>IF(Main!I48="","",Main!I48)</f>
        <v/>
      </c>
      <c r="G68" s="580"/>
      <c r="H68" s="581"/>
      <c r="I68" s="584" t="str">
        <f>IF(Q68="","",Main!I49)</f>
        <v/>
      </c>
      <c r="J68" s="585"/>
      <c r="K68" s="584" t="str">
        <f>IF(Q68="","",Main!I50)</f>
        <v/>
      </c>
      <c r="L68" s="585"/>
      <c r="M68" s="579" t="str">
        <f>IF(Q68="","",Main!I54)</f>
        <v/>
      </c>
      <c r="N68" s="580"/>
      <c r="O68" s="581"/>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98" t="str">
        <f>IF(T69="","",CONCATENATE(T69," - ",R69))</f>
        <v/>
      </c>
      <c r="B69" s="599"/>
      <c r="C69" s="599"/>
      <c r="D69" s="599"/>
      <c r="E69" s="600"/>
      <c r="F69" s="598" t="str">
        <f>IF(Main!J48="","",Main!J48)</f>
        <v/>
      </c>
      <c r="G69" s="599"/>
      <c r="H69" s="600"/>
      <c r="I69" s="614" t="str">
        <f>IF(Q69="","",Main!J49)</f>
        <v/>
      </c>
      <c r="J69" s="615"/>
      <c r="K69" s="614" t="str">
        <f>IF(Q69="","",Main!J50)</f>
        <v/>
      </c>
      <c r="L69" s="615"/>
      <c r="M69" s="598" t="str">
        <f>IF(Q69="","",Main!J54)</f>
        <v/>
      </c>
      <c r="N69" s="599"/>
      <c r="O69" s="600"/>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610" t="s">
        <v>373</v>
      </c>
      <c r="B71" s="610"/>
      <c r="C71" s="610"/>
      <c r="D71" s="610"/>
      <c r="E71" s="610"/>
      <c r="F71" s="610"/>
      <c r="G71" s="610"/>
      <c r="H71" s="610"/>
      <c r="I71" s="610"/>
      <c r="J71" s="610"/>
      <c r="K71" s="610"/>
      <c r="L71" s="610"/>
      <c r="M71" s="610"/>
      <c r="N71" s="610"/>
      <c r="O71" s="610"/>
    </row>
    <row r="72" spans="1:20" ht="18" customHeight="1" x14ac:dyDescent="0.2">
      <c r="A72" s="610"/>
      <c r="B72" s="610"/>
      <c r="C72" s="610"/>
      <c r="D72" s="610"/>
      <c r="E72" s="610"/>
      <c r="F72" s="610"/>
      <c r="G72" s="610"/>
      <c r="H72" s="610"/>
      <c r="I72" s="610"/>
      <c r="J72" s="610"/>
      <c r="K72" s="610"/>
      <c r="L72" s="610"/>
      <c r="M72" s="610"/>
      <c r="N72" s="610"/>
      <c r="O72" s="610"/>
    </row>
    <row r="73" spans="1:20" ht="18" customHeight="1" x14ac:dyDescent="0.2">
      <c r="A73" s="610"/>
      <c r="B73" s="610"/>
      <c r="C73" s="610"/>
      <c r="D73" s="610"/>
      <c r="E73" s="610"/>
      <c r="F73" s="610"/>
      <c r="G73" s="610"/>
      <c r="H73" s="610"/>
      <c r="I73" s="610"/>
      <c r="J73" s="610"/>
      <c r="K73" s="610"/>
      <c r="L73" s="610"/>
      <c r="M73" s="610"/>
      <c r="N73" s="610"/>
      <c r="O73" s="610"/>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n97t79i1jNzLwc+h3RrokoPbtaBgJ9gS1Z0zet6hCW4jIuXrXK3Dgd4Ze320pY0M9ij/EJNQEBAtHLfRCK03IQ==" saltValue="dEjWPUvjacKBVskVJ9gXKg=="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927</v>
      </c>
      <c r="R1" t="s">
        <v>928</v>
      </c>
      <c r="S1" t="s">
        <v>929</v>
      </c>
      <c r="T1" t="s">
        <v>930</v>
      </c>
      <c r="U1" t="s">
        <v>931</v>
      </c>
      <c r="V1" t="s">
        <v>932</v>
      </c>
      <c r="W1" t="s">
        <v>933</v>
      </c>
      <c r="X1" t="s">
        <v>934</v>
      </c>
      <c r="Y1" t="s">
        <v>935</v>
      </c>
      <c r="Z1" t="s">
        <v>936</v>
      </c>
      <c r="AA1" t="s">
        <v>937</v>
      </c>
      <c r="AB1" t="s">
        <v>938</v>
      </c>
      <c r="AC1" t="s">
        <v>939</v>
      </c>
      <c r="AD1" t="s">
        <v>940</v>
      </c>
      <c r="AE1" t="s">
        <v>941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8"/>
    </row>
    <row r="3" spans="1:2" x14ac:dyDescent="0.2">
      <c r="A3" s="668"/>
    </row>
    <row r="4" spans="1:2" x14ac:dyDescent="0.2">
      <c r="A4" s="668"/>
    </row>
    <row r="5" spans="1:2" x14ac:dyDescent="0.2">
      <c r="A5" s="668"/>
    </row>
    <row r="6" spans="1:2" x14ac:dyDescent="0.2">
      <c r="A6" s="668"/>
    </row>
    <row r="7" spans="1:2" x14ac:dyDescent="0.2">
      <c r="A7" s="668"/>
    </row>
    <row r="8" spans="1:2" x14ac:dyDescent="0.2">
      <c r="A8" s="668"/>
    </row>
    <row r="9" spans="1:2" x14ac:dyDescent="0.2">
      <c r="A9" s="668"/>
    </row>
    <row r="10" spans="1:2" x14ac:dyDescent="0.2">
      <c r="A10" s="668"/>
    </row>
    <row r="11" spans="1:2" x14ac:dyDescent="0.2">
      <c r="A11" s="668"/>
    </row>
    <row r="12" spans="1:2" x14ac:dyDescent="0.2">
      <c r="A12" s="668"/>
    </row>
    <row r="13" spans="1:2" x14ac:dyDescent="0.2">
      <c r="A13" s="668"/>
    </row>
    <row r="14" spans="1:2" x14ac:dyDescent="0.2">
      <c r="A14" s="668"/>
    </row>
    <row r="15" spans="1:2" x14ac:dyDescent="0.2">
      <c r="A15" s="668"/>
    </row>
    <row r="16" spans="1:2" x14ac:dyDescent="0.2">
      <c r="A16" s="668"/>
    </row>
    <row r="17" spans="1:1" x14ac:dyDescent="0.2">
      <c r="A17" s="668"/>
    </row>
    <row r="18" spans="1:1" x14ac:dyDescent="0.2">
      <c r="A18" s="668"/>
    </row>
    <row r="19" spans="1:1" x14ac:dyDescent="0.2">
      <c r="A19" s="668"/>
    </row>
    <row r="20" spans="1:1" x14ac:dyDescent="0.2">
      <c r="A20" s="668"/>
    </row>
    <row r="21" spans="1:1" x14ac:dyDescent="0.2">
      <c r="A21" s="668"/>
    </row>
    <row r="22" spans="1:1" x14ac:dyDescent="0.2">
      <c r="A22" s="668"/>
    </row>
    <row r="23" spans="1:1" x14ac:dyDescent="0.2">
      <c r="A23" s="668"/>
    </row>
    <row r="24" spans="1:1" x14ac:dyDescent="0.2">
      <c r="A24" s="668"/>
    </row>
    <row r="25" spans="1:1" x14ac:dyDescent="0.2">
      <c r="A25" s="668"/>
    </row>
    <row r="26" spans="1:1" x14ac:dyDescent="0.2">
      <c r="A26" s="668"/>
    </row>
    <row r="27" spans="1:1" x14ac:dyDescent="0.2">
      <c r="A27" s="668"/>
    </row>
    <row r="28" spans="1:1" x14ac:dyDescent="0.2">
      <c r="A28" s="668"/>
    </row>
    <row r="29" spans="1:1" x14ac:dyDescent="0.2">
      <c r="A29" s="668"/>
    </row>
    <row r="30" spans="1:1" x14ac:dyDescent="0.2">
      <c r="A30" s="668"/>
    </row>
    <row r="31" spans="1:1" x14ac:dyDescent="0.2">
      <c r="A31" s="668"/>
    </row>
    <row r="32" spans="1:1" x14ac:dyDescent="0.2">
      <c r="A32" s="668"/>
    </row>
    <row r="33" spans="1:1" x14ac:dyDescent="0.2">
      <c r="A33" s="668"/>
    </row>
    <row r="34" spans="1:1" x14ac:dyDescent="0.2">
      <c r="A34" s="668"/>
    </row>
    <row r="35" spans="1:1" x14ac:dyDescent="0.2">
      <c r="A35" s="668"/>
    </row>
    <row r="36" spans="1:1" x14ac:dyDescent="0.2">
      <c r="A36" s="668"/>
    </row>
    <row r="37" spans="1:1" x14ac:dyDescent="0.2">
      <c r="A37" s="668"/>
    </row>
    <row r="38" spans="1:1" x14ac:dyDescent="0.2">
      <c r="A38" s="668"/>
    </row>
    <row r="39" spans="1:1" x14ac:dyDescent="0.2">
      <c r="A39" s="668"/>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0</v>
      </c>
      <c r="D1" s="114"/>
      <c r="E1" s="114">
        <f>B1-D2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f>Main!$D$19</f>
        <v>0</v>
      </c>
      <c r="C2" s="114">
        <f>$B$1+$B$2</f>
        <v>0</v>
      </c>
      <c r="D2" s="114">
        <f>(Main!$D$19)/2</f>
        <v>0</v>
      </c>
      <c r="E2" s="114">
        <f>B1+D2</f>
        <v>0</v>
      </c>
      <c r="F2" s="121"/>
      <c r="G2" s="121"/>
      <c r="H2" s="121"/>
      <c r="I2" s="139" t="s">
        <v>227</v>
      </c>
      <c r="J2" s="121"/>
      <c r="K2" s="121"/>
      <c r="L2" s="121"/>
      <c r="M2" s="619" t="s">
        <v>103</v>
      </c>
      <c r="N2" s="619"/>
      <c r="O2" s="619"/>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0" t="s">
        <v>104</v>
      </c>
      <c r="N3" s="621"/>
      <c r="O3" s="622"/>
      <c r="P3" s="106"/>
      <c r="Q3" s="106"/>
    </row>
    <row r="4" spans="1:18" ht="15" x14ac:dyDescent="0.25">
      <c r="B4" s="116" t="s">
        <v>25</v>
      </c>
      <c r="C4" s="62"/>
      <c r="D4" s="39"/>
      <c r="E4" s="39"/>
      <c r="F4" s="39"/>
      <c r="G4" s="39"/>
      <c r="H4" s="39"/>
      <c r="I4" s="39"/>
      <c r="J4" s="39"/>
      <c r="K4" s="39"/>
      <c r="L4" s="39"/>
      <c r="M4" s="623" t="s">
        <v>145</v>
      </c>
      <c r="N4" s="624"/>
      <c r="O4" s="625"/>
      <c r="P4" s="88"/>
    </row>
    <row r="5" spans="1:18" x14ac:dyDescent="0.2">
      <c r="B5" s="117" t="s">
        <v>26</v>
      </c>
      <c r="C5" s="56">
        <f>Main!D3</f>
        <v>0</v>
      </c>
      <c r="D5" s="39"/>
      <c r="E5" s="39"/>
      <c r="F5" s="39"/>
      <c r="G5" s="39"/>
      <c r="H5" s="39"/>
      <c r="I5" s="54" t="s">
        <v>4</v>
      </c>
      <c r="J5" s="39" t="e">
        <f>Main!D5</f>
        <v>#N/A</v>
      </c>
      <c r="L5" s="39"/>
      <c r="M5" s="626" t="s">
        <v>144</v>
      </c>
      <c r="N5" s="627"/>
      <c r="O5" s="628"/>
      <c r="P5" s="132"/>
    </row>
    <row r="6" spans="1:18" ht="13.5" thickBot="1" x14ac:dyDescent="0.25">
      <c r="B6" s="117" t="s">
        <v>3</v>
      </c>
      <c r="C6" s="57" t="e">
        <f>Main!D6</f>
        <v>#N/A</v>
      </c>
      <c r="D6" s="39"/>
      <c r="E6" s="39"/>
      <c r="F6" s="39"/>
      <c r="G6" s="39"/>
      <c r="H6" s="39"/>
      <c r="I6" s="54" t="s">
        <v>5</v>
      </c>
      <c r="J6" s="53">
        <f>Main!D16</f>
        <v>0</v>
      </c>
      <c r="L6" s="39"/>
      <c r="M6" s="629" t="s">
        <v>143</v>
      </c>
      <c r="N6" s="630"/>
      <c r="O6" s="631"/>
      <c r="P6" s="89"/>
    </row>
    <row r="7" spans="1:18" ht="13.5" thickBot="1" x14ac:dyDescent="0.25">
      <c r="B7" s="117" t="s">
        <v>27</v>
      </c>
      <c r="C7" s="57" t="str">
        <f>Main!D7</f>
        <v>Jeff Hall</v>
      </c>
      <c r="D7" s="39"/>
      <c r="E7" s="39"/>
      <c r="F7" s="39"/>
      <c r="G7" s="39"/>
      <c r="H7" s="39"/>
      <c r="I7" s="59" t="s">
        <v>169</v>
      </c>
      <c r="J7" s="617">
        <f>Main!$D$30</f>
        <v>0</v>
      </c>
      <c r="K7" s="618"/>
      <c r="L7" s="103"/>
      <c r="M7" s="616" t="s">
        <v>142</v>
      </c>
      <c r="N7" s="616"/>
      <c r="O7" s="616"/>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ED+Ha9aMrbJcujnGwR7Ljq+5UN9DjYXstNoO2EGXGJcES5Ds01TJLlQXd/GKxerCB6g4R1EIW1T812mBFQdcUg==" saltValue="8THMWrc0eJsdI3fUFZTFu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0</v>
      </c>
      <c r="D1" s="114"/>
      <c r="E1" s="120">
        <f>B1-D2</f>
        <v>0</v>
      </c>
      <c r="F1" s="34" t="s">
        <v>75</v>
      </c>
      <c r="P1" s="306" t="str">
        <f>IF(Main!$E$30="","A10",ADDRESS(13+(MATCH(Main!$E$30,Data_Sheet!$A$14:$A$903,0)),1,4))</f>
        <v>A10</v>
      </c>
      <c r="Q1" s="306">
        <f>VALUE(MID(P1, 2, LEN(P1)-1))</f>
        <v>10</v>
      </c>
    </row>
    <row r="2" spans="1:17" x14ac:dyDescent="0.2">
      <c r="B2" s="120">
        <f>Main!$D$19</f>
        <v>0</v>
      </c>
      <c r="C2" s="114">
        <f>$B$1+$B$2</f>
        <v>0</v>
      </c>
      <c r="D2" s="114">
        <f>(Main!$D$19)/2</f>
        <v>0</v>
      </c>
      <c r="E2" s="120">
        <f>B1+D2</f>
        <v>0</v>
      </c>
      <c r="I2" s="74" t="s">
        <v>227</v>
      </c>
      <c r="M2" s="632" t="s">
        <v>103</v>
      </c>
      <c r="N2" s="632"/>
      <c r="O2" s="632"/>
      <c r="P2" s="306" t="str">
        <f>IF(Main!$E$30="","A10",ADDRESS(13+Standards_Info!W2+(MATCH(Main!$E$30,Data_Sheet!$A$14:$A$903,0)),1,4))</f>
        <v>A10</v>
      </c>
      <c r="Q2" s="306">
        <f>VALUE(MID(P2, 2, LEN(P2)-1))</f>
        <v>10</v>
      </c>
    </row>
    <row r="3" spans="1:17" ht="15" x14ac:dyDescent="0.25">
      <c r="B3" s="129" t="s">
        <v>0</v>
      </c>
      <c r="C3" s="3"/>
      <c r="M3" s="620" t="s">
        <v>104</v>
      </c>
      <c r="N3" s="621"/>
      <c r="O3" s="622"/>
      <c r="P3" s="42"/>
    </row>
    <row r="4" spans="1:17" ht="15" x14ac:dyDescent="0.25">
      <c r="B4" s="116" t="s">
        <v>25</v>
      </c>
      <c r="C4" s="4"/>
      <c r="M4" s="623" t="s">
        <v>145</v>
      </c>
      <c r="N4" s="624"/>
      <c r="O4" s="625"/>
    </row>
    <row r="5" spans="1:17" x14ac:dyDescent="0.2">
      <c r="B5" s="117" t="s">
        <v>26</v>
      </c>
      <c r="C5" s="56">
        <f>Main!D3</f>
        <v>0</v>
      </c>
      <c r="D5" s="39"/>
      <c r="E5" s="39"/>
      <c r="F5" s="39"/>
      <c r="G5" s="39"/>
      <c r="H5" s="39"/>
      <c r="I5" s="54" t="s">
        <v>4</v>
      </c>
      <c r="J5" t="e">
        <f>Main!D5</f>
        <v>#N/A</v>
      </c>
      <c r="M5" s="633" t="s">
        <v>144</v>
      </c>
      <c r="N5" s="634"/>
      <c r="O5" s="635"/>
    </row>
    <row r="6" spans="1:17" ht="13.5" thickBot="1" x14ac:dyDescent="0.25">
      <c r="B6" s="117" t="s">
        <v>3</v>
      </c>
      <c r="C6" s="57" t="e">
        <f>Main!D6</f>
        <v>#N/A</v>
      </c>
      <c r="D6" s="39"/>
      <c r="E6" s="39"/>
      <c r="F6" s="39"/>
      <c r="G6" s="39"/>
      <c r="H6" s="39"/>
      <c r="I6" s="54" t="s">
        <v>5</v>
      </c>
      <c r="J6" s="41">
        <f>Main!D16</f>
        <v>0</v>
      </c>
      <c r="M6" s="629" t="s">
        <v>143</v>
      </c>
      <c r="N6" s="630"/>
      <c r="O6" s="631"/>
    </row>
    <row r="7" spans="1:17" ht="13.5" thickBot="1" x14ac:dyDescent="0.25">
      <c r="B7" s="117" t="s">
        <v>27</v>
      </c>
      <c r="C7" s="57" t="str">
        <f>Main!D7</f>
        <v>Jeff Hall</v>
      </c>
      <c r="D7" s="39"/>
      <c r="E7" s="39"/>
      <c r="F7" s="39"/>
      <c r="G7" s="39"/>
      <c r="H7" s="39"/>
      <c r="I7" s="59" t="s">
        <v>169</v>
      </c>
      <c r="J7" s="617">
        <f>Main!$D$30</f>
        <v>0</v>
      </c>
      <c r="K7" s="618"/>
      <c r="L7" s="103"/>
      <c r="M7" s="616" t="s">
        <v>142</v>
      </c>
      <c r="N7" s="616"/>
      <c r="O7" s="616"/>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8NhRtL/1qkhkW5hANNxtj/wp4+fOuzICWDjgdcntokDFb2knPQb+56XdHJDSXP3FltcgKOSiFljgcwSjQMDm8A==" saltValue="z3PSRTN8gI8uMUeDGttND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0</v>
      </c>
      <c r="D1" s="114"/>
      <c r="E1" s="120">
        <f>B1-D2</f>
        <v>0</v>
      </c>
      <c r="F1" s="34" t="s">
        <v>74</v>
      </c>
      <c r="P1" s="306" t="str">
        <f>IF(Main!$E$30="","A10",ADDRESS(13+(MATCH(Main!$E$30,Data_Sheet!$A$14:$A$903,0)),1,4))</f>
        <v>A10</v>
      </c>
      <c r="Q1" s="306">
        <f>VALUE(MID(P1, 2, LEN(P1)-1))</f>
        <v>10</v>
      </c>
    </row>
    <row r="2" spans="1:17" x14ac:dyDescent="0.2">
      <c r="A2" s="113"/>
      <c r="B2" s="120">
        <f>Main!$D$19</f>
        <v>0</v>
      </c>
      <c r="C2" s="114">
        <f>$B$1+$B$2</f>
        <v>0</v>
      </c>
      <c r="D2" s="114">
        <f>(Main!$D$19)/2</f>
        <v>0</v>
      </c>
      <c r="E2" s="120">
        <f>B1+D2</f>
        <v>0</v>
      </c>
      <c r="F2" s="106"/>
      <c r="I2" s="74" t="s">
        <v>227</v>
      </c>
      <c r="M2" s="632" t="s">
        <v>103</v>
      </c>
      <c r="N2" s="632"/>
      <c r="O2" s="632"/>
      <c r="P2" s="306" t="str">
        <f>IF(Main!$E$30="","A10",ADDRESS(13+Standards_Info!W2+(MATCH(Main!$E$30,Data_Sheet!$A$14:$A$903,0)),1,4))</f>
        <v>A10</v>
      </c>
      <c r="Q2" s="306">
        <f>VALUE(MID(P2, 2, LEN(P2)-1))</f>
        <v>10</v>
      </c>
    </row>
    <row r="3" spans="1:17" ht="15" x14ac:dyDescent="0.25">
      <c r="B3" s="129" t="s">
        <v>0</v>
      </c>
      <c r="C3" s="3"/>
      <c r="M3" s="620" t="s">
        <v>104</v>
      </c>
      <c r="N3" s="621"/>
      <c r="O3" s="622"/>
      <c r="P3" s="42"/>
    </row>
    <row r="4" spans="1:17" ht="15" x14ac:dyDescent="0.25">
      <c r="B4" s="116" t="s">
        <v>25</v>
      </c>
      <c r="C4" s="4"/>
      <c r="M4" s="623" t="s">
        <v>145</v>
      </c>
      <c r="N4" s="624"/>
      <c r="O4" s="625"/>
    </row>
    <row r="5" spans="1:17" x14ac:dyDescent="0.2">
      <c r="B5" s="117" t="s">
        <v>26</v>
      </c>
      <c r="C5" s="56">
        <f>Main!D3</f>
        <v>0</v>
      </c>
      <c r="D5" s="39"/>
      <c r="E5" s="39"/>
      <c r="F5" s="39"/>
      <c r="G5" s="39"/>
      <c r="H5" s="39"/>
      <c r="I5" s="54" t="s">
        <v>4</v>
      </c>
      <c r="J5" s="39" t="e">
        <f>Main!D5</f>
        <v>#N/A</v>
      </c>
      <c r="L5" s="39"/>
      <c r="M5" s="626" t="s">
        <v>144</v>
      </c>
      <c r="N5" s="627"/>
      <c r="O5" s="628"/>
    </row>
    <row r="6" spans="1:17" ht="13.5" thickBot="1" x14ac:dyDescent="0.25">
      <c r="B6" s="117" t="s">
        <v>3</v>
      </c>
      <c r="C6" s="57" t="e">
        <f>Main!D6</f>
        <v>#N/A</v>
      </c>
      <c r="D6" s="39"/>
      <c r="E6" s="39"/>
      <c r="F6" s="39"/>
      <c r="G6" s="39"/>
      <c r="H6" s="39"/>
      <c r="I6" s="54" t="s">
        <v>5</v>
      </c>
      <c r="J6" s="53">
        <f>Main!D16</f>
        <v>0</v>
      </c>
      <c r="L6" s="39"/>
      <c r="M6" s="629" t="s">
        <v>143</v>
      </c>
      <c r="N6" s="630"/>
      <c r="O6" s="631"/>
    </row>
    <row r="7" spans="1:17" ht="13.5" thickBot="1" x14ac:dyDescent="0.25">
      <c r="B7" s="117" t="s">
        <v>27</v>
      </c>
      <c r="C7" s="57" t="str">
        <f>Main!D7</f>
        <v>Jeff Hall</v>
      </c>
      <c r="D7" s="39"/>
      <c r="E7" s="39"/>
      <c r="F7" s="39"/>
      <c r="G7" s="39"/>
      <c r="H7" s="39"/>
      <c r="I7" s="59" t="s">
        <v>169</v>
      </c>
      <c r="J7" s="617">
        <f>Main!$D$30</f>
        <v>0</v>
      </c>
      <c r="K7" s="618"/>
      <c r="L7" s="103"/>
      <c r="M7" s="616" t="s">
        <v>142</v>
      </c>
      <c r="N7" s="616"/>
      <c r="O7" s="616"/>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bThmmDa9ZvvV4Frof1boNtE5wCwgqQZC3a395/mJuX29EjOo05PWlUnyWCvEjVT0Cq8Sa4b4hzQz0h7VUuop9A==" saltValue="zeL7BW+V1Ayk+xbun4+b7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IF(ISBLANK(Main!G95),"",Main!G95)</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398</v>
      </c>
      <c r="U11" s="290" t="s">
        <v>399</v>
      </c>
      <c r="V11" s="290" t="s">
        <v>400</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6" t="s">
        <v>17</v>
      </c>
      <c r="E32" s="636"/>
      <c r="F32" s="636"/>
      <c r="G32" s="636"/>
      <c r="H32" s="636"/>
      <c r="I32" s="636"/>
      <c r="J32" s="636"/>
      <c r="K32" s="636"/>
      <c r="L32" s="636"/>
      <c r="M32" s="636"/>
    </row>
    <row r="33" spans="1:14" ht="15" customHeight="1" x14ac:dyDescent="0.25">
      <c r="D33" s="637"/>
      <c r="E33" s="637"/>
      <c r="F33" s="637"/>
      <c r="G33" s="637"/>
      <c r="H33" s="637"/>
      <c r="I33" s="637"/>
      <c r="J33" s="637"/>
      <c r="K33" s="637"/>
      <c r="L33" s="637"/>
      <c r="M33" s="637"/>
      <c r="N33" s="24"/>
    </row>
    <row r="34" spans="1:14" x14ac:dyDescent="0.25">
      <c r="A34" s="19"/>
      <c r="B34" s="19"/>
      <c r="D34" s="637"/>
      <c r="E34" s="637"/>
      <c r="F34" s="637"/>
      <c r="G34" s="637"/>
      <c r="H34" s="637"/>
      <c r="I34" s="637"/>
      <c r="J34" s="637"/>
      <c r="K34" s="637"/>
      <c r="L34" s="637"/>
      <c r="M34" s="637"/>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8" t="s">
        <v>20</v>
      </c>
      <c r="D37" s="638"/>
      <c r="E37" s="638"/>
      <c r="F37" s="638"/>
      <c r="G37" s="638"/>
      <c r="H37" s="638"/>
      <c r="I37" s="638"/>
      <c r="J37" s="638"/>
      <c r="K37" s="638"/>
      <c r="L37" s="638"/>
      <c r="M37" s="638"/>
    </row>
    <row r="38" spans="1:14" x14ac:dyDescent="0.25">
      <c r="A38" s="19"/>
      <c r="B38" s="19"/>
      <c r="C38" s="638"/>
      <c r="D38" s="638"/>
      <c r="E38" s="638"/>
      <c r="F38" s="638"/>
      <c r="G38" s="638"/>
      <c r="H38" s="638"/>
      <c r="I38" s="638"/>
      <c r="J38" s="638"/>
      <c r="K38" s="638"/>
      <c r="L38" s="638"/>
      <c r="M38" s="638"/>
    </row>
    <row r="39" spans="1:14" x14ac:dyDescent="0.25">
      <c r="A39" s="19"/>
      <c r="B39" s="19"/>
      <c r="C39" s="638"/>
      <c r="D39" s="638"/>
      <c r="E39" s="638"/>
      <c r="F39" s="638"/>
      <c r="G39" s="638"/>
      <c r="H39" s="638"/>
      <c r="I39" s="638"/>
      <c r="J39" s="638"/>
      <c r="K39" s="638"/>
      <c r="L39" s="638"/>
      <c r="M39" s="638"/>
    </row>
    <row r="40" spans="1:14" x14ac:dyDescent="0.25">
      <c r="A40" s="19"/>
      <c r="B40" s="19"/>
      <c r="C40" s="638"/>
      <c r="D40" s="638"/>
      <c r="E40" s="638"/>
      <c r="F40" s="638"/>
      <c r="G40" s="638"/>
      <c r="H40" s="638"/>
      <c r="I40" s="638"/>
      <c r="J40" s="638"/>
      <c r="K40" s="638"/>
      <c r="L40" s="638"/>
      <c r="M40" s="638"/>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4j28vT8JQUO47AZH6B4iXp+loENOSH/vZ5JvP9WhkC38VrtXwN+SW5WHwWxoIlRPLtIk4wNf35HP1grnMc94DQ==" saltValue="Jix+wrskNJ8B8STOnVgSew=="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865</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6" t="s">
        <v>349</v>
      </c>
      <c r="I28" s="656"/>
      <c r="J28" s="656"/>
      <c r="K28" s="656"/>
      <c r="L28" s="656"/>
      <c r="M28" s="656"/>
      <c r="N28" s="656"/>
      <c r="O28" s="656"/>
      <c r="P28" s="656"/>
      <c r="Q28" s="656"/>
      <c r="R28" s="656"/>
    </row>
    <row r="29" spans="1:20" x14ac:dyDescent="0.2">
      <c r="A29" s="645" t="s">
        <v>34</v>
      </c>
      <c r="B29" s="646"/>
      <c r="C29" s="49" t="str">
        <f>IF(Main!D48="","",Main!D48)</f>
        <v/>
      </c>
      <c r="D29" s="49" t="str">
        <f>IF(Main!E48="","",Main!E48)</f>
        <v/>
      </c>
      <c r="E29" s="49" t="str">
        <f>IF(Main!F48="","",Main!F48)</f>
        <v/>
      </c>
      <c r="F29" s="49" t="str">
        <f>IF(Main!G48="","",Main!G48)</f>
        <v/>
      </c>
      <c r="G29" s="272"/>
      <c r="H29" s="269" t="s">
        <v>350</v>
      </c>
      <c r="I29" s="115" t="str">
        <f>IF(Main!N47="","",Main!N47)</f>
        <v>Periodic</v>
      </c>
      <c r="J29" s="662" t="s">
        <v>351</v>
      </c>
      <c r="K29" s="663"/>
      <c r="L29" s="115" t="str">
        <f>IF(Main!R47="","",Main!R47)</f>
        <v>Air</v>
      </c>
    </row>
    <row r="30" spans="1:20" x14ac:dyDescent="0.2">
      <c r="A30" s="645" t="s">
        <v>35</v>
      </c>
      <c r="B30" s="646"/>
      <c r="C30" s="50" t="str">
        <f>IF(Main!D49="","",Main!D49)</f>
        <v/>
      </c>
      <c r="D30" s="50" t="str">
        <f>IF(Main!E49="","",Main!E49)</f>
        <v/>
      </c>
      <c r="E30" s="50" t="str">
        <f>IF(Main!F49="","",Main!F49)</f>
        <v/>
      </c>
      <c r="F30" s="50" t="str">
        <f>IF(Main!G49="","",Main!G49)</f>
        <v/>
      </c>
      <c r="G30" s="274"/>
      <c r="H30" s="657" t="s">
        <v>337</v>
      </c>
      <c r="I30" s="657"/>
      <c r="J30" s="664" t="s">
        <v>384</v>
      </c>
      <c r="K30" s="665"/>
      <c r="L30" s="666"/>
      <c r="M30" s="266"/>
      <c r="O30" s="658" t="s">
        <v>387</v>
      </c>
      <c r="P30" s="659"/>
      <c r="Q30" s="660"/>
      <c r="T30" s="39"/>
    </row>
    <row r="31" spans="1:20" x14ac:dyDescent="0.2">
      <c r="A31" s="645" t="s">
        <v>36</v>
      </c>
      <c r="B31" s="646"/>
      <c r="C31" s="50" t="str">
        <f>IF(Main!D50="","",Main!D50)</f>
        <v/>
      </c>
      <c r="D31" s="50" t="str">
        <f>IF(Main!E50="","",Main!E50)</f>
        <v/>
      </c>
      <c r="E31" s="50" t="str">
        <f>IF(Main!F50="","",Main!F50)</f>
        <v/>
      </c>
      <c r="F31" s="50" t="str">
        <f>IF(Main!G50="","",Main!G50)</f>
        <v/>
      </c>
      <c r="G31" s="274"/>
      <c r="H31" s="254" t="s">
        <v>352</v>
      </c>
      <c r="I31" s="256" t="str">
        <f>IF(Main!N49="","",Main!N49)</f>
        <v/>
      </c>
      <c r="J31" s="647" t="s">
        <v>392</v>
      </c>
      <c r="K31" s="648"/>
      <c r="L31" s="649"/>
      <c r="M31" s="267" t="str">
        <f>IF(Main!S49="","",Main!S49)</f>
        <v/>
      </c>
      <c r="O31" s="568" t="s">
        <v>394</v>
      </c>
      <c r="P31" s="569"/>
      <c r="Q31" s="661"/>
      <c r="R31" s="58" t="str">
        <f>IF(Main!X49="","",Main!X49)</f>
        <v/>
      </c>
      <c r="T31" s="39"/>
    </row>
    <row r="32" spans="1:20" ht="12.75" customHeight="1" x14ac:dyDescent="0.2">
      <c r="A32" s="645" t="s">
        <v>37</v>
      </c>
      <c r="B32" s="646"/>
      <c r="C32" s="49" t="str">
        <f>IF(Main!D51="","",Main!D51)</f>
        <v/>
      </c>
      <c r="D32" s="49" t="str">
        <f>IF(Main!E51="","",Main!E51)</f>
        <v/>
      </c>
      <c r="E32" s="49" t="str">
        <f>IF(Main!F51="","",Main!F51)</f>
        <v/>
      </c>
      <c r="F32" s="49" t="str">
        <f>IF(Main!G51="","",Main!G51)</f>
        <v/>
      </c>
      <c r="G32" s="272"/>
      <c r="H32" s="254" t="s">
        <v>368</v>
      </c>
      <c r="I32" s="256" t="str">
        <f>IF(Main!N50="","",Main!N50)</f>
        <v/>
      </c>
      <c r="J32" s="650" t="s">
        <v>340</v>
      </c>
      <c r="K32" s="651"/>
      <c r="L32" s="652"/>
      <c r="M32" s="262"/>
      <c r="O32" s="650" t="s">
        <v>340</v>
      </c>
      <c r="P32" s="651"/>
      <c r="Q32" s="652"/>
      <c r="T32" s="39"/>
    </row>
    <row r="33" spans="1:20" ht="12.75" customHeight="1" x14ac:dyDescent="0.2">
      <c r="A33" s="645" t="s">
        <v>353</v>
      </c>
      <c r="B33" s="646"/>
      <c r="C33" s="49" t="str">
        <f>IF(Main!D52="","",Main!D52)</f>
        <v/>
      </c>
      <c r="D33" s="49" t="str">
        <f>IF(Main!E52="","",Main!E52)</f>
        <v/>
      </c>
      <c r="E33" s="49" t="str">
        <f>IF(Main!F52="","",Main!F52)</f>
        <v/>
      </c>
      <c r="F33" s="49" t="str">
        <f>IF(Main!G52="","",Main!G52)</f>
        <v/>
      </c>
      <c r="G33" s="272"/>
      <c r="H33" s="254" t="s">
        <v>354</v>
      </c>
      <c r="I33" s="256" t="str">
        <f>IF(Main!N51="","",Main!N51)</f>
        <v/>
      </c>
      <c r="J33" s="653" t="s">
        <v>393</v>
      </c>
      <c r="K33" s="654"/>
      <c r="L33" s="655"/>
      <c r="M33" s="261" t="str">
        <f>IF(Main!S51="","",Main!S51)</f>
        <v/>
      </c>
      <c r="O33" s="653" t="s">
        <v>395</v>
      </c>
      <c r="P33" s="654"/>
      <c r="Q33" s="655"/>
      <c r="R33" s="58" t="str">
        <f>IF(Main!X51="","",Main!X51)</f>
        <v/>
      </c>
      <c r="T33" s="39"/>
    </row>
    <row r="34" spans="1:20" ht="12.75" customHeight="1" x14ac:dyDescent="0.2">
      <c r="A34" s="645" t="s">
        <v>38</v>
      </c>
      <c r="B34" s="646"/>
      <c r="C34" s="51" t="str">
        <f>IF(Main!D53="","",Main!D53)</f>
        <v/>
      </c>
      <c r="D34" s="51" t="str">
        <f>IF(Main!E53="","",Main!E53)</f>
        <v/>
      </c>
      <c r="E34" s="51" t="str">
        <f>IF(Main!F53="","",Main!F53)</f>
        <v/>
      </c>
      <c r="F34" s="51" t="str">
        <f>IF(Main!G53="","",Main!G53)</f>
        <v/>
      </c>
      <c r="G34" s="275"/>
      <c r="H34" s="254" t="s">
        <v>355</v>
      </c>
      <c r="I34" s="253" t="str">
        <f>IF(Main!N52="","",Main!N52)</f>
        <v/>
      </c>
      <c r="J34" s="650" t="s">
        <v>340</v>
      </c>
      <c r="K34" s="651"/>
      <c r="L34" s="652"/>
      <c r="O34" s="650" t="s">
        <v>340</v>
      </c>
      <c r="P34" s="651"/>
      <c r="Q34" s="652"/>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355</v>
      </c>
      <c r="I35" s="253" t="str">
        <f>IF(Main!N53="","",Main!N53)</f>
        <v/>
      </c>
      <c r="J35" s="639" t="s">
        <v>396</v>
      </c>
      <c r="K35" s="640"/>
      <c r="L35" s="641"/>
      <c r="M35" s="270" t="str">
        <f>IF(Main!S53="","",Main!S53)</f>
        <v/>
      </c>
      <c r="O35" s="639" t="s">
        <v>397</v>
      </c>
      <c r="P35" s="640"/>
      <c r="Q35" s="641"/>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42"/>
      <c r="K36" s="643"/>
      <c r="L36" s="644"/>
      <c r="M36" s="265"/>
      <c r="O36" s="642"/>
      <c r="P36" s="643"/>
      <c r="Q36" s="644"/>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uBXi1rLajTDedBkqzYFcyR66Ef/SouJBQUAaomMFmMHdUJm4w1wOVsjvQORlutx87KiR4d4TlCeezNOT6HRO4g==" saltValue="2yvy+n4z3qP89wVgB+g4u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1CleaF9f2FWWOuSOryYrbOeGYyZkaoDHXn7l6QVtstu4fi5OHkyb9iOlcPE/vQpUg4lzpD9n4tCok5bgkMSWMQ==" saltValue="phoEgtQdJoUA1vWcjnsYn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7" t="s">
        <v>56</v>
      </c>
      <c r="B1" s="604"/>
      <c r="C1" s="604"/>
      <c r="D1" s="604"/>
      <c r="E1" s="35" t="s">
        <v>156</v>
      </c>
      <c r="G1" s="604" t="s">
        <v>68</v>
      </c>
      <c r="H1" s="604"/>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562</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563</v>
      </c>
      <c r="H3" t="s">
        <v>69</v>
      </c>
      <c r="K3" t="s">
        <v>84</v>
      </c>
      <c r="M3" t="s">
        <v>95</v>
      </c>
      <c r="O3" t="s">
        <v>124</v>
      </c>
      <c r="Q3" s="39" t="s">
        <v>167</v>
      </c>
      <c r="S3" t="s">
        <v>140</v>
      </c>
      <c r="U3" s="39" t="s">
        <v>326</v>
      </c>
      <c r="Y3" t="s">
        <v>201</v>
      </c>
      <c r="AC3" s="39" t="s">
        <v>260</v>
      </c>
      <c r="AE3" s="39" t="s">
        <v>383</v>
      </c>
      <c r="AG3" s="39" t="str">
        <v>James Haven</v>
      </c>
      <c r="AH3" s="39"/>
    </row>
    <row r="4" spans="1:34" x14ac:dyDescent="0.2">
      <c r="A4" s="35" t="str">
        <v>J3</v>
      </c>
      <c r="B4" s="35" t="str">
        <v>DaqBook/2005</v>
      </c>
      <c r="C4" s="35" t="str">
        <v>807705</v>
      </c>
      <c r="D4" s="35" t="str">
        <f t="shared" si="0"/>
        <v>"J" IRON-CONSTANTAN</v>
      </c>
      <c r="E4" s="35">
        <v>28</v>
      </c>
      <c r="G4" s="39" t="s">
        <v>561</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380</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381</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382</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377</v>
      </c>
      <c r="Y13" t="s">
        <v>210</v>
      </c>
      <c r="AE13" s="39" t="s">
        <v>363</v>
      </c>
    </row>
    <row r="14" spans="1:34" x14ac:dyDescent="0.2">
      <c r="Y14" t="s">
        <v>211</v>
      </c>
      <c r="AE14" s="39" t="s">
        <v>364</v>
      </c>
    </row>
    <row r="15" spans="1:34" x14ac:dyDescent="0.2">
      <c r="Y15" t="s">
        <v>212</v>
      </c>
      <c r="AE15" s="39" t="s">
        <v>376</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w17GO2aE6WKUGviOI5Fdkc14LR9uwNKHfLqF8dRzrSz1hS0LbocmRmghkg09Kvn09aFIkDe1UfivvERJ+cjjSA==" saltValue="pC+i474X2gs92em6vXLig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2025-07-17T20:46:04Z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