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4.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6.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0.xml" ContentType="application/vnd.openxmlformats-officedocument.spreadsheetml.table+xml"/>
  <Override PartName="/xl/queryTables/queryTable12.xml" ContentType="application/vnd.openxmlformats-officedocument.spreadsheetml.queryTable+xml"/>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tables/table23.xml" ContentType="application/vnd.openxmlformats-officedocument.spreadsheetml.table+xml"/>
  <Override PartName="/xl/queryTables/queryTable15.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4.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C3CF2970-CADE-4BC7-A073-88970B6E302A}" xr6:coauthVersionLast="47" xr6:coauthVersionMax="47" xr10:uidLastSave="{00000000-0000-0000-0000-000000000000}"/>
  <bookViews>
    <workbookView xWindow="-120" yWindow="-120" windowWidth="29040" windowHeight="15720" tabRatio="892" firstSheet="14" activeTab="14" xr2:uid="{00000000-000D-0000-FFFF-FFFF00000000}"/>
  </bookViews>
  <sheets>
    <sheet name="WireSets" sheetId="70" state="hidden" r:id="rId1"/>
    <sheet name="WorkItemDetails" sheetId="71" state="hidden" r:id="rId2"/>
    <sheet name="WireOffsets" sheetId="74" state="hidden" r:id="rId3"/>
    <sheet name="WireCertData" sheetId="69" state="hidden" r:id="rId4"/>
    <sheet name="Wire Ranges" sheetId="67" state="hidden" r:id="rId5"/>
    <sheet name="User" sheetId="9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Header_Info" sheetId="77" state="hidden" r:id="rId12"/>
    <sheet name="AggregatedUUTRangeTol" sheetId="96" state="hidden" r:id="rId13"/>
    <sheet name="UUTRangeTol" sheetId="95" state="hidden" r:id="rId14"/>
    <sheet name="Main" sheetId="8" r:id="rId15"/>
    <sheet name="UserSettings" sheetId="94" state="veryHidden" r:id="rId16"/>
    <sheet name="DaqBook_RAW_Data" sheetId="9" r:id="rId17"/>
    <sheet name="Packet_Content" sheetId="19" r:id="rId18"/>
    <sheet name="CERT" sheetId="26" r:id="rId19"/>
    <sheet name="Customer Table" sheetId="29" state="hidden" r:id="rId20"/>
    <sheet name="AssetPool" sheetId="35" state="hidden" r:id="rId21"/>
    <sheet name="DaqbookServiceRecords" sheetId="54" state="hidden" r:id="rId22"/>
    <sheet name="Employees" sheetId="38" state="hidden" r:id="rId23"/>
    <sheet name="Data_Sheet" sheetId="13" r:id="rId24"/>
    <sheet name="Data_Sheet_15_28" sheetId="14" r:id="rId25"/>
    <sheet name="Data_Sheet_29_40" sheetId="15" r:id="rId26"/>
    <sheet name="Comparison_Report" sheetId="4" r:id="rId27"/>
    <sheet name="TUS_Worksheet" sheetId="5" r:id="rId28"/>
    <sheet name="Interp" sheetId="21" r:id="rId29"/>
    <sheet name="Standards_Info" sheetId="12" state="hidden" r:id="rId30"/>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dy" hidden="1" xlm="1">#NAME?</definedName>
    <definedName name="_xlpm.Body" hidden="1" xlm="1">#NAME?</definedName>
    <definedName name="_xlpm.C" hidden="1" xlm="1">#NAME?</definedName>
    <definedName name="_xlpm.c_sensor"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data" hidden="1" xlm="1">#NAME?</definedName>
    <definedName name="_xlpm.Deviation" hidden="1" xlm="1">#NAME?</definedName>
    <definedName name="_xlpm.deviations" hidden="1" xlm="1">#NAME?</definedName>
    <definedName name="_xlpm.dotPos" hidden="1" xlm="1">#NAME?</definedName>
    <definedName name="_xlpm.f"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o_sensor" hidden="1" xlm="1">#NAME?</definedName>
    <definedName name="_xlpm.hot_sensor" hidden="1" xlm="1">#NAME?</definedName>
    <definedName name="_xlpm.i"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eep" hidden="1" xlm="1">#NAME?</definedName>
    <definedName name="_xlpm.KeyNames" hidden="1" xlm="1">#NAME?</definedName>
    <definedName name="_xlpm.kPos" hidden="1" xlm="1">#NAME?</definedName>
    <definedName name="_xlpm.Long" hidden="1" xlm="1">#NAME?</definedName>
    <definedName name="_xlpm.LongNoIdx"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ows" hidden="1" xlm="1">#NAME?</definedName>
    <definedName name="_xlpm.rt" hidden="1" xlm="1">#NAME?</definedName>
    <definedName name="_xlpm.src" hidden="1" xlm="1">#NAME?</definedName>
    <definedName name="_xlpm.t" hidden="1" xlm="1">#NAME?</definedName>
    <definedName name="_xlpm.tbl"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x" hidden="1" xlm="1">#NAME?</definedName>
    <definedName name="_xlpm.Δt" hidden="1" xlm="1">#NAME?</definedName>
    <definedName name="AssetId" comment="Client Asset Id">WorkItemDetails!$D$2</definedName>
    <definedName name="Assets_GetAssetByAssetPool" localSheetId="20" hidden="1">AssetPool!$A$1:$R$61</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BTrace">Standards_Info!$M$2:$M$5</definedName>
    <definedName name="Derivative">Header_Info!$BO$2</definedName>
    <definedName name="DoF">Survey!$K$2</definedName>
    <definedName name="ExpendableWireData">Main!$C$47:$I$57</definedName>
    <definedName name="ExternalData_1" localSheetId="21" hidden="1">DaqbookServiceRecords!$A$1:$B$39</definedName>
    <definedName name="ExternalData_1" localSheetId="22" hidden="1">Employees!$A$1:$D$55</definedName>
    <definedName name="ExternalData_1" localSheetId="11" hidden="1">Header_Info!$A$1:$AK$407</definedName>
    <definedName name="ExternalData_1" localSheetId="6" hidden="1">Survey!$A$1:$D$2</definedName>
    <definedName name="ExternalData_1" localSheetId="9" hidden="1">UncBudgets!$A$1:$I$13</definedName>
    <definedName name="ExternalData_1" localSheetId="13" hidden="1">UUTRangeTol!$A$1:$H$419</definedName>
    <definedName name="ExternalData_1" localSheetId="3" hidden="1">WireCertData!$A$1:$AL$67</definedName>
    <definedName name="ExternalData_1" localSheetId="2" hidden="1">WireOffsets!$A$1:$C$188</definedName>
    <definedName name="ExternalData_1" localSheetId="0" hidden="1">WireSets!$A$1:$I$23</definedName>
    <definedName name="ExternalData_1" localSheetId="1" hidden="1">WorkItemDetails!$A$1:$B$20</definedName>
    <definedName name="ExternalData_2" localSheetId="12" hidden="1">AggregatedUUTRangeTol!$A$1:$C$405</definedName>
    <definedName name="ExternalData_2" localSheetId="8" hidden="1">AllDaqbookOffsets!$A$1:$E$1608</definedName>
    <definedName name="ExternalData_2" localSheetId="7" hidden="1">'CorrectionFactors'!$A$1:$F$2</definedName>
    <definedName name="ExternalData_2" localSheetId="5" hidden="1">User!$A$1:$A$2</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Numeric_Tolerance">Main!#REF!</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8">CERT!$A$1:$O$80</definedName>
    <definedName name="_xlnm.Print_Area" localSheetId="26">Comparison_Report!$A$1:$N$40</definedName>
    <definedName name="_xlnm.Print_Area" localSheetId="23">Data_Sheet!$A$1:$P$49</definedName>
    <definedName name="_xlnm.Print_Area" localSheetId="24">Data_Sheet_15_28!$A$1:$P$49</definedName>
    <definedName name="_xlnm.Print_Area" localSheetId="25">Data_Sheet_29_40!$A$1:$P$49</definedName>
    <definedName name="_xlnm.Print_Area" localSheetId="17">Packet_Content!$A$1:$I$43</definedName>
    <definedName name="_xlnm.Print_Area" localSheetId="27">TUS_Worksheet!$A$1:$R$56</definedName>
    <definedName name="PT_index_offset">Main!$V$20</definedName>
    <definedName name="PT_Range_Selection">Main!$L$20</definedName>
    <definedName name="Query___customers" localSheetId="19" hidden="1">'Customer Table'!$A$1:$O$1679</definedName>
    <definedName name="Ranges">AggregatedUUTRangeTol!$F$2</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Main!$G$75</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erance">Main!#REF!</definedName>
    <definedName name="Tolerances">AggregatedUUTRangeTol!$G$2</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X49" i="8" l="1"/>
  <c r="S49" i="8"/>
  <c r="W56" i="8"/>
  <c r="R56" i="8"/>
  <c r="X48" i="8"/>
  <c r="S48" i="8"/>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K210" i="95" s="1"/>
  <c r="I211" i="95"/>
  <c r="K211" i="95" s="1"/>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I321" i="95"/>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J2" i="95"/>
  <c r="J3" i="95"/>
  <c r="J4" i="95"/>
  <c r="J5" i="95"/>
  <c r="J6" i="95"/>
  <c r="J7" i="95"/>
  <c r="J8" i="95"/>
  <c r="J9" i="95"/>
  <c r="J10" i="95"/>
  <c r="K10" i="95" s="1"/>
  <c r="J11" i="95"/>
  <c r="K11" i="95" s="1"/>
  <c r="J12" i="95"/>
  <c r="K12" i="95" s="1"/>
  <c r="J13" i="95"/>
  <c r="K13" i="95" s="1"/>
  <c r="J14" i="95"/>
  <c r="K14" i="95" s="1"/>
  <c r="J15" i="95"/>
  <c r="K15" i="95" s="1"/>
  <c r="J16" i="95"/>
  <c r="K16" i="95" s="1"/>
  <c r="J17" i="95"/>
  <c r="K17" i="95" s="1"/>
  <c r="J18" i="95"/>
  <c r="J19" i="95"/>
  <c r="J20" i="95"/>
  <c r="J21" i="95"/>
  <c r="J22" i="95"/>
  <c r="K22" i="95" s="1"/>
  <c r="J23" i="95"/>
  <c r="K23" i="95" s="1"/>
  <c r="J24" i="95"/>
  <c r="K24" i="95" s="1"/>
  <c r="J25" i="95"/>
  <c r="K25" i="95" s="1"/>
  <c r="J26" i="95"/>
  <c r="K26" i="95" s="1"/>
  <c r="J27" i="95"/>
  <c r="K27" i="95" s="1"/>
  <c r="J28" i="95"/>
  <c r="K28" i="95" s="1"/>
  <c r="J29" i="95"/>
  <c r="K29" i="95" s="1"/>
  <c r="J30" i="95"/>
  <c r="K30" i="95" s="1"/>
  <c r="J31" i="95"/>
  <c r="K31" i="95" s="1"/>
  <c r="J32" i="95"/>
  <c r="K32" i="95" s="1"/>
  <c r="J33" i="95"/>
  <c r="K33" i="95" s="1"/>
  <c r="J34" i="95"/>
  <c r="J35" i="95"/>
  <c r="J36" i="95"/>
  <c r="J37" i="95"/>
  <c r="J38" i="95"/>
  <c r="J39" i="95"/>
  <c r="J40" i="95"/>
  <c r="J41" i="95"/>
  <c r="K41" i="95" s="1"/>
  <c r="J42" i="95"/>
  <c r="K42" i="95" s="1"/>
  <c r="J43" i="95"/>
  <c r="K43" i="95" s="1"/>
  <c r="J44" i="95"/>
  <c r="K44" i="95" s="1"/>
  <c r="J45" i="95"/>
  <c r="K45" i="95" s="1"/>
  <c r="J46" i="95"/>
  <c r="K46" i="95" s="1"/>
  <c r="J47" i="95"/>
  <c r="K47" i="95" s="1"/>
  <c r="J48" i="95"/>
  <c r="K48" i="95" s="1"/>
  <c r="J49" i="95"/>
  <c r="K49" i="95" s="1"/>
  <c r="J50" i="95"/>
  <c r="K50" i="95" s="1"/>
  <c r="J51" i="95"/>
  <c r="J52" i="95"/>
  <c r="J53" i="95"/>
  <c r="J54" i="95"/>
  <c r="J55" i="95"/>
  <c r="J56" i="95"/>
  <c r="K56" i="95" s="1"/>
  <c r="J57" i="95"/>
  <c r="K57" i="95" s="1"/>
  <c r="J58" i="95"/>
  <c r="K58" i="95" s="1"/>
  <c r="J59" i="95"/>
  <c r="K59" i="95" s="1"/>
  <c r="J60" i="95"/>
  <c r="J61" i="95"/>
  <c r="K61" i="95" s="1"/>
  <c r="J62" i="95"/>
  <c r="K62" i="95" s="1"/>
  <c r="J63" i="95"/>
  <c r="K63" i="95" s="1"/>
  <c r="J64" i="95"/>
  <c r="K64" i="95" s="1"/>
  <c r="J65" i="95"/>
  <c r="K65" i="95" s="1"/>
  <c r="J66" i="95"/>
  <c r="J67" i="95"/>
  <c r="J68" i="95"/>
  <c r="J69" i="95"/>
  <c r="J70" i="95"/>
  <c r="K70" i="95" s="1"/>
  <c r="J71" i="95"/>
  <c r="K71" i="95" s="1"/>
  <c r="J72" i="95"/>
  <c r="K72" i="95" s="1"/>
  <c r="J73" i="95"/>
  <c r="K73" i="95" s="1"/>
  <c r="J74" i="95"/>
  <c r="K74" i="95" s="1"/>
  <c r="J75" i="95"/>
  <c r="K75" i="95" s="1"/>
  <c r="J76" i="95"/>
  <c r="K76" i="95" s="1"/>
  <c r="J77" i="95"/>
  <c r="K77" i="95" s="1"/>
  <c r="J78" i="95"/>
  <c r="K78" i="95" s="1"/>
  <c r="J79" i="95"/>
  <c r="K79" i="95" s="1"/>
  <c r="J80" i="95"/>
  <c r="K80" i="95" s="1"/>
  <c r="J81" i="95"/>
  <c r="K81" i="95" s="1"/>
  <c r="J82" i="95"/>
  <c r="J83" i="95"/>
  <c r="J84" i="95"/>
  <c r="J85" i="95"/>
  <c r="J86" i="95"/>
  <c r="J87" i="95"/>
  <c r="J88" i="95"/>
  <c r="J89" i="95"/>
  <c r="J90" i="95"/>
  <c r="K90" i="95" s="1"/>
  <c r="J91" i="95"/>
  <c r="K91" i="95" s="1"/>
  <c r="J92" i="95"/>
  <c r="K92" i="95" s="1"/>
  <c r="J93" i="95"/>
  <c r="K93" i="95" s="1"/>
  <c r="J94" i="95"/>
  <c r="K94" i="95" s="1"/>
  <c r="J95" i="95"/>
  <c r="K95" i="95" s="1"/>
  <c r="J96" i="95"/>
  <c r="K96" i="95" s="1"/>
  <c r="J97" i="95"/>
  <c r="K97" i="95" s="1"/>
  <c r="J98" i="95"/>
  <c r="J99" i="95"/>
  <c r="J100" i="95"/>
  <c r="J101" i="95"/>
  <c r="J102" i="95"/>
  <c r="J103" i="95"/>
  <c r="J104" i="95"/>
  <c r="J105" i="95"/>
  <c r="J106" i="95"/>
  <c r="K106" i="95" s="1"/>
  <c r="J107" i="95"/>
  <c r="K107" i="95" s="1"/>
  <c r="J108" i="95"/>
  <c r="K108" i="95" s="1"/>
  <c r="J109" i="95"/>
  <c r="K109" i="95" s="1"/>
  <c r="J110" i="95"/>
  <c r="K110" i="95" s="1"/>
  <c r="J111" i="95"/>
  <c r="K111" i="95" s="1"/>
  <c r="J112" i="95"/>
  <c r="K112" i="95" s="1"/>
  <c r="J113" i="95"/>
  <c r="K113" i="95" s="1"/>
  <c r="J114" i="95"/>
  <c r="J115" i="95"/>
  <c r="J116" i="95"/>
  <c r="J117" i="95"/>
  <c r="J118" i="95"/>
  <c r="J119" i="95"/>
  <c r="K119" i="95" s="1"/>
  <c r="J120" i="95"/>
  <c r="K120" i="95" s="1"/>
  <c r="J121" i="95"/>
  <c r="K121" i="95" s="1"/>
  <c r="J122" i="95"/>
  <c r="K122" i="95" s="1"/>
  <c r="J123" i="95"/>
  <c r="K123" i="95" s="1"/>
  <c r="J124" i="95"/>
  <c r="K124" i="95" s="1"/>
  <c r="J125" i="95"/>
  <c r="K125" i="95" s="1"/>
  <c r="J126" i="95"/>
  <c r="K126" i="95" s="1"/>
  <c r="J127" i="95"/>
  <c r="K127" i="95" s="1"/>
  <c r="J128" i="95"/>
  <c r="K128" i="95" s="1"/>
  <c r="J129" i="95"/>
  <c r="K129" i="95" s="1"/>
  <c r="J130" i="95"/>
  <c r="J131" i="95"/>
  <c r="J132" i="95"/>
  <c r="J133" i="95"/>
  <c r="J134" i="95"/>
  <c r="J135" i="95"/>
  <c r="J136" i="95"/>
  <c r="J137" i="95"/>
  <c r="J138" i="95"/>
  <c r="K138" i="95" s="1"/>
  <c r="J139" i="95"/>
  <c r="K139" i="95" s="1"/>
  <c r="J140" i="95"/>
  <c r="K140" i="95" s="1"/>
  <c r="J141" i="95"/>
  <c r="K141" i="95" s="1"/>
  <c r="J142" i="95"/>
  <c r="K142" i="95" s="1"/>
  <c r="J143" i="95"/>
  <c r="K143" i="95" s="1"/>
  <c r="J144" i="95"/>
  <c r="K144" i="95" s="1"/>
  <c r="J145" i="95"/>
  <c r="K145" i="95" s="1"/>
  <c r="J146" i="95"/>
  <c r="K146" i="95" s="1"/>
  <c r="J147" i="95"/>
  <c r="K147" i="95" s="1"/>
  <c r="J148" i="95"/>
  <c r="K148" i="95" s="1"/>
  <c r="J149" i="95"/>
  <c r="K149" i="95" s="1"/>
  <c r="J150" i="95"/>
  <c r="K150" i="95" s="1"/>
  <c r="J151" i="95"/>
  <c r="K151" i="95" s="1"/>
  <c r="J152" i="95"/>
  <c r="K152" i="95" s="1"/>
  <c r="J153" i="95"/>
  <c r="K153" i="95" s="1"/>
  <c r="J154" i="95"/>
  <c r="K154" i="95" s="1"/>
  <c r="J155" i="95"/>
  <c r="K155" i="95" s="1"/>
  <c r="J156" i="95"/>
  <c r="J157" i="95"/>
  <c r="K157" i="95" s="1"/>
  <c r="J158" i="95"/>
  <c r="K158" i="95" s="1"/>
  <c r="J159" i="95"/>
  <c r="K159" i="95" s="1"/>
  <c r="J160" i="95"/>
  <c r="K160" i="95" s="1"/>
  <c r="J161" i="95"/>
  <c r="K161" i="95" s="1"/>
  <c r="J162" i="95"/>
  <c r="J163" i="95"/>
  <c r="J164" i="95"/>
  <c r="J165" i="95"/>
  <c r="J166" i="95"/>
  <c r="J167" i="95"/>
  <c r="K167" i="95" s="1"/>
  <c r="J168" i="95"/>
  <c r="K168" i="95" s="1"/>
  <c r="J169" i="95"/>
  <c r="K169" i="95" s="1"/>
  <c r="J170" i="95"/>
  <c r="K170" i="95" s="1"/>
  <c r="J171" i="95"/>
  <c r="K171" i="95" s="1"/>
  <c r="J172" i="95"/>
  <c r="K172" i="95" s="1"/>
  <c r="J173" i="95"/>
  <c r="K173" i="95" s="1"/>
  <c r="J174" i="95"/>
  <c r="K174" i="95" s="1"/>
  <c r="J175" i="95"/>
  <c r="K175" i="95" s="1"/>
  <c r="J176" i="95"/>
  <c r="K176" i="95" s="1"/>
  <c r="J177" i="95"/>
  <c r="K177" i="95" s="1"/>
  <c r="J178" i="95"/>
  <c r="J179" i="95"/>
  <c r="J180" i="95"/>
  <c r="J181" i="95"/>
  <c r="J182" i="95"/>
  <c r="J183" i="95"/>
  <c r="J184" i="95"/>
  <c r="J185" i="95"/>
  <c r="J186" i="95"/>
  <c r="J187" i="95"/>
  <c r="K187" i="95" s="1"/>
  <c r="J188" i="95"/>
  <c r="K188" i="95" s="1"/>
  <c r="J189" i="95"/>
  <c r="K189" i="95" s="1"/>
  <c r="J190" i="95"/>
  <c r="K190" i="95" s="1"/>
  <c r="J191" i="95"/>
  <c r="K191" i="95" s="1"/>
  <c r="J192" i="95"/>
  <c r="K192" i="95" s="1"/>
  <c r="J193" i="95"/>
  <c r="K193" i="95" s="1"/>
  <c r="J194" i="95"/>
  <c r="J195" i="95"/>
  <c r="J196" i="95"/>
  <c r="J197" i="95"/>
  <c r="J198" i="95"/>
  <c r="J199" i="95"/>
  <c r="J200" i="95"/>
  <c r="J201" i="95"/>
  <c r="J202" i="95"/>
  <c r="K202" i="95" s="1"/>
  <c r="J203" i="95"/>
  <c r="K203" i="95" s="1"/>
  <c r="J204" i="95"/>
  <c r="K204" i="95" s="1"/>
  <c r="J205" i="95"/>
  <c r="K205" i="95" s="1"/>
  <c r="J206" i="95"/>
  <c r="K206" i="95" s="1"/>
  <c r="J207" i="95"/>
  <c r="K207" i="95" s="1"/>
  <c r="J208" i="95"/>
  <c r="K208" i="95" s="1"/>
  <c r="J209" i="95"/>
  <c r="K209" i="95" s="1"/>
  <c r="J210" i="95"/>
  <c r="J211" i="95"/>
  <c r="J212" i="95"/>
  <c r="J213" i="95"/>
  <c r="J214" i="95"/>
  <c r="J215" i="95"/>
  <c r="J216" i="95"/>
  <c r="J217" i="95"/>
  <c r="K217" i="95" s="1"/>
  <c r="J218" i="95"/>
  <c r="K218" i="95" s="1"/>
  <c r="J219" i="95"/>
  <c r="K219" i="95" s="1"/>
  <c r="J220" i="95"/>
  <c r="K220" i="95" s="1"/>
  <c r="J221" i="95"/>
  <c r="K221" i="95" s="1"/>
  <c r="J222" i="95"/>
  <c r="K222" i="95" s="1"/>
  <c r="J223" i="95"/>
  <c r="K223" i="95" s="1"/>
  <c r="J224" i="95"/>
  <c r="K224" i="95" s="1"/>
  <c r="J225" i="95"/>
  <c r="K225" i="95" s="1"/>
  <c r="J226" i="95"/>
  <c r="J227" i="95"/>
  <c r="J228" i="95"/>
  <c r="J229" i="95"/>
  <c r="J230" i="95"/>
  <c r="J231" i="95"/>
  <c r="J232" i="95"/>
  <c r="J233" i="95"/>
  <c r="J234" i="95"/>
  <c r="K234" i="95" s="1"/>
  <c r="J235" i="95"/>
  <c r="K235" i="95" s="1"/>
  <c r="J236" i="95"/>
  <c r="J237" i="95"/>
  <c r="K237" i="95" s="1"/>
  <c r="J238" i="95"/>
  <c r="K238" i="95" s="1"/>
  <c r="J239" i="95"/>
  <c r="J240" i="95"/>
  <c r="K240" i="95" s="1"/>
  <c r="J241" i="95"/>
  <c r="K241" i="95" s="1"/>
  <c r="J242" i="95"/>
  <c r="J243" i="95"/>
  <c r="J244" i="95"/>
  <c r="K244" i="95" s="1"/>
  <c r="J245" i="95"/>
  <c r="K245" i="95" s="1"/>
  <c r="J246" i="95"/>
  <c r="K246" i="95" s="1"/>
  <c r="J247" i="95"/>
  <c r="K247" i="95" s="1"/>
  <c r="J248" i="95"/>
  <c r="K248" i="95" s="1"/>
  <c r="J249" i="95"/>
  <c r="K249" i="95" s="1"/>
  <c r="J250" i="95"/>
  <c r="K250" i="95" s="1"/>
  <c r="J251" i="95"/>
  <c r="K251" i="95" s="1"/>
  <c r="J252" i="95"/>
  <c r="K252" i="95" s="1"/>
  <c r="J253" i="95"/>
  <c r="K253" i="95" s="1"/>
  <c r="J254" i="95"/>
  <c r="K254" i="95" s="1"/>
  <c r="J255" i="95"/>
  <c r="K255" i="95" s="1"/>
  <c r="J256" i="95"/>
  <c r="J257" i="95"/>
  <c r="K257" i="95" s="1"/>
  <c r="J258" i="95"/>
  <c r="J259" i="95"/>
  <c r="J260" i="95"/>
  <c r="J261" i="95"/>
  <c r="J262" i="95"/>
  <c r="J263" i="95"/>
  <c r="J264" i="95"/>
  <c r="J265" i="95"/>
  <c r="K265" i="95" s="1"/>
  <c r="J266" i="95"/>
  <c r="K266" i="95" s="1"/>
  <c r="J267" i="95"/>
  <c r="K267" i="95" s="1"/>
  <c r="J268" i="95"/>
  <c r="K268" i="95" s="1"/>
  <c r="J269" i="95"/>
  <c r="K269" i="95" s="1"/>
  <c r="J270" i="95"/>
  <c r="K270" i="95" s="1"/>
  <c r="J271" i="95"/>
  <c r="K271" i="95" s="1"/>
  <c r="J272" i="95"/>
  <c r="K272" i="95" s="1"/>
  <c r="J273" i="95"/>
  <c r="K273" i="95" s="1"/>
  <c r="J274" i="95"/>
  <c r="J275" i="95"/>
  <c r="J276" i="95"/>
  <c r="J277" i="95"/>
  <c r="J278" i="95"/>
  <c r="J279" i="95"/>
  <c r="J280" i="95"/>
  <c r="J281" i="95"/>
  <c r="J282" i="95"/>
  <c r="J283" i="95"/>
  <c r="J284" i="95"/>
  <c r="J285" i="95"/>
  <c r="K285" i="95" s="1"/>
  <c r="J286" i="95"/>
  <c r="K286" i="95" s="1"/>
  <c r="J287" i="95"/>
  <c r="K287" i="95" s="1"/>
  <c r="J288" i="95"/>
  <c r="K288" i="95" s="1"/>
  <c r="J289" i="95"/>
  <c r="K289" i="95" s="1"/>
  <c r="J290" i="95"/>
  <c r="J291" i="95"/>
  <c r="J292" i="95"/>
  <c r="K292" i="95" s="1"/>
  <c r="J293" i="95"/>
  <c r="K293" i="95" s="1"/>
  <c r="J294" i="95"/>
  <c r="K294" i="95" s="1"/>
  <c r="J295" i="95"/>
  <c r="K295" i="95" s="1"/>
  <c r="J296" i="95"/>
  <c r="K296" i="95" s="1"/>
  <c r="J297" i="95"/>
  <c r="K297" i="95" s="1"/>
  <c r="J298" i="95"/>
  <c r="K298" i="95" s="1"/>
  <c r="J299" i="95"/>
  <c r="K299" i="95" s="1"/>
  <c r="J300" i="95"/>
  <c r="K300" i="95" s="1"/>
  <c r="J301" i="95"/>
  <c r="K301" i="95" s="1"/>
  <c r="J302" i="95"/>
  <c r="K302" i="95" s="1"/>
  <c r="J303" i="95"/>
  <c r="K303" i="95" s="1"/>
  <c r="J304" i="95"/>
  <c r="K304" i="95" s="1"/>
  <c r="J305" i="95"/>
  <c r="K305" i="95" s="1"/>
  <c r="J306" i="95"/>
  <c r="J307" i="95"/>
  <c r="J308" i="95"/>
  <c r="J309" i="95"/>
  <c r="J310" i="95"/>
  <c r="J311" i="95"/>
  <c r="J312" i="95"/>
  <c r="J313" i="95"/>
  <c r="J314" i="95"/>
  <c r="K314" i="95" s="1"/>
  <c r="J315" i="95"/>
  <c r="K315" i="95" s="1"/>
  <c r="J316" i="95"/>
  <c r="K316" i="95" s="1"/>
  <c r="J317" i="95"/>
  <c r="K317" i="95" s="1"/>
  <c r="J318" i="95"/>
  <c r="K318" i="95" s="1"/>
  <c r="J319" i="95"/>
  <c r="K319" i="95" s="1"/>
  <c r="J320" i="95"/>
  <c r="J321" i="95"/>
  <c r="J322" i="95"/>
  <c r="J323" i="95"/>
  <c r="J324" i="95"/>
  <c r="J325" i="95"/>
  <c r="J326" i="95"/>
  <c r="J327" i="95"/>
  <c r="J328" i="95"/>
  <c r="J329" i="95"/>
  <c r="J330" i="95"/>
  <c r="K330" i="95" s="1"/>
  <c r="J331" i="95"/>
  <c r="K331" i="95" s="1"/>
  <c r="J332" i="95"/>
  <c r="J333" i="95"/>
  <c r="K333" i="95" s="1"/>
  <c r="J334" i="95"/>
  <c r="K334" i="95" s="1"/>
  <c r="J335" i="95"/>
  <c r="J336" i="95"/>
  <c r="K336" i="95" s="1"/>
  <c r="J337" i="95"/>
  <c r="K337" i="95" s="1"/>
  <c r="J338" i="95"/>
  <c r="J339" i="95"/>
  <c r="J340" i="95"/>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K351" i="95" s="1"/>
  <c r="J352" i="95"/>
  <c r="K352" i="95" s="1"/>
  <c r="J353" i="95"/>
  <c r="K353" i="95" s="1"/>
  <c r="J354" i="95"/>
  <c r="J355" i="95"/>
  <c r="J356" i="95"/>
  <c r="J357" i="95"/>
  <c r="J358" i="95"/>
  <c r="J359" i="95"/>
  <c r="J360" i="95"/>
  <c r="J361" i="95"/>
  <c r="J362" i="95"/>
  <c r="K362" i="95" s="1"/>
  <c r="J363" i="95"/>
  <c r="K363" i="95" s="1"/>
  <c r="J364" i="95"/>
  <c r="K364" i="95" s="1"/>
  <c r="J365" i="95"/>
  <c r="K365" i="95" s="1"/>
  <c r="J366" i="95"/>
  <c r="K366" i="95" s="1"/>
  <c r="J367" i="95"/>
  <c r="K367" i="95" s="1"/>
  <c r="J368" i="95"/>
  <c r="K368" i="95" s="1"/>
  <c r="J369" i="95"/>
  <c r="K369" i="95" s="1"/>
  <c r="J370" i="95"/>
  <c r="J371" i="95"/>
  <c r="J372" i="95"/>
  <c r="J373" i="95"/>
  <c r="J374" i="95"/>
  <c r="J375" i="95"/>
  <c r="J376" i="95"/>
  <c r="J377" i="95"/>
  <c r="J378" i="95"/>
  <c r="J379" i="95"/>
  <c r="J380" i="95"/>
  <c r="J381" i="95"/>
  <c r="K381" i="95" s="1"/>
  <c r="J382" i="95"/>
  <c r="K382" i="95" s="1"/>
  <c r="J383" i="95"/>
  <c r="K383" i="95" s="1"/>
  <c r="J384" i="95"/>
  <c r="K384" i="95" s="1"/>
  <c r="J385" i="95"/>
  <c r="K385" i="95" s="1"/>
  <c r="J386" i="95"/>
  <c r="J387" i="95"/>
  <c r="J388" i="95"/>
  <c r="J389" i="95"/>
  <c r="K389" i="95" s="1"/>
  <c r="J390" i="95"/>
  <c r="K390" i="95" s="1"/>
  <c r="J391" i="95"/>
  <c r="K391" i="95" s="1"/>
  <c r="J392" i="95"/>
  <c r="K392" i="95" s="1"/>
  <c r="J393" i="95"/>
  <c r="K393" i="95" s="1"/>
  <c r="J394" i="95"/>
  <c r="K394" i="95" s="1"/>
  <c r="J395" i="95"/>
  <c r="K395" i="95" s="1"/>
  <c r="J396" i="95"/>
  <c r="K396" i="95" s="1"/>
  <c r="J397" i="95"/>
  <c r="K397" i="95" s="1"/>
  <c r="J398" i="95"/>
  <c r="K398" i="95" s="1"/>
  <c r="J399" i="95"/>
  <c r="K399" i="95" s="1"/>
  <c r="J400" i="95"/>
  <c r="K400" i="95" s="1"/>
  <c r="J401" i="95"/>
  <c r="K401" i="95" s="1"/>
  <c r="J402" i="95"/>
  <c r="J403" i="95"/>
  <c r="J404" i="95"/>
  <c r="J405" i="95"/>
  <c r="J406" i="95"/>
  <c r="J407" i="95"/>
  <c r="J408" i="95"/>
  <c r="J409" i="95"/>
  <c r="J410" i="95"/>
  <c r="J411" i="95"/>
  <c r="K411" i="95" s="1"/>
  <c r="J412" i="95"/>
  <c r="K412" i="95" s="1"/>
  <c r="J413" i="95"/>
  <c r="K413" i="95" s="1"/>
  <c r="J414" i="95"/>
  <c r="K414" i="95" s="1"/>
  <c r="J415" i="95"/>
  <c r="K415" i="95" s="1"/>
  <c r="J416" i="95"/>
  <c r="K416" i="95" s="1"/>
  <c r="J417" i="95"/>
  <c r="K417" i="95" s="1"/>
  <c r="J418" i="95"/>
  <c r="J419" i="95"/>
  <c r="K2" i="95"/>
  <c r="K3" i="95"/>
  <c r="K4" i="95"/>
  <c r="K5" i="95"/>
  <c r="K6" i="95"/>
  <c r="K7" i="95"/>
  <c r="K8" i="95"/>
  <c r="K9" i="95"/>
  <c r="K18" i="95"/>
  <c r="K19" i="95"/>
  <c r="K20" i="95"/>
  <c r="K21" i="95"/>
  <c r="K34" i="95"/>
  <c r="K35" i="95"/>
  <c r="K36" i="95"/>
  <c r="K37" i="95"/>
  <c r="K38" i="95"/>
  <c r="K39" i="95"/>
  <c r="K40" i="95"/>
  <c r="K51" i="95"/>
  <c r="K52" i="95"/>
  <c r="K53" i="95"/>
  <c r="K54" i="95"/>
  <c r="K55" i="95"/>
  <c r="K60" i="95"/>
  <c r="K66" i="95"/>
  <c r="K67" i="95"/>
  <c r="K68" i="95"/>
  <c r="K69" i="95"/>
  <c r="K82" i="95"/>
  <c r="K83" i="95"/>
  <c r="K84" i="95"/>
  <c r="K85" i="95"/>
  <c r="K86" i="95"/>
  <c r="K87" i="95"/>
  <c r="K88" i="95"/>
  <c r="K89" i="95"/>
  <c r="K98" i="95"/>
  <c r="K99" i="95"/>
  <c r="K100" i="95"/>
  <c r="K101" i="95"/>
  <c r="K102" i="95"/>
  <c r="K103" i="95"/>
  <c r="K104" i="95"/>
  <c r="K105" i="95"/>
  <c r="K114" i="95"/>
  <c r="K115" i="95"/>
  <c r="K116" i="95"/>
  <c r="K117" i="95"/>
  <c r="K118" i="95"/>
  <c r="K130" i="95"/>
  <c r="K131" i="95"/>
  <c r="K132" i="95"/>
  <c r="K133" i="95"/>
  <c r="K134" i="95"/>
  <c r="K135" i="95"/>
  <c r="K136" i="95"/>
  <c r="K137" i="95"/>
  <c r="K156" i="95"/>
  <c r="K162" i="95"/>
  <c r="K163" i="95"/>
  <c r="K164" i="95"/>
  <c r="K165" i="95"/>
  <c r="K166" i="95"/>
  <c r="K178" i="95"/>
  <c r="K179" i="95"/>
  <c r="K180" i="95"/>
  <c r="K181" i="95"/>
  <c r="K182" i="95"/>
  <c r="K183" i="95"/>
  <c r="K184" i="95"/>
  <c r="K185" i="95"/>
  <c r="K186" i="95"/>
  <c r="K194" i="95"/>
  <c r="K195" i="95"/>
  <c r="K196" i="95"/>
  <c r="K197" i="95"/>
  <c r="K198" i="95"/>
  <c r="K199" i="95"/>
  <c r="K200" i="95"/>
  <c r="K201" i="95"/>
  <c r="K212" i="95"/>
  <c r="K213" i="95"/>
  <c r="K214" i="95"/>
  <c r="K215" i="95"/>
  <c r="K216" i="95"/>
  <c r="K226" i="95"/>
  <c r="K227" i="95"/>
  <c r="K228" i="95"/>
  <c r="K229" i="95"/>
  <c r="K230" i="95"/>
  <c r="K231" i="95"/>
  <c r="K232" i="95"/>
  <c r="K233" i="95"/>
  <c r="K236" i="95"/>
  <c r="K239" i="95"/>
  <c r="K242" i="95"/>
  <c r="K243" i="95"/>
  <c r="K258" i="95"/>
  <c r="K259" i="95"/>
  <c r="K260" i="95"/>
  <c r="K261" i="95"/>
  <c r="K262" i="95"/>
  <c r="K263" i="95"/>
  <c r="K264" i="95"/>
  <c r="K274" i="95"/>
  <c r="K275" i="95"/>
  <c r="K276" i="95"/>
  <c r="K277" i="95"/>
  <c r="K278" i="95"/>
  <c r="K279" i="95"/>
  <c r="K280" i="95"/>
  <c r="K281" i="95"/>
  <c r="K282" i="95"/>
  <c r="K283" i="95"/>
  <c r="K284" i="95"/>
  <c r="K290" i="95"/>
  <c r="K291" i="95"/>
  <c r="K306" i="95"/>
  <c r="K307" i="95"/>
  <c r="K308" i="95"/>
  <c r="K309" i="95"/>
  <c r="K310" i="95"/>
  <c r="K311" i="95"/>
  <c r="K312" i="95"/>
  <c r="K313" i="95"/>
  <c r="K322" i="95"/>
  <c r="K323" i="95"/>
  <c r="K324" i="95"/>
  <c r="K325" i="95"/>
  <c r="K326" i="95"/>
  <c r="K327" i="95"/>
  <c r="K328" i="95"/>
  <c r="K329" i="95"/>
  <c r="K332" i="95"/>
  <c r="K335" i="95"/>
  <c r="K338" i="95"/>
  <c r="K339" i="95"/>
  <c r="K340" i="95"/>
  <c r="K354" i="95"/>
  <c r="K355" i="95"/>
  <c r="K356" i="95"/>
  <c r="K357" i="95"/>
  <c r="K358" i="95"/>
  <c r="K359" i="95"/>
  <c r="K360" i="95"/>
  <c r="K361" i="95"/>
  <c r="K370" i="95"/>
  <c r="K371" i="95"/>
  <c r="K372" i="95"/>
  <c r="K373" i="95"/>
  <c r="K374" i="95"/>
  <c r="K375" i="95"/>
  <c r="K376" i="95"/>
  <c r="K377" i="95"/>
  <c r="K378" i="95"/>
  <c r="K379" i="95"/>
  <c r="K380" i="95"/>
  <c r="K386" i="95"/>
  <c r="K387" i="95"/>
  <c r="K388" i="95"/>
  <c r="K402" i="95"/>
  <c r="K403" i="95"/>
  <c r="K404" i="95"/>
  <c r="K405" i="95"/>
  <c r="K406" i="95"/>
  <c r="K407" i="95"/>
  <c r="K408" i="95"/>
  <c r="K409" i="95"/>
  <c r="K410" i="95"/>
  <c r="K418" i="95"/>
  <c r="K419" i="95"/>
  <c r="L2" i="95"/>
  <c r="L3" i="95"/>
  <c r="L4" i="95"/>
  <c r="L5" i="95"/>
  <c r="L6" i="95"/>
  <c r="M6" i="95" s="1"/>
  <c r="L7" i="95"/>
  <c r="M7" i="95" s="1"/>
  <c r="L8" i="95"/>
  <c r="L9" i="95"/>
  <c r="M9" i="95" s="1"/>
  <c r="L10" i="95"/>
  <c r="M10" i="95" s="1"/>
  <c r="L11" i="95"/>
  <c r="M11" i="95" s="1"/>
  <c r="L12" i="95"/>
  <c r="M12" i="95" s="1"/>
  <c r="L13" i="95"/>
  <c r="M13" i="95" s="1"/>
  <c r="L14" i="95"/>
  <c r="L15" i="95"/>
  <c r="L16" i="95"/>
  <c r="L17" i="95"/>
  <c r="L18" i="95"/>
  <c r="M18" i="95" s="1"/>
  <c r="L19" i="95"/>
  <c r="M19" i="95" s="1"/>
  <c r="L20" i="95"/>
  <c r="M20" i="95" s="1"/>
  <c r="L21" i="95"/>
  <c r="M21" i="95" s="1"/>
  <c r="L22" i="95"/>
  <c r="M22" i="95" s="1"/>
  <c r="L23" i="95"/>
  <c r="M23" i="95" s="1"/>
  <c r="L24" i="95"/>
  <c r="M24" i="95" s="1"/>
  <c r="L25" i="95"/>
  <c r="M25" i="95" s="1"/>
  <c r="L26" i="95"/>
  <c r="M26" i="95" s="1"/>
  <c r="L27" i="95"/>
  <c r="M27" i="95" s="1"/>
  <c r="L28" i="95"/>
  <c r="M28" i="95" s="1"/>
  <c r="L29" i="95"/>
  <c r="M29" i="95" s="1"/>
  <c r="L30" i="95"/>
  <c r="L31" i="95"/>
  <c r="L32" i="95"/>
  <c r="L33" i="95"/>
  <c r="L34" i="95"/>
  <c r="L35" i="95"/>
  <c r="L36" i="95"/>
  <c r="L37" i="95"/>
  <c r="L38" i="95"/>
  <c r="M38" i="95" s="1"/>
  <c r="L39" i="95"/>
  <c r="M39" i="95" s="1"/>
  <c r="L40" i="95"/>
  <c r="L41" i="95"/>
  <c r="M41" i="95" s="1"/>
  <c r="L42" i="95"/>
  <c r="M42" i="95" s="1"/>
  <c r="L43" i="95"/>
  <c r="M43" i="95" s="1"/>
  <c r="L44" i="95"/>
  <c r="M44" i="95" s="1"/>
  <c r="L45" i="95"/>
  <c r="M45" i="95" s="1"/>
  <c r="L46" i="95"/>
  <c r="L47" i="95"/>
  <c r="L48" i="95"/>
  <c r="L49" i="95"/>
  <c r="L50" i="95"/>
  <c r="L51" i="95"/>
  <c r="L52" i="95"/>
  <c r="L53" i="95"/>
  <c r="L54" i="95"/>
  <c r="L55" i="95"/>
  <c r="L56" i="95"/>
  <c r="L57" i="95"/>
  <c r="M57" i="95" s="1"/>
  <c r="L58" i="95"/>
  <c r="M58" i="95" s="1"/>
  <c r="L59" i="95"/>
  <c r="M59" i="95" s="1"/>
  <c r="L60" i="95"/>
  <c r="M60" i="95" s="1"/>
  <c r="L61" i="95"/>
  <c r="M61" i="95" s="1"/>
  <c r="L62" i="95"/>
  <c r="L63" i="95"/>
  <c r="L64" i="95"/>
  <c r="L65" i="95"/>
  <c r="L66" i="95"/>
  <c r="M66" i="95" s="1"/>
  <c r="L67" i="95"/>
  <c r="M67" i="95" s="1"/>
  <c r="L68" i="95"/>
  <c r="M68" i="95" s="1"/>
  <c r="L69" i="95"/>
  <c r="M69" i="95" s="1"/>
  <c r="L70" i="95"/>
  <c r="M70" i="95" s="1"/>
  <c r="L71" i="95"/>
  <c r="M71" i="95" s="1"/>
  <c r="L72" i="95"/>
  <c r="M72" i="95" s="1"/>
  <c r="L73" i="95"/>
  <c r="M73" i="95" s="1"/>
  <c r="L74" i="95"/>
  <c r="M74" i="95" s="1"/>
  <c r="L75" i="95"/>
  <c r="M75" i="95" s="1"/>
  <c r="L76" i="95"/>
  <c r="M76" i="95" s="1"/>
  <c r="L77" i="95"/>
  <c r="M77" i="95" s="1"/>
  <c r="L78" i="95"/>
  <c r="L79" i="95"/>
  <c r="L80" i="95"/>
  <c r="L81" i="95"/>
  <c r="L82" i="95"/>
  <c r="L83" i="95"/>
  <c r="L84" i="95"/>
  <c r="L85" i="95"/>
  <c r="L86" i="95"/>
  <c r="L87" i="95"/>
  <c r="L88" i="95"/>
  <c r="M88" i="95" s="1"/>
  <c r="L89" i="95"/>
  <c r="M89" i="95" s="1"/>
  <c r="L90" i="95"/>
  <c r="M90" i="95" s="1"/>
  <c r="L91" i="95"/>
  <c r="M91" i="95" s="1"/>
  <c r="L92" i="95"/>
  <c r="M92" i="95" s="1"/>
  <c r="L93" i="95"/>
  <c r="M93" i="95" s="1"/>
  <c r="L94" i="95"/>
  <c r="M94" i="95" s="1"/>
  <c r="L95" i="95"/>
  <c r="L96" i="95"/>
  <c r="L97" i="95"/>
  <c r="L98" i="95"/>
  <c r="L99" i="95"/>
  <c r="L100" i="95"/>
  <c r="L101" i="95"/>
  <c r="L102" i="95"/>
  <c r="M102" i="95" s="1"/>
  <c r="L103" i="95"/>
  <c r="M103" i="95" s="1"/>
  <c r="L104" i="95"/>
  <c r="L105" i="95"/>
  <c r="M105" i="95" s="1"/>
  <c r="L106" i="95"/>
  <c r="M106" i="95" s="1"/>
  <c r="L107" i="95"/>
  <c r="M107" i="95" s="1"/>
  <c r="L108" i="95"/>
  <c r="M108" i="95" s="1"/>
  <c r="L109" i="95"/>
  <c r="M109" i="95" s="1"/>
  <c r="L110" i="95"/>
  <c r="L111" i="95"/>
  <c r="L112" i="95"/>
  <c r="L113" i="95"/>
  <c r="L114" i="95"/>
  <c r="L115" i="95"/>
  <c r="M115" i="95" s="1"/>
  <c r="L116" i="95"/>
  <c r="M116" i="95" s="1"/>
  <c r="L117" i="95"/>
  <c r="M117" i="95" s="1"/>
  <c r="L118" i="95"/>
  <c r="M118" i="95" s="1"/>
  <c r="L119" i="95"/>
  <c r="M119" i="95" s="1"/>
  <c r="L120" i="95"/>
  <c r="M120" i="95" s="1"/>
  <c r="L121" i="95"/>
  <c r="M121" i="95" s="1"/>
  <c r="L122" i="95"/>
  <c r="M122" i="95" s="1"/>
  <c r="L123" i="95"/>
  <c r="M123" i="95" s="1"/>
  <c r="L124" i="95"/>
  <c r="M124" i="95" s="1"/>
  <c r="L125" i="95"/>
  <c r="M125" i="95" s="1"/>
  <c r="L126" i="95"/>
  <c r="L127" i="95"/>
  <c r="L128" i="95"/>
  <c r="L129" i="95"/>
  <c r="L130" i="95"/>
  <c r="L131" i="95"/>
  <c r="L132" i="95"/>
  <c r="L133" i="95"/>
  <c r="L134" i="95"/>
  <c r="M134" i="95" s="1"/>
  <c r="L135" i="95"/>
  <c r="M135" i="95" s="1"/>
  <c r="L136" i="95"/>
  <c r="L137" i="95"/>
  <c r="M137" i="95" s="1"/>
  <c r="L138" i="95"/>
  <c r="M138" i="95" s="1"/>
  <c r="L139" i="95"/>
  <c r="M139" i="95" s="1"/>
  <c r="L140" i="95"/>
  <c r="M140" i="95" s="1"/>
  <c r="L141" i="95"/>
  <c r="M141" i="95" s="1"/>
  <c r="L142" i="95"/>
  <c r="L143" i="95"/>
  <c r="L144" i="95"/>
  <c r="L145" i="95"/>
  <c r="L146" i="95"/>
  <c r="L147" i="95"/>
  <c r="L148" i="95"/>
  <c r="L149" i="95"/>
  <c r="L150" i="95"/>
  <c r="L151" i="95"/>
  <c r="L152" i="95"/>
  <c r="L153" i="95"/>
  <c r="M153" i="95" s="1"/>
  <c r="L154" i="95"/>
  <c r="M154" i="95" s="1"/>
  <c r="L155" i="95"/>
  <c r="M155" i="95" s="1"/>
  <c r="L156" i="95"/>
  <c r="M156" i="95" s="1"/>
  <c r="L157" i="95"/>
  <c r="M157" i="95" s="1"/>
  <c r="L158" i="95"/>
  <c r="L159" i="95"/>
  <c r="L160" i="95"/>
  <c r="L161" i="95"/>
  <c r="L162" i="95"/>
  <c r="M162" i="95" s="1"/>
  <c r="L163" i="95"/>
  <c r="M163" i="95" s="1"/>
  <c r="L164" i="95"/>
  <c r="M164" i="95" s="1"/>
  <c r="L165" i="95"/>
  <c r="M165" i="95" s="1"/>
  <c r="L166" i="95"/>
  <c r="M166" i="95" s="1"/>
  <c r="L167" i="95"/>
  <c r="M167" i="95" s="1"/>
  <c r="L168" i="95"/>
  <c r="M168" i="95" s="1"/>
  <c r="L169" i="95"/>
  <c r="M169" i="95" s="1"/>
  <c r="L170" i="95"/>
  <c r="M170" i="95" s="1"/>
  <c r="L171" i="95"/>
  <c r="M171" i="95" s="1"/>
  <c r="L172" i="95"/>
  <c r="M172" i="95" s="1"/>
  <c r="L173" i="95"/>
  <c r="M173" i="95" s="1"/>
  <c r="L174" i="95"/>
  <c r="L175" i="95"/>
  <c r="L176" i="95"/>
  <c r="L177" i="95"/>
  <c r="L178" i="95"/>
  <c r="L179" i="95"/>
  <c r="L180" i="95"/>
  <c r="L181" i="95"/>
  <c r="L182" i="95"/>
  <c r="L183" i="95"/>
  <c r="L184" i="95"/>
  <c r="L185" i="95"/>
  <c r="M185" i="95" s="1"/>
  <c r="L186" i="95"/>
  <c r="M186" i="95" s="1"/>
  <c r="L187" i="95"/>
  <c r="M187" i="95" s="1"/>
  <c r="L188" i="95"/>
  <c r="M188" i="95" s="1"/>
  <c r="L189" i="95"/>
  <c r="M189" i="95" s="1"/>
  <c r="L190" i="95"/>
  <c r="L191" i="95"/>
  <c r="L192" i="95"/>
  <c r="L193" i="95"/>
  <c r="L194" i="95"/>
  <c r="L195" i="95"/>
  <c r="L196" i="95"/>
  <c r="L197" i="95"/>
  <c r="L198" i="95"/>
  <c r="M198" i="95" s="1"/>
  <c r="L199" i="95"/>
  <c r="M199" i="95" s="1"/>
  <c r="L200" i="95"/>
  <c r="L201" i="95"/>
  <c r="M201" i="95" s="1"/>
  <c r="L202" i="95"/>
  <c r="M202" i="95" s="1"/>
  <c r="L203" i="95"/>
  <c r="M203" i="95" s="1"/>
  <c r="L204" i="95"/>
  <c r="M204" i="95" s="1"/>
  <c r="L205" i="95"/>
  <c r="M205" i="95" s="1"/>
  <c r="L206" i="95"/>
  <c r="L207" i="95"/>
  <c r="L208" i="95"/>
  <c r="L209" i="95"/>
  <c r="L210" i="95"/>
  <c r="L211" i="95"/>
  <c r="M211" i="95" s="1"/>
  <c r="L212" i="95"/>
  <c r="M212" i="95" s="1"/>
  <c r="L213" i="95"/>
  <c r="M213" i="95" s="1"/>
  <c r="L214" i="95"/>
  <c r="M214" i="95" s="1"/>
  <c r="L215" i="95"/>
  <c r="M215" i="95" s="1"/>
  <c r="L216" i="95"/>
  <c r="M216" i="95" s="1"/>
  <c r="L217" i="95"/>
  <c r="M217" i="95" s="1"/>
  <c r="L218" i="95"/>
  <c r="M218" i="95" s="1"/>
  <c r="L219" i="95"/>
  <c r="M219" i="95" s="1"/>
  <c r="L220" i="95"/>
  <c r="M220" i="95" s="1"/>
  <c r="L221" i="95"/>
  <c r="M221" i="95" s="1"/>
  <c r="L222" i="95"/>
  <c r="L223" i="95"/>
  <c r="L224" i="95"/>
  <c r="L225" i="95"/>
  <c r="L226" i="95"/>
  <c r="L227" i="95"/>
  <c r="L228" i="95"/>
  <c r="L229" i="95"/>
  <c r="L230" i="95"/>
  <c r="M230" i="95" s="1"/>
  <c r="L231" i="95"/>
  <c r="M231" i="95" s="1"/>
  <c r="L232" i="95"/>
  <c r="L233" i="95"/>
  <c r="M233" i="95" s="1"/>
  <c r="L234" i="95"/>
  <c r="M234" i="95" s="1"/>
  <c r="L235" i="95"/>
  <c r="M235" i="95" s="1"/>
  <c r="L236" i="95"/>
  <c r="M236" i="95" s="1"/>
  <c r="L237" i="95"/>
  <c r="M237" i="95" s="1"/>
  <c r="L238" i="95"/>
  <c r="L239" i="95"/>
  <c r="L240" i="95"/>
  <c r="M240" i="95" s="1"/>
  <c r="L241" i="95"/>
  <c r="M241" i="95" s="1"/>
  <c r="L242" i="95"/>
  <c r="M242" i="95" s="1"/>
  <c r="L243" i="95"/>
  <c r="M243" i="95" s="1"/>
  <c r="L244" i="95"/>
  <c r="L245" i="95"/>
  <c r="L246" i="95"/>
  <c r="L247" i="95"/>
  <c r="L248" i="95"/>
  <c r="L249" i="95"/>
  <c r="M249" i="95" s="1"/>
  <c r="L250" i="95"/>
  <c r="M250" i="95" s="1"/>
  <c r="L251" i="95"/>
  <c r="M251" i="95" s="1"/>
  <c r="L252" i="95"/>
  <c r="M252" i="95" s="1"/>
  <c r="L253" i="95"/>
  <c r="M253" i="95" s="1"/>
  <c r="L254" i="95"/>
  <c r="L255" i="95"/>
  <c r="L256" i="95"/>
  <c r="L257" i="95"/>
  <c r="L258" i="95"/>
  <c r="L259" i="95"/>
  <c r="M259" i="95" s="1"/>
  <c r="L260" i="95"/>
  <c r="M260" i="95" s="1"/>
  <c r="L261" i="95"/>
  <c r="M261" i="95" s="1"/>
  <c r="L262" i="95"/>
  <c r="M262" i="95" s="1"/>
  <c r="L263" i="95"/>
  <c r="M263" i="95" s="1"/>
  <c r="L264" i="95"/>
  <c r="M264" i="95" s="1"/>
  <c r="L265" i="95"/>
  <c r="M265" i="95" s="1"/>
  <c r="L266" i="95"/>
  <c r="M266" i="95" s="1"/>
  <c r="L267" i="95"/>
  <c r="M267" i="95" s="1"/>
  <c r="L268" i="95"/>
  <c r="M268" i="95" s="1"/>
  <c r="L269" i="95"/>
  <c r="M269" i="95" s="1"/>
  <c r="L270" i="95"/>
  <c r="L271" i="95"/>
  <c r="L272" i="95"/>
  <c r="L273" i="95"/>
  <c r="L274" i="95"/>
  <c r="L275" i="95"/>
  <c r="L276" i="95"/>
  <c r="L277" i="95"/>
  <c r="L278" i="95"/>
  <c r="L279" i="95"/>
  <c r="L280" i="95"/>
  <c r="L281" i="95"/>
  <c r="M281" i="95" s="1"/>
  <c r="L282" i="95"/>
  <c r="M282" i="95" s="1"/>
  <c r="L283" i="95"/>
  <c r="M283" i="95" s="1"/>
  <c r="L284" i="95"/>
  <c r="M284" i="95" s="1"/>
  <c r="L285" i="95"/>
  <c r="M285" i="95" s="1"/>
  <c r="L286" i="95"/>
  <c r="L287" i="95"/>
  <c r="L288" i="95"/>
  <c r="M288" i="95" s="1"/>
  <c r="L289" i="95"/>
  <c r="M289" i="95" s="1"/>
  <c r="L290" i="95"/>
  <c r="M290" i="95" s="1"/>
  <c r="L291" i="95"/>
  <c r="M291" i="95" s="1"/>
  <c r="L292" i="95"/>
  <c r="M292" i="95" s="1"/>
  <c r="L293" i="95"/>
  <c r="M293" i="95" s="1"/>
  <c r="L294" i="95"/>
  <c r="M294" i="95" s="1"/>
  <c r="L295" i="95"/>
  <c r="M295" i="95" s="1"/>
  <c r="L296" i="95"/>
  <c r="M296" i="95" s="1"/>
  <c r="L297" i="95"/>
  <c r="M297" i="95" s="1"/>
  <c r="L298" i="95"/>
  <c r="M298" i="95" s="1"/>
  <c r="L299" i="95"/>
  <c r="M299" i="95" s="1"/>
  <c r="L300" i="95"/>
  <c r="M300" i="95" s="1"/>
  <c r="L301" i="95"/>
  <c r="M301" i="95" s="1"/>
  <c r="L302" i="95"/>
  <c r="L303" i="95"/>
  <c r="L304" i="95"/>
  <c r="L305" i="95"/>
  <c r="L306" i="95"/>
  <c r="L307" i="95"/>
  <c r="L308" i="95"/>
  <c r="M308" i="95" s="1"/>
  <c r="L309" i="95"/>
  <c r="M309" i="95" s="1"/>
  <c r="L310" i="95"/>
  <c r="M310" i="95" s="1"/>
  <c r="L311" i="95"/>
  <c r="M311" i="95" s="1"/>
  <c r="L312" i="95"/>
  <c r="M312" i="95" s="1"/>
  <c r="L313" i="95"/>
  <c r="M313" i="95" s="1"/>
  <c r="L314" i="95"/>
  <c r="M314" i="95" s="1"/>
  <c r="L315" i="95"/>
  <c r="M315" i="95" s="1"/>
  <c r="L316" i="95"/>
  <c r="M316" i="95" s="1"/>
  <c r="L317" i="95"/>
  <c r="M317" i="95" s="1"/>
  <c r="L318" i="95"/>
  <c r="L319" i="95"/>
  <c r="L320" i="95"/>
  <c r="L321" i="95"/>
  <c r="L322" i="95"/>
  <c r="L323" i="95"/>
  <c r="L324" i="95"/>
  <c r="L325" i="95"/>
  <c r="L326" i="95"/>
  <c r="M326" i="95" s="1"/>
  <c r="L327" i="95"/>
  <c r="M327" i="95" s="1"/>
  <c r="L328" i="95"/>
  <c r="L329" i="95"/>
  <c r="M329" i="95" s="1"/>
  <c r="L330" i="95"/>
  <c r="M330" i="95" s="1"/>
  <c r="L331" i="95"/>
  <c r="M331" i="95" s="1"/>
  <c r="L332" i="95"/>
  <c r="M332" i="95" s="1"/>
  <c r="L333" i="95"/>
  <c r="M333" i="95" s="1"/>
  <c r="L334" i="95"/>
  <c r="L335" i="95"/>
  <c r="L336" i="95"/>
  <c r="M336" i="95" s="1"/>
  <c r="L337" i="95"/>
  <c r="M337" i="95" s="1"/>
  <c r="L338" i="95"/>
  <c r="M338" i="95" s="1"/>
  <c r="L339" i="95"/>
  <c r="M339" i="95" s="1"/>
  <c r="L340" i="95"/>
  <c r="M340" i="95" s="1"/>
  <c r="L341" i="95"/>
  <c r="M341" i="95" s="1"/>
  <c r="L342" i="95"/>
  <c r="M342" i="95" s="1"/>
  <c r="L343" i="95"/>
  <c r="L344" i="95"/>
  <c r="L345" i="95"/>
  <c r="M345" i="95" s="1"/>
  <c r="L346" i="95"/>
  <c r="M346" i="95" s="1"/>
  <c r="L347" i="95"/>
  <c r="M347" i="95" s="1"/>
  <c r="L348" i="95"/>
  <c r="M348" i="95" s="1"/>
  <c r="L349" i="95"/>
  <c r="M349" i="95" s="1"/>
  <c r="L350" i="95"/>
  <c r="L351" i="95"/>
  <c r="L352" i="95"/>
  <c r="L353" i="95"/>
  <c r="L354" i="95"/>
  <c r="L355" i="95"/>
  <c r="M355" i="95" s="1"/>
  <c r="L356" i="95"/>
  <c r="M356" i="95" s="1"/>
  <c r="L357" i="95"/>
  <c r="M357" i="95" s="1"/>
  <c r="L358" i="95"/>
  <c r="M358" i="95" s="1"/>
  <c r="L359" i="95"/>
  <c r="M359" i="95" s="1"/>
  <c r="L360" i="95"/>
  <c r="M360" i="95" s="1"/>
  <c r="L361" i="95"/>
  <c r="M361" i="95" s="1"/>
  <c r="L362" i="95"/>
  <c r="M362" i="95" s="1"/>
  <c r="L363" i="95"/>
  <c r="M363" i="95" s="1"/>
  <c r="L364" i="95"/>
  <c r="M364" i="95" s="1"/>
  <c r="L365" i="95"/>
  <c r="M365" i="95" s="1"/>
  <c r="L366" i="95"/>
  <c r="L367" i="95"/>
  <c r="L368" i="95"/>
  <c r="L369" i="95"/>
  <c r="L370" i="95"/>
  <c r="L371" i="95"/>
  <c r="L372" i="95"/>
  <c r="L373" i="95"/>
  <c r="L374" i="95"/>
  <c r="L375" i="95"/>
  <c r="L376" i="95"/>
  <c r="L377" i="95"/>
  <c r="M377" i="95" s="1"/>
  <c r="L378" i="95"/>
  <c r="M378" i="95" s="1"/>
  <c r="L379" i="95"/>
  <c r="M379" i="95" s="1"/>
  <c r="L380" i="95"/>
  <c r="M380" i="95" s="1"/>
  <c r="L381" i="95"/>
  <c r="M381" i="95" s="1"/>
  <c r="L382" i="95"/>
  <c r="L383" i="95"/>
  <c r="L384" i="95"/>
  <c r="M384" i="95" s="1"/>
  <c r="L385" i="95"/>
  <c r="M385" i="95" s="1"/>
  <c r="L386" i="95"/>
  <c r="M386" i="95" s="1"/>
  <c r="L387" i="95"/>
  <c r="M387" i="95" s="1"/>
  <c r="L388" i="95"/>
  <c r="M388" i="95" s="1"/>
  <c r="L389" i="95"/>
  <c r="M389" i="95" s="1"/>
  <c r="L390" i="95"/>
  <c r="M390" i="95" s="1"/>
  <c r="L391" i="95"/>
  <c r="M391" i="95" s="1"/>
  <c r="L392" i="95"/>
  <c r="M392" i="95" s="1"/>
  <c r="L393" i="95"/>
  <c r="M393" i="95" s="1"/>
  <c r="L394" i="95"/>
  <c r="M394" i="95" s="1"/>
  <c r="L395" i="95"/>
  <c r="M395" i="95" s="1"/>
  <c r="L396" i="95"/>
  <c r="M396" i="95" s="1"/>
  <c r="L397" i="95"/>
  <c r="M397" i="95" s="1"/>
  <c r="L398" i="95"/>
  <c r="L399" i="95"/>
  <c r="L400" i="95"/>
  <c r="L401" i="95"/>
  <c r="L402" i="95"/>
  <c r="L403" i="95"/>
  <c r="L404" i="95"/>
  <c r="M404" i="95" s="1"/>
  <c r="L405" i="95"/>
  <c r="M405" i="95" s="1"/>
  <c r="L406" i="95"/>
  <c r="M406" i="95" s="1"/>
  <c r="L407" i="95"/>
  <c r="M407" i="95" s="1"/>
  <c r="L408" i="95"/>
  <c r="M408" i="95" s="1"/>
  <c r="L409" i="95"/>
  <c r="M409" i="95" s="1"/>
  <c r="L410" i="95"/>
  <c r="M410" i="95" s="1"/>
  <c r="L411" i="95"/>
  <c r="M411" i="95" s="1"/>
  <c r="L412" i="95"/>
  <c r="M412" i="95" s="1"/>
  <c r="L413" i="95"/>
  <c r="M413" i="95" s="1"/>
  <c r="L414" i="95"/>
  <c r="L415" i="95"/>
  <c r="L416" i="95"/>
  <c r="L417" i="95"/>
  <c r="L418" i="95"/>
  <c r="L419" i="95"/>
  <c r="M2" i="95"/>
  <c r="M3" i="95"/>
  <c r="M4" i="95"/>
  <c r="M5" i="95"/>
  <c r="M8" i="95"/>
  <c r="M14" i="95"/>
  <c r="M15" i="95"/>
  <c r="M16" i="95"/>
  <c r="M17" i="95"/>
  <c r="M30" i="95"/>
  <c r="M31" i="95"/>
  <c r="M32" i="95"/>
  <c r="M33" i="95"/>
  <c r="M34" i="95"/>
  <c r="M35" i="95"/>
  <c r="M36" i="95"/>
  <c r="M37" i="95"/>
  <c r="M40" i="95"/>
  <c r="M46" i="95"/>
  <c r="M47" i="95"/>
  <c r="M48" i="95"/>
  <c r="M49" i="95"/>
  <c r="M50" i="95"/>
  <c r="M51" i="95"/>
  <c r="M52" i="95"/>
  <c r="M53" i="95"/>
  <c r="M54" i="95"/>
  <c r="M55" i="95"/>
  <c r="M56" i="95"/>
  <c r="M62" i="95"/>
  <c r="M63" i="95"/>
  <c r="M64" i="95"/>
  <c r="M65" i="95"/>
  <c r="M78" i="95"/>
  <c r="M79" i="95"/>
  <c r="M80" i="95"/>
  <c r="M81" i="95"/>
  <c r="M82" i="95"/>
  <c r="M83" i="95"/>
  <c r="M84" i="95"/>
  <c r="M85" i="95"/>
  <c r="M86" i="95"/>
  <c r="M87" i="95"/>
  <c r="M95" i="95"/>
  <c r="M96" i="95"/>
  <c r="M97" i="95"/>
  <c r="M98" i="95"/>
  <c r="M99" i="95"/>
  <c r="M100" i="95"/>
  <c r="M101" i="95"/>
  <c r="M104" i="95"/>
  <c r="M110" i="95"/>
  <c r="M111" i="95"/>
  <c r="M112" i="95"/>
  <c r="M113" i="95"/>
  <c r="M114" i="95"/>
  <c r="M126" i="95"/>
  <c r="M127" i="95"/>
  <c r="M128" i="95"/>
  <c r="M129" i="95"/>
  <c r="M130" i="95"/>
  <c r="M131" i="95"/>
  <c r="M132" i="95"/>
  <c r="M133" i="95"/>
  <c r="M136" i="95"/>
  <c r="M142" i="95"/>
  <c r="M143" i="95"/>
  <c r="M144" i="95"/>
  <c r="M145" i="95"/>
  <c r="M146" i="95"/>
  <c r="M147" i="95"/>
  <c r="M148" i="95"/>
  <c r="M149" i="95"/>
  <c r="M150" i="95"/>
  <c r="M151" i="95"/>
  <c r="M152" i="95"/>
  <c r="M158" i="95"/>
  <c r="M159" i="95"/>
  <c r="M160" i="95"/>
  <c r="M161" i="95"/>
  <c r="M174" i="95"/>
  <c r="M175" i="95"/>
  <c r="M176" i="95"/>
  <c r="M177" i="95"/>
  <c r="M178" i="95"/>
  <c r="M179" i="95"/>
  <c r="M180" i="95"/>
  <c r="M181" i="95"/>
  <c r="M182" i="95"/>
  <c r="M183" i="95"/>
  <c r="M184" i="95"/>
  <c r="M190" i="95"/>
  <c r="M191" i="95"/>
  <c r="M192" i="95"/>
  <c r="M193" i="95"/>
  <c r="M194" i="95"/>
  <c r="M195" i="95"/>
  <c r="M196" i="95"/>
  <c r="M197" i="95"/>
  <c r="M200" i="95"/>
  <c r="M206" i="95"/>
  <c r="M207" i="95"/>
  <c r="M208" i="95"/>
  <c r="M209" i="95"/>
  <c r="M210" i="95"/>
  <c r="M222" i="95"/>
  <c r="M223" i="95"/>
  <c r="M224" i="95"/>
  <c r="M225" i="95"/>
  <c r="M226" i="95"/>
  <c r="M227" i="95"/>
  <c r="M228" i="95"/>
  <c r="M229" i="95"/>
  <c r="M232" i="95"/>
  <c r="M238" i="95"/>
  <c r="M239" i="95"/>
  <c r="M244" i="95"/>
  <c r="M245" i="95"/>
  <c r="M246" i="95"/>
  <c r="M247" i="95"/>
  <c r="M248" i="95"/>
  <c r="M254" i="95"/>
  <c r="M255" i="95"/>
  <c r="M256" i="95"/>
  <c r="M257" i="95"/>
  <c r="M258" i="95"/>
  <c r="M270" i="95"/>
  <c r="M271" i="95"/>
  <c r="M272" i="95"/>
  <c r="M273" i="95"/>
  <c r="M274" i="95"/>
  <c r="M275" i="95"/>
  <c r="M276" i="95"/>
  <c r="M277" i="95"/>
  <c r="M278" i="95"/>
  <c r="M279" i="95"/>
  <c r="M280" i="95"/>
  <c r="M286" i="95"/>
  <c r="M287" i="95"/>
  <c r="M302" i="95"/>
  <c r="M303" i="95"/>
  <c r="M304" i="95"/>
  <c r="M305" i="95"/>
  <c r="M306" i="95"/>
  <c r="M307" i="95"/>
  <c r="M318" i="95"/>
  <c r="M319" i="95"/>
  <c r="M320" i="95"/>
  <c r="M321" i="95"/>
  <c r="M322" i="95"/>
  <c r="M323" i="95"/>
  <c r="M324" i="95"/>
  <c r="M325" i="95"/>
  <c r="M328" i="95"/>
  <c r="M334" i="95"/>
  <c r="M335" i="95"/>
  <c r="M343" i="95"/>
  <c r="M344" i="95"/>
  <c r="M350" i="95"/>
  <c r="M351" i="95"/>
  <c r="M352" i="95"/>
  <c r="M353" i="95"/>
  <c r="M354" i="95"/>
  <c r="M366" i="95"/>
  <c r="M367" i="95"/>
  <c r="M368" i="95"/>
  <c r="M369" i="95"/>
  <c r="M370" i="95"/>
  <c r="M371" i="95"/>
  <c r="M372" i="95"/>
  <c r="M373" i="95"/>
  <c r="M374" i="95"/>
  <c r="M375" i="95"/>
  <c r="M376" i="95"/>
  <c r="M382" i="95"/>
  <c r="M383" i="95"/>
  <c r="M398" i="95"/>
  <c r="M399" i="95"/>
  <c r="M400" i="95"/>
  <c r="M401" i="95"/>
  <c r="M402" i="95"/>
  <c r="M403" i="95"/>
  <c r="M414" i="95"/>
  <c r="M415" i="95"/>
  <c r="M416" i="95"/>
  <c r="M417" i="95"/>
  <c r="M418" i="95"/>
  <c r="M419" i="95"/>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E2" i="74" a="1"/>
  <c r="E2" i="74" s="1"/>
  <c r="I54" i="8"/>
  <c r="H54" i="8"/>
  <c r="G54" i="8"/>
  <c r="F54" i="8"/>
  <c r="E54" i="8"/>
  <c r="D54" i="8"/>
  <c r="B2" i="12" a="1"/>
  <c r="B2" i="12" s="1"/>
  <c r="C2" i="12" a="1"/>
  <c r="C2" i="12" s="1"/>
  <c r="A2" i="12" a="1"/>
  <c r="A2" i="12" s="1"/>
  <c r="E9" i="8" a="1"/>
  <c r="E9" i="8" s="1"/>
  <c r="T62" i="26"/>
  <c r="R62" i="26"/>
  <c r="F62" i="26" a="1"/>
  <c r="F62" i="26" s="1"/>
  <c r="AM1" i="77" a="1"/>
  <c r="AM1" i="77" s="1"/>
  <c r="K321" i="95" l="1"/>
  <c r="K320" i="95"/>
  <c r="K256" i="95"/>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P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P21" i="90" s="1"/>
  <c r="S24" i="8"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P11" i="90" l="1"/>
  <c r="S14" i="8" s="1"/>
  <c r="O4" i="90" a="1"/>
  <c r="O4" i="90" s="1"/>
  <c r="R7" i="8" s="1"/>
  <c r="S7" i="8"/>
  <c r="O21" i="90" a="1"/>
  <c r="O21" i="90" s="1"/>
  <c r="R24" i="8" s="1"/>
  <c r="P26" i="90"/>
  <c r="S29" i="8" s="1"/>
  <c r="P34" i="90"/>
  <c r="S37" i="8" s="1"/>
  <c r="P35" i="90"/>
  <c r="S38" i="8" s="1"/>
  <c r="P24" i="90"/>
  <c r="S27" i="8" s="1"/>
  <c r="P5" i="90"/>
  <c r="S8" i="8" s="1"/>
  <c r="P30" i="90"/>
  <c r="S33" i="8" s="1"/>
  <c r="P32" i="90"/>
  <c r="S35" i="8" s="1"/>
  <c r="P38" i="90"/>
  <c r="S41" i="8" s="1"/>
  <c r="P9" i="90"/>
  <c r="S12" i="8" s="1"/>
  <c r="P33" i="90"/>
  <c r="S36" i="8" s="1"/>
  <c r="P31" i="90"/>
  <c r="S34" i="8" s="1"/>
  <c r="P14" i="90"/>
  <c r="S17" i="8" s="1"/>
  <c r="P39" i="90"/>
  <c r="S42" i="8" s="1"/>
  <c r="P40" i="90"/>
  <c r="S43" i="8" s="1"/>
  <c r="P41" i="90"/>
  <c r="S44" i="8" s="1"/>
  <c r="P10" i="90"/>
  <c r="S13" i="8" s="1"/>
  <c r="P16" i="90"/>
  <c r="S19" i="8" s="1"/>
  <c r="P17" i="90"/>
  <c r="S20" i="8" s="1"/>
  <c r="P3" i="90"/>
  <c r="P8" i="90"/>
  <c r="S11" i="8" s="1"/>
  <c r="P23" i="90"/>
  <c r="S26" i="8" s="1"/>
  <c r="P15" i="90"/>
  <c r="S18" i="8" s="1"/>
  <c r="P12" i="90"/>
  <c r="S15" i="8" s="1"/>
  <c r="P27" i="90"/>
  <c r="S30" i="8" s="1"/>
  <c r="P28" i="90"/>
  <c r="S31" i="8" s="1"/>
  <c r="P2" i="90"/>
  <c r="O2" i="90" s="1" a="1"/>
  <c r="O2" i="90" s="1"/>
  <c r="P25" i="90"/>
  <c r="S28" i="8" s="1"/>
  <c r="P29" i="90"/>
  <c r="S32" i="8" s="1"/>
  <c r="P18" i="90"/>
  <c r="S21" i="8" s="1"/>
  <c r="P7" i="90"/>
  <c r="S10" i="8" s="1"/>
  <c r="P37" i="90"/>
  <c r="S40" i="8" s="1"/>
  <c r="P36" i="90"/>
  <c r="S39" i="8" s="1"/>
  <c r="P19" i="90"/>
  <c r="S22" i="8" s="1"/>
  <c r="P13" i="90"/>
  <c r="S16" i="8" s="1"/>
  <c r="P22" i="90"/>
  <c r="S25" i="8" s="1"/>
  <c r="P6" i="90"/>
  <c r="S9" i="8" s="1"/>
  <c r="P20" i="90"/>
  <c r="S23" i="8" s="1"/>
  <c r="R63" i="26"/>
  <c r="T63" i="26"/>
  <c r="R65" i="26"/>
  <c r="T65" i="26"/>
  <c r="T66" i="26"/>
  <c r="R66" i="26"/>
  <c r="R67" i="26"/>
  <c r="T67" i="26"/>
  <c r="T64" i="26"/>
  <c r="R64" i="26"/>
  <c r="R68" i="26"/>
  <c r="T68" i="26"/>
  <c r="V23" i="8"/>
  <c r="V22" i="8"/>
  <c r="O11" i="90" l="1" a="1"/>
  <c r="O11" i="90" s="1"/>
  <c r="R14" i="8" s="1"/>
  <c r="S5" i="8"/>
  <c r="O3" i="90" a="1"/>
  <c r="O3" i="90" s="1"/>
  <c r="R6" i="8" s="1"/>
  <c r="S6" i="8"/>
  <c r="O40" i="90" a="1"/>
  <c r="O40" i="90" s="1"/>
  <c r="R43" i="8" s="1"/>
  <c r="O29" i="90" a="1"/>
  <c r="O29" i="90" s="1"/>
  <c r="R32" i="8" s="1"/>
  <c r="O37" i="90" a="1"/>
  <c r="O37" i="90" s="1"/>
  <c r="R40" i="8" s="1"/>
  <c r="O39" i="90" a="1"/>
  <c r="O39" i="90" s="1"/>
  <c r="R42" i="8" s="1"/>
  <c r="O30" i="90" a="1"/>
  <c r="O30" i="90" s="1"/>
  <c r="R33" i="8" s="1"/>
  <c r="O32" i="90" a="1"/>
  <c r="O32" i="90" s="1"/>
  <c r="R35" i="8" s="1"/>
  <c r="O24" i="90" a="1"/>
  <c r="O24" i="90" s="1"/>
  <c r="R27" i="8" s="1"/>
  <c r="O25" i="90" a="1"/>
  <c r="O25" i="90" s="1"/>
  <c r="R28" i="8" s="1"/>
  <c r="O14" i="90" a="1"/>
  <c r="O14" i="90" s="1"/>
  <c r="R17" i="8" s="1"/>
  <c r="O33" i="90" a="1"/>
  <c r="O33" i="90" s="1"/>
  <c r="R36" i="8" s="1"/>
  <c r="O38" i="90" a="1"/>
  <c r="O38" i="90" s="1"/>
  <c r="R41" i="8" s="1"/>
  <c r="O27" i="90" a="1"/>
  <c r="O27" i="90" s="1"/>
  <c r="R30" i="8" s="1"/>
  <c r="O12" i="90" a="1"/>
  <c r="O12" i="90" s="1"/>
  <c r="R15" i="8" s="1"/>
  <c r="O15" i="90" a="1"/>
  <c r="O15" i="90" s="1"/>
  <c r="R18" i="8" s="1"/>
  <c r="O5" i="90" a="1"/>
  <c r="O5" i="90" s="1"/>
  <c r="R8" i="8" s="1"/>
  <c r="O22" i="90" a="1"/>
  <c r="O22" i="90" s="1"/>
  <c r="R25" i="8" s="1"/>
  <c r="O17" i="90" a="1"/>
  <c r="O17" i="90" s="1"/>
  <c r="R20" i="8" s="1"/>
  <c r="O35" i="90" a="1"/>
  <c r="O35" i="90" s="1"/>
  <c r="R38" i="8" s="1"/>
  <c r="O7" i="90" a="1"/>
  <c r="O7" i="90" s="1"/>
  <c r="R10" i="8" s="1"/>
  <c r="O9" i="90" a="1"/>
  <c r="O9" i="90" s="1"/>
  <c r="R12" i="8" s="1"/>
  <c r="O23" i="90" a="1"/>
  <c r="O23" i="90" s="1"/>
  <c r="R26" i="8" s="1"/>
  <c r="O6" i="90" a="1"/>
  <c r="O6" i="90" s="1"/>
  <c r="R9" i="8" s="1"/>
  <c r="O34" i="90" a="1"/>
  <c r="O34" i="90" s="1"/>
  <c r="R37" i="8" s="1"/>
  <c r="O20" i="90" a="1"/>
  <c r="O20" i="90" s="1"/>
  <c r="R23" i="8" s="1"/>
  <c r="O13" i="90" a="1"/>
  <c r="O13" i="90" s="1"/>
  <c r="R16" i="8" s="1"/>
  <c r="O26" i="90" a="1"/>
  <c r="O26" i="90" s="1"/>
  <c r="R29" i="8" s="1"/>
  <c r="O18" i="90" a="1"/>
  <c r="O18" i="90" s="1"/>
  <c r="R21" i="8" s="1"/>
  <c r="O31" i="90" a="1"/>
  <c r="O31" i="90" s="1"/>
  <c r="R34" i="8" s="1"/>
  <c r="O28" i="90" a="1"/>
  <c r="O28" i="90" s="1"/>
  <c r="R31" i="8" s="1"/>
  <c r="O19" i="90" a="1"/>
  <c r="O19" i="90" s="1"/>
  <c r="R22" i="8" s="1"/>
  <c r="O16" i="90" a="1"/>
  <c r="O16" i="90" s="1"/>
  <c r="R19" i="8" s="1"/>
  <c r="O10" i="90" a="1"/>
  <c r="O10" i="90" s="1"/>
  <c r="R13" i="8" s="1"/>
  <c r="O8" i="90" a="1"/>
  <c r="O8" i="90" s="1"/>
  <c r="R11" i="8" s="1"/>
  <c r="O36" i="90" a="1"/>
  <c r="O36" i="90" s="1"/>
  <c r="R39" i="8" s="1"/>
  <c r="O41" i="90" a="1"/>
  <c r="O41" i="90" s="1"/>
  <c r="R44" i="8" s="1"/>
  <c r="I2" i="92" a="1"/>
  <c r="I2" i="92" s="1"/>
  <c r="V24" i="8"/>
  <c r="R5" i="8" l="1"/>
  <c r="K18" i="5"/>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24" i="5"/>
  <c r="D24" i="5"/>
  <c r="O11" i="5"/>
  <c r="I11" i="5"/>
  <c r="G18" i="5"/>
  <c r="N17" i="5"/>
  <c r="N11" i="5"/>
  <c r="N23" i="5"/>
  <c r="F18" i="5"/>
  <c r="H11" i="5"/>
  <c r="G24" i="5"/>
  <c r="M17" i="5"/>
  <c r="D18" i="5"/>
  <c r="M23" i="5"/>
  <c r="K11" i="5"/>
  <c r="G11" i="5"/>
  <c r="P17" i="5"/>
  <c r="L17" i="5"/>
  <c r="O17" i="5"/>
  <c r="L23" i="5"/>
  <c r="J23" i="5"/>
  <c r="F11" i="5"/>
  <c r="D11" i="5"/>
  <c r="K17" i="5"/>
  <c r="I17" i="5"/>
  <c r="K23" i="5"/>
  <c r="H23" i="5"/>
  <c r="E11" i="5"/>
  <c r="C17" i="5"/>
  <c r="J17" i="5"/>
  <c r="G17" i="5"/>
  <c r="C12" i="5"/>
  <c r="C18" i="5"/>
  <c r="I23" i="5"/>
  <c r="F17" i="5"/>
  <c r="C11" i="5"/>
  <c r="C23" i="5"/>
  <c r="H17" i="5"/>
  <c r="E17" i="5"/>
  <c r="G23" i="5"/>
  <c r="E23" i="5"/>
  <c r="F23" i="5"/>
  <c r="I18" i="5"/>
  <c r="C24" i="5"/>
  <c r="P11" i="5"/>
  <c r="H18" i="5"/>
  <c r="I24" i="5"/>
  <c r="D17" i="5"/>
  <c r="E13" i="5" l="1"/>
  <c r="O19" i="5"/>
  <c r="N19" i="5"/>
  <c r="J13" i="5"/>
  <c r="D25" i="5"/>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D19" i="4" l="1"/>
  <c r="E2" i="71" l="1"/>
  <c r="Q2" i="29" s="1" a="1"/>
  <c r="D2" i="71"/>
  <c r="O2" i="95" s="1" a="1"/>
  <c r="G73" i="8" s="1"/>
  <c r="D6" i="8"/>
  <c r="D11" i="8"/>
  <c r="K8" i="90"/>
  <c r="K5" i="90" a="1"/>
  <c r="K5" i="90" s="1"/>
  <c r="G19" i="4"/>
  <c r="J19" i="4"/>
  <c r="M19" i="4"/>
  <c r="D31" i="4"/>
  <c r="A43" i="8"/>
  <c r="J31" i="4" s="1"/>
  <c r="A44" i="8"/>
  <c r="M31" i="4" s="1"/>
  <c r="B11" i="26" a="1"/>
  <c r="B10" i="26" a="1"/>
  <c r="O2" i="95" l="1"/>
  <c r="AM2" i="77" a="1"/>
  <c r="E2" i="96" a="1"/>
  <c r="B10" i="26"/>
  <c r="B11" i="26"/>
  <c r="Q2" i="29"/>
  <c r="D5" i="8" s="1"/>
  <c r="G74" i="8" l="1"/>
  <c r="G75" i="8" s="1"/>
  <c r="D20" i="8" s="1"/>
  <c r="X2" i="95"/>
  <c r="F60" i="8" s="1"/>
  <c r="S6" i="95"/>
  <c r="M6" i="15" s="1"/>
  <c r="AM2" i="77"/>
  <c r="L9" i="26"/>
  <c r="B54" i="26"/>
  <c r="E2" i="96"/>
  <c r="D19" i="8"/>
  <c r="H15" i="26"/>
  <c r="H14" i="26"/>
  <c r="D36" i="8"/>
  <c r="K2" i="90"/>
  <c r="E36" i="8" l="1"/>
  <c r="F36" i="8" s="1"/>
  <c r="G36" i="8" s="1"/>
  <c r="E6" i="4"/>
  <c r="P6" i="95"/>
  <c r="P7" i="95"/>
  <c r="Q7" i="95"/>
  <c r="D30" i="26"/>
  <c r="L60" i="8"/>
  <c r="K61" i="8"/>
  <c r="Q6" i="95"/>
  <c r="M6" i="14"/>
  <c r="M6" i="13"/>
  <c r="E1" i="13"/>
  <c r="E1" i="15"/>
  <c r="C2" i="14"/>
  <c r="E2" i="15"/>
  <c r="C2" i="15"/>
  <c r="E2" i="13"/>
  <c r="E2" i="14"/>
  <c r="C2" i="13"/>
  <c r="K3" i="90"/>
  <c r="M26" i="26" s="1"/>
  <c r="K4" i="90" a="1"/>
  <c r="K4" i="90" s="1"/>
  <c r="K6" i="90" s="1"/>
  <c r="G14" i="8"/>
  <c r="G13" i="8"/>
  <c r="G12" i="8"/>
  <c r="B33" i="26"/>
  <c r="C1" i="13" l="1"/>
  <c r="C1" i="14"/>
  <c r="E1" i="14"/>
  <c r="C1" i="15"/>
  <c r="K7" i="90"/>
  <c r="K9" i="90" s="1"/>
  <c r="N26" i="26" s="1"/>
  <c r="T19" i="90" l="1" a="1"/>
  <c r="T19" i="90" s="1"/>
  <c r="T24" i="90" a="1"/>
  <c r="T24" i="90" s="1"/>
  <c r="T25" i="90" a="1"/>
  <c r="T25" i="90" s="1"/>
  <c r="T26" i="90" a="1"/>
  <c r="T26" i="90" s="1"/>
  <c r="T27" i="90" a="1"/>
  <c r="T27" i="90" s="1"/>
  <c r="T28" i="90" a="1"/>
  <c r="T28" i="90" s="1"/>
  <c r="T2" i="90" a="1"/>
  <c r="T2" i="90" s="1"/>
  <c r="N2" i="90" s="1" a="1"/>
  <c r="N2" i="90" s="1"/>
  <c r="T29" i="90" a="1"/>
  <c r="T29" i="90" s="1"/>
  <c r="N29" i="90" s="1" a="1"/>
  <c r="N29" i="90" s="1"/>
  <c r="T3" i="90" a="1"/>
  <c r="T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T18" i="90" a="1"/>
  <c r="T18" i="90" s="1"/>
  <c r="T23" i="90" a="1"/>
  <c r="T23" i="90" s="1"/>
  <c r="N23" i="90" s="1" a="1"/>
  <c r="N23" i="90" s="1"/>
  <c r="T22" i="90" a="1"/>
  <c r="T22" i="90" s="1"/>
  <c r="N22" i="90" s="1" a="1"/>
  <c r="N22" i="90" s="1"/>
  <c r="T40" i="90" a="1"/>
  <c r="T40" i="90" s="1"/>
  <c r="T21" i="90" a="1"/>
  <c r="T21" i="90" s="1"/>
  <c r="N21" i="90" s="1" a="1"/>
  <c r="N21" i="90" s="1"/>
  <c r="T39" i="90" a="1"/>
  <c r="T39" i="90" s="1"/>
  <c r="T41" i="90" a="1"/>
  <c r="T41" i="90" s="1"/>
  <c r="N25" i="90" a="1"/>
  <c r="N25" i="90" s="1"/>
  <c r="N39" i="90" a="1"/>
  <c r="N39" i="90" s="1"/>
  <c r="N24" i="90" a="1"/>
  <c r="N24" i="90" s="1"/>
  <c r="N28" i="90" a="1"/>
  <c r="N28" i="90" s="1"/>
  <c r="N3" i="90" a="1"/>
  <c r="N3" i="90" s="1"/>
  <c r="N41" i="90" a="1"/>
  <c r="N41" i="90" s="1"/>
  <c r="N40" i="90" a="1"/>
  <c r="N40" i="90" s="1"/>
  <c r="N19" i="90" a="1"/>
  <c r="N19" i="90" s="1"/>
  <c r="N27" i="90" a="1"/>
  <c r="N27" i="90" s="1"/>
  <c r="N26" i="90" a="1"/>
  <c r="N26" i="90" s="1"/>
  <c r="N18" i="90" a="1"/>
  <c r="N18" i="90" s="1"/>
  <c r="N20" i="90" a="1"/>
  <c r="N20" i="90" s="1"/>
  <c r="N24" i="26"/>
  <c r="C25" i="5"/>
  <c r="L4" i="8"/>
  <c r="L5" i="8"/>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G1" i="8" a="1"/>
  <c r="I10" i="4" l="1" a="1"/>
  <c r="I10" i="4" s="1"/>
  <c r="L10" i="4" a="1"/>
  <c r="L10" i="4" s="1"/>
  <c r="A10" i="4"/>
  <c r="F10" i="4" s="1" a="1"/>
  <c r="F10" i="4" s="1"/>
  <c r="A22" i="4" a="1"/>
  <c r="G1" i="8"/>
  <c r="E6" i="26" s="1"/>
  <c r="C10" i="4" l="1" a="1"/>
  <c r="C10" i="4" s="1"/>
  <c r="K10" i="4"/>
  <c r="K19" i="4" s="1"/>
  <c r="A22" i="4"/>
  <c r="C22" i="4" s="1" a="1"/>
  <c r="C22" i="4" s="1"/>
  <c r="N10" i="4"/>
  <c r="N19" i="4" s="1"/>
  <c r="N15" i="4"/>
  <c r="N17" i="4"/>
  <c r="N11" i="4"/>
  <c r="N18" i="4"/>
  <c r="N13" i="4"/>
  <c r="N14" i="4"/>
  <c r="N16" i="4"/>
  <c r="N12" i="4"/>
  <c r="H10" i="4"/>
  <c r="H11" i="4"/>
  <c r="H12" i="4"/>
  <c r="H17" i="4"/>
  <c r="H14" i="4"/>
  <c r="H15" i="4"/>
  <c r="H18" i="4"/>
  <c r="H13" i="4"/>
  <c r="H16" i="4"/>
  <c r="N53" i="8"/>
  <c r="D4" i="8"/>
  <c r="N51" i="8"/>
  <c r="N49" i="8"/>
  <c r="F8" i="8" s="1"/>
  <c r="N50" i="8"/>
  <c r="N52" i="8"/>
  <c r="G28" i="8"/>
  <c r="G27" i="8" s="1"/>
  <c r="D2" i="12"/>
  <c r="D3" i="12"/>
  <c r="D6" i="12"/>
  <c r="D8" i="12"/>
  <c r="D4" i="12"/>
  <c r="D7" i="12"/>
  <c r="D9" i="12"/>
  <c r="D5" i="12"/>
  <c r="G17" i="8"/>
  <c r="J6" i="5"/>
  <c r="B7" i="5"/>
  <c r="B5" i="5"/>
  <c r="K13" i="8"/>
  <c r="I22" i="4" l="1" a="1"/>
  <c r="I22" i="4" s="1"/>
  <c r="L22" i="4" a="1"/>
  <c r="L22" i="4" s="1"/>
  <c r="N22" i="4" s="1"/>
  <c r="F22" i="4" a="1"/>
  <c r="F22" i="4" s="1"/>
  <c r="H22" i="4" s="1"/>
  <c r="K11" i="4"/>
  <c r="K15" i="4"/>
  <c r="K13" i="4"/>
  <c r="K14" i="4"/>
  <c r="E18" i="4"/>
  <c r="K16" i="4"/>
  <c r="K18" i="4"/>
  <c r="K12" i="4"/>
  <c r="K17" i="4"/>
  <c r="E22" i="4"/>
  <c r="K22" i="4"/>
  <c r="K24" i="4"/>
  <c r="K25" i="4"/>
  <c r="K26" i="4"/>
  <c r="K27" i="4"/>
  <c r="K28" i="4"/>
  <c r="K29" i="4"/>
  <c r="K23" i="4"/>
  <c r="K30" i="4"/>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H25" i="4" l="1"/>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D14" i="8"/>
  <c r="M62" i="26" s="1"/>
  <c r="D13" i="8"/>
  <c r="G11" i="8" s="1"/>
  <c r="D12" i="8"/>
  <c r="E47" i="8"/>
  <c r="I47" i="8"/>
  <c r="H47" i="8"/>
  <c r="K62" i="26" l="1"/>
  <c r="I62" i="26"/>
  <c r="Q62" i="26"/>
  <c r="D47" i="8"/>
  <c r="F47" i="8"/>
  <c r="G47" i="8"/>
  <c r="I55" i="8"/>
  <c r="H55" i="8"/>
  <c r="G55" i="8"/>
  <c r="F55" i="8"/>
  <c r="E55" i="8"/>
  <c r="D55" i="8"/>
  <c r="I49" i="8"/>
  <c r="H49" i="8"/>
  <c r="G49" i="8"/>
  <c r="G50" i="8" s="1"/>
  <c r="F49" i="8"/>
  <c r="F50" i="8" s="1"/>
  <c r="E49" i="8"/>
  <c r="E50" i="8" s="1"/>
  <c r="D49" i="8"/>
  <c r="D50" i="8" s="1"/>
  <c r="B11" i="21" l="1" a="1"/>
  <c r="I50" i="8"/>
  <c r="I68" i="26"/>
  <c r="H50" i="8"/>
  <c r="I67" i="26"/>
  <c r="B24" i="26"/>
  <c r="J7" i="21"/>
  <c r="B11" i="21" l="1"/>
  <c r="D11" i="21" s="1"/>
  <c r="D16" i="21"/>
  <c r="D12" i="21"/>
  <c r="D13" i="21"/>
  <c r="D14" i="21"/>
  <c r="D15" i="21"/>
  <c r="I10" i="15"/>
  <c r="E30" i="8" l="1"/>
  <c r="I10" i="14"/>
  <c r="P40" i="5"/>
  <c r="L40" i="5"/>
  <c r="O38" i="5"/>
  <c r="J38" i="5"/>
  <c r="R31" i="5"/>
  <c r="L38" i="5" l="1"/>
  <c r="K38" i="5"/>
  <c r="M35" i="5"/>
  <c r="M33" i="5"/>
  <c r="M31" i="5"/>
  <c r="R35" i="5"/>
  <c r="R33" i="5"/>
  <c r="P41" i="5" l="1"/>
  <c r="L41" i="5"/>
  <c r="H30" i="8" l="1"/>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T4" i="4" l="1" a="1"/>
  <c r="T4" i="4" s="1"/>
  <c r="R7" i="4" s="1"/>
  <c r="P2" i="14"/>
  <c r="Q2" i="14" s="1"/>
  <c r="P1" i="14"/>
  <c r="Q1" i="14" s="1"/>
  <c r="P1" i="15"/>
  <c r="Q1" i="15" s="1"/>
  <c r="P2" i="13"/>
  <c r="Q2" i="13" s="1"/>
  <c r="P2" i="15"/>
  <c r="Q2" i="15" s="1"/>
  <c r="P1" i="13"/>
  <c r="Q1" i="13" s="1"/>
  <c r="H19" i="4" a="1"/>
  <c r="H19" i="4" s="1"/>
  <c r="T3" i="4" l="1" a="1"/>
  <c r="T3" i="4" s="1"/>
  <c r="U4" i="4" a="1"/>
  <c r="U4" i="4" s="1"/>
  <c r="O24" i="4"/>
  <c r="U1" i="4" a="1"/>
  <c r="U1" i="4" s="1"/>
  <c r="R2" i="4" s="1"/>
  <c r="R8" i="4" l="1"/>
  <c r="O25" i="4" s="1"/>
  <c r="R5" i="4"/>
  <c r="O22" i="4" s="1"/>
  <c r="T2" i="4" a="1"/>
  <c r="T2" i="4" s="1"/>
  <c r="R3" i="4" s="1"/>
  <c r="T1" i="4" a="1"/>
  <c r="T1" i="4" s="1"/>
  <c r="R1" i="4" s="1"/>
  <c r="U2" i="4" a="1"/>
  <c r="U2" i="4" s="1"/>
  <c r="R4" i="4" s="1"/>
  <c r="O13" i="4" l="1"/>
  <c r="O12" i="4"/>
  <c r="U3" i="4" l="1" a="1"/>
  <c r="U3" i="4" s="1"/>
  <c r="R6" i="4" s="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7D704F-78BC-4371-9C58-212F8A02E30E}" keepAlive="1" name="Query - AggregatedUUTRangeTol" description="Connection to the 'AggregatedUUTRangeTol' query in the workbook." type="5" refreshedVersion="8" background="1" saveData="1">
    <dbPr connection="Provider=Microsoft.Mashup.OleDb.1;Data Source=$Workbook$;Location=AggregatedUUTRangeTol;Extended Properties=&quot;&quot;" command="SELECT * FROM [AggregatedUUTRangeTol]"/>
  </connection>
  <connection id="2"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3"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4"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5"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6"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2"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3"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5"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6"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7"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<sst xmlns="http://schemas.openxmlformats.org/spreadsheetml/2006/main" count="1938" uniqueCount="972">
  <si>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</si>
  <si>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</si>
  <si>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</si>
  <si>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</si>
  <si>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</si>
  <si>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</si>
  <si>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</si>
  <si>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</si>
  <si>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</si>
  <si>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</si>
  <si>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</si>
  <si>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</si>
  <si>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</si>
  <si>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</si>
  <si>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</si>
  <si>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</si>
  <si>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</si>
  <si>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</si>
  <si>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</si>
  <si>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</si>
  <si>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</si>
  <si>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</si>
  <si>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</si>
  <si>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</si>
  <si>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</si>
  <si>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</si>
  <si>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</si>
  <si>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</si>
  <si>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</si>
  <si>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</si>
  <si>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</si>
  <si>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</si>
  <si>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</si>
  <si>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</si>
  <si>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</si>
  <si>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</si>
  <si>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</si>
  <si>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</si>
  <si>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</si>
  <si>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</si>
  <si>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</si>
  <si>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</si>
  <si>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</si>
  <si>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</si>
  <si>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</si>
  <si>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</si>
  <si>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</si>
  <si>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</si>
  <si>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</si>
  <si>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</si>
  <si>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</si>
  <si>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</si>
  <si>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</si>
  <si>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</si>
  <si>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</si>
  <si>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</si>
  <si>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</si>
  <si>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</si>
  <si>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</si>
  <si>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</si>
  <si>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</si>
  <si>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</si>
  <si>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</si>
  <si>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</si>
  <si>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</si>
  <si>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</si>
  <si>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</si>
  <si>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</si>
  <si>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</si>
  <si>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</si>
  <si>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</si>
  <si>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</si>
  <si>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</si>
  <si>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</si>
  <si>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</si>
  <si>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</si>
  <si>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</si>
  <si>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</si>
  <si>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</si>
  <si>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</si>
  <si>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</si>
  <si>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</si>
  <si>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</si>
  <si>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</si>
  <si>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</si>
  <si>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</si>
  <si>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</si>
  <si>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</si>
  <si>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</si>
  <si>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</si>
  <si>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</si>
  <si>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</si>
  <si>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</si>
  <si>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</si>
  <si>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</si>
  <si>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</si>
  <si>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</si>
  <si>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</si>
  <si>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</si>
  <si>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</si>
  <si>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</si>
  <si>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</si>
  <si>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</si>
  <si>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</si>
  <si>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</si>
  <si>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</si>
  <si>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</si>
  <si>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</si>
  <si>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</si>
  <si>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</si>
  <si>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</si>
  <si>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</si>
  <si>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</si>
  <si>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</si>
  <si>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</si>
  <si>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</si>
  <si>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</si>
  <si>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</si>
  <si>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</si>
  <si>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</si>
  <si>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</si>
  <si>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</si>
  <si>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</si>
  <si>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</si>
  <si>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</si>
  <si>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</si>
  <si>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</si>
  <si>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</si>
  <si>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</si>
  <si>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</si>
  <si>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</si>
  <si>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</si>
  <si>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</si>
  <si>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</si>
  <si>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</si>
  <si>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</si>
  <si>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</si>
  <si>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</si>
  <si>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</si>
  <si>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</si>
  <si>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</si>
  <si>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</si>
  <si>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</si>
  <si>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</si>
  <si>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</si>
  <si>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</si>
  <si>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</si>
  <si>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</si>
  <si>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</si>
  <si>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</si>
  <si>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</si>
  <si>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</si>
  <si>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</si>
  <si>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</si>
  <si>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</si>
  <si>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</si>
  <si>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</si>
  <si>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</si>
  <si>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</si>
  <si>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</si>
  <si>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</si>
  <si>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</si>
  <si>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</si>
  <si>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</si>
  <si>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</si>
  <si>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</si>
  <si>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</si>
  <si>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</si>
  <si>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</si>
  <si>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</si>
  <si>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</si>
  <si>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</si>
  <si>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</si>
  <si>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</si>
  <si>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</si>
  <si>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</si>
  <si>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</si>
  <si>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</si>
  <si>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</si>
  <si>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</si>
  <si>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</si>
  <si>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</si>
  <si>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</si>
  <si>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</si>
  <si>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</si>
  <si>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</si>
  <si>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</si>
  <si>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</si>
  <si>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</si>
  <si>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</si>
  <si>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</si>
  <si>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</si>
  <si>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</si>
  <si>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</si>
  <si>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</si>
  <si>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</si>
  <si>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</si>
  <si>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</si>
  <si>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</si>
  <si>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</si>
  <si>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</si>
  <si>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</si>
  <si>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</si>
  <si>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</si>
  <si>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</si>
  <si>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</si>
  <si>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</si>
  <si>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</si>
  <si>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</si>
  <si>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</si>
  <si>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</si>
  <si>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</si>
  <si>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</si>
  <si>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</si>
  <si>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</si>
  <si>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</si>
  <si>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</si>
  <si>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</si>
  <si>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</si>
  <si>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</si>
  <si>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</si>
  <si>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</si>
  <si>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</si>
  <si>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</si>
  <si>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</si>
  <si>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</si>
  <si>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</si>
  <si>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</si>
  <si>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</si>
  <si>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</si>
  <si>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</si>
  <si>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</si>
  <si>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</si>
  <si>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</si>
  <si>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</si>
  <si>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</si>
  <si>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</si>
  <si>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</si>
  <si>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</si>
  <si>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</si>
  <si>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</si>
  <si>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</si>
  <si>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</si>
  <si>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</si>
  <si>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</si>
  <si>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</si>
  <si>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</si>
  <si>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</si>
  <si>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</si>
  <si>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</si>
  <si>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</si>
  <si>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</si>
  <si>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</si>
  <si>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</si>
  <si>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</si>
  <si>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</si>
  <si>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</si>
  <si>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</si>
  <si>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</si>
  <si>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</si>
  <si>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</si>
  <si>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</si>
  <si>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</si>
  <si>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</si>
  <si>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</si>
  <si>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</si>
  <si>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</si>
  <si>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</si>
  <si>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</si>
  <si>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</si>
  <si>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</si>
  <si>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</si>
  <si>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</si>
  <si>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</si>
  <si>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</si>
  <si>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</si>
  <si>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</si>
  <si>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</si>
  <si>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</si>
  <si>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</si>
  <si>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</si>
  <si>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</si>
  <si>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</si>
  <si>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</si>
  <si>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</si>
  <si>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</si>
  <si>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</si>
  <si>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</si>
  <si>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</si>
  <si>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</si>
  <si>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</si>
  <si>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</si>
  <si>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</si>
  <si>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</si>
  <si>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</si>
  <si>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</si>
  <si>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</si>
  <si>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</si>
  <si>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</si>
  <si>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</si>
  <si>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</si>
  <si>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</si>
  <si>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</si>
  <si>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</si>
  <si>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</si>
  <si>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</si>
  <si>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</si>
  <si>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</si>
  <si>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</si>
  <si>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</si>
  <si>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</si>
  <si>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</si>
  <si>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</si>
  <si>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</si>
  <si>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</si>
  <si>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</si>
  <si>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</si>
  <si>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</si>
  <si>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</si>
  <si>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</si>
  <si>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</si>
  <si>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</si>
  <si>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</si>
  <si>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</si>
  <si>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</si>
  <si>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</si>
  <si>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</si>
  <si>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</si>
  <si>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</si>
  <si>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</si>
  <si>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</si>
  <si>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</si>
  <si>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</si>
  <si>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</si>
  <si>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</si>
  <si>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</si>
  <si>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</si>
  <si>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</si>
  <si>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</si>
  <si>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</si>
  <si>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</si>
  <si>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</si>
  <si>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</si>
  <si>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</si>
  <si>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</si>
  <si>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</si>
  <si>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</si>
  <si>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</si>
  <si>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</si>
  <si>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</si>
  <si>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</si>
  <si>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</si>
  <si>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</si>
  <si>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</si>
  <si>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</si>
  <si>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</si>
  <si>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</si>
  <si>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</si>
  <si>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</si>
  <si>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</si>
  <si>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</si>
  <si>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</si>
  <si>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</si>
  <si>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</si>
  <si>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</si>
  <si>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</si>
  <si>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</si>
  <si>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</si>
  <si>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</si>
  <si>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</si>
  <si>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</si>
  <si>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</si>
  <si>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</si>
  <si>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</si>
  <si>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</si>
  <si>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</si>
  <si>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</si>
  <si>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</si>
  <si>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</si>
  <si>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</si>
  <si>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</si>
  <si>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</si>
  <si>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</si>
  <si>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</si>
  <si>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</si>
  <si>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</si>
  <si>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</si>
  <si>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</si>
  <si>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</si>
  <si>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</si>
  <si>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</si>
  <si>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</si>
  <si>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</si>
  <si>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</si>
  <si>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</si>
  <si>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</si>
  <si>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</si>
  <si>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</si>
  <si>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</si>
  <si>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</si>
  <si>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</si>
  <si>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</si>
  <si>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</si>
  <si>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</si>
  <si>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</si>
  <si>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</si>
  <si>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</si>
  <si>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</si>
  <si>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</si>
  <si>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</si>
  <si>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</si>
  <si>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</si>
  <si>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</si>
  <si>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</si>
  <si>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</si>
  <si>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</si>
  <si>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</si>
  <si>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</si>
  <si>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</si>
  <si>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</si>
  <si>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</si>
  <si>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</si>
  <si>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</si>
  <si>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</si>
  <si>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</si>
  <si>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</si>
  <si>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</si>
  <si>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</si>
  <si>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</si>
  <si>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</si>
  <si>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</si>
  <si>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</si>
  <si>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</si>
  <si>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</si>
  <si>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</si>
  <si>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</si>
  <si>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</si>
  <si>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</si>
  <si>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</si>
  <si>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</si>
  <si>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</si>
  <si>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</si>
  <si>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</si>
  <si>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</si>
  <si>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</si>
  <si>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</si>
  <si>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</si>
  <si>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</si>
  <si>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</si>
  <si>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</si>
  <si>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</si>
  <si>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</si>
  <si>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</si>
  <si>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</si>
  <si>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</si>
  <si>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</si>
  <si>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</si>
  <si>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</si>
  <si>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</si>
  <si>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</si>
  <si>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</si>
  <si>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</si>
  <si>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</si>
  <si>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</si>
  <si>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</si>
  <si>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</si>
  <si>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</si>
  <si>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</si>
  <si>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</si>
  <si>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</si>
  <si>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</si>
  <si>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</si>
  <si>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</si>
  <si>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</si>
  <si>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</si>
  <si>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</si>
  <si>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</si>
  <si>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</si>
  <si>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</si>
  <si>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</si>
  <si>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</si>
  <si>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</si>
  <si>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</si>
  <si>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</si>
  <si>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</si>
  <si>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</si>
  <si>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</si>
  <si>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</si>
  <si>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</si>
  <si>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</si>
  <si>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</si>
  <si>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</si>
  <si>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</si>
  <si>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</si>
  <si>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</si>
  <si>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</si>
  <si>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</si>
  <si>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</si>
  <si>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</si>
  <si>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</si>
  <si>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</si>
  <si>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</si>
  <si>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</si>
  <si>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</si>
  <si>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</si>
  <si>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</si>
  <si>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</si>
  <si>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</si>
  <si>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</si>
  <si>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</si>
  <si>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</si>
  <si>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</si>
  <si>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</si>
  <si>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</si>
  <si>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</si>
  <si>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</si>
  <si>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</si>
  <si>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</si>
  <si>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</si>
  <si>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</si>
  <si>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</si>
  <si>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</si>
  <si>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</si>
  <si>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</si>
  <si>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</si>
  <si>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</si>
  <si>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</si>
  <si>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</si>
  <si>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</si>
  <si>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</si>
  <si>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</si>
  <si>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</si>
  <si>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</si>
  <si>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</si>
  <si>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</si>
  <si>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</si>
  <si>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</si>
  <si>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</si>
  <si>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</si>
  <si>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</si>
  <si>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</si>
  <si>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</si>
  <si>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</si>
  <si>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</si>
  <si>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</si>
  <si>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</si>
  <si>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</si>
  <si>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</si>
  <si>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</si>
  <si>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</si>
  <si>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</si>
  <si>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</si>
  <si>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</si>
  <si>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</si>
  <si>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</si>
  <si>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</si>
  <si>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</si>
  <si>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</si>
  <si>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</si>
  <si>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</si>
  <si>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</si>
  <si>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</si>
  <si>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</si>
  <si>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</si>
  <si>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</si>
  <si>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</si>
  <si>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</si>
  <si>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</si>
  <si>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</si>
  <si>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</si>
  <si>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</si>
  <si>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</si>
  <si>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</si>
  <si>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</si>
  <si>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</si>
  <si>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</si>
  <si>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</si>
  <si>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</si>
  <si>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</si>
  <si>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</si>
  <si>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</si>
  <si>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</si>
  <si>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</si>
  <si>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</si>
  <si>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</si>
  <si>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</si>
  <si>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</si>
  <si>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</si>
  <si>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</si>
  <si>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</si>
  <si>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</si>
  <si>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</si>
  <si>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</si>
  <si>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</si>
  <si>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</si>
  <si>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</si>
  <si>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</si>
  <si>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</si>
  <si>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</si>
  <si>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</si>
  <si>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</si>
  <si>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</si>
  <si>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</si>
  <si>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</si>
  <si>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</si>
  <si>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</si>
  <si>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</si>
  <si>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</si>
  <si>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</si>
  <si>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</si>
  <si>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</si>
  <si>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</si>
  <si>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</si>
  <si>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</si>
  <si>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</si>
  <si>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</si>
  <si>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</si>
  <si>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</si>
  <si>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</si>
  <si>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</si>
  <si>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</si>
  <si>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</si>
  <si>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</si>
  <si>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</si>
  <si>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</si>
  <si>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</si>
  <si>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</si>
  <si>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</si>
  <si>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</si>
  <si>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</si>
  <si>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</si>
  <si>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</si>
  <si>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</si>
  <si>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</si>
  <si>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</si>
  <si>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</si>
  <si>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</si>
  <si>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</si>
  <si>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</si>
  <si>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</si>
  <si>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</si>
  <si>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</si>
  <si>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</si>
  <si>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</si>
  <si>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</si>
  <si>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</si>
  <si>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</si>
  <si>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</si>
  <si>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</si>
  <si>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</si>
  <si>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</si>
  <si>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</si>
  <si>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</si>
  <si>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</si>
  <si>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</si>
  <si>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</si>
  <si>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</si>
  <si>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</si>
  <si>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</si>
  <si>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</si>
  <si>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</si>
  <si>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</si>
  <si>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</si>
  <si>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</si>
  <si>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</si>
  <si>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</si>
  <si>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</si>
  <si>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</si>
  <si>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</si>
  <si>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</si>
  <si>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</si>
  <si>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</si>
  <si>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</si>
  <si>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</si>
  <si>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</si>
  <si>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</si>
  <si>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</si>
  <si>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</si>
  <si>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</si>
  <si>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</si>
  <si>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</si>
  <si>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</si>
  <si>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</si>
  <si>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</si>
  <si>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</si>
  <si>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</si>
  <si>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</si>
  <si>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</si>
  <si>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</si>
  <si>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</si>
  <si>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</si>
  <si>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</si>
  <si>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</si>
  <si>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</si>
  <si>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</si>
  <si>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</si>
  <si>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</si>
  <si>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</si>
  <si>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</si>
  <si>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</si>
  <si>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</si>
  <si>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</si>
  <si>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</si>
  <si>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</si>
  <si>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</si>
  <si>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</si>
  <si>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</si>
  <si>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</si>
  <si>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</si>
  <si>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</si>
  <si>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</si>
  <si>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</si>
  <si>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</si>
  <si>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</si>
  <si>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</si>
  <si>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</si>
  <si>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</si>
  <si>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</si>
  <si>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</si>
  <si>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</si>
  <si>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</si>
  <si>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</si>
  <si>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</si>
  <si>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</si>
  <si>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</si>
  <si>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</si>
  <si>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</si>
  <si>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</si>
  <si>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</si>
  <si>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</si>
  <si>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</si>
  <si>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</si>
  <si>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</si>
  <si>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</si>
  <si>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</si>
  <si>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</si>
  <si>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</si>
  <si>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</si>
  <si>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</si>
  <si>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</si>
  <si>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</si>
  <si>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</si>
  <si>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</si>
  <si>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</si>
  <si>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</si>
  <si>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</si>
  <si>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</si>
  <si>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</si>
  <si>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</si>
  <si>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</si>
  <si>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</si>
  <si>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</si>
  <si>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</si>
  <si>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</si>
  <si>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</si>
  <si>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</si>
  <si>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</si>
  <si>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</si>
  <si>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</si>
  <si>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</si>
  <si>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</si>
  <si>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</si>
  <si>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</si>
  <si>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</si>
  <si>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</si>
  <si>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</si>
  <si>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</si>
  <si>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</si>
  <si>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</si>
  <si>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</si>
  <si>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</si>
  <si>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</si>
  <si>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</si>
  <si>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</si>
  <si>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</si>
  <si>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</si>
  <si>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</si>
  <si>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</si>
  <si>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</si>
  <si>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</si>
  <si>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</si>
  <si>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</si>
  <si>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</si>
  <si>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</si>
  <si>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</si>
  <si>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</si>
  <si>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</si>
  <si>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</si>
  <si>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</si>
  <si>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</si>
  <si>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</si>
  <si>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</si>
  <si>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</si>
  <si>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</si>
  <si>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</si>
  <si>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</si>
  <si>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</si>
  <si>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</si>
  <si>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</si>
  <si>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</si>
  <si>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</si>
  <si>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</si>
  <si>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</si>
  <si>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</si>
  <si>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</si>
  <si>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</si>
  <si>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</si>
  <si>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</si>
  <si>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</si>
  <si>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</si>
  <si>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</si>
  <si>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</si>
  <si>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</si>
  <si>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</si>
  <si>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</si>
  <si>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</si>
  <si>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</si>
  <si>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</si>
  <si>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</si>
  <si>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</si>
  <si>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</si>
  <si>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</si>
  <si>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</si>
  <si>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</si>
  <si>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</si>
  <si>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</si>
  <si>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</si>
  <si>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</si>
  <si>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</si>
  <si>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</si>
  <si>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</si>
  <si>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</si>
  <si>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</si>
  <si>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</si>
  <si>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</si>
  <si>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</si>
  <si>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</si>
  <si>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</si>
  <si>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</si>
  <si>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</si>
  <si>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</si>
  <si>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</si>
  <si>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</si>
  <si>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</si>
  <si>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</si>
  <si>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</si>
  <si>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</si>
  <si>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</si>
  <si>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</si>
  <si>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</si>
  <si>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</si>
  <si>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</si>
  <si>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</si>
  <si>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</si>
  <si>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</si>
  <si>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</si>
  <si>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</si>
  <si>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</si>
  <si>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</si>
  <si>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</si>
  <si>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</si>
  <si>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</si>
  <si>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</si>
  <si>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</si>
  <si>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</si>
  <si>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</si>
  <si>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</si>
  <si>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</si>
  <si>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</si>
  <si>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</si>
  <si>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</si>
  <si>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</si>
  <si>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</si>
  <si>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</si>
  <si>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</si>
  <si>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</si>
  <si>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</si>
  <si>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</si>
  <si>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</si>
  <si>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</si>
  <si>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</si>
  <si>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</si>
  <si>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</si>
  <si>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</si>
  <si>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</si>
  <si>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</si>
  <si>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</si>
  <si>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</si>
  <si>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</si>
  <si>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</si>
  <si>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</si>
  <si>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</si>
  <si>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</si>
  <si>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</si>
  <si>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</si>
  <si>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</si>
  <si>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</si>
  <si>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</si>
  <si>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</si>
  <si>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</si>
  <si>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</si>
  <si>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</si>
  <si>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</si>
  <si>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</si>
  <si>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</si>
  <si>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</si>
  <si>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</si>
  <si>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</si>
  <si>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</si>
  <si>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</si>
  <si>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</si>
  <si>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</si>
  <si>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</si>
  <si>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</si>
  <si>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</si>
  <si>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</si>
  <si>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</si>
  <si>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</si>
  <si>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</si>
  <si>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</si>
  <si>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</si>
  <si>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</si>
  <si>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</si>
  <si>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</si>
  <si>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</si>
  <si>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</si>
  <si>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</si>
  <si>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</si>
  <si>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</si>
  <si>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</si>
  <si>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</si>
  <si>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</si>
  <si>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</si>
  <si>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</si>
  <si>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</si>
  <si>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point</t>
  </si>
  <si>
    <t>WireLotNumber</t>
  </si>
  <si>
    <t>DaqbookOffset</t>
  </si>
  <si>
    <t>TCOffset</t>
  </si>
  <si>
    <t>CummulativeOffset</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</si>
  <si>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</si>
  <si>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</si>
  <si>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</si>
  <si>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</si>
  <si>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</si>
  <si>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</si>
  <si>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</si>
  <si>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</si>
  <si>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</si>
  <si>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</si>
  <si>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</si>
  <si>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</si>
  <si>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</si>
  <si>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</si>
  <si>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</si>
  <si>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</si>
  <si>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</si>
  <si>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Ranges</t>
  </si>
  <si>
    <t>Tolerances</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</si>
  <si>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</si>
  <si>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</si>
  <si>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</si>
  <si>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</si>
  <si>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</si>
  <si>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</si>
  <si>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</si>
  <si>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</si>
  <si>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</si>
  <si>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SAT Tolerance</t>
  </si>
  <si>
    <t>Dropped</t>
  </si>
  <si>
    <t>Out Of Tolerance</t>
  </si>
  <si>
    <t>Ver. 11.07.25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</si>
</sst>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1"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s>
  <fills count="18">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5">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1" fillId="0" borderId="0" applyNumberFormat="0" applyFill="0" applyBorder="0" applyAlignment="0" applyProtection="0"/>
  </cellStyleXfs>
  <cellXfs count="660">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90" fillId="8" borderId="4" xfId="0" applyFont="1" applyFill="1" applyBorder="1" applyAlignment="1">
      <alignment horizontal="left"/>
    </xf>
    <xf numFmtId="0" fontId="91" fillId="8" borderId="4" xfId="0" applyFont="1" applyFill="1" applyBorder="1" applyAlignment="1">
      <alignment horizontal="right"/>
    </xf>
    <xf numFmtId="0" fontId="91" fillId="8" borderId="7" xfId="0" applyFont="1" applyFill="1" applyBorder="1"/>
    <xf numFmtId="0" fontId="91" fillId="8" borderId="13" xfId="0" applyFont="1" applyFill="1" applyBorder="1"/>
    <xf numFmtId="0" fontId="91" fillId="8" borderId="16" xfId="0" applyFont="1" applyFill="1" applyBorder="1"/>
    <xf numFmtId="0" fontId="90" fillId="8" borderId="4" xfId="0" applyFont="1" applyFill="1" applyBorder="1"/>
    <xf numFmtId="0" fontId="68" fillId="2" borderId="0" xfId="0" applyFont="1" applyFill="1" applyAlignment="1" applyProtection="1">
      <alignment horizontal="left" vertical="top"/>
      <protection locked="0"/>
    </xf>
    <xf numFmtId="0" fontId="91" fillId="8" borderId="7" xfId="0" applyFont="1" applyFill="1" applyBorder="1" applyAlignment="1">
      <alignment horizontal="left"/>
    </xf>
    <xf numFmtId="0" fontId="91" fillId="8" borderId="13" xfId="0" applyFont="1" applyFill="1" applyBorder="1" applyAlignment="1">
      <alignment horizontal="right"/>
    </xf>
    <xf numFmtId="0" fontId="91" fillId="8" borderId="12" xfId="0" applyFont="1" applyFill="1" applyBorder="1" applyAlignment="1">
      <alignment horizontal="right"/>
    </xf>
    <xf numFmtId="0" fontId="90"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9" fillId="0" borderId="0" xfId="1" applyFont="1"/>
    <xf numFmtId="0" fontId="99" fillId="0" borderId="0" xfId="1" applyFont="1" applyAlignment="1">
      <alignment horizontal="center"/>
    </xf>
    <xf numFmtId="0" fontId="98" fillId="0" borderId="0" xfId="1" applyFont="1"/>
    <xf numFmtId="0" fontId="100"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2" fillId="0" borderId="15" xfId="0" applyNumberFormat="1" applyFont="1" applyBorder="1"/>
    <xf numFmtId="181" fontId="102" fillId="0" borderId="0" xfId="0" applyNumberFormat="1" applyFont="1"/>
    <xf numFmtId="0" fontId="102" fillId="0" borderId="0" xfId="0" applyFont="1"/>
    <xf numFmtId="0" fontId="61" fillId="0" borderId="9" xfId="0" applyFont="1" applyBorder="1"/>
    <xf numFmtId="0" fontId="61" fillId="0" borderId="18" xfId="0" applyFont="1" applyBorder="1"/>
    <xf numFmtId="0" fontId="106" fillId="0" borderId="0" xfId="0" applyFont="1" applyAlignment="1">
      <alignment horizontal="center"/>
    </xf>
    <xf numFmtId="0" fontId="107" fillId="0" borderId="0" xfId="0" applyFont="1"/>
    <xf numFmtId="0" fontId="38" fillId="0" borderId="0" xfId="0" applyFont="1" applyAlignment="1">
      <alignment horizontal="right"/>
    </xf>
    <xf numFmtId="0" fontId="109" fillId="0" borderId="0" xfId="0" applyFont="1"/>
    <xf numFmtId="0" fontId="102" fillId="0" borderId="15" xfId="0" applyFont="1" applyBorder="1" applyAlignment="1">
      <alignment horizontal="left"/>
    </xf>
    <xf numFmtId="0" fontId="102" fillId="0" borderId="15" xfId="0" applyFont="1" applyBorder="1"/>
    <xf numFmtId="0" fontId="102"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2" fillId="0" borderId="21" xfId="0" applyFont="1" applyBorder="1" applyAlignment="1">
      <alignment horizontal="left"/>
    </xf>
    <xf numFmtId="180" fontId="102"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2" fillId="0" borderId="15" xfId="0" applyNumberFormat="1" applyFont="1" applyBorder="1"/>
    <xf numFmtId="166" fontId="102" fillId="0" borderId="0" xfId="0" applyNumberFormat="1" applyFont="1"/>
    <xf numFmtId="0" fontId="105" fillId="0" borderId="0" xfId="0" applyFont="1"/>
    <xf numFmtId="0" fontId="110" fillId="0" borderId="0" xfId="0" applyFont="1"/>
    <xf numFmtId="0" fontId="102" fillId="0" borderId="21" xfId="0" applyFont="1" applyBorder="1"/>
    <xf numFmtId="180" fontId="102" fillId="0" borderId="15" xfId="0" applyNumberFormat="1" applyFont="1" applyBorder="1" applyAlignment="1">
      <alignment horizontal="left"/>
    </xf>
    <xf numFmtId="180" fontId="102" fillId="0" borderId="21" xfId="0" applyNumberFormat="1" applyFont="1" applyBorder="1" applyAlignment="1">
      <alignment horizontal="left"/>
    </xf>
    <xf numFmtId="0" fontId="113"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9" fillId="0" borderId="0" xfId="0" applyFont="1" applyAlignment="1">
      <alignment horizontal="left"/>
    </xf>
    <xf numFmtId="182" fontId="50" fillId="0" borderId="0" xfId="1" applyNumberFormat="1" applyAlignment="1">
      <alignment horizontal="left"/>
    </xf>
    <xf numFmtId="0" fontId="120"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2" fillId="0" borderId="0" xfId="1" applyFont="1"/>
    <xf numFmtId="0" fontId="123" fillId="0" borderId="0" xfId="1" applyFont="1"/>
    <xf numFmtId="0" fontId="122" fillId="0" borderId="0" xfId="1" applyFont="1" applyAlignment="1">
      <alignment horizontal="center"/>
    </xf>
    <xf numFmtId="0" fontId="123" fillId="0" borderId="0" xfId="1" applyFont="1" applyAlignment="1">
      <alignment horizontal="center"/>
    </xf>
    <xf numFmtId="0" fontId="124" fillId="0" borderId="0" xfId="0" applyFont="1"/>
    <xf numFmtId="172" fontId="76" fillId="5" borderId="4" xfId="0" applyNumberFormat="1" applyFont="1" applyFill="1" applyBorder="1" applyAlignment="1">
      <alignment horizontal="left"/>
    </xf>
    <xf numFmtId="0" fontId="122"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7"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7"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7" fillId="2" borderId="0" xfId="0" applyNumberFormat="1" applyFont="1" applyFill="1"/>
    <xf numFmtId="1" fontId="71" fillId="2" borderId="0" xfId="0" applyNumberFormat="1" applyFont="1" applyFill="1"/>
    <xf numFmtId="0" fontId="116" fillId="2" borderId="0" xfId="0" applyFont="1" applyFill="1"/>
    <xf numFmtId="0" fontId="118" fillId="2" borderId="0" xfId="0" applyFont="1" applyFill="1"/>
    <xf numFmtId="176" fontId="117"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88" fillId="2" borderId="0" xfId="0" applyFont="1" applyFill="1" applyAlignment="1">
      <alignment vertical="top"/>
    </xf>
    <xf numFmtId="0" fontId="73" fillId="2" borderId="0" xfId="0" applyFont="1" applyFill="1" applyAlignment="1">
      <alignment vertical="top"/>
    </xf>
    <xf numFmtId="0" fontId="25" fillId="9" borderId="21" xfId="0" applyFont="1" applyFill="1" applyBorder="1" applyAlignment="1">
      <alignment horizontal="center"/>
    </xf>
    <xf numFmtId="0" fontId="72"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7" fillId="2" borderId="0" xfId="0" applyFont="1" applyFill="1"/>
    <xf numFmtId="0" fontId="20" fillId="9" borderId="20" xfId="0" applyFont="1" applyFill="1" applyBorder="1" applyAlignment="1">
      <alignment horizontal="center"/>
    </xf>
    <xf numFmtId="0" fontId="89" fillId="2" borderId="0" xfId="0" applyFont="1" applyFill="1" applyAlignment="1">
      <alignment horizontal="left" vertical="top"/>
    </xf>
    <xf numFmtId="0" fontId="96" fillId="2" borderId="0" xfId="0" applyFont="1" applyFill="1"/>
    <xf numFmtId="164" fontId="6" fillId="9" borderId="20" xfId="0" applyNumberFormat="1" applyFont="1" applyFill="1" applyBorder="1"/>
    <xf numFmtId="0" fontId="88" fillId="2" borderId="0" xfId="0" applyFont="1" applyFill="1" applyAlignment="1">
      <alignment wrapText="1"/>
    </xf>
    <xf numFmtId="0" fontId="53" fillId="2" borderId="0" xfId="0" applyFont="1" applyFill="1"/>
    <xf numFmtId="0" fontId="114" fillId="2" borderId="0" xfId="0" applyFont="1" applyFill="1"/>
    <xf numFmtId="0" fontId="115" fillId="2" borderId="0" xfId="0" applyFont="1" applyFill="1" applyAlignment="1">
      <alignment horizontal="right"/>
    </xf>
    <xf numFmtId="0" fontId="92" fillId="2" borderId="0" xfId="0" applyFont="1" applyFill="1" applyAlignment="1">
      <alignment horizontal="right" wrapText="1"/>
    </xf>
    <xf numFmtId="0" fontId="92" fillId="2" borderId="0" xfId="0" applyFont="1" applyFill="1" applyAlignment="1">
      <alignment horizontal="left" vertical="top"/>
    </xf>
    <xf numFmtId="0" fontId="92" fillId="2" borderId="0" xfId="0" applyFont="1" applyFill="1" applyAlignment="1">
      <alignment horizontal="left"/>
    </xf>
    <xf numFmtId="0" fontId="92" fillId="2" borderId="0" xfId="0" applyFont="1" applyFill="1"/>
    <xf numFmtId="164" fontId="93"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4" fillId="2" borderId="0" xfId="0" applyFont="1" applyFill="1" applyAlignment="1">
      <alignment horizontal="right" wrapText="1"/>
    </xf>
    <xf numFmtId="0" fontId="95" fillId="2" borderId="0" xfId="0" applyFont="1" applyFill="1" applyAlignment="1">
      <alignment horizontal="left" vertical="top"/>
    </xf>
    <xf numFmtId="0" fontId="95" fillId="2" borderId="0" xfId="0" applyFont="1" applyFill="1" applyAlignment="1">
      <alignment horizontal="left"/>
    </xf>
    <xf numFmtId="0" fontId="95" fillId="2" borderId="0" xfId="0" applyFont="1" applyFill="1"/>
    <xf numFmtId="0" fontId="95" fillId="2" borderId="0" xfId="0" applyFont="1" applyFill="1" applyAlignment="1">
      <alignment horizontal="right" wrapText="1"/>
    </xf>
    <xf numFmtId="0" fontId="94" fillId="2" borderId="0" xfId="0" applyFont="1" applyFill="1"/>
    <xf numFmtId="164" fontId="92" fillId="2" borderId="0" xfId="0" applyNumberFormat="1" applyFont="1" applyFill="1"/>
    <xf numFmtId="0" fontId="75" fillId="2" borderId="0" xfId="0" applyFont="1" applyFill="1" applyAlignment="1">
      <alignment horizontal="right" wrapText="1"/>
    </xf>
    <xf numFmtId="0" fontId="75" fillId="2" borderId="0" xfId="0" applyFont="1" applyFill="1" applyAlignment="1">
      <alignment horizontal="left" vertical="top"/>
    </xf>
    <xf numFmtId="0" fontId="75"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1"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7" fillId="11" borderId="7" xfId="0" applyNumberFormat="1" applyFont="1" applyFill="1" applyBorder="1"/>
    <xf numFmtId="164" fontId="97" fillId="11" borderId="13" xfId="0" applyNumberFormat="1" applyFont="1" applyFill="1" applyBorder="1"/>
    <xf numFmtId="164" fontId="119" fillId="11" borderId="12" xfId="0" applyNumberFormat="1" applyFont="1" applyFill="1" applyBorder="1" applyAlignment="1">
      <alignment horizontal="right"/>
    </xf>
    <xf numFmtId="0" fontId="97" fillId="11" borderId="7" xfId="0" applyFont="1" applyFill="1" applyBorder="1"/>
    <xf numFmtId="0" fontId="97" fillId="11" borderId="13" xfId="0" applyFont="1" applyFill="1" applyBorder="1"/>
    <xf numFmtId="0" fontId="119" fillId="11" borderId="12" xfId="0" applyFont="1" applyFill="1" applyBorder="1" applyAlignment="1">
      <alignment horizontal="right"/>
    </xf>
    <xf numFmtId="0" fontId="96" fillId="11" borderId="7" xfId="0" applyFont="1" applyFill="1" applyBorder="1"/>
    <xf numFmtId="0" fontId="96"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5"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6" fillId="14" borderId="0" xfId="0" applyFont="1" applyFill="1" applyAlignment="1">
      <alignment horizontal="center"/>
    </xf>
    <xf numFmtId="0" fontId="126" fillId="14" borderId="30"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1" xfId="0" applyFont="1" applyFill="1" applyBorder="1" applyAlignment="1">
      <alignment horizontal="left"/>
    </xf>
    <xf numFmtId="164" fontId="0" fillId="16" borderId="32"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7" fillId="2" borderId="0" xfId="0" applyFont="1" applyFill="1" applyAlignment="1" applyProtection="1">
      <alignment horizontal="right" wrapText="1"/>
      <protection locked="0" hidden="1"/>
    </xf>
    <xf numFmtId="0" fontId="117" fillId="2" borderId="0" xfId="0" applyFont="1" applyFill="1" applyProtection="1">
      <protection locked="0" hidden="1"/>
    </xf>
    <xf numFmtId="0" fontId="79" fillId="2" borderId="0" xfId="0" applyFont="1" applyFill="1" applyProtection="1">
      <protection locked="0" hidden="1"/>
    </xf>
    <xf numFmtId="0" fontId="127" fillId="0" borderId="0" xfId="1" applyFont="1"/>
    <xf numFmtId="165" fontId="128" fillId="0" borderId="0" xfId="1" applyNumberFormat="1" applyFont="1"/>
    <xf numFmtId="165" fontId="128" fillId="0" borderId="1" xfId="1" applyNumberFormat="1" applyFont="1" applyBorder="1"/>
    <xf numFmtId="169" fontId="92" fillId="2" borderId="0" xfId="0" applyNumberFormat="1" applyFont="1" applyFill="1"/>
    <xf numFmtId="22" fontId="68" fillId="2" borderId="0" xfId="0" applyNumberFormat="1" applyFont="1" applyFill="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9" fillId="0" borderId="0" xfId="0" applyNumberFormat="1" applyFont="1" applyProtection="1">
      <protection locked="0"/>
    </xf>
    <xf numFmtId="49" fontId="20" fillId="10" borderId="4" xfId="0" applyNumberFormat="1" applyFont="1" applyFill="1" applyBorder="1" applyAlignment="1">
      <alignment horizontal="left"/>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7"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3"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22" fontId="0" fillId="0" borderId="0" xfId="0" applyNumberForma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166" fontId="20" fillId="13" borderId="4" xfId="0" applyNumberFormat="1" applyFont="1" applyFill="1" applyBorder="1" applyAlignment="1">
      <alignment horizontal="right"/>
    </xf>
    <xf numFmtId="49" fontId="20" fillId="3" borderId="8" xfId="0" applyNumberFormat="1" applyFont="1" applyFill="1" applyBorder="1" applyAlignment="1" applyProtection="1">
      <alignment horizontal="right" vertical="top"/>
      <protection locked="0"/>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vertical="top"/>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vertical="top"/>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22" fillId="0" borderId="0" xfId="1" applyNumberFormat="1" applyFont="1" applyAlignment="1">
      <alignment horizontal="center"/>
    </xf>
    <xf numFmtId="0" fontId="130" fillId="0" borderId="1" xfId="1" applyFont="1" applyBorder="1"/>
    <xf numFmtId="0" fontId="130"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184" fontId="92" fillId="2" borderId="0" xfId="0" applyNumberFormat="1" applyFont="1" applyFill="1"/>
    <xf numFmtId="0" fontId="126" fillId="14" borderId="34" xfId="0" applyFont="1" applyFill="1" applyBorder="1" applyAlignment="1">
      <alignment horizontal="center"/>
    </xf>
    <xf numFmtId="165" fontId="78" fillId="5" borderId="4" xfId="0" applyNumberFormat="1" applyFont="1" applyFill="1" applyBorder="1"/>
    <xf numFmtId="0" fontId="126" fillId="15" borderId="14" xfId="0" applyFont="1" applyFill="1" applyBorder="1" applyAlignment="1">
      <alignment horizontal="center"/>
    </xf>
    <xf numFmtId="0" fontId="126" fillId="15" borderId="16" xfId="0" applyFont="1" applyFill="1" applyBorder="1" applyAlignment="1">
      <alignment horizontal="center"/>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78" fillId="5" borderId="7" xfId="0" applyFont="1" applyFill="1" applyBorder="1" applyAlignment="1">
      <alignment horizontal="left"/>
    </xf>
    <xf numFmtId="0" fontId="78" fillId="5" borderId="12" xfId="0" applyFont="1" applyFill="1" applyBorder="1" applyAlignment="1">
      <alignment horizontal="left"/>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4"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11" fillId="0" borderId="0" xfId="0" applyFont="1" applyAlignment="1">
      <alignment horizontal="left" vertical="top"/>
    </xf>
    <xf numFmtId="0" fontId="106"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3" fillId="12" borderId="21" xfId="0" applyFont="1" applyFill="1" applyBorder="1" applyAlignment="1">
      <alignment horizontal="center"/>
    </xf>
    <xf numFmtId="0" fontId="103" fillId="12" borderId="14" xfId="0" applyFont="1" applyFill="1" applyBorder="1" applyAlignment="1">
      <alignment horizontal="center"/>
    </xf>
    <xf numFmtId="0" fontId="103" fillId="12" borderId="15" xfId="0" applyFont="1" applyFill="1" applyBorder="1" applyAlignment="1">
      <alignment horizontal="center"/>
    </xf>
    <xf numFmtId="0" fontId="103" fillId="12" borderId="16" xfId="0" applyFont="1" applyFill="1" applyBorder="1" applyAlignment="1">
      <alignment horizontal="center"/>
    </xf>
    <xf numFmtId="0" fontId="0" fillId="0" borderId="0" xfId="0" applyAlignment="1">
      <alignment horizontal="center"/>
    </xf>
    <xf numFmtId="0" fontId="112" fillId="0" borderId="21" xfId="0" applyFont="1" applyBorder="1" applyAlignment="1">
      <alignment horizontal="center"/>
    </xf>
    <xf numFmtId="0" fontId="102" fillId="0" borderId="0" xfId="0" applyFont="1" applyAlignment="1">
      <alignment horizontal="left" vertical="top" wrapText="1"/>
    </xf>
    <xf numFmtId="0" fontId="102" fillId="0" borderId="0" xfId="0" applyFont="1" applyAlignment="1">
      <alignment horizontal="left"/>
    </xf>
    <xf numFmtId="0" fontId="102" fillId="0" borderId="15" xfId="0" applyFont="1" applyBorder="1" applyAlignment="1">
      <alignment horizontal="left"/>
    </xf>
    <xf numFmtId="0" fontId="102" fillId="0" borderId="21" xfId="0" applyFont="1" applyBorder="1" applyAlignment="1">
      <alignment horizontal="left"/>
    </xf>
    <xf numFmtId="0" fontId="6" fillId="0" borderId="0" xfId="0" applyFont="1" applyAlignment="1">
      <alignment horizontal="left" vertical="top" wrapText="1"/>
    </xf>
    <xf numFmtId="0" fontId="108"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103" fillId="12" borderId="0" xfId="0" applyFont="1" applyFill="1" applyAlignment="1">
      <alignment horizontal="center"/>
    </xf>
    <xf numFmtId="0" fontId="102"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1" fillId="0" borderId="7" xfId="0" applyNumberFormat="1" applyFont="1" applyBorder="1" applyAlignment="1">
      <alignment horizontal="center"/>
    </xf>
    <xf numFmtId="164" fontId="121" fillId="0" borderId="13" xfId="0" applyNumberFormat="1" applyFont="1" applyBorder="1" applyAlignment="1">
      <alignment horizontal="center"/>
    </xf>
    <xf numFmtId="164" fontId="121"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21" fillId="0" borderId="7" xfId="0" applyFont="1" applyBorder="1" applyAlignment="1">
      <alignment horizontal="center" vertical="top" wrapText="1"/>
    </xf>
    <xf numFmtId="0" fontId="121" fillId="0" borderId="13" xfId="0" applyFont="1" applyBorder="1" applyAlignment="1">
      <alignment horizontal="center" vertical="top" wrapText="1"/>
    </xf>
    <xf numFmtId="0" fontId="121"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21" fillId="0" borderId="7" xfId="0" applyFont="1" applyBorder="1" applyAlignment="1">
      <alignment horizontal="center"/>
    </xf>
    <xf numFmtId="0" fontId="121" fillId="0" borderId="13" xfId="0" applyFont="1" applyBorder="1" applyAlignment="1">
      <alignment horizontal="center"/>
    </xf>
    <xf numFmtId="0" fontId="121" fillId="0" borderId="12" xfId="0" applyFont="1" applyBorder="1" applyAlignment="1">
      <alignment horizontal="center"/>
    </xf>
    <xf numFmtId="0" fontId="0" fillId="0" borderId="20" xfId="0" applyBorder="1" applyAlignment="1">
      <alignment horizontal="center"/>
    </xf>
    <xf numFmtId="0" fontId="0" fillId="0" borderId="0" xfId="0" applyNumberFormat="1"/>
    <xf numFmtId="172" fontId="6" fillId="0" borderId="0" xfId="3" applyNumberFormat="1" applyFill="1" applyProtection="1">
      <protection locked="0"/>
    </xf>
    <xf numFmtId="164" fontId="6" fillId="0" borderId="0" xfId="3" applyNumberFormat="1" applyFill="1" applyProtection="1">
      <protection locked="0"/>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91">
    <dxf>
      <numFmt numFmtId="184" formatCode="[$-F400]h:mm:ss\ AM/PM"/>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numFmt numFmtId="0" formatCode="General"/>
    </dxf>
    <dxf>
      <numFmt numFmtId="2" formatCode="0.00"/>
    </dxf>
    <dxf>
      <numFmt numFmtId="30" formatCode="@"/>
    </dxf>
    <dxf>
      <numFmt numFmtId="27" formatCode="m/d/yyyy\ h:mm"/>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sharedStrings" Target="sharedStrings.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microsoft.com/office/2017/06/relationships/rdRichValueStructure" Target="richData/rdrichvaluestructure.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eetMetadata" Target="metadata.xml"/><Relationship Id="rId43" Type="http://schemas.openxmlformats.org/officeDocument/2006/relationships/customXml" Target="../customXml/item4.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microsoft.com/office/2017/06/relationships/rdRichValueTypes" Target="richData/rdRichValueTyp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E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E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E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E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E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0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0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0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0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0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0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0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6"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7"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4"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6" xr16:uid="{B7FB7185-1B75-4099-8DF4-84D7A9E90641}" autoFormatId="16" applyNumberFormats="0" applyBorderFormats="0" applyFontFormats="0" applyPatternFormats="0" applyAlignmentFormats="0" applyWidthHeightFormats="0">
  <queryTableRefresh nextId="11">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2"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5A4C438A-A665-44D9-8B24-0CB06AB3B374}" autoFormatId="16" applyNumberFormats="0" applyBorderFormats="0" applyFontFormats="0" applyPatternFormats="0" applyAlignmentFormats="0" applyWidthHeightFormats="0">
  <queryTableRefresh nextId="4">
    <queryTableFields count="3">
      <queryTableField id="1" name="AssetId" tableColumnId="1"/>
      <queryTableField id="2" name="Ranges" tableColumnId="2"/>
      <queryTableField id="3" name="Tolerances"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5"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4"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8"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3" tableType="queryTable" totalsRowShown="0">
  <autoFilter ref="A1:I23" xr:uid="{2F912760-816C-4002-B982-1183C623C4D4}"/>
  <tableColumns count="9">
    <tableColumn id="1" xr3:uid="{4CB1C976-73DA-4579-B7F8-9D891581EA5A}" uniqueName="1" name="asset_id" queryTableFieldId="1" dataDxfId="190"/>
    <tableColumn id="2" xr3:uid="{D07D770F-21F7-425E-8CCA-AA85FFD513A3}" uniqueName="2" name="serial_number" queryTableFieldId="2" dataDxfId="189"/>
    <tableColumn id="3" xr3:uid="{D963BD5C-EE98-4CDD-ABAE-5315BBDA1135}" uniqueName="3" name="asset_tag" queryTableFieldId="3" dataDxfId="188"/>
    <tableColumn id="4" xr3:uid="{44F03B5B-6C09-4D5C-B2E2-D809B4EDF2B0}" uniqueName="4" name="custom_order_number" queryTableFieldId="4" dataDxfId="187"/>
    <tableColumn id="5" xr3:uid="{412A70E1-7452-417E-A3A9-BD3499EBD33C}" uniqueName="5" name="service_date" queryTableFieldId="5" dataDxfId="71"/>
    <tableColumn id="7" xr3:uid="{297A4F29-F6E9-4BD3-A7A2-5F1039480BAE}" uniqueName="7" name="certificate_number" queryTableFieldId="7" dataDxfId="186"/>
    <tableColumn id="6" xr3:uid="{7231074C-78F5-4F41-8E96-7068B6555E6F}" uniqueName="6" name="traceability_number" queryTableFieldId="61"/>
    <tableColumn id="8" xr3:uid="{7C740CB9-37DA-435E-A87E-AF050E31623C}" uniqueName="8" name="wire_roll_cert_number" queryTableFieldId="8" dataDxfId="185"/>
    <tableColumn id="9" xr3:uid="{5B17E9FC-0D68-4EA9-9145-B5DC8FAF5A93}" uniqueName="9" name="type" queryTableFieldId="9" dataDxfId="7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0" tableType="queryTable" totalsRowShown="0">
  <autoFilter ref="A1:B20" xr:uid="{75097350-BFDE-4D7F-9002-F247F62A5845}"/>
  <tableColumns count="2">
    <tableColumn id="1" xr3:uid="{40BE5989-6A44-4EBD-B236-3FA4FD960A28}" uniqueName="1" name="Name" queryTableFieldId="1" dataDxfId="68"/>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188" tableType="queryTable" totalsRowShown="0">
  <autoFilter ref="A1:C188" xr:uid="{DD841DB9-A242-4050-A7E6-984852778526}"/>
  <tableColumns count="3">
    <tableColumn id="1" xr3:uid="{783036AE-6148-4673-A2B5-A0A0BAA87B07}" uniqueName="1" name="traceability_no" queryTableFieldId="9" dataDxfId="184"/>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83">
  <autoFilter ref="A1:C9" xr:uid="{8AF992F3-27EF-4265-960D-70EC6F74FAFA}"/>
  <sortState xmlns:xlrd2="http://schemas.microsoft.com/office/spreadsheetml/2017/richdata2" ref="A2:C9">
    <sortCondition ref="B1:B9"/>
  </sortState>
  <tableColumns count="3">
    <tableColumn id="1" xr3:uid="{1F7D0D09-7152-4679-B25C-65CF0E0AB2D4}" name="Type" dataDxfId="182"/>
    <tableColumn id="2" xr3:uid="{0C44A3AF-42D4-4CFD-AA0A-4FDA92350CF2}" name="Min"/>
    <tableColumn id="3" xr3:uid="{6E3C9F19-6B4D-4BD2-B67B-82606C8B35EC}" name="Max"/>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1">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0">
      <calculatedColumnFormula>IF(Main!O3="","",Main!N3)</calculatedColumnFormula>
    </tableColumn>
    <tableColumn id="3" xr3:uid="{FCE5D856-7234-4CCA-97EE-22B74741E437}" name="Alert" dataDxfId="179">
      <calculatedColumnFormula array="1">_xlfn.TEXTJOIN("; ", TRUE, IF(Alerts[[#This Row],[Dropped]],"DROPPED",""),
    IF(Alerts[[#This Row],[High]:[Out Of Tolerance]] &lt;&gt; "",
        Alerts[[#Headers],[High]:[Out Of Tolerance]],
        "")
)</calculatedColumnFormula>
    </tableColumn>
    <tableColumn id="4" xr3:uid="{8AD94D64-1483-4168-80EC-0F5FF5FBFB54}" name="Temp" dataDxfId="178">
      <calculatedColumnFormula array="1">_xlfn.XLOOKUP(1,
  (Survey[TestPoint]=Alerts[[#This Row],[TestPoint]])*(Survey[Time]=--Alerts[[#This Row],[Time]]),
  Survey[RawTemp],
  "")</calculatedColumnFormula>
    </tableColumn>
    <tableColumn id="5" xr3:uid="{7F528BD7-7CA6-42E2-8288-BF3DEA461539}" name="Time" dataDxfId="177">
      <calculatedColumnFormula>IFERROR(IF(OR(Alerts[[#This Row],[High]],Alerts[[#This Row],[Low]]),Alerts[[#This Row],[High]]&amp;Alerts[[#This Row],[Low]],Alerts[[#This Row],[Out Of Tolerance]]),"")</calculatedColumnFormula>
    </tableColumn>
    <tableColumn id="6" xr3:uid="{C6C3F45B-0C03-4E9C-9412-DBABE4DA80B3}" name="Dropped" dataDxfId="176">
      <calculatedColumnFormula>IF(
  Main!O5 = "",
  FALSE,
  COUNTIF(Survey[TestPoint], Alerts[[#This Row],[TestPoint]]) = 0
)</calculatedColumnFormula>
    </tableColumn>
    <tableColumn id="8" xr3:uid="{96F3D492-9D35-4D95-988A-C7309D2CB11D}" name="High" dataDxfId="175">
      <calculatedColumnFormula array="1">_xlfn.XLOOKUP(1,
  (Survey[TestPoint]=Alerts[[#This Row],[TestPoint]])*Survey[High],
  Survey[Time],
  "")</calculatedColumnFormula>
    </tableColumn>
    <tableColumn id="9" xr3:uid="{FA598A09-68F3-4996-908B-720C01A5CB36}" name="Low" dataDxfId="174">
      <calculatedColumnFormula array="1">_xlfn.XLOOKUP(1,
  (Survey[TestPoint]=Alerts[[#This Row],[TestPoint]])*Survey[Low],
  Survey[Time],
  "")</calculatedColumnFormula>
    </tableColumn>
    <tableColumn id="10" xr3:uid="{8BF38346-ED30-41C4-A7C5-C5AD74EDAE4E}" name="Out Of Tolerance" dataDxfId="173">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1608" tableType="queryTable" totalsRowShown="0">
  <autoFilter ref="A1:E1608" xr:uid="{D6C2FE1D-589C-41D2-816C-0CAA3105D507}"/>
  <tableColumns count="5">
    <tableColumn id="1" xr3:uid="{B4839395-B86E-4AA6-ADFB-57CDD2F7F61D}" uniqueName="1" name="point" queryTableFieldId="1"/>
    <tableColumn id="2" xr3:uid="{80F1DE28-79AD-483F-A7F0-673E715EECBE}" uniqueName="2" name="reading" queryTableFieldId="2" dataDxfId="172"/>
    <tableColumn id="3" xr3:uid="{2724CA85-C781-4E38-A0DA-097BFEEFE8B1}" uniqueName="3" name="Temp" queryTableFieldId="3" dataDxfId="171"/>
    <tableColumn id="6" xr3:uid="{12D5EB84-2052-49F7-A25B-127266D7FB89}" uniqueName="6" name="traceability_no" queryTableFieldId="6" dataDxfId="170"/>
    <tableColumn id="5" xr3:uid="{D8FBA668-C3CE-41DC-B112-B2663A4558F7}" uniqueName="5" name="Offset" queryTableFieldId="5" dataDxfId="169"/>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8"/>
    <tableColumn id="5" xr3:uid="{27363C9A-3D85-416E-8BCC-52B2C8D77A72}" uniqueName="5" name="Uncert Units" queryTableFieldId="5" dataDxfId="167"/>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9"/>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6">
  <autoFilter ref="A3:C8" xr:uid="{5AC13131-9A1C-4C12-B4F9-A393708ED370}"/>
  <tableColumns count="3">
    <tableColumn id="1" xr3:uid="{97181276-3609-45C8-AD82-B2880A7AEDE4}" name="Min" dataDxfId="165"/>
    <tableColumn id="2" xr3:uid="{FCA9B2A8-03BC-4152-9483-74D5E30011E8}" name="Max" dataDxfId="164"/>
    <tableColumn id="3" xr3:uid="{53EFB432-094F-4AB8-B706-DACB84CFAD58}" name="CMC" dataDxfId="163"/>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7" tableType="queryTable" totalsRowShown="0">
  <autoFilter ref="A1:AK407" xr:uid="{8A28E51F-224F-4F5E-9D3E-A91A5A4DEDFC}"/>
  <tableColumns count="37">
    <tableColumn id="39" xr3:uid="{7AAACA38-72D4-4F11-8664-EC16A2DA6293}" uniqueName="39" name="AssetId" queryTableFieldId="164" dataDxfId="162"/>
    <tableColumn id="40" xr3:uid="{1FD78DD8-6141-4BCC-8B64-71669B160E7A}" uniqueName="40" name="ClientCompanyId" queryTableFieldId="165" dataDxfId="161"/>
    <tableColumn id="41" xr3:uid="{5BCE0CCA-D40E-445A-B69F-BF9E8EC302E6}" uniqueName="41" name="Furnace" queryTableFieldId="166"/>
    <tableColumn id="42" xr3:uid="{FE44BF6E-7160-4F10-BB7C-5C6B8F55C8DB}" uniqueName="42" name="FormNumber" queryTableFieldId="167" dataDxfId="160"/>
    <tableColumn id="43" xr3:uid="{EC576AA5-7F07-4B99-BBD1-C006A3FF4861}" uniqueName="43" name="CalibrationMethod" queryTableFieldId="168" dataDxfId="159"/>
    <tableColumn id="44" xr3:uid="{11784700-CE79-4C3A-B181-67F89C94AC89}" uniqueName="44" name="ToleranceSource" queryTableFieldId="169" dataDxfId="158"/>
    <tableColumn id="45" xr3:uid="{F8D57A3B-9D48-4C00-8E7C-AC29615D88F6}" uniqueName="45" name="Item" queryTableFieldId="170" dataDxfId="157"/>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6"/>
    <tableColumn id="51" xr3:uid="{5B79DBE7-7CAB-41DA-AF62-362ADDE2AED9}" uniqueName="51" name="WorkingZoneSize" queryTableFieldId="176" dataDxfId="155"/>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4"/>
    <tableColumn id="63" xr3:uid="{478884C5-ACFA-42A0-A5A5-3FD7354DF395}" uniqueName="63" name="TestLocation" queryTableFieldId="188" dataDxfId="153"/>
    <tableColumn id="64" xr3:uid="{8742E83A-8953-4A6F-B342-02A544F42A3E}" uniqueName="64" name="OvenLocation" queryTableFieldId="189" dataDxfId="152"/>
    <tableColumn id="65" xr3:uid="{D2C69FD9-EF22-4D46-9BCA-A04DCD92EC4B}" uniqueName="65" name="Condition" queryTableFieldId="190" dataDxfId="151"/>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50"/>
    <tableColumn id="73" xr3:uid="{5C1EA854-4A8F-420A-8A21-EED95DA3A02D}" uniqueName="73" name="LagLimit" queryTableFieldId="198" dataDxfId="149"/>
    <tableColumn id="74" xr3:uid="{E0D578AE-61B1-4F16-BC5A-DF5388800162}" uniqueName="74" name="RecoveryLimit" queryTableFieldId="199" dataDxfId="148"/>
    <tableColumn id="1" xr3:uid="{E73E2F68-A739-4CAB-8F93-6AB74074AA35}" uniqueName="1" name="SAT Tol" queryTableFieldId="204"/>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6E5D2D7-E9E1-4F02-84D5-D46A9C6AA57B}" name="AggregatedUUTRangeTol" displayName="AggregatedUUTRangeTol" ref="A1:C405" tableType="queryTable" totalsRowShown="0">
  <autoFilter ref="A1:C405" xr:uid="{16E5D2D7-E9E1-4F02-84D5-D46A9C6AA57B}"/>
  <tableColumns count="3">
    <tableColumn id="1" xr3:uid="{6F0C3A45-6403-4C94-9E6D-2D9707863D69}" uniqueName="1" name="AssetId" queryTableFieldId="1" dataDxfId="66"/>
    <tableColumn id="2" xr3:uid="{437C4123-EB61-4869-9470-5A1B394BA060}" uniqueName="2" name="Ranges" queryTableFieldId="2" dataDxfId="65"/>
    <tableColumn id="3" xr3:uid="{F2805B69-D38A-4282-80C7-76512A175951}" uniqueName="3" name="Tolerances" queryTableFieldId="3" dataDxfId="64"/>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19" tableType="queryTable" totalsRowShown="0">
  <autoFilter ref="A1:M419"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7"/>
    <tableColumn id="8" xr3:uid="{6A970319-4DB4-4470-AD18-810376DE6248}" uniqueName="8" name="Flags" queryTableFieldId="8" dataDxfId="146"/>
    <tableColumn id="10" xr3:uid="{C036645E-37FD-4D8C-A495-9B7CD74F1924}" uniqueName="10" name="TolMinText" queryTableFieldId="10" dataDxfId="145">
      <calculatedColumnFormula>TEXT(UUTRangeTol[[#This Row],[TolMin]],SUBSTITUTE(UUTRangeTol[[#This Row],[TolResolution]],"1","0"))&amp;UUTRangeTol[[#This Row],[Unit]]</calculatedColumnFormula>
    </tableColumn>
    <tableColumn id="11" xr3:uid="{7185F013-BA2C-4D79-99A0-8DCC297E6118}" uniqueName="11" name="TolMaxText" queryTableFieldId="11" dataDxfId="144">
      <calculatedColumnFormula>TEXT(UUTRangeTol[[#This Row],[TolMax]],SUBSTITUTE(UUTRangeTol[[#This Row],[TolResolution]],"1","0"))&amp;UUTRangeTol[[#This Row],[Unit]]</calculatedColumnFormula>
    </tableColumn>
    <tableColumn id="12" xr3:uid="{EE0701A7-578C-482F-B1ED-DBCB9E95A0C6}" uniqueName="12" name="TolText" queryTableFieldId="12" dataDxfId="143">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2">
      <calculatedColumnFormula>UUTRangeTol[[#This Row],[RangeMax]]&amp;UUTRangeTol[[#This Row],[Unit]]</calculatedColumnFormula>
    </tableColumn>
    <tableColumn id="14" xr3:uid="{EF348E52-D936-44CC-A058-66DD7A780488}" uniqueName="14" name="RangeText" queryTableFieldId="14" dataDxfId="141">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140"/>
    <tableColumn id="2" xr3:uid="{18C84E6F-0395-44B7-82E8-3E3C3338D295}" name="TUS Tol" dataDxfId="139" totalsRowDxfId="138"/>
    <tableColumn id="5" xr3:uid="{DB50C328-B2A6-44C5-853C-318053CB9F8D}" name="SAT Multiplier" dataDxfId="137" totalsRowDxfId="136"/>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5" dataDxfId="134" tableBorderDxfId="133">
  <autoFilter ref="AG2:AS3" xr:uid="{B114758F-16E1-4C54-AA0B-E7F64DE85242}"/>
  <tableColumns count="13">
    <tableColumn id="1" xr3:uid="{0D0312AF-C987-4CC8-97F8-A45434AD138A}" name="Time" dataDxfId="132" dataCellStyle="Normal 3"/>
    <tableColumn id="2" xr3:uid="{E5CD88A1-1988-41C9-8D07-30908E60C0B6}" name="29" dataDxfId="131" dataCellStyle="Normal 3"/>
    <tableColumn id="3" xr3:uid="{52334E52-C590-4A01-82BC-CCC9DA2C2817}" name="30" dataDxfId="130" dataCellStyle="Normal 3"/>
    <tableColumn id="4" xr3:uid="{145DAD22-055B-47E2-958D-C0E0B68ECCC8}" name="31" dataDxfId="129" dataCellStyle="Normal 3"/>
    <tableColumn id="5" xr3:uid="{09C3BF4E-C2AE-4497-AAA2-CF5A8A70B030}" name="32" dataDxfId="128" dataCellStyle="Normal 3"/>
    <tableColumn id="6" xr3:uid="{E9F444F5-7F75-4B80-BC2D-E9E92BB7C32D}" name="33" dataDxfId="127" dataCellStyle="Normal 3"/>
    <tableColumn id="7" xr3:uid="{C42F56B6-C38E-41DC-811A-50AF69D04B80}" name="34" dataDxfId="126" dataCellStyle="Normal 3"/>
    <tableColumn id="8" xr3:uid="{1930235F-D2C0-482D-8CC0-6B3AC765E7EA}" name="35" dataDxfId="125" dataCellStyle="Normal 3"/>
    <tableColumn id="9" xr3:uid="{6FCF613B-A86F-4DC6-9CC5-0A1E44E3DFE0}" name="36" dataDxfId="124" dataCellStyle="Normal 3"/>
    <tableColumn id="10" xr3:uid="{19EA3429-FD7E-4BA0-96B7-70F520D9FE0F}" name="37" dataDxfId="123" dataCellStyle="Normal 3"/>
    <tableColumn id="11" xr3:uid="{A5D0DAE1-1017-4DE3-AEA6-1BAF97E0FBDC}" name="38" dataDxfId="122" dataCellStyle="Normal 3"/>
    <tableColumn id="12" xr3:uid="{ABC8E507-1120-436F-9E9F-E3A8852E2E1A}" name="39" dataDxfId="121"/>
    <tableColumn id="13" xr3:uid="{C69AC669-10C2-4E64-9F60-B4AA135FB3DF}" name="40" dataDxfId="120"/>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9" tableBorderDxfId="118">
  <autoFilter ref="Q2:AE3" xr:uid="{6D9D14EA-1966-4240-9028-DABDD72BB7BC}"/>
  <tableColumns count="15">
    <tableColumn id="1" xr3:uid="{F199066A-0899-4173-8784-FC618D5EFA3C}" name="Time" dataDxfId="117" dataCellStyle="Normal 3"/>
    <tableColumn id="2" xr3:uid="{DB040280-BEC7-49AA-A925-A050027B33E3}" name="15" dataDxfId="116" dataCellStyle="Normal 3"/>
    <tableColumn id="3" xr3:uid="{5D74EEBF-1FB4-4DF9-8EDD-C656F929ADA2}" name="16" dataDxfId="115" dataCellStyle="Normal 3"/>
    <tableColumn id="4" xr3:uid="{B1176DF8-22B4-4741-A534-22D0C72EF1F0}" name="17" dataDxfId="114" dataCellStyle="Normal 3"/>
    <tableColumn id="5" xr3:uid="{1E29EA65-5182-4B3E-817F-0D30B2884EC7}" name="18" dataDxfId="113" dataCellStyle="Normal 3"/>
    <tableColumn id="6" xr3:uid="{AF53AEFB-F310-4F08-91BC-82FB0F484ECA}" name="19" dataDxfId="112" dataCellStyle="Normal 3"/>
    <tableColumn id="7" xr3:uid="{EE472F61-D1B5-43CF-A661-FA1D47001C17}" name="20" dataDxfId="111" dataCellStyle="Normal 3"/>
    <tableColumn id="8" xr3:uid="{841D54C1-AB74-4CB1-8C7F-C38D11EFAD3F}" name="21" dataDxfId="110" dataCellStyle="Normal 3"/>
    <tableColumn id="9" xr3:uid="{F1FB485B-DEAA-4958-8C40-80934EA1437F}" name="22" dataDxfId="109" dataCellStyle="Normal 3"/>
    <tableColumn id="10" xr3:uid="{5C552A76-BD54-46C5-93AD-8F25289FA051}" name="23" dataDxfId="108" dataCellStyle="Normal 3"/>
    <tableColumn id="11" xr3:uid="{B20FA5F1-0522-49D0-9B5A-34570A8AE6EA}" name="24" dataDxfId="107" dataCellStyle="Normal 3"/>
    <tableColumn id="12" xr3:uid="{0BC87A98-B9AC-4CD6-9F9B-D04190073E2A}" name="25" dataDxfId="106"/>
    <tableColumn id="13" xr3:uid="{D62EA80B-BBE3-4A29-89AB-EE04C6E03547}" name="26" dataDxfId="105"/>
    <tableColumn id="14" xr3:uid="{6D7DE537-763F-40F1-AC16-33F228CBC8D1}" name="27" dataDxfId="104"/>
    <tableColumn id="15" xr3:uid="{F8FA9620-DB21-4BAE-8D97-FF38B70679C9}" name="28" dataDxfId="103"/>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2" dataDxfId="101" tableBorderDxfId="100">
  <autoFilter ref="A2:O3" xr:uid="{73A9D9BA-FF58-4A3F-98F7-9A835492E25D}"/>
  <tableColumns count="15">
    <tableColumn id="1" xr3:uid="{73B888B4-4146-4E26-9B39-0FC537A113C8}" name="Time" dataDxfId="99" dataCellStyle="Normal 3"/>
    <tableColumn id="2" xr3:uid="{6F1EF879-7C87-4A56-A394-30C6E5BDB32A}" name="1" dataDxfId="98" dataCellStyle="Normal 3"/>
    <tableColumn id="3" xr3:uid="{B2FA8A6A-D50A-41E8-942A-379C757B6A2B}" name="2" dataDxfId="97" dataCellStyle="Normal 3"/>
    <tableColumn id="4" xr3:uid="{F92FE975-D84B-4B73-B49D-3B746FAA3D21}" name="3" dataDxfId="96" dataCellStyle="Normal 3"/>
    <tableColumn id="5" xr3:uid="{7820E0E9-F621-4361-A572-234B3CB7F864}" name="4" dataDxfId="95" dataCellStyle="Normal 3"/>
    <tableColumn id="6" xr3:uid="{A46C0BCA-2139-4CD3-B02F-C4D3F8E65309}" name="5" dataDxfId="94" dataCellStyle="Normal 3"/>
    <tableColumn id="7" xr3:uid="{334BDF50-1D79-41BC-BA09-7B69018332AE}" name="6" dataDxfId="93" dataCellStyle="Normal 3"/>
    <tableColumn id="8" xr3:uid="{6C11BC6A-3E21-4CDE-9CD4-C8EBCF50B6DB}" name="7" dataDxfId="92" dataCellStyle="Normal 3"/>
    <tableColumn id="9" xr3:uid="{1EEEA607-5177-4C19-A1BC-B12D19FF055B}" name="8" dataDxfId="91" dataCellStyle="Normal 3"/>
    <tableColumn id="10" xr3:uid="{ACF909CE-C221-4157-9298-18F2C140C147}" name="9" dataDxfId="90" dataCellStyle="Normal 3"/>
    <tableColumn id="11" xr3:uid="{182688D3-AD0D-4518-A7FE-0C281ABCDF76}" name="10" dataDxfId="89" dataCellStyle="Normal 3"/>
    <tableColumn id="12" xr3:uid="{54AFFA30-00C2-440A-92A2-139F62F751BE}" name="11" dataDxfId="88"/>
    <tableColumn id="13" xr3:uid="{DCF0B43C-F320-4031-91C6-8514285AF6CA}" name="12" dataDxfId="87"/>
    <tableColumn id="14" xr3:uid="{53A56FC8-0536-4D94-A335-FFCBCBEAF45E}" name="13" dataDxfId="86"/>
    <tableColumn id="15" xr3:uid="{F49FEB6E-05C2-4E90-A6CE-A0C9C694642A}" name="14" dataDxfId="85"/>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79" tableType="queryTable" totalsRowShown="0" headerRowDxfId="84" dataDxfId="83">
  <autoFilter ref="A1:O1679" xr:uid="{7FFB3A25-33B3-41D4-A4EC-161ECACD71F3}"/>
  <tableColumns count="15">
    <tableColumn id="1" xr3:uid="{11D744F1-EDFB-47DE-B384-CF9869615081}" uniqueName="1" name="company_name" queryTableFieldId="80"/>
    <tableColumn id="2" xr3:uid="{39B8308C-AB2D-4935-AB6D-60659663F9DB}" uniqueName="2" name="Address1" queryTableFieldId="81" dataDxfId="82"/>
    <tableColumn id="3" xr3:uid="{5F5E8FED-27C7-498A-86F2-8DE1BF0A773A}" uniqueName="3" name="Address2" queryTableFieldId="82" dataDxfId="81"/>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80"/>
    <tableColumn id="15" xr3:uid="{806049C8-25E1-4EB2-AF25-C8D85CBE6DFA}" uniqueName="15" name="company_id" queryTableFieldId="94"/>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61" tableType="queryTable" totalsRowShown="0" headerRowDxfId="79" dataDxfId="78">
  <autoFilter ref="A1:R61"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39" tableType="queryTable" totalsRowShown="0">
  <autoFilter ref="A1:B39" xr:uid="{1CE1DBB2-2AA3-42B7-8518-C658ECC5D815}"/>
  <tableColumns count="2">
    <tableColumn id="1" xr3:uid="{C3A12520-C80C-499B-A147-D868CCECFA37}" uniqueName="1" name="Name" queryTableFieldId="5" dataDxfId="67"/>
    <tableColumn id="2" xr3:uid="{13E1EACD-74B4-495C-B0AC-D9A56A9A74AE}" uniqueName="2" name="Value" queryTableFieldId="6"/>
  </tableColumns>
  <tableStyleInfo name="TableStyleMedium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77"/>
    <tableColumn id="3" xr3:uid="{A4F2902A-51C9-47F2-ABB5-33476BF6B798}" uniqueName="3" name="login_email" queryTableFieldId="5"/>
    <tableColumn id="4" xr3:uid="{93F361AC-D356-4A7B-A6F2-34FB0F71E2F6}" uniqueName="4" name="IsPyro" queryTableFieldId="7" dataDxfId="76"/>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5" dataDxfId="74" headerRowCellStyle="Normal 2" dataCellStyle="Normal 2">
  <autoFilter ref="U11:V25" xr:uid="{DCCFF26E-EC5C-4962-98DB-A7DA1F3C8CE2}"/>
  <tableColumns count="2">
    <tableColumn id="1" xr3:uid="{DFC40837-B092-4826-9847-4A23BE22020F}" name="4" dataDxfId="73" dataCellStyle="Normal 2"/>
    <tableColumn id="2" xr3:uid="{0711DB07-19DA-4D5E-A417-C242A0304453}" name="10" dataDxfId="72"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6.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7.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table" Target="../tables/table19.x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18.x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2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 Id="rId4" Type="http://schemas.openxmlformats.org/officeDocument/2006/relationships/table" Target="../tables/table24.xml"/></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3"/>
  <sheetViews>
    <sheetView workbookViewId="0"/>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5.4257812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c r="B2"/>
      <c r="C2"/>
      <c r="D2"/>
      <c r="E2" s="468"/>
      <c r="F2"/>
      <c r="G2"/>
      <c r="H2"/>
      <c r="I2" s="73"/>
    </row>
    <row r="3" spans="1:9" x14ac:dyDescent="0.2">
      <c r="A3"/>
      <c r="B3"/>
      <c r="C3"/>
      <c r="D3"/>
      <c r="E3" s="468"/>
      <c r="F3"/>
      <c r="G3"/>
      <c r="H3"/>
      <c r="I3" s="73"/>
    </row>
    <row r="4" spans="1:9" x14ac:dyDescent="0.2">
      <c r="A4"/>
      <c r="B4"/>
      <c r="C4"/>
      <c r="D4"/>
      <c r="E4" s="468"/>
      <c r="F4"/>
      <c r="G4"/>
      <c r="H4"/>
      <c r="I4" s="73"/>
    </row>
    <row r="5" spans="1:9" x14ac:dyDescent="0.2">
      <c r="A5"/>
      <c r="B5"/>
      <c r="C5"/>
      <c r="D5"/>
      <c r="E5" s="468"/>
      <c r="F5"/>
      <c r="G5"/>
      <c r="H5"/>
      <c r="I5" s="73"/>
    </row>
    <row r="6" spans="1:9" x14ac:dyDescent="0.2">
      <c r="A6"/>
      <c r="B6"/>
      <c r="C6"/>
      <c r="D6"/>
      <c r="E6" s="468"/>
      <c r="F6"/>
      <c r="G6"/>
      <c r="H6"/>
      <c r="I6" s="73"/>
    </row>
    <row r="7" spans="1:9" x14ac:dyDescent="0.2">
      <c r="A7"/>
      <c r="B7"/>
      <c r="C7"/>
      <c r="D7"/>
      <c r="E7" s="468"/>
      <c r="F7"/>
      <c r="G7"/>
      <c r="H7"/>
      <c r="I7" s="73"/>
    </row>
    <row r="8" spans="1:9" x14ac:dyDescent="0.2">
      <c r="A8"/>
      <c r="B8"/>
      <c r="C8"/>
      <c r="D8"/>
      <c r="E8" s="468"/>
      <c r="F8"/>
      <c r="G8"/>
      <c r="H8"/>
      <c r="I8" s="73"/>
    </row>
    <row r="9" spans="1:9" x14ac:dyDescent="0.2">
      <c r="A9"/>
      <c r="B9"/>
      <c r="C9"/>
      <c r="D9"/>
      <c r="E9" s="468"/>
      <c r="F9"/>
      <c r="G9"/>
      <c r="H9"/>
      <c r="I9" s="73"/>
    </row>
    <row r="10" spans="1:9" x14ac:dyDescent="0.2">
      <c r="A10"/>
      <c r="B10"/>
      <c r="C10"/>
      <c r="D10"/>
      <c r="E10" s="468"/>
      <c r="F10"/>
      <c r="G10"/>
      <c r="H10"/>
      <c r="I10" s="73"/>
    </row>
    <row r="11" spans="1:9" x14ac:dyDescent="0.2">
      <c r="A11"/>
      <c r="B11"/>
      <c r="C11"/>
      <c r="D11"/>
      <c r="E11" s="468"/>
      <c r="F11"/>
      <c r="G11"/>
      <c r="H11"/>
      <c r="I11" s="73"/>
    </row>
    <row r="12" spans="1:9" x14ac:dyDescent="0.2">
      <c r="A12"/>
      <c r="B12"/>
      <c r="C12"/>
      <c r="D12"/>
      <c r="E12" s="468"/>
      <c r="F12"/>
      <c r="G12"/>
      <c r="H12"/>
      <c r="I12" s="73"/>
    </row>
    <row r="13" spans="1:9" x14ac:dyDescent="0.2">
      <c r="A13"/>
      <c r="B13"/>
      <c r="C13"/>
      <c r="D13"/>
      <c r="E13" s="468"/>
      <c r="F13"/>
      <c r="G13"/>
      <c r="H13"/>
      <c r="I13" s="73"/>
    </row>
    <row r="14" spans="1:9" x14ac:dyDescent="0.2">
      <c r="A14"/>
      <c r="B14"/>
      <c r="C14"/>
      <c r="D14"/>
      <c r="E14" s="468"/>
      <c r="F14"/>
      <c r="G14"/>
      <c r="H14"/>
      <c r="I14" s="73"/>
    </row>
    <row r="15" spans="1:9" x14ac:dyDescent="0.2">
      <c r="A15"/>
      <c r="B15"/>
      <c r="C15"/>
      <c r="D15"/>
      <c r="E15" s="468"/>
      <c r="F15"/>
      <c r="G15"/>
      <c r="H15"/>
      <c r="I15" s="73"/>
    </row>
    <row r="16" spans="1:9" x14ac:dyDescent="0.2">
      <c r="A16"/>
      <c r="B16"/>
      <c r="C16"/>
      <c r="D16"/>
      <c r="E16" s="468"/>
      <c r="F16"/>
      <c r="G16"/>
      <c r="H16"/>
      <c r="I16" s="73"/>
    </row>
    <row r="17" spans="1:9" x14ac:dyDescent="0.2">
      <c r="A17"/>
      <c r="B17"/>
      <c r="C17"/>
      <c r="D17"/>
      <c r="E17" s="468"/>
      <c r="F17"/>
      <c r="G17"/>
      <c r="H17"/>
      <c r="I17" s="73"/>
    </row>
    <row r="18" spans="1:9" x14ac:dyDescent="0.2">
      <c r="A18"/>
      <c r="B18"/>
      <c r="C18"/>
      <c r="D18"/>
      <c r="E18" s="468"/>
      <c r="F18"/>
      <c r="G18"/>
      <c r="H18"/>
      <c r="I18" s="73"/>
    </row>
    <row r="19" spans="1:9" x14ac:dyDescent="0.2">
      <c r="A19"/>
      <c r="B19"/>
      <c r="C19"/>
      <c r="D19"/>
      <c r="E19" s="468"/>
      <c r="F19"/>
      <c r="G19"/>
      <c r="H19"/>
      <c r="I19" s="73"/>
    </row>
    <row r="20" spans="1:9" x14ac:dyDescent="0.2">
      <c r="A20"/>
      <c r="B20"/>
      <c r="C20"/>
      <c r="D20"/>
      <c r="E20" s="468"/>
      <c r="F20"/>
      <c r="G20"/>
      <c r="H20"/>
      <c r="I20" s="73"/>
    </row>
    <row r="21" spans="1:9" x14ac:dyDescent="0.2">
      <c r="A21"/>
      <c r="B21"/>
      <c r="C21"/>
      <c r="D21"/>
      <c r="E21" s="468"/>
      <c r="F21"/>
      <c r="G21"/>
      <c r="H21"/>
      <c r="I21" s="73"/>
    </row>
    <row r="22" spans="1:9" x14ac:dyDescent="0.2">
      <c r="A22"/>
      <c r="B22"/>
      <c r="C22"/>
      <c r="D22"/>
      <c r="E22" s="468"/>
      <c r="F22"/>
      <c r="G22"/>
      <c r="H22"/>
      <c r="I22" s="73"/>
    </row>
    <row r="23" spans="1:9" x14ac:dyDescent="0.2">
      <c r="A23"/>
      <c r="B23"/>
      <c r="C23"/>
      <c r="D23"/>
      <c r="E23" s="468"/>
      <c r="F23"/>
      <c r="G23"/>
      <c r="H23"/>
      <c r="I23" s="73"/>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0"/>
  <sheetViews>
    <sheetView workbookViewId="0"/>
  </sheetViews>
  <sheetFormatPr defaultRowHeight="12.75" x14ac:dyDescent="0.2"/>
  <cols>
    <col min="1" max="1" width="22" bestFit="1" customWidth="1"/>
    <col min="2" max="2" width="53.7109375" bestFit="1" customWidth="1"/>
    <col min="4" max="4" width="8" bestFit="1" customWidth="1"/>
    <col min="5" max="5" width="16.42578125" bestFit="1" customWidth="1"/>
  </cols>
  <sheetData>
    <row r="1" spans="1:5" x14ac:dyDescent="0.2">
      <c r="A1"/>
      <c r="B1"/>
      <c r="D1" s="35" t="s">
        <v>898</v>
      </c>
      <c r="E1" s="35" t="s">
        <v>899</v>
      </c>
    </row>
    <row r="2" spans="1:5" x14ac:dyDescent="0.2">
      <c r="A2" s="657"/>
      <c r="B2"/>
      <c r="D2">
        <f>VLOOKUP(D1,WorkItemDetails[],2,FALSE)</f>
        <v>1276494</v>
      </c>
      <c r="E2">
        <f>VLOOKUP(E1,WorkItemDetails[],2,FALSE)</f>
        <v>57283</v>
      </c>
    </row>
    <row r="3" spans="1:5" x14ac:dyDescent="0.2">
      <c r="A3" s="657"/>
      <c r="B3"/>
    </row>
    <row r="4" spans="1:5" x14ac:dyDescent="0.2">
      <c r="A4" s="657"/>
      <c r="B4"/>
    </row>
    <row r="5" spans="1:5" x14ac:dyDescent="0.2">
      <c r="A5" s="657"/>
      <c r="B5"/>
    </row>
    <row r="6" spans="1:5" x14ac:dyDescent="0.2">
      <c r="A6" s="657"/>
      <c r="B6"/>
    </row>
    <row r="7" spans="1:5" x14ac:dyDescent="0.2">
      <c r="A7" s="657"/>
      <c r="B7"/>
    </row>
    <row r="8" spans="1:5" x14ac:dyDescent="0.2">
      <c r="A8" s="657"/>
      <c r="B8"/>
    </row>
    <row r="9" spans="1:5" x14ac:dyDescent="0.2">
      <c r="A9" s="657"/>
      <c r="B9"/>
    </row>
    <row r="10" spans="1:5" x14ac:dyDescent="0.2">
      <c r="A10" s="657"/>
      <c r="B10"/>
    </row>
    <row r="11" spans="1:5" x14ac:dyDescent="0.2">
      <c r="A11" s="657"/>
      <c r="B11"/>
    </row>
    <row r="12" spans="1:5" x14ac:dyDescent="0.2">
      <c r="A12" s="657"/>
      <c r="B12"/>
    </row>
    <row r="13" spans="1:5" x14ac:dyDescent="0.2">
      <c r="A13" s="657"/>
      <c r="B13"/>
    </row>
    <row r="14" spans="1:5" x14ac:dyDescent="0.2">
      <c r="A14" s="657"/>
      <c r="B14"/>
    </row>
    <row r="15" spans="1:5" x14ac:dyDescent="0.2">
      <c r="A15" s="657"/>
      <c r="B15"/>
    </row>
    <row r="16" spans="1:5" x14ac:dyDescent="0.2">
      <c r="A16" s="657"/>
      <c r="B16"/>
    </row>
    <row r="17" spans="1:2" x14ac:dyDescent="0.2">
      <c r="A17" s="657"/>
      <c r="B17"/>
    </row>
    <row r="18" spans="1:2" x14ac:dyDescent="0.2">
      <c r="A18" s="657"/>
      <c r="B18"/>
    </row>
    <row r="19" spans="1:2" x14ac:dyDescent="0.2">
      <c r="A19" s="657"/>
      <c r="B19"/>
    </row>
    <row r="20" spans="1:2" x14ac:dyDescent="0.2">
      <c r="A20" s="657"/>
      <c r="B20"/>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E188"/>
  <sheetViews>
    <sheetView workbookViewId="0">
      <selection activeCell="H16" sqref="H16"/>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5" x14ac:dyDescent="0.2">
      <c r="A1"/>
      <c r="B1"/>
      <c r="C1"/>
      <c r="E1" t="s">
        <v>964</v>
      </c>
    </row>
    <row r="2" spans="1:5" x14ac:dyDescent="0.2">
      <c r="A2"/>
      <c r="B2"/>
      <c r="C2"/>
      <c r="E2" t="str" cm="1">
        <f t="array" ref="E2:E38">_xlfn._xlws.SORT(_xlfn.UNIQUE(AllWireOffsets[traceability_no]))</f>
        <v>047655B</v>
      </c>
    </row>
    <row r="3" spans="1:5" x14ac:dyDescent="0.2">
      <c r="A3"/>
      <c r="B3"/>
      <c r="C3"/>
      <c r="E3" t="str">
        <v>049787R</v>
      </c>
    </row>
    <row r="4" spans="1:5" x14ac:dyDescent="0.2">
      <c r="A4"/>
      <c r="B4"/>
      <c r="C4"/>
      <c r="E4" t="str">
        <v>059078F</v>
      </c>
    </row>
    <row r="5" spans="1:5" x14ac:dyDescent="0.2">
      <c r="A5"/>
      <c r="B5"/>
      <c r="C5"/>
      <c r="E5" t="str">
        <v>059078G</v>
      </c>
    </row>
    <row r="6" spans="1:5" x14ac:dyDescent="0.2">
      <c r="A6"/>
      <c r="B6"/>
      <c r="C6"/>
      <c r="E6" t="str">
        <v>061486E</v>
      </c>
    </row>
    <row r="7" spans="1:5" x14ac:dyDescent="0.2">
      <c r="A7"/>
      <c r="B7"/>
      <c r="C7"/>
      <c r="E7" t="str">
        <v>065908H</v>
      </c>
    </row>
    <row r="8" spans="1:5" x14ac:dyDescent="0.2">
      <c r="A8"/>
      <c r="B8"/>
      <c r="C8"/>
      <c r="E8" t="str">
        <v>065908I</v>
      </c>
    </row>
    <row r="9" spans="1:5" x14ac:dyDescent="0.2">
      <c r="A9"/>
      <c r="B9"/>
      <c r="C9"/>
      <c r="E9" t="str">
        <v>065908J</v>
      </c>
    </row>
    <row r="10" spans="1:5" x14ac:dyDescent="0.2">
      <c r="A10"/>
      <c r="B10"/>
      <c r="C10"/>
      <c r="E10" t="str">
        <v>065908K</v>
      </c>
    </row>
    <row r="11" spans="1:5" x14ac:dyDescent="0.2">
      <c r="A11"/>
      <c r="B11"/>
      <c r="C11"/>
      <c r="E11" t="str">
        <v>065908L</v>
      </c>
    </row>
    <row r="12" spans="1:5" x14ac:dyDescent="0.2">
      <c r="A12"/>
      <c r="B12"/>
      <c r="C12"/>
      <c r="E12" t="str">
        <v>065908M</v>
      </c>
    </row>
    <row r="13" spans="1:5" x14ac:dyDescent="0.2">
      <c r="A13"/>
      <c r="B13"/>
      <c r="C13"/>
      <c r="E13" t="str">
        <v>065908N</v>
      </c>
    </row>
    <row r="14" spans="1:5" x14ac:dyDescent="0.2">
      <c r="A14"/>
      <c r="B14"/>
      <c r="C14"/>
      <c r="E14" t="str">
        <v>065908O</v>
      </c>
    </row>
    <row r="15" spans="1:5" x14ac:dyDescent="0.2">
      <c r="A15"/>
      <c r="B15"/>
      <c r="C15"/>
      <c r="E15" t="str">
        <v>065908P</v>
      </c>
    </row>
    <row r="16" spans="1:5" x14ac:dyDescent="0.2">
      <c r="A16"/>
      <c r="B16"/>
      <c r="C16"/>
      <c r="E16" t="str">
        <v>065908Q</v>
      </c>
    </row>
    <row r="17" spans="1:5" x14ac:dyDescent="0.2">
      <c r="A17"/>
      <c r="B17"/>
      <c r="C17"/>
      <c r="E17" t="str">
        <v>065908R</v>
      </c>
    </row>
    <row r="18" spans="1:5" x14ac:dyDescent="0.2">
      <c r="A18"/>
      <c r="B18"/>
      <c r="C18"/>
      <c r="E18" t="str">
        <v>065908S</v>
      </c>
    </row>
    <row r="19" spans="1:5" x14ac:dyDescent="0.2">
      <c r="A19"/>
      <c r="B19"/>
      <c r="C19"/>
      <c r="E19" t="str">
        <v>069220A</v>
      </c>
    </row>
    <row r="20" spans="1:5" x14ac:dyDescent="0.2">
      <c r="A20"/>
      <c r="B20"/>
      <c r="C20"/>
      <c r="E20" t="str">
        <v>069220B</v>
      </c>
    </row>
    <row r="21" spans="1:5" x14ac:dyDescent="0.2">
      <c r="A21"/>
      <c r="B21"/>
      <c r="C21"/>
      <c r="E21" t="str">
        <v>069220C</v>
      </c>
    </row>
    <row r="22" spans="1:5" x14ac:dyDescent="0.2">
      <c r="A22"/>
      <c r="B22"/>
      <c r="C22"/>
      <c r="E22" t="str">
        <v>069220D</v>
      </c>
    </row>
    <row r="23" spans="1:5" x14ac:dyDescent="0.2">
      <c r="A23"/>
      <c r="B23"/>
      <c r="C23"/>
      <c r="E23" t="str">
        <v>069220E</v>
      </c>
    </row>
    <row r="24" spans="1:5" x14ac:dyDescent="0.2">
      <c r="A24"/>
      <c r="B24"/>
      <c r="C24"/>
      <c r="E24" t="str">
        <v>069220F</v>
      </c>
    </row>
    <row r="25" spans="1:5" x14ac:dyDescent="0.2">
      <c r="A25"/>
      <c r="B25"/>
      <c r="C25"/>
      <c r="E25" t="str">
        <v>069220G</v>
      </c>
    </row>
    <row r="26" spans="1:5" x14ac:dyDescent="0.2">
      <c r="A26"/>
      <c r="B26"/>
      <c r="C26"/>
      <c r="E26" t="str">
        <v>069220H</v>
      </c>
    </row>
    <row r="27" spans="1:5" x14ac:dyDescent="0.2">
      <c r="A27"/>
      <c r="B27"/>
      <c r="C27"/>
      <c r="E27" t="str">
        <v>072513B</v>
      </c>
    </row>
    <row r="28" spans="1:5" x14ac:dyDescent="0.2">
      <c r="A28"/>
      <c r="B28"/>
      <c r="C28"/>
      <c r="E28" t="str">
        <v>072513C</v>
      </c>
    </row>
    <row r="29" spans="1:5" x14ac:dyDescent="0.2">
      <c r="A29"/>
      <c r="B29"/>
      <c r="C29"/>
      <c r="E29" t="str">
        <v>072513D</v>
      </c>
    </row>
    <row r="30" spans="1:5" x14ac:dyDescent="0.2">
      <c r="A30"/>
      <c r="B30"/>
      <c r="C30"/>
      <c r="E30" t="str">
        <v>072513E</v>
      </c>
    </row>
    <row r="31" spans="1:5" x14ac:dyDescent="0.2">
      <c r="A31"/>
      <c r="B31"/>
      <c r="C31"/>
      <c r="E31" t="str">
        <v>072513F</v>
      </c>
    </row>
    <row r="32" spans="1:5" x14ac:dyDescent="0.2">
      <c r="A32"/>
      <c r="B32"/>
      <c r="C32"/>
      <c r="E32" t="str">
        <v>072513I</v>
      </c>
    </row>
    <row r="33" spans="1:5" x14ac:dyDescent="0.2">
      <c r="A33"/>
      <c r="B33"/>
      <c r="C33"/>
      <c r="E33" t="str">
        <v>072513K</v>
      </c>
    </row>
    <row r="34" spans="1:5" x14ac:dyDescent="0.2">
      <c r="A34"/>
      <c r="B34"/>
      <c r="C34"/>
      <c r="E34" t="str">
        <v>072513L</v>
      </c>
    </row>
    <row r="35" spans="1:5" x14ac:dyDescent="0.2">
      <c r="A35"/>
      <c r="B35"/>
      <c r="C35"/>
      <c r="E35" t="str">
        <v>072513M</v>
      </c>
    </row>
    <row r="36" spans="1:5" x14ac:dyDescent="0.2">
      <c r="A36"/>
      <c r="B36"/>
      <c r="C36"/>
      <c r="E36" t="str">
        <v>072513N</v>
      </c>
    </row>
    <row r="37" spans="1:5" x14ac:dyDescent="0.2">
      <c r="A37"/>
      <c r="B37"/>
      <c r="C37"/>
      <c r="E37" t="str">
        <v>074618A</v>
      </c>
    </row>
    <row r="38" spans="1:5" x14ac:dyDescent="0.2">
      <c r="A38"/>
      <c r="B38"/>
      <c r="C38"/>
      <c r="E38" t="str">
        <v>074618B</v>
      </c>
    </row>
    <row r="39" spans="1:5" x14ac:dyDescent="0.2">
      <c r="A39"/>
      <c r="B39"/>
      <c r="C39"/>
    </row>
    <row r="40" spans="1:5" x14ac:dyDescent="0.2">
      <c r="A40"/>
      <c r="B40"/>
      <c r="C40"/>
    </row>
    <row r="41" spans="1:5" x14ac:dyDescent="0.2">
      <c r="A41"/>
      <c r="B41"/>
      <c r="C41"/>
    </row>
    <row r="42" spans="1:5" x14ac:dyDescent="0.2">
      <c r="A42"/>
      <c r="B42"/>
      <c r="C42"/>
    </row>
    <row r="43" spans="1:5" x14ac:dyDescent="0.2">
      <c r="A43"/>
      <c r="B43"/>
      <c r="C43"/>
    </row>
    <row r="44" spans="1:5" x14ac:dyDescent="0.2">
      <c r="A44"/>
      <c r="B44"/>
      <c r="C44"/>
    </row>
    <row r="45" spans="1:5" x14ac:dyDescent="0.2">
      <c r="A45"/>
      <c r="B45"/>
      <c r="C45"/>
    </row>
    <row r="46" spans="1:5" x14ac:dyDescent="0.2">
      <c r="A46"/>
      <c r="B46"/>
      <c r="C46"/>
    </row>
    <row r="47" spans="1:5" x14ac:dyDescent="0.2">
      <c r="A47"/>
      <c r="B47"/>
      <c r="C47"/>
    </row>
    <row r="48" spans="1:5"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row r="116" spans="1:3" x14ac:dyDescent="0.2">
      <c r="A116"/>
      <c r="B116"/>
      <c r="C116"/>
    </row>
    <row r="117" spans="1:3" x14ac:dyDescent="0.2">
      <c r="A117"/>
      <c r="B117"/>
      <c r="C117"/>
    </row>
    <row r="118" spans="1:3" x14ac:dyDescent="0.2">
      <c r="A118"/>
      <c r="B118"/>
      <c r="C118"/>
    </row>
    <row r="119" spans="1:3" x14ac:dyDescent="0.2">
      <c r="A119"/>
      <c r="B119"/>
      <c r="C119"/>
    </row>
    <row r="120" spans="1:3" x14ac:dyDescent="0.2">
      <c r="A120"/>
      <c r="B120"/>
      <c r="C120"/>
    </row>
    <row r="121" spans="1:3" x14ac:dyDescent="0.2">
      <c r="A121"/>
      <c r="B121"/>
      <c r="C121"/>
    </row>
    <row r="122" spans="1:3" x14ac:dyDescent="0.2">
      <c r="A122"/>
      <c r="B122"/>
      <c r="C122"/>
    </row>
    <row r="123" spans="1:3" x14ac:dyDescent="0.2">
      <c r="A123"/>
      <c r="B123"/>
      <c r="C123"/>
    </row>
    <row r="124" spans="1:3" x14ac:dyDescent="0.2">
      <c r="A124"/>
      <c r="B124"/>
      <c r="C124"/>
    </row>
    <row r="125" spans="1:3" x14ac:dyDescent="0.2">
      <c r="A125"/>
      <c r="B125"/>
      <c r="C125"/>
    </row>
    <row r="126" spans="1:3" x14ac:dyDescent="0.2">
      <c r="A126"/>
      <c r="B126"/>
      <c r="C126"/>
    </row>
    <row r="127" spans="1:3" x14ac:dyDescent="0.2">
      <c r="A127"/>
      <c r="B127"/>
      <c r="C127"/>
    </row>
    <row r="128" spans="1:3" x14ac:dyDescent="0.2">
      <c r="A128"/>
      <c r="B128"/>
      <c r="C128"/>
    </row>
    <row r="129" spans="1:3" x14ac:dyDescent="0.2">
      <c r="A129"/>
      <c r="B129"/>
      <c r="C129"/>
    </row>
    <row r="130" spans="1:3" x14ac:dyDescent="0.2">
      <c r="A130"/>
      <c r="B130"/>
      <c r="C130"/>
    </row>
    <row r="131" spans="1:3" x14ac:dyDescent="0.2">
      <c r="A131"/>
      <c r="B131"/>
      <c r="C131"/>
    </row>
    <row r="132" spans="1:3" x14ac:dyDescent="0.2">
      <c r="A132"/>
      <c r="B132"/>
      <c r="C132"/>
    </row>
    <row r="133" spans="1:3" x14ac:dyDescent="0.2">
      <c r="A133"/>
      <c r="B133"/>
      <c r="C133"/>
    </row>
    <row r="134" spans="1:3" x14ac:dyDescent="0.2">
      <c r="A134"/>
      <c r="B134"/>
      <c r="C134"/>
    </row>
    <row r="135" spans="1:3" x14ac:dyDescent="0.2">
      <c r="A135"/>
      <c r="B135"/>
      <c r="C135"/>
    </row>
    <row r="136" spans="1:3" x14ac:dyDescent="0.2">
      <c r="A136"/>
      <c r="B136"/>
      <c r="C136"/>
    </row>
    <row r="137" spans="1:3" x14ac:dyDescent="0.2">
      <c r="A137"/>
      <c r="B137"/>
      <c r="C137"/>
    </row>
    <row r="138" spans="1:3" x14ac:dyDescent="0.2">
      <c r="A138"/>
      <c r="B138"/>
      <c r="C138"/>
    </row>
    <row r="139" spans="1:3" x14ac:dyDescent="0.2">
      <c r="A139"/>
      <c r="B139"/>
      <c r="C139"/>
    </row>
    <row r="140" spans="1:3" x14ac:dyDescent="0.2">
      <c r="A140"/>
      <c r="B140"/>
      <c r="C140"/>
    </row>
    <row r="141" spans="1:3" x14ac:dyDescent="0.2">
      <c r="A141"/>
      <c r="B141"/>
      <c r="C141"/>
    </row>
    <row r="142" spans="1:3" x14ac:dyDescent="0.2">
      <c r="A142"/>
      <c r="B142"/>
      <c r="C142"/>
    </row>
    <row r="143" spans="1:3" x14ac:dyDescent="0.2">
      <c r="A143"/>
      <c r="B143"/>
      <c r="C143"/>
    </row>
    <row r="144" spans="1:3" x14ac:dyDescent="0.2">
      <c r="A144"/>
      <c r="B144"/>
      <c r="C144"/>
    </row>
    <row r="145" spans="1:3" x14ac:dyDescent="0.2">
      <c r="A145"/>
      <c r="B145"/>
      <c r="C145"/>
    </row>
    <row r="146" spans="1:3" x14ac:dyDescent="0.2">
      <c r="A146"/>
      <c r="B146"/>
      <c r="C146"/>
    </row>
    <row r="147" spans="1:3" x14ac:dyDescent="0.2">
      <c r="A147"/>
      <c r="B147"/>
      <c r="C147"/>
    </row>
    <row r="148" spans="1:3" x14ac:dyDescent="0.2">
      <c r="A148"/>
      <c r="B148"/>
      <c r="C148"/>
    </row>
    <row r="149" spans="1:3" x14ac:dyDescent="0.2">
      <c r="A149"/>
      <c r="B149"/>
      <c r="C149"/>
    </row>
    <row r="150" spans="1:3" x14ac:dyDescent="0.2">
      <c r="A150"/>
      <c r="B150"/>
      <c r="C150"/>
    </row>
    <row r="151" spans="1:3" x14ac:dyDescent="0.2">
      <c r="A151"/>
      <c r="B151"/>
      <c r="C151"/>
    </row>
    <row r="152" spans="1:3" x14ac:dyDescent="0.2">
      <c r="A152"/>
      <c r="B152"/>
      <c r="C152"/>
    </row>
    <row r="153" spans="1:3" x14ac:dyDescent="0.2">
      <c r="A153"/>
      <c r="B153"/>
      <c r="C153"/>
    </row>
    <row r="154" spans="1:3" x14ac:dyDescent="0.2">
      <c r="A154"/>
      <c r="B154"/>
      <c r="C154"/>
    </row>
    <row r="155" spans="1:3" x14ac:dyDescent="0.2">
      <c r="A155"/>
      <c r="B155"/>
      <c r="C155"/>
    </row>
    <row r="156" spans="1:3" x14ac:dyDescent="0.2">
      <c r="A156"/>
      <c r="B156"/>
      <c r="C156"/>
    </row>
    <row r="157" spans="1:3" x14ac:dyDescent="0.2">
      <c r="A157"/>
      <c r="B157"/>
      <c r="C157"/>
    </row>
    <row r="158" spans="1:3" x14ac:dyDescent="0.2">
      <c r="A158"/>
      <c r="B158"/>
      <c r="C158"/>
    </row>
    <row r="159" spans="1:3" x14ac:dyDescent="0.2">
      <c r="A159"/>
      <c r="B159"/>
      <c r="C159"/>
    </row>
    <row r="160" spans="1:3" x14ac:dyDescent="0.2">
      <c r="A160"/>
      <c r="B160"/>
      <c r="C160"/>
    </row>
    <row r="161" spans="1:3" x14ac:dyDescent="0.2">
      <c r="A161"/>
      <c r="B161"/>
      <c r="C161"/>
    </row>
    <row r="162" spans="1:3" x14ac:dyDescent="0.2">
      <c r="A162"/>
      <c r="B162"/>
      <c r="C162"/>
    </row>
    <row r="163" spans="1:3" x14ac:dyDescent="0.2">
      <c r="A163"/>
      <c r="B163"/>
      <c r="C163"/>
    </row>
    <row r="164" spans="1:3" x14ac:dyDescent="0.2">
      <c r="A164"/>
      <c r="B164"/>
      <c r="C164"/>
    </row>
    <row r="165" spans="1:3" x14ac:dyDescent="0.2">
      <c r="A165"/>
      <c r="B165"/>
      <c r="C165"/>
    </row>
    <row r="166" spans="1:3" x14ac:dyDescent="0.2">
      <c r="A166"/>
      <c r="B166"/>
      <c r="C166"/>
    </row>
    <row r="167" spans="1:3" x14ac:dyDescent="0.2">
      <c r="A167"/>
      <c r="B167"/>
      <c r="C167"/>
    </row>
    <row r="168" spans="1:3" x14ac:dyDescent="0.2">
      <c r="A168"/>
      <c r="B168"/>
      <c r="C168"/>
    </row>
    <row r="169" spans="1:3" x14ac:dyDescent="0.2">
      <c r="A169"/>
      <c r="B169"/>
      <c r="C169"/>
    </row>
    <row r="170" spans="1:3" x14ac:dyDescent="0.2">
      <c r="A170"/>
      <c r="B170"/>
      <c r="C170"/>
    </row>
    <row r="171" spans="1:3" x14ac:dyDescent="0.2">
      <c r="A171"/>
      <c r="B171"/>
      <c r="C171"/>
    </row>
    <row r="172" spans="1:3" x14ac:dyDescent="0.2">
      <c r="A172"/>
      <c r="B172"/>
      <c r="C172"/>
    </row>
    <row r="173" spans="1:3" x14ac:dyDescent="0.2">
      <c r="A173"/>
      <c r="B173"/>
      <c r="C173"/>
    </row>
    <row r="174" spans="1:3" x14ac:dyDescent="0.2">
      <c r="A174"/>
      <c r="B174"/>
      <c r="C174"/>
    </row>
    <row r="175" spans="1:3" x14ac:dyDescent="0.2">
      <c r="A175"/>
      <c r="B175"/>
      <c r="C175"/>
    </row>
    <row r="176" spans="1:3" x14ac:dyDescent="0.2">
      <c r="A176"/>
      <c r="B176"/>
      <c r="C176"/>
    </row>
    <row r="177" spans="1:3" x14ac:dyDescent="0.2">
      <c r="A177"/>
      <c r="B177"/>
      <c r="C177"/>
    </row>
    <row r="178" spans="1:3" x14ac:dyDescent="0.2">
      <c r="A178"/>
      <c r="B178"/>
      <c r="C178"/>
    </row>
    <row r="179" spans="1:3" x14ac:dyDescent="0.2">
      <c r="A179"/>
      <c r="B179"/>
      <c r="C179"/>
    </row>
    <row r="180" spans="1:3" x14ac:dyDescent="0.2">
      <c r="A180"/>
      <c r="B180"/>
      <c r="C180"/>
    </row>
    <row r="181" spans="1:3" x14ac:dyDescent="0.2">
      <c r="A181"/>
      <c r="B181"/>
      <c r="C181"/>
    </row>
    <row r="182" spans="1:3" x14ac:dyDescent="0.2">
      <c r="A182"/>
      <c r="B182"/>
      <c r="C182"/>
    </row>
    <row r="183" spans="1:3" x14ac:dyDescent="0.2">
      <c r="A183"/>
      <c r="B183"/>
      <c r="C183"/>
    </row>
    <row r="184" spans="1:3" x14ac:dyDescent="0.2">
      <c r="A184"/>
      <c r="B184"/>
      <c r="C184"/>
    </row>
    <row r="185" spans="1:3" x14ac:dyDescent="0.2">
      <c r="A185"/>
      <c r="B185"/>
      <c r="C185"/>
    </row>
    <row r="186" spans="1:3" x14ac:dyDescent="0.2">
      <c r="A186"/>
      <c r="B186"/>
      <c r="C186"/>
    </row>
    <row r="187" spans="1:3" x14ac:dyDescent="0.2">
      <c r="A187"/>
      <c r="B187"/>
      <c r="C187"/>
    </row>
    <row r="188" spans="1:3" x14ac:dyDescent="0.2">
      <c r="A188"/>
      <c r="B188"/>
      <c r="C188"/>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396</v>
      </c>
      <c r="B1" t="s">
        <v>537</v>
      </c>
      <c r="C1" t="s">
        <v>538</v>
      </c>
      <c r="D1" t="s">
        <v>539</v>
      </c>
      <c r="E1" t="s">
        <v>540</v>
      </c>
      <c r="F1" t="s">
        <v>535</v>
      </c>
      <c r="G1" t="s">
        <v>525</v>
      </c>
      <c r="H1" t="s">
        <v>506</v>
      </c>
      <c r="I1" t="s">
        <v>526</v>
      </c>
      <c r="J1" t="s">
        <v>511</v>
      </c>
      <c r="K1" t="s">
        <v>512</v>
      </c>
      <c r="L1" t="s">
        <v>513</v>
      </c>
      <c r="M1" t="s">
        <v>527</v>
      </c>
      <c r="N1" t="s">
        <v>394</v>
      </c>
      <c r="O1" t="s">
        <v>395</v>
      </c>
      <c r="P1" t="s">
        <v>397</v>
      </c>
      <c r="Q1" t="s">
        <v>515</v>
      </c>
      <c r="R1" t="s">
        <v>516</v>
      </c>
      <c r="S1" t="s">
        <v>517</v>
      </c>
      <c r="T1" t="s">
        <v>514</v>
      </c>
      <c r="U1" t="s">
        <v>528</v>
      </c>
      <c r="V1" t="s">
        <v>529</v>
      </c>
      <c r="W1" t="s">
        <v>518</v>
      </c>
      <c r="X1" t="s">
        <v>519</v>
      </c>
      <c r="Y1" t="s">
        <v>520</v>
      </c>
      <c r="Z1" t="s">
        <v>507</v>
      </c>
      <c r="AA1" t="s">
        <v>508</v>
      </c>
      <c r="AB1" t="s">
        <v>509</v>
      </c>
      <c r="AC1" t="s">
        <v>510</v>
      </c>
      <c r="AD1" t="s">
        <v>398</v>
      </c>
      <c r="AE1" t="s">
        <v>399</v>
      </c>
      <c r="AF1" t="s">
        <v>523</v>
      </c>
      <c r="AG1" t="s">
        <v>524</v>
      </c>
      <c r="AH1" t="s">
        <v>521</v>
      </c>
      <c r="AI1" t="s">
        <v>522</v>
      </c>
      <c r="AJ1" t="s">
        <v>536</v>
      </c>
      <c r="AK1" t="s">
        <v>541</v>
      </c>
      <c r="AL1" t="s">
        <v>542</v>
      </c>
    </row>
    <row r="2" spans="1:38" x14ac:dyDescent="0.2">
      <c r="A2">
        <v>1235344</v>
      </c>
      <c r="B2">
        <v>6864835</v>
      </c>
      <c r="C2">
        <v>7653243</v>
      </c>
      <c r="E2" t="b">
        <v>0</v>
      </c>
      <c r="G2" t="s">
        <v>565</v>
      </c>
      <c r="I2" t="s">
        <v>566</v>
      </c>
      <c r="J2" t="s">
        <v>530</v>
      </c>
      <c r="K2" t="s">
        <v>530</v>
      </c>
      <c r="L2" t="s">
        <v>530</v>
      </c>
      <c r="M2" t="s">
        <v>567</v>
      </c>
      <c r="N2" t="s">
        <v>400</v>
      </c>
      <c r="O2" t="s">
        <v>323</v>
      </c>
      <c r="P2" t="s">
        <v>115</v>
      </c>
      <c r="V2" t="s">
        <v>568</v>
      </c>
      <c r="Y2" t="s">
        <v>569</v>
      </c>
      <c r="AD2" t="s">
        <v>322</v>
      </c>
      <c r="AE2" t="s">
        <v>401</v>
      </c>
      <c r="AJ2" t="s">
        <v>570</v>
      </c>
      <c r="AK2" t="s">
        <v>571</v>
      </c>
      <c r="AL2" t="s">
        <v>572</v>
      </c>
    </row>
    <row r="3" spans="1:38" x14ac:dyDescent="0.2">
      <c r="A3">
        <v>1235555</v>
      </c>
      <c r="B3">
        <v>8036587</v>
      </c>
      <c r="C3">
        <v>7589603</v>
      </c>
      <c r="E3" t="b">
        <v>0</v>
      </c>
      <c r="F3">
        <v>72040</v>
      </c>
      <c r="G3" t="s">
        <v>573</v>
      </c>
      <c r="H3">
        <v>1</v>
      </c>
      <c r="I3" t="s">
        <v>574</v>
      </c>
      <c r="J3" t="s">
        <v>531</v>
      </c>
      <c r="K3" t="s">
        <v>530</v>
      </c>
      <c r="L3" t="s">
        <v>532</v>
      </c>
      <c r="M3" t="s">
        <v>575</v>
      </c>
      <c r="N3" t="s">
        <v>444</v>
      </c>
      <c r="O3" t="s">
        <v>217</v>
      </c>
      <c r="P3" t="s">
        <v>422</v>
      </c>
      <c r="S3" t="s">
        <v>576</v>
      </c>
      <c r="U3" t="s">
        <v>577</v>
      </c>
      <c r="V3" t="s">
        <v>578</v>
      </c>
      <c r="W3" t="s">
        <v>439</v>
      </c>
      <c r="X3" t="s">
        <v>533</v>
      </c>
      <c r="Y3" t="s">
        <v>579</v>
      </c>
      <c r="Z3" t="s">
        <v>545</v>
      </c>
      <c r="AB3" t="s">
        <v>571</v>
      </c>
      <c r="AD3" t="s">
        <v>534</v>
      </c>
      <c r="AE3" t="s">
        <v>534</v>
      </c>
      <c r="AF3">
        <v>0</v>
      </c>
      <c r="AG3">
        <v>0</v>
      </c>
      <c r="AH3">
        <v>46</v>
      </c>
      <c r="AI3">
        <v>0</v>
      </c>
      <c r="AJ3" t="s">
        <v>547</v>
      </c>
      <c r="AK3" t="s">
        <v>571</v>
      </c>
      <c r="AL3" t="s">
        <v>580</v>
      </c>
    </row>
    <row r="4" spans="1:38" x14ac:dyDescent="0.2">
      <c r="A4">
        <v>1235388</v>
      </c>
      <c r="B4">
        <v>7537859</v>
      </c>
      <c r="C4">
        <v>187510</v>
      </c>
      <c r="E4" t="b">
        <v>0</v>
      </c>
      <c r="F4">
        <v>62285</v>
      </c>
      <c r="G4" t="s">
        <v>581</v>
      </c>
      <c r="H4">
        <v>1</v>
      </c>
      <c r="I4" t="s">
        <v>582</v>
      </c>
      <c r="J4" t="s">
        <v>531</v>
      </c>
      <c r="K4" t="s">
        <v>530</v>
      </c>
      <c r="L4" t="s">
        <v>532</v>
      </c>
      <c r="M4" t="s">
        <v>583</v>
      </c>
      <c r="N4" t="s">
        <v>404</v>
      </c>
      <c r="O4" t="s">
        <v>225</v>
      </c>
      <c r="P4" t="s">
        <v>405</v>
      </c>
      <c r="S4" t="s">
        <v>584</v>
      </c>
      <c r="U4" t="s">
        <v>585</v>
      </c>
      <c r="V4" t="s">
        <v>586</v>
      </c>
      <c r="W4" t="s">
        <v>587</v>
      </c>
      <c r="X4" t="s">
        <v>533</v>
      </c>
      <c r="Y4" t="s">
        <v>579</v>
      </c>
      <c r="Z4" t="s">
        <v>545</v>
      </c>
      <c r="AA4" t="s">
        <v>22</v>
      </c>
      <c r="AB4" t="s">
        <v>588</v>
      </c>
      <c r="AD4" t="s">
        <v>224</v>
      </c>
      <c r="AE4" t="s">
        <v>406</v>
      </c>
      <c r="AF4">
        <v>0</v>
      </c>
      <c r="AG4">
        <v>0</v>
      </c>
      <c r="AH4">
        <v>70</v>
      </c>
      <c r="AI4">
        <v>0</v>
      </c>
      <c r="AJ4" t="s">
        <v>547</v>
      </c>
      <c r="AK4" t="s">
        <v>588</v>
      </c>
      <c r="AL4" t="s">
        <v>548</v>
      </c>
    </row>
    <row r="5" spans="1:38" x14ac:dyDescent="0.2">
      <c r="A5">
        <v>1235682</v>
      </c>
      <c r="B5">
        <v>7943647</v>
      </c>
      <c r="C5">
        <v>187508</v>
      </c>
      <c r="E5" t="b">
        <v>0</v>
      </c>
      <c r="F5">
        <v>69999</v>
      </c>
      <c r="G5" t="s">
        <v>589</v>
      </c>
      <c r="H5">
        <v>1</v>
      </c>
      <c r="I5" t="s">
        <v>590</v>
      </c>
      <c r="J5" t="s">
        <v>531</v>
      </c>
      <c r="K5" t="s">
        <v>532</v>
      </c>
      <c r="L5" t="s">
        <v>532</v>
      </c>
      <c r="M5" t="s">
        <v>591</v>
      </c>
      <c r="N5" t="s">
        <v>473</v>
      </c>
      <c r="O5" t="s">
        <v>47</v>
      </c>
      <c r="S5" t="s">
        <v>543</v>
      </c>
      <c r="U5" t="s">
        <v>592</v>
      </c>
      <c r="V5" t="s">
        <v>593</v>
      </c>
      <c r="W5" t="s">
        <v>439</v>
      </c>
      <c r="X5" t="s">
        <v>533</v>
      </c>
      <c r="Y5" t="s">
        <v>544</v>
      </c>
      <c r="Z5" t="s">
        <v>545</v>
      </c>
      <c r="AA5" t="s">
        <v>22</v>
      </c>
      <c r="AB5" t="s">
        <v>546</v>
      </c>
      <c r="AD5" t="s">
        <v>474</v>
      </c>
      <c r="AE5" t="s">
        <v>419</v>
      </c>
      <c r="AF5">
        <v>0</v>
      </c>
      <c r="AG5">
        <v>0</v>
      </c>
      <c r="AH5">
        <v>392.75</v>
      </c>
      <c r="AI5">
        <v>0</v>
      </c>
      <c r="AJ5" t="s">
        <v>547</v>
      </c>
      <c r="AK5" t="s">
        <v>546</v>
      </c>
      <c r="AL5" t="s">
        <v>548</v>
      </c>
    </row>
    <row r="6" spans="1:38" x14ac:dyDescent="0.2">
      <c r="A6">
        <v>1235426</v>
      </c>
      <c r="B6">
        <v>8035840</v>
      </c>
      <c r="C6">
        <v>187508</v>
      </c>
      <c r="E6" t="b">
        <v>0</v>
      </c>
      <c r="F6">
        <v>72024</v>
      </c>
      <c r="G6" t="s">
        <v>552</v>
      </c>
      <c r="H6">
        <v>1</v>
      </c>
      <c r="I6" t="s">
        <v>553</v>
      </c>
      <c r="J6" t="s">
        <v>531</v>
      </c>
      <c r="K6" t="s">
        <v>532</v>
      </c>
      <c r="L6" t="s">
        <v>532</v>
      </c>
      <c r="M6" t="s">
        <v>594</v>
      </c>
      <c r="N6" t="s">
        <v>417</v>
      </c>
      <c r="O6" t="s">
        <v>54</v>
      </c>
      <c r="S6" t="s">
        <v>543</v>
      </c>
      <c r="U6" t="s">
        <v>595</v>
      </c>
      <c r="V6" t="s">
        <v>596</v>
      </c>
      <c r="W6" t="s">
        <v>439</v>
      </c>
      <c r="X6" t="s">
        <v>533</v>
      </c>
      <c r="Y6" t="s">
        <v>544</v>
      </c>
      <c r="Z6" t="s">
        <v>545</v>
      </c>
      <c r="AA6" t="s">
        <v>22</v>
      </c>
      <c r="AB6" t="s">
        <v>546</v>
      </c>
      <c r="AD6" t="s">
        <v>418</v>
      </c>
      <c r="AE6" t="s">
        <v>419</v>
      </c>
      <c r="AF6">
        <v>0</v>
      </c>
      <c r="AG6">
        <v>0</v>
      </c>
      <c r="AH6">
        <v>392.75</v>
      </c>
      <c r="AI6">
        <v>0</v>
      </c>
      <c r="AJ6" t="s">
        <v>547</v>
      </c>
      <c r="AK6" t="s">
        <v>546</v>
      </c>
      <c r="AL6" t="s">
        <v>548</v>
      </c>
    </row>
    <row r="7" spans="1:38" x14ac:dyDescent="0.2">
      <c r="A7">
        <v>1235686</v>
      </c>
      <c r="B7">
        <v>8143520</v>
      </c>
      <c r="C7">
        <v>187508</v>
      </c>
      <c r="E7" t="b">
        <v>0</v>
      </c>
      <c r="F7">
        <v>73531</v>
      </c>
      <c r="G7" t="s">
        <v>550</v>
      </c>
      <c r="H7">
        <v>1</v>
      </c>
      <c r="I7" t="s">
        <v>551</v>
      </c>
      <c r="J7" t="s">
        <v>531</v>
      </c>
      <c r="K7" t="s">
        <v>532</v>
      </c>
      <c r="L7" t="s">
        <v>532</v>
      </c>
      <c r="M7" t="s">
        <v>597</v>
      </c>
      <c r="N7" t="s">
        <v>475</v>
      </c>
      <c r="O7" t="s">
        <v>55</v>
      </c>
      <c r="S7" t="s">
        <v>543</v>
      </c>
      <c r="U7" t="s">
        <v>598</v>
      </c>
      <c r="V7" t="s">
        <v>599</v>
      </c>
      <c r="W7" t="s">
        <v>439</v>
      </c>
      <c r="X7" t="s">
        <v>533</v>
      </c>
      <c r="Y7" t="s">
        <v>544</v>
      </c>
      <c r="Z7" t="s">
        <v>545</v>
      </c>
      <c r="AA7" t="s">
        <v>22</v>
      </c>
      <c r="AB7" t="s">
        <v>546</v>
      </c>
      <c r="AD7" t="s">
        <v>476</v>
      </c>
      <c r="AE7" t="s">
        <v>477</v>
      </c>
      <c r="AF7">
        <v>0</v>
      </c>
      <c r="AG7">
        <v>0</v>
      </c>
      <c r="AH7">
        <v>392.75</v>
      </c>
      <c r="AI7">
        <v>0</v>
      </c>
      <c r="AJ7" t="s">
        <v>547</v>
      </c>
      <c r="AK7" t="s">
        <v>546</v>
      </c>
      <c r="AL7" t="s">
        <v>548</v>
      </c>
    </row>
    <row r="8" spans="1:38" x14ac:dyDescent="0.2">
      <c r="A8">
        <v>1235630</v>
      </c>
      <c r="B8">
        <v>7925909</v>
      </c>
      <c r="C8">
        <v>187508</v>
      </c>
      <c r="E8" t="b">
        <v>0</v>
      </c>
      <c r="F8">
        <v>69663</v>
      </c>
      <c r="G8" t="s">
        <v>600</v>
      </c>
      <c r="H8">
        <v>1</v>
      </c>
      <c r="I8" t="s">
        <v>601</v>
      </c>
      <c r="J8" t="s">
        <v>531</v>
      </c>
      <c r="K8" t="s">
        <v>532</v>
      </c>
      <c r="L8" t="s">
        <v>532</v>
      </c>
      <c r="M8" t="s">
        <v>602</v>
      </c>
      <c r="N8" t="s">
        <v>462</v>
      </c>
      <c r="O8" t="s">
        <v>109</v>
      </c>
      <c r="S8" t="s">
        <v>543</v>
      </c>
      <c r="U8" t="s">
        <v>603</v>
      </c>
      <c r="V8" t="s">
        <v>604</v>
      </c>
      <c r="W8" t="s">
        <v>439</v>
      </c>
      <c r="X8" t="s">
        <v>533</v>
      </c>
      <c r="Y8" t="s">
        <v>544</v>
      </c>
      <c r="Z8" t="s">
        <v>545</v>
      </c>
      <c r="AA8" t="s">
        <v>22</v>
      </c>
      <c r="AB8" t="s">
        <v>546</v>
      </c>
      <c r="AD8" t="s">
        <v>463</v>
      </c>
      <c r="AE8" t="s">
        <v>419</v>
      </c>
      <c r="AF8">
        <v>0</v>
      </c>
      <c r="AG8">
        <v>0</v>
      </c>
      <c r="AH8">
        <v>392.75</v>
      </c>
      <c r="AI8">
        <v>0</v>
      </c>
      <c r="AJ8" t="s">
        <v>547</v>
      </c>
      <c r="AK8" t="s">
        <v>546</v>
      </c>
      <c r="AL8" t="s">
        <v>548</v>
      </c>
    </row>
    <row r="9" spans="1:38" x14ac:dyDescent="0.2">
      <c r="A9">
        <v>1235561</v>
      </c>
      <c r="B9">
        <v>7925915</v>
      </c>
      <c r="C9">
        <v>187508</v>
      </c>
      <c r="E9" t="b">
        <v>0</v>
      </c>
      <c r="F9">
        <v>69665</v>
      </c>
      <c r="G9" t="s">
        <v>605</v>
      </c>
      <c r="H9">
        <v>1</v>
      </c>
      <c r="I9" t="s">
        <v>606</v>
      </c>
      <c r="J9" t="s">
        <v>531</v>
      </c>
      <c r="K9" t="s">
        <v>532</v>
      </c>
      <c r="L9" t="s">
        <v>532</v>
      </c>
      <c r="M9" t="s">
        <v>607</v>
      </c>
      <c r="N9" t="s">
        <v>445</v>
      </c>
      <c r="O9" t="s">
        <v>113</v>
      </c>
      <c r="S9" t="s">
        <v>543</v>
      </c>
      <c r="U9" t="s">
        <v>603</v>
      </c>
      <c r="V9" t="s">
        <v>608</v>
      </c>
      <c r="W9" t="s">
        <v>439</v>
      </c>
      <c r="X9" t="s">
        <v>533</v>
      </c>
      <c r="Y9" t="s">
        <v>544</v>
      </c>
      <c r="Z9" t="s">
        <v>545</v>
      </c>
      <c r="AA9" t="s">
        <v>22</v>
      </c>
      <c r="AB9" t="s">
        <v>546</v>
      </c>
      <c r="AD9" t="s">
        <v>446</v>
      </c>
      <c r="AE9" t="s">
        <v>447</v>
      </c>
      <c r="AF9">
        <v>0</v>
      </c>
      <c r="AG9">
        <v>0</v>
      </c>
      <c r="AH9">
        <v>392.75</v>
      </c>
      <c r="AI9">
        <v>0</v>
      </c>
      <c r="AJ9" t="s">
        <v>547</v>
      </c>
      <c r="AK9" t="s">
        <v>546</v>
      </c>
      <c r="AL9" t="s">
        <v>548</v>
      </c>
    </row>
    <row r="10" spans="1:38" x14ac:dyDescent="0.2">
      <c r="A10">
        <v>1235543</v>
      </c>
      <c r="B10">
        <v>8075187</v>
      </c>
      <c r="C10">
        <v>187508</v>
      </c>
      <c r="E10" t="b">
        <v>0</v>
      </c>
      <c r="F10">
        <v>72822</v>
      </c>
      <c r="G10" t="s">
        <v>609</v>
      </c>
      <c r="H10">
        <v>1</v>
      </c>
      <c r="I10" t="s">
        <v>610</v>
      </c>
      <c r="J10" t="s">
        <v>531</v>
      </c>
      <c r="K10" t="s">
        <v>532</v>
      </c>
      <c r="L10" t="s">
        <v>532</v>
      </c>
      <c r="M10" t="s">
        <v>611</v>
      </c>
      <c r="N10" t="s">
        <v>442</v>
      </c>
      <c r="O10" t="s">
        <v>112</v>
      </c>
      <c r="S10" t="s">
        <v>543</v>
      </c>
      <c r="U10" t="s">
        <v>612</v>
      </c>
      <c r="V10" t="s">
        <v>613</v>
      </c>
      <c r="W10" t="s">
        <v>439</v>
      </c>
      <c r="X10" t="s">
        <v>533</v>
      </c>
      <c r="Y10" t="s">
        <v>544</v>
      </c>
      <c r="Z10" t="s">
        <v>545</v>
      </c>
      <c r="AA10" t="s">
        <v>22</v>
      </c>
      <c r="AB10" t="s">
        <v>546</v>
      </c>
      <c r="AD10" t="s">
        <v>418</v>
      </c>
      <c r="AE10" t="s">
        <v>443</v>
      </c>
      <c r="AF10">
        <v>0</v>
      </c>
      <c r="AG10">
        <v>0</v>
      </c>
      <c r="AH10">
        <v>392.75</v>
      </c>
      <c r="AI10">
        <v>0</v>
      </c>
      <c r="AJ10" t="s">
        <v>547</v>
      </c>
      <c r="AK10" t="s">
        <v>546</v>
      </c>
      <c r="AL10" t="s">
        <v>548</v>
      </c>
    </row>
    <row r="11" spans="1:38" x14ac:dyDescent="0.2">
      <c r="A11">
        <v>1235622</v>
      </c>
      <c r="B11">
        <v>7925914</v>
      </c>
      <c r="C11">
        <v>187508</v>
      </c>
      <c r="E11" t="b">
        <v>0</v>
      </c>
      <c r="F11">
        <v>69664</v>
      </c>
      <c r="G11" t="s">
        <v>614</v>
      </c>
      <c r="H11">
        <v>1</v>
      </c>
      <c r="I11" t="s">
        <v>615</v>
      </c>
      <c r="J11" t="s">
        <v>531</v>
      </c>
      <c r="K11" t="s">
        <v>532</v>
      </c>
      <c r="L11" t="s">
        <v>532</v>
      </c>
      <c r="M11" t="s">
        <v>616</v>
      </c>
      <c r="N11" t="s">
        <v>457</v>
      </c>
      <c r="O11" t="s">
        <v>155</v>
      </c>
      <c r="S11" t="s">
        <v>543</v>
      </c>
      <c r="U11" t="s">
        <v>603</v>
      </c>
      <c r="V11" t="s">
        <v>617</v>
      </c>
      <c r="W11" t="s">
        <v>439</v>
      </c>
      <c r="X11" t="s">
        <v>533</v>
      </c>
      <c r="Y11" t="s">
        <v>544</v>
      </c>
      <c r="Z11" t="s">
        <v>545</v>
      </c>
      <c r="AA11" t="s">
        <v>22</v>
      </c>
      <c r="AB11" t="s">
        <v>546</v>
      </c>
      <c r="AD11" t="s">
        <v>458</v>
      </c>
      <c r="AE11" t="s">
        <v>459</v>
      </c>
      <c r="AF11">
        <v>0</v>
      </c>
      <c r="AG11">
        <v>0</v>
      </c>
      <c r="AH11">
        <v>392.75</v>
      </c>
      <c r="AI11">
        <v>0</v>
      </c>
      <c r="AJ11" t="s">
        <v>547</v>
      </c>
      <c r="AK11" t="s">
        <v>546</v>
      </c>
      <c r="AL11" t="s">
        <v>548</v>
      </c>
    </row>
    <row r="12" spans="1:38" x14ac:dyDescent="0.2">
      <c r="A12">
        <v>1235403</v>
      </c>
      <c r="B12">
        <v>7975239</v>
      </c>
      <c r="C12">
        <v>187508</v>
      </c>
      <c r="E12" t="b">
        <v>0</v>
      </c>
      <c r="F12">
        <v>70613</v>
      </c>
      <c r="G12" t="s">
        <v>618</v>
      </c>
      <c r="H12">
        <v>3</v>
      </c>
      <c r="I12" t="s">
        <v>619</v>
      </c>
      <c r="J12" t="s">
        <v>531</v>
      </c>
      <c r="K12" t="s">
        <v>532</v>
      </c>
      <c r="L12" t="s">
        <v>532</v>
      </c>
      <c r="M12" t="s">
        <v>620</v>
      </c>
      <c r="N12" t="s">
        <v>412</v>
      </c>
      <c r="O12" t="s">
        <v>174</v>
      </c>
      <c r="P12" t="s">
        <v>107</v>
      </c>
      <c r="S12" t="s">
        <v>621</v>
      </c>
      <c r="U12" t="s">
        <v>622</v>
      </c>
      <c r="V12" t="s">
        <v>623</v>
      </c>
      <c r="W12" t="s">
        <v>439</v>
      </c>
      <c r="X12" t="s">
        <v>533</v>
      </c>
      <c r="Y12" t="s">
        <v>544</v>
      </c>
      <c r="Z12" t="s">
        <v>545</v>
      </c>
      <c r="AA12" t="s">
        <v>22</v>
      </c>
      <c r="AB12" t="s">
        <v>546</v>
      </c>
      <c r="AD12" t="s">
        <v>173</v>
      </c>
      <c r="AE12" t="s">
        <v>413</v>
      </c>
      <c r="AF12">
        <v>0</v>
      </c>
      <c r="AG12">
        <v>0</v>
      </c>
      <c r="AH12">
        <v>418.5</v>
      </c>
      <c r="AI12">
        <v>0</v>
      </c>
      <c r="AJ12" t="s">
        <v>547</v>
      </c>
      <c r="AK12" t="s">
        <v>546</v>
      </c>
      <c r="AL12" t="s">
        <v>548</v>
      </c>
    </row>
    <row r="13" spans="1:38" x14ac:dyDescent="0.2">
      <c r="A13">
        <v>1235569</v>
      </c>
      <c r="B13">
        <v>7975237</v>
      </c>
      <c r="C13">
        <v>187508</v>
      </c>
      <c r="E13" t="b">
        <v>0</v>
      </c>
      <c r="F13">
        <v>70613</v>
      </c>
      <c r="G13" t="s">
        <v>618</v>
      </c>
      <c r="H13">
        <v>1</v>
      </c>
      <c r="I13" t="s">
        <v>624</v>
      </c>
      <c r="J13" t="s">
        <v>531</v>
      </c>
      <c r="K13" t="s">
        <v>532</v>
      </c>
      <c r="L13" t="s">
        <v>532</v>
      </c>
      <c r="M13" t="s">
        <v>625</v>
      </c>
      <c r="N13" t="s">
        <v>452</v>
      </c>
      <c r="O13" t="s">
        <v>176</v>
      </c>
      <c r="P13" t="s">
        <v>453</v>
      </c>
      <c r="S13" t="s">
        <v>621</v>
      </c>
      <c r="U13" t="s">
        <v>622</v>
      </c>
      <c r="V13" t="s">
        <v>626</v>
      </c>
      <c r="W13" t="s">
        <v>439</v>
      </c>
      <c r="X13" t="s">
        <v>533</v>
      </c>
      <c r="Y13" t="s">
        <v>544</v>
      </c>
      <c r="Z13" t="s">
        <v>545</v>
      </c>
      <c r="AA13" t="s">
        <v>22</v>
      </c>
      <c r="AB13" t="s">
        <v>546</v>
      </c>
      <c r="AD13" t="s">
        <v>175</v>
      </c>
      <c r="AE13" t="s">
        <v>413</v>
      </c>
      <c r="AF13">
        <v>0</v>
      </c>
      <c r="AG13">
        <v>0</v>
      </c>
      <c r="AH13">
        <v>418.5</v>
      </c>
      <c r="AI13">
        <v>0</v>
      </c>
      <c r="AJ13" t="s">
        <v>547</v>
      </c>
      <c r="AK13" t="s">
        <v>546</v>
      </c>
      <c r="AL13" t="s">
        <v>548</v>
      </c>
    </row>
    <row r="14" spans="1:38" x14ac:dyDescent="0.2">
      <c r="A14">
        <v>1235743</v>
      </c>
      <c r="B14">
        <v>7975241</v>
      </c>
      <c r="C14">
        <v>187508</v>
      </c>
      <c r="E14" t="b">
        <v>0</v>
      </c>
      <c r="F14">
        <v>70613</v>
      </c>
      <c r="G14" t="s">
        <v>618</v>
      </c>
      <c r="H14">
        <v>5</v>
      </c>
      <c r="I14" t="s">
        <v>627</v>
      </c>
      <c r="J14" t="s">
        <v>531</v>
      </c>
      <c r="K14" t="s">
        <v>532</v>
      </c>
      <c r="L14" t="s">
        <v>532</v>
      </c>
      <c r="M14" t="s">
        <v>628</v>
      </c>
      <c r="N14" t="s">
        <v>479</v>
      </c>
      <c r="O14" t="s">
        <v>481</v>
      </c>
      <c r="P14" t="s">
        <v>480</v>
      </c>
      <c r="S14" t="s">
        <v>621</v>
      </c>
      <c r="U14" t="s">
        <v>622</v>
      </c>
      <c r="V14" t="s">
        <v>629</v>
      </c>
      <c r="W14" t="s">
        <v>439</v>
      </c>
      <c r="X14" t="s">
        <v>533</v>
      </c>
      <c r="Y14" t="s">
        <v>544</v>
      </c>
      <c r="Z14" t="s">
        <v>545</v>
      </c>
      <c r="AA14" t="s">
        <v>22</v>
      </c>
      <c r="AB14" t="s">
        <v>546</v>
      </c>
      <c r="AD14" t="s">
        <v>482</v>
      </c>
      <c r="AE14" t="s">
        <v>413</v>
      </c>
      <c r="AF14">
        <v>0</v>
      </c>
      <c r="AG14">
        <v>0</v>
      </c>
      <c r="AH14">
        <v>418.5</v>
      </c>
      <c r="AI14">
        <v>0</v>
      </c>
      <c r="AJ14" t="s">
        <v>547</v>
      </c>
      <c r="AK14" t="s">
        <v>546</v>
      </c>
      <c r="AL14" t="s">
        <v>548</v>
      </c>
    </row>
    <row r="15" spans="1:38" x14ac:dyDescent="0.2">
      <c r="A15">
        <v>2550412</v>
      </c>
      <c r="B15">
        <v>7975245</v>
      </c>
      <c r="C15">
        <v>187508</v>
      </c>
      <c r="E15" t="b">
        <v>0</v>
      </c>
      <c r="F15">
        <v>70613</v>
      </c>
      <c r="G15" t="s">
        <v>618</v>
      </c>
      <c r="H15">
        <v>9</v>
      </c>
      <c r="I15" t="s">
        <v>630</v>
      </c>
      <c r="J15" t="s">
        <v>531</v>
      </c>
      <c r="K15" t="s">
        <v>532</v>
      </c>
      <c r="L15" t="s">
        <v>532</v>
      </c>
      <c r="M15" t="s">
        <v>631</v>
      </c>
      <c r="N15" t="s">
        <v>496</v>
      </c>
      <c r="O15" t="s">
        <v>497</v>
      </c>
      <c r="P15" t="s">
        <v>372</v>
      </c>
      <c r="S15" t="s">
        <v>621</v>
      </c>
      <c r="U15" t="s">
        <v>622</v>
      </c>
      <c r="V15" t="s">
        <v>632</v>
      </c>
      <c r="W15" t="s">
        <v>439</v>
      </c>
      <c r="X15" t="s">
        <v>533</v>
      </c>
      <c r="Y15" t="s">
        <v>544</v>
      </c>
      <c r="Z15" t="s">
        <v>545</v>
      </c>
      <c r="AA15" t="s">
        <v>22</v>
      </c>
      <c r="AB15" t="s">
        <v>546</v>
      </c>
      <c r="AD15" t="s">
        <v>498</v>
      </c>
      <c r="AE15" t="s">
        <v>499</v>
      </c>
      <c r="AF15">
        <v>0</v>
      </c>
      <c r="AG15">
        <v>0</v>
      </c>
      <c r="AH15">
        <v>418.5</v>
      </c>
      <c r="AI15">
        <v>0</v>
      </c>
      <c r="AJ15" t="s">
        <v>547</v>
      </c>
      <c r="AK15" t="s">
        <v>546</v>
      </c>
      <c r="AL15" t="s">
        <v>548</v>
      </c>
    </row>
    <row r="16" spans="1:38" x14ac:dyDescent="0.2">
      <c r="A16">
        <v>1446161</v>
      </c>
      <c r="B16">
        <v>7975243</v>
      </c>
      <c r="C16">
        <v>187508</v>
      </c>
      <c r="E16" t="b">
        <v>0</v>
      </c>
      <c r="F16">
        <v>70613</v>
      </c>
      <c r="G16" t="s">
        <v>618</v>
      </c>
      <c r="H16">
        <v>7</v>
      </c>
      <c r="I16" t="s">
        <v>633</v>
      </c>
      <c r="J16" t="s">
        <v>531</v>
      </c>
      <c r="K16" t="s">
        <v>532</v>
      </c>
      <c r="L16" t="s">
        <v>532</v>
      </c>
      <c r="M16" t="s">
        <v>634</v>
      </c>
      <c r="N16" t="s">
        <v>488</v>
      </c>
      <c r="O16" t="s">
        <v>490</v>
      </c>
      <c r="P16" t="s">
        <v>489</v>
      </c>
      <c r="S16" t="s">
        <v>621</v>
      </c>
      <c r="U16" t="s">
        <v>622</v>
      </c>
      <c r="V16" t="s">
        <v>635</v>
      </c>
      <c r="W16" t="s">
        <v>439</v>
      </c>
      <c r="X16" t="s">
        <v>533</v>
      </c>
      <c r="Y16" t="s">
        <v>544</v>
      </c>
      <c r="Z16" t="s">
        <v>545</v>
      </c>
      <c r="AA16" t="s">
        <v>22</v>
      </c>
      <c r="AB16" t="s">
        <v>546</v>
      </c>
      <c r="AD16" t="s">
        <v>491</v>
      </c>
      <c r="AE16" t="s">
        <v>413</v>
      </c>
      <c r="AF16">
        <v>0</v>
      </c>
      <c r="AG16">
        <v>0</v>
      </c>
      <c r="AH16">
        <v>418.5</v>
      </c>
      <c r="AI16">
        <v>0</v>
      </c>
      <c r="AJ16" t="s">
        <v>547</v>
      </c>
      <c r="AK16" t="s">
        <v>546</v>
      </c>
      <c r="AL16" t="s">
        <v>548</v>
      </c>
    </row>
    <row r="17" spans="1:38" x14ac:dyDescent="0.2">
      <c r="A17">
        <v>2701517</v>
      </c>
      <c r="B17">
        <v>7975246</v>
      </c>
      <c r="C17">
        <v>187508</v>
      </c>
      <c r="E17" t="b">
        <v>0</v>
      </c>
      <c r="F17">
        <v>70613</v>
      </c>
      <c r="G17" t="s">
        <v>618</v>
      </c>
      <c r="H17">
        <v>10</v>
      </c>
      <c r="I17" t="s">
        <v>636</v>
      </c>
      <c r="J17" t="s">
        <v>531</v>
      </c>
      <c r="K17" t="s">
        <v>532</v>
      </c>
      <c r="L17" t="s">
        <v>532</v>
      </c>
      <c r="M17" t="s">
        <v>637</v>
      </c>
      <c r="N17" t="s">
        <v>501</v>
      </c>
      <c r="O17" t="s">
        <v>503</v>
      </c>
      <c r="P17" t="s">
        <v>502</v>
      </c>
      <c r="S17" t="s">
        <v>621</v>
      </c>
      <c r="U17" t="s">
        <v>622</v>
      </c>
      <c r="V17" t="s">
        <v>638</v>
      </c>
      <c r="W17" t="s">
        <v>439</v>
      </c>
      <c r="X17" t="s">
        <v>533</v>
      </c>
      <c r="Y17" t="s">
        <v>544</v>
      </c>
      <c r="Z17" t="s">
        <v>545</v>
      </c>
      <c r="AA17" t="s">
        <v>22</v>
      </c>
      <c r="AB17" t="s">
        <v>546</v>
      </c>
      <c r="AD17" t="s">
        <v>177</v>
      </c>
      <c r="AE17" t="s">
        <v>413</v>
      </c>
      <c r="AF17">
        <v>0</v>
      </c>
      <c r="AG17">
        <v>0</v>
      </c>
      <c r="AH17">
        <v>418.5</v>
      </c>
      <c r="AI17">
        <v>0</v>
      </c>
      <c r="AJ17" t="s">
        <v>547</v>
      </c>
      <c r="AK17" t="s">
        <v>546</v>
      </c>
      <c r="AL17" t="s">
        <v>548</v>
      </c>
    </row>
    <row r="18" spans="1:38" x14ac:dyDescent="0.2">
      <c r="A18">
        <v>2336905</v>
      </c>
      <c r="B18">
        <v>7975244</v>
      </c>
      <c r="C18">
        <v>187508</v>
      </c>
      <c r="E18" t="b">
        <v>0</v>
      </c>
      <c r="F18">
        <v>70613</v>
      </c>
      <c r="G18" t="s">
        <v>618</v>
      </c>
      <c r="H18">
        <v>8</v>
      </c>
      <c r="I18" t="s">
        <v>639</v>
      </c>
      <c r="J18" t="s">
        <v>531</v>
      </c>
      <c r="K18" t="s">
        <v>532</v>
      </c>
      <c r="L18" t="s">
        <v>532</v>
      </c>
      <c r="M18" t="s">
        <v>640</v>
      </c>
      <c r="N18" t="s">
        <v>492</v>
      </c>
      <c r="O18" t="s">
        <v>494</v>
      </c>
      <c r="P18" t="s">
        <v>493</v>
      </c>
      <c r="S18" t="s">
        <v>621</v>
      </c>
      <c r="U18" t="s">
        <v>622</v>
      </c>
      <c r="V18" t="s">
        <v>641</v>
      </c>
      <c r="W18" t="s">
        <v>439</v>
      </c>
      <c r="X18" t="s">
        <v>533</v>
      </c>
      <c r="Y18" t="s">
        <v>544</v>
      </c>
      <c r="Z18" t="s">
        <v>545</v>
      </c>
      <c r="AA18" t="s">
        <v>22</v>
      </c>
      <c r="AB18" t="s">
        <v>546</v>
      </c>
      <c r="AD18" t="s">
        <v>495</v>
      </c>
      <c r="AE18" t="s">
        <v>413</v>
      </c>
      <c r="AF18">
        <v>0</v>
      </c>
      <c r="AG18">
        <v>0</v>
      </c>
      <c r="AH18">
        <v>418.5</v>
      </c>
      <c r="AI18">
        <v>0</v>
      </c>
      <c r="AJ18" t="s">
        <v>547</v>
      </c>
      <c r="AK18" t="s">
        <v>546</v>
      </c>
      <c r="AL18" t="s">
        <v>548</v>
      </c>
    </row>
    <row r="19" spans="1:38" x14ac:dyDescent="0.2">
      <c r="A19">
        <v>1235639</v>
      </c>
      <c r="B19">
        <v>7975242</v>
      </c>
      <c r="C19">
        <v>187508</v>
      </c>
      <c r="E19" t="b">
        <v>0</v>
      </c>
      <c r="F19">
        <v>70613</v>
      </c>
      <c r="G19" t="s">
        <v>618</v>
      </c>
      <c r="H19">
        <v>6</v>
      </c>
      <c r="I19" t="s">
        <v>642</v>
      </c>
      <c r="J19" t="s">
        <v>531</v>
      </c>
      <c r="K19" t="s">
        <v>532</v>
      </c>
      <c r="L19" t="s">
        <v>532</v>
      </c>
      <c r="M19" t="s">
        <v>643</v>
      </c>
      <c r="N19" t="s">
        <v>464</v>
      </c>
      <c r="O19" t="s">
        <v>172</v>
      </c>
      <c r="P19" t="s">
        <v>465</v>
      </c>
      <c r="S19" t="s">
        <v>621</v>
      </c>
      <c r="U19" t="s">
        <v>622</v>
      </c>
      <c r="V19" t="s">
        <v>644</v>
      </c>
      <c r="W19" t="s">
        <v>439</v>
      </c>
      <c r="X19" t="s">
        <v>533</v>
      </c>
      <c r="Y19" t="s">
        <v>544</v>
      </c>
      <c r="Z19" t="s">
        <v>545</v>
      </c>
      <c r="AA19" t="s">
        <v>22</v>
      </c>
      <c r="AB19" t="s">
        <v>546</v>
      </c>
      <c r="AD19" t="s">
        <v>171</v>
      </c>
      <c r="AE19" t="s">
        <v>413</v>
      </c>
      <c r="AF19">
        <v>0</v>
      </c>
      <c r="AG19">
        <v>0</v>
      </c>
      <c r="AH19">
        <v>418.5</v>
      </c>
      <c r="AI19">
        <v>0</v>
      </c>
      <c r="AJ19" t="s">
        <v>547</v>
      </c>
      <c r="AK19" t="s">
        <v>546</v>
      </c>
      <c r="AL19" t="s">
        <v>548</v>
      </c>
    </row>
    <row r="20" spans="1:38" x14ac:dyDescent="0.2">
      <c r="A20">
        <v>1235626</v>
      </c>
      <c r="B20">
        <v>7975238</v>
      </c>
      <c r="C20">
        <v>187508</v>
      </c>
      <c r="E20" t="b">
        <v>0</v>
      </c>
      <c r="F20">
        <v>70613</v>
      </c>
      <c r="G20" t="s">
        <v>618</v>
      </c>
      <c r="H20">
        <v>2</v>
      </c>
      <c r="I20" t="s">
        <v>645</v>
      </c>
      <c r="J20" t="s">
        <v>531</v>
      </c>
      <c r="K20" t="s">
        <v>532</v>
      </c>
      <c r="L20" t="s">
        <v>532</v>
      </c>
      <c r="M20" t="s">
        <v>646</v>
      </c>
      <c r="N20" t="s">
        <v>460</v>
      </c>
      <c r="O20" t="s">
        <v>180</v>
      </c>
      <c r="P20" t="s">
        <v>461</v>
      </c>
      <c r="S20" t="s">
        <v>621</v>
      </c>
      <c r="U20" t="s">
        <v>622</v>
      </c>
      <c r="V20" t="s">
        <v>647</v>
      </c>
      <c r="W20" t="s">
        <v>439</v>
      </c>
      <c r="X20" t="s">
        <v>533</v>
      </c>
      <c r="Y20" t="s">
        <v>544</v>
      </c>
      <c r="Z20" t="s">
        <v>545</v>
      </c>
      <c r="AA20" t="s">
        <v>22</v>
      </c>
      <c r="AB20" t="s">
        <v>546</v>
      </c>
      <c r="AD20" t="s">
        <v>179</v>
      </c>
      <c r="AE20" t="s">
        <v>413</v>
      </c>
      <c r="AF20">
        <v>0</v>
      </c>
      <c r="AG20">
        <v>0</v>
      </c>
      <c r="AH20">
        <v>418.5</v>
      </c>
      <c r="AI20">
        <v>0</v>
      </c>
      <c r="AJ20" t="s">
        <v>547</v>
      </c>
      <c r="AK20" t="s">
        <v>546</v>
      </c>
      <c r="AL20" t="s">
        <v>548</v>
      </c>
    </row>
    <row r="21" spans="1:38" x14ac:dyDescent="0.2">
      <c r="A21">
        <v>1235522</v>
      </c>
      <c r="B21">
        <v>7975240</v>
      </c>
      <c r="C21">
        <v>187508</v>
      </c>
      <c r="E21" t="b">
        <v>0</v>
      </c>
      <c r="F21">
        <v>70613</v>
      </c>
      <c r="G21" t="s">
        <v>618</v>
      </c>
      <c r="H21">
        <v>4</v>
      </c>
      <c r="I21" t="s">
        <v>648</v>
      </c>
      <c r="J21" t="s">
        <v>531</v>
      </c>
      <c r="K21" t="s">
        <v>532</v>
      </c>
      <c r="L21" t="s">
        <v>532</v>
      </c>
      <c r="M21" t="s">
        <v>649</v>
      </c>
      <c r="N21" t="s">
        <v>438</v>
      </c>
      <c r="O21" t="s">
        <v>178</v>
      </c>
      <c r="P21" t="s">
        <v>439</v>
      </c>
      <c r="S21" t="s">
        <v>621</v>
      </c>
      <c r="U21" t="s">
        <v>622</v>
      </c>
      <c r="V21" t="s">
        <v>650</v>
      </c>
      <c r="W21" t="s">
        <v>439</v>
      </c>
      <c r="X21" t="s">
        <v>533</v>
      </c>
      <c r="Y21" t="s">
        <v>544</v>
      </c>
      <c r="Z21" t="s">
        <v>545</v>
      </c>
      <c r="AA21" t="s">
        <v>22</v>
      </c>
      <c r="AB21" t="s">
        <v>546</v>
      </c>
      <c r="AD21" t="s">
        <v>177</v>
      </c>
      <c r="AE21" t="s">
        <v>413</v>
      </c>
      <c r="AF21">
        <v>0</v>
      </c>
      <c r="AG21">
        <v>0</v>
      </c>
      <c r="AH21">
        <v>418.5</v>
      </c>
      <c r="AI21">
        <v>0</v>
      </c>
      <c r="AJ21" t="s">
        <v>547</v>
      </c>
      <c r="AK21" t="s">
        <v>546</v>
      </c>
      <c r="AL21" t="s">
        <v>548</v>
      </c>
    </row>
    <row r="23" spans="1:38" x14ac:dyDescent="0.2">
      <c r="A23">
        <v>1235770</v>
      </c>
      <c r="B23">
        <v>8030104</v>
      </c>
      <c r="C23">
        <v>187514</v>
      </c>
      <c r="E23" t="b">
        <v>0</v>
      </c>
      <c r="F23">
        <v>71864</v>
      </c>
      <c r="G23" t="s">
        <v>651</v>
      </c>
      <c r="H23">
        <v>1</v>
      </c>
      <c r="I23" t="s">
        <v>652</v>
      </c>
      <c r="J23" t="s">
        <v>531</v>
      </c>
      <c r="K23" t="s">
        <v>532</v>
      </c>
      <c r="L23" t="s">
        <v>532</v>
      </c>
      <c r="M23" t="s">
        <v>653</v>
      </c>
      <c r="N23" t="s">
        <v>483</v>
      </c>
      <c r="O23" t="s">
        <v>484</v>
      </c>
      <c r="U23" t="s">
        <v>654</v>
      </c>
      <c r="V23" t="s">
        <v>655</v>
      </c>
      <c r="W23" t="s">
        <v>489</v>
      </c>
      <c r="X23" t="s">
        <v>533</v>
      </c>
      <c r="Y23" t="s">
        <v>410</v>
      </c>
      <c r="Z23" t="s">
        <v>545</v>
      </c>
      <c r="AB23" t="s">
        <v>656</v>
      </c>
      <c r="AD23" t="s">
        <v>230</v>
      </c>
      <c r="AE23" t="s">
        <v>485</v>
      </c>
      <c r="AF23">
        <v>0</v>
      </c>
      <c r="AG23">
        <v>0</v>
      </c>
      <c r="AH23">
        <v>0</v>
      </c>
      <c r="AI23">
        <v>0</v>
      </c>
      <c r="AJ23" t="s">
        <v>547</v>
      </c>
      <c r="AK23" t="s">
        <v>656</v>
      </c>
      <c r="AL23" t="s">
        <v>548</v>
      </c>
    </row>
    <row r="24" spans="1:38" x14ac:dyDescent="0.2">
      <c r="A24">
        <v>1235767</v>
      </c>
    </row>
    <row r="25" spans="1:38" x14ac:dyDescent="0.2">
      <c r="A25">
        <v>1235772</v>
      </c>
    </row>
    <row r="26" spans="1:38" x14ac:dyDescent="0.2">
      <c r="A26">
        <v>1235660</v>
      </c>
      <c r="B26">
        <v>7612900</v>
      </c>
      <c r="C26">
        <v>187509</v>
      </c>
      <c r="E26" t="b">
        <v>0</v>
      </c>
      <c r="F26">
        <v>64197</v>
      </c>
      <c r="G26" t="s">
        <v>657</v>
      </c>
      <c r="H26">
        <v>1</v>
      </c>
      <c r="I26" t="s">
        <v>658</v>
      </c>
      <c r="J26" t="s">
        <v>531</v>
      </c>
      <c r="K26" t="s">
        <v>532</v>
      </c>
      <c r="L26" t="s">
        <v>532</v>
      </c>
      <c r="M26" t="s">
        <v>659</v>
      </c>
      <c r="N26" t="s">
        <v>196</v>
      </c>
      <c r="O26" t="s">
        <v>470</v>
      </c>
      <c r="U26" t="s">
        <v>660</v>
      </c>
      <c r="V26" t="s">
        <v>661</v>
      </c>
      <c r="W26" t="s">
        <v>107</v>
      </c>
      <c r="X26" t="s">
        <v>533</v>
      </c>
      <c r="Y26" t="s">
        <v>116</v>
      </c>
      <c r="AB26" t="s">
        <v>656</v>
      </c>
      <c r="AD26" t="s">
        <v>232</v>
      </c>
      <c r="AE26" t="s">
        <v>429</v>
      </c>
      <c r="AF26">
        <v>0</v>
      </c>
      <c r="AG26">
        <v>0</v>
      </c>
      <c r="AI26">
        <v>0</v>
      </c>
      <c r="AJ26" t="s">
        <v>547</v>
      </c>
      <c r="AK26" t="s">
        <v>656</v>
      </c>
      <c r="AL26" t="s">
        <v>580</v>
      </c>
    </row>
    <row r="27" spans="1:38" x14ac:dyDescent="0.2">
      <c r="A27">
        <v>1235502</v>
      </c>
      <c r="B27">
        <v>6008756</v>
      </c>
      <c r="C27">
        <v>187514</v>
      </c>
      <c r="E27" t="b">
        <v>0</v>
      </c>
      <c r="F27">
        <v>41783</v>
      </c>
      <c r="G27" t="s">
        <v>662</v>
      </c>
      <c r="H27">
        <v>1</v>
      </c>
      <c r="I27" t="s">
        <v>663</v>
      </c>
      <c r="J27" t="s">
        <v>531</v>
      </c>
      <c r="K27" t="s">
        <v>532</v>
      </c>
      <c r="L27" t="s">
        <v>532</v>
      </c>
      <c r="M27" t="s">
        <v>664</v>
      </c>
      <c r="N27" t="s">
        <v>197</v>
      </c>
      <c r="O27" t="s">
        <v>428</v>
      </c>
      <c r="U27" t="s">
        <v>665</v>
      </c>
      <c r="V27" t="s">
        <v>666</v>
      </c>
      <c r="W27" t="s">
        <v>164</v>
      </c>
      <c r="X27" t="s">
        <v>533</v>
      </c>
      <c r="Y27" t="s">
        <v>116</v>
      </c>
      <c r="Z27" t="s">
        <v>545</v>
      </c>
      <c r="AB27" t="s">
        <v>656</v>
      </c>
      <c r="AD27" t="s">
        <v>233</v>
      </c>
      <c r="AE27" t="s">
        <v>429</v>
      </c>
      <c r="AF27">
        <v>0</v>
      </c>
      <c r="AG27">
        <v>0</v>
      </c>
      <c r="AH27">
        <v>27.5</v>
      </c>
      <c r="AI27">
        <v>0</v>
      </c>
      <c r="AJ27" t="s">
        <v>547</v>
      </c>
      <c r="AK27" t="s">
        <v>656</v>
      </c>
      <c r="AL27" t="s">
        <v>548</v>
      </c>
    </row>
    <row r="28" spans="1:38" x14ac:dyDescent="0.2">
      <c r="A28">
        <v>1235505</v>
      </c>
      <c r="B28">
        <v>7971837</v>
      </c>
      <c r="C28">
        <v>187514</v>
      </c>
      <c r="E28" t="b">
        <v>0</v>
      </c>
      <c r="F28">
        <v>70496</v>
      </c>
      <c r="G28" t="s">
        <v>667</v>
      </c>
      <c r="H28">
        <v>1</v>
      </c>
      <c r="I28" t="s">
        <v>668</v>
      </c>
      <c r="J28" t="s">
        <v>531</v>
      </c>
      <c r="K28" t="s">
        <v>532</v>
      </c>
      <c r="L28" t="s">
        <v>532</v>
      </c>
      <c r="M28" t="s">
        <v>669</v>
      </c>
      <c r="N28" t="s">
        <v>198</v>
      </c>
      <c r="O28" t="s">
        <v>432</v>
      </c>
      <c r="S28" t="s">
        <v>670</v>
      </c>
      <c r="U28" t="s">
        <v>671</v>
      </c>
      <c r="V28" t="s">
        <v>672</v>
      </c>
      <c r="W28" t="s">
        <v>502</v>
      </c>
      <c r="X28" t="s">
        <v>533</v>
      </c>
      <c r="Y28" t="s">
        <v>410</v>
      </c>
      <c r="Z28" t="s">
        <v>545</v>
      </c>
      <c r="AB28" t="s">
        <v>656</v>
      </c>
      <c r="AD28" t="s">
        <v>234</v>
      </c>
      <c r="AE28" t="s">
        <v>429</v>
      </c>
      <c r="AF28">
        <v>0</v>
      </c>
      <c r="AG28">
        <v>0</v>
      </c>
      <c r="AH28">
        <v>75</v>
      </c>
      <c r="AI28">
        <v>0</v>
      </c>
      <c r="AJ28" t="s">
        <v>547</v>
      </c>
      <c r="AK28" t="s">
        <v>656</v>
      </c>
      <c r="AL28" t="s">
        <v>548</v>
      </c>
    </row>
    <row r="29" spans="1:38" x14ac:dyDescent="0.2">
      <c r="A29">
        <v>1235646</v>
      </c>
      <c r="B29">
        <v>6249107</v>
      </c>
      <c r="C29">
        <v>187514</v>
      </c>
      <c r="E29" t="b">
        <v>0</v>
      </c>
      <c r="F29">
        <v>46530</v>
      </c>
      <c r="G29" t="s">
        <v>673</v>
      </c>
      <c r="H29">
        <v>1</v>
      </c>
      <c r="I29" t="s">
        <v>674</v>
      </c>
      <c r="J29" t="s">
        <v>531</v>
      </c>
      <c r="K29" t="s">
        <v>532</v>
      </c>
      <c r="L29" t="s">
        <v>532</v>
      </c>
      <c r="M29" t="s">
        <v>675</v>
      </c>
      <c r="N29" t="s">
        <v>199</v>
      </c>
      <c r="O29" t="s">
        <v>466</v>
      </c>
      <c r="U29" t="s">
        <v>676</v>
      </c>
      <c r="V29" t="s">
        <v>677</v>
      </c>
      <c r="W29" t="s">
        <v>164</v>
      </c>
      <c r="X29" t="s">
        <v>533</v>
      </c>
      <c r="Y29" t="s">
        <v>544</v>
      </c>
      <c r="AB29" t="s">
        <v>656</v>
      </c>
      <c r="AD29" t="s">
        <v>235</v>
      </c>
      <c r="AE29" t="s">
        <v>467</v>
      </c>
      <c r="AF29">
        <v>0</v>
      </c>
      <c r="AG29">
        <v>0</v>
      </c>
      <c r="AI29">
        <v>0</v>
      </c>
      <c r="AJ29" t="s">
        <v>547</v>
      </c>
      <c r="AK29" t="s">
        <v>656</v>
      </c>
      <c r="AL29" t="s">
        <v>548</v>
      </c>
    </row>
    <row r="30" spans="1:38" x14ac:dyDescent="0.2">
      <c r="A30">
        <v>1235659</v>
      </c>
      <c r="B30">
        <v>8065644</v>
      </c>
      <c r="C30">
        <v>187514</v>
      </c>
      <c r="E30" t="b">
        <v>0</v>
      </c>
      <c r="F30">
        <v>72594</v>
      </c>
      <c r="G30" t="s">
        <v>678</v>
      </c>
      <c r="H30">
        <v>1</v>
      </c>
      <c r="I30" t="s">
        <v>679</v>
      </c>
      <c r="J30" t="s">
        <v>531</v>
      </c>
      <c r="K30" t="s">
        <v>532</v>
      </c>
      <c r="L30" t="s">
        <v>532</v>
      </c>
      <c r="M30" t="s">
        <v>680</v>
      </c>
      <c r="N30" t="s">
        <v>200</v>
      </c>
      <c r="O30" t="s">
        <v>468</v>
      </c>
      <c r="U30" t="s">
        <v>681</v>
      </c>
      <c r="V30" t="s">
        <v>682</v>
      </c>
      <c r="W30" t="s">
        <v>453</v>
      </c>
      <c r="X30" t="s">
        <v>533</v>
      </c>
      <c r="Y30" t="s">
        <v>410</v>
      </c>
      <c r="Z30" t="s">
        <v>545</v>
      </c>
      <c r="AB30" t="s">
        <v>656</v>
      </c>
      <c r="AD30" t="s">
        <v>236</v>
      </c>
      <c r="AE30" t="s">
        <v>469</v>
      </c>
      <c r="AF30">
        <v>0</v>
      </c>
      <c r="AG30">
        <v>0</v>
      </c>
      <c r="AH30">
        <v>0</v>
      </c>
      <c r="AI30">
        <v>0</v>
      </c>
      <c r="AJ30" t="s">
        <v>547</v>
      </c>
      <c r="AK30" t="s">
        <v>656</v>
      </c>
      <c r="AL30" t="s">
        <v>548</v>
      </c>
    </row>
    <row r="31" spans="1:38" x14ac:dyDescent="0.2">
      <c r="A31">
        <v>1235504</v>
      </c>
      <c r="B31">
        <v>6820976</v>
      </c>
      <c r="C31">
        <v>187514</v>
      </c>
      <c r="E31" t="b">
        <v>0</v>
      </c>
      <c r="F31">
        <v>50724</v>
      </c>
      <c r="G31" t="s">
        <v>683</v>
      </c>
      <c r="H31">
        <v>1</v>
      </c>
      <c r="I31" t="s">
        <v>684</v>
      </c>
      <c r="J31" t="s">
        <v>531</v>
      </c>
      <c r="K31" t="s">
        <v>532</v>
      </c>
      <c r="L31" t="s">
        <v>532</v>
      </c>
      <c r="M31" t="s">
        <v>685</v>
      </c>
      <c r="N31" t="s">
        <v>201</v>
      </c>
      <c r="O31" t="s">
        <v>431</v>
      </c>
      <c r="U31" t="s">
        <v>686</v>
      </c>
      <c r="V31" t="s">
        <v>687</v>
      </c>
      <c r="W31" t="s">
        <v>480</v>
      </c>
      <c r="X31" t="s">
        <v>533</v>
      </c>
      <c r="Y31" t="s">
        <v>544</v>
      </c>
      <c r="Z31" t="s">
        <v>545</v>
      </c>
      <c r="AB31" t="s">
        <v>656</v>
      </c>
      <c r="AD31" t="s">
        <v>237</v>
      </c>
      <c r="AE31" t="s">
        <v>429</v>
      </c>
      <c r="AF31">
        <v>0</v>
      </c>
      <c r="AG31">
        <v>0</v>
      </c>
      <c r="AH31">
        <v>27.5</v>
      </c>
      <c r="AI31">
        <v>0</v>
      </c>
      <c r="AJ31" t="s">
        <v>547</v>
      </c>
      <c r="AK31" t="s">
        <v>656</v>
      </c>
      <c r="AL31" t="s">
        <v>548</v>
      </c>
    </row>
    <row r="32" spans="1:38" x14ac:dyDescent="0.2">
      <c r="A32">
        <v>1235506</v>
      </c>
      <c r="B32">
        <v>7162110</v>
      </c>
      <c r="C32">
        <v>187514</v>
      </c>
      <c r="E32" t="b">
        <v>0</v>
      </c>
      <c r="F32">
        <v>57050</v>
      </c>
      <c r="G32" t="s">
        <v>688</v>
      </c>
      <c r="H32">
        <v>1</v>
      </c>
      <c r="I32" t="s">
        <v>689</v>
      </c>
      <c r="J32" t="s">
        <v>531</v>
      </c>
      <c r="K32" t="s">
        <v>532</v>
      </c>
      <c r="L32" t="s">
        <v>532</v>
      </c>
      <c r="M32" t="s">
        <v>690</v>
      </c>
      <c r="N32" t="s">
        <v>202</v>
      </c>
      <c r="O32" t="s">
        <v>433</v>
      </c>
      <c r="U32" t="s">
        <v>691</v>
      </c>
      <c r="V32" t="s">
        <v>692</v>
      </c>
      <c r="W32" t="s">
        <v>107</v>
      </c>
      <c r="X32" t="s">
        <v>533</v>
      </c>
      <c r="Y32" t="s">
        <v>544</v>
      </c>
      <c r="AB32" t="s">
        <v>656</v>
      </c>
      <c r="AD32" t="s">
        <v>238</v>
      </c>
      <c r="AE32" t="s">
        <v>429</v>
      </c>
      <c r="AF32">
        <v>0</v>
      </c>
      <c r="AG32">
        <v>0</v>
      </c>
      <c r="AI32">
        <v>0</v>
      </c>
      <c r="AJ32" t="s">
        <v>547</v>
      </c>
      <c r="AK32" t="s">
        <v>656</v>
      </c>
      <c r="AL32" t="s">
        <v>548</v>
      </c>
    </row>
    <row r="33" spans="1:38" x14ac:dyDescent="0.2">
      <c r="A33">
        <v>1235510</v>
      </c>
      <c r="B33">
        <v>6129692</v>
      </c>
      <c r="C33">
        <v>187514</v>
      </c>
      <c r="E33" t="b">
        <v>0</v>
      </c>
      <c r="F33">
        <v>44349</v>
      </c>
      <c r="G33" t="s">
        <v>693</v>
      </c>
      <c r="H33">
        <v>1</v>
      </c>
      <c r="I33" t="s">
        <v>694</v>
      </c>
      <c r="J33" t="s">
        <v>531</v>
      </c>
      <c r="K33" t="s">
        <v>532</v>
      </c>
      <c r="L33" t="s">
        <v>532</v>
      </c>
      <c r="M33" t="s">
        <v>695</v>
      </c>
      <c r="N33" t="s">
        <v>203</v>
      </c>
      <c r="O33" t="s">
        <v>437</v>
      </c>
      <c r="U33" t="s">
        <v>696</v>
      </c>
      <c r="V33" t="s">
        <v>697</v>
      </c>
      <c r="W33" t="s">
        <v>698</v>
      </c>
      <c r="X33" t="s">
        <v>533</v>
      </c>
      <c r="Y33" t="s">
        <v>544</v>
      </c>
      <c r="AB33" t="s">
        <v>656</v>
      </c>
      <c r="AD33" t="s">
        <v>239</v>
      </c>
      <c r="AE33" t="s">
        <v>429</v>
      </c>
      <c r="AF33">
        <v>0</v>
      </c>
      <c r="AG33">
        <v>0</v>
      </c>
      <c r="AI33">
        <v>0</v>
      </c>
      <c r="AJ33" t="s">
        <v>547</v>
      </c>
      <c r="AK33" t="s">
        <v>656</v>
      </c>
      <c r="AL33" t="s">
        <v>548</v>
      </c>
    </row>
    <row r="34" spans="1:38" x14ac:dyDescent="0.2">
      <c r="A34">
        <v>1235590</v>
      </c>
      <c r="B34">
        <v>7948956</v>
      </c>
      <c r="C34">
        <v>187514</v>
      </c>
      <c r="E34" t="b">
        <v>0</v>
      </c>
      <c r="F34">
        <v>70164</v>
      </c>
      <c r="G34" t="s">
        <v>699</v>
      </c>
      <c r="H34">
        <v>1</v>
      </c>
      <c r="I34" t="s">
        <v>700</v>
      </c>
      <c r="J34" t="s">
        <v>701</v>
      </c>
      <c r="K34" t="s">
        <v>532</v>
      </c>
      <c r="L34" t="s">
        <v>532</v>
      </c>
      <c r="M34" t="s">
        <v>702</v>
      </c>
      <c r="N34" t="s">
        <v>205</v>
      </c>
      <c r="O34" t="s">
        <v>204</v>
      </c>
      <c r="U34" t="s">
        <v>703</v>
      </c>
      <c r="X34" t="s">
        <v>533</v>
      </c>
      <c r="Y34" t="s">
        <v>116</v>
      </c>
      <c r="Z34" t="s">
        <v>545</v>
      </c>
      <c r="AD34" t="s">
        <v>240</v>
      </c>
      <c r="AE34" t="s">
        <v>429</v>
      </c>
      <c r="AJ34" t="s">
        <v>547</v>
      </c>
      <c r="AK34" t="s">
        <v>656</v>
      </c>
      <c r="AL34" t="s">
        <v>548</v>
      </c>
    </row>
    <row r="35" spans="1:38" x14ac:dyDescent="0.2">
      <c r="A35">
        <v>1235489</v>
      </c>
      <c r="B35">
        <v>7008912</v>
      </c>
      <c r="C35">
        <v>187510</v>
      </c>
      <c r="E35" t="b">
        <v>0</v>
      </c>
      <c r="F35">
        <v>53750</v>
      </c>
      <c r="G35" t="s">
        <v>704</v>
      </c>
      <c r="H35">
        <v>1</v>
      </c>
      <c r="I35" t="s">
        <v>705</v>
      </c>
      <c r="J35" t="s">
        <v>531</v>
      </c>
      <c r="K35" t="s">
        <v>530</v>
      </c>
      <c r="L35" t="s">
        <v>532</v>
      </c>
      <c r="M35" t="s">
        <v>706</v>
      </c>
      <c r="N35" t="s">
        <v>421</v>
      </c>
      <c r="O35" t="s">
        <v>423</v>
      </c>
      <c r="S35" t="s">
        <v>584</v>
      </c>
      <c r="U35" t="s">
        <v>707</v>
      </c>
      <c r="V35" t="s">
        <v>708</v>
      </c>
      <c r="W35" t="s">
        <v>439</v>
      </c>
      <c r="X35" t="s">
        <v>533</v>
      </c>
      <c r="Y35" t="s">
        <v>116</v>
      </c>
      <c r="Z35" t="s">
        <v>545</v>
      </c>
      <c r="AA35" t="s">
        <v>22</v>
      </c>
      <c r="AB35" t="s">
        <v>588</v>
      </c>
      <c r="AD35" t="s">
        <v>424</v>
      </c>
      <c r="AE35" t="s">
        <v>424</v>
      </c>
      <c r="AF35">
        <v>0</v>
      </c>
      <c r="AG35">
        <v>0</v>
      </c>
      <c r="AH35">
        <v>76.25</v>
      </c>
      <c r="AI35">
        <v>0</v>
      </c>
      <c r="AJ35" t="s">
        <v>547</v>
      </c>
      <c r="AK35" t="s">
        <v>588</v>
      </c>
      <c r="AL35" t="s">
        <v>548</v>
      </c>
    </row>
    <row r="36" spans="1:38" x14ac:dyDescent="0.2">
      <c r="A36">
        <v>1235508</v>
      </c>
      <c r="B36">
        <v>4996970</v>
      </c>
      <c r="C36">
        <v>187508</v>
      </c>
      <c r="E36" t="b">
        <v>0</v>
      </c>
      <c r="F36">
        <v>28336</v>
      </c>
      <c r="G36" t="s">
        <v>709</v>
      </c>
      <c r="H36">
        <v>1</v>
      </c>
      <c r="I36" t="s">
        <v>710</v>
      </c>
      <c r="J36" t="s">
        <v>531</v>
      </c>
      <c r="K36" t="s">
        <v>532</v>
      </c>
      <c r="L36" t="s">
        <v>532</v>
      </c>
      <c r="M36" t="s">
        <v>711</v>
      </c>
      <c r="N36" t="s">
        <v>712</v>
      </c>
      <c r="O36" t="s">
        <v>435</v>
      </c>
      <c r="U36" t="s">
        <v>713</v>
      </c>
      <c r="X36" t="s">
        <v>533</v>
      </c>
      <c r="Y36" t="s">
        <v>116</v>
      </c>
      <c r="Z36" t="s">
        <v>545</v>
      </c>
      <c r="AD36" t="s">
        <v>714</v>
      </c>
      <c r="AE36" t="s">
        <v>408</v>
      </c>
      <c r="AJ36" t="s">
        <v>547</v>
      </c>
      <c r="AK36" t="s">
        <v>546</v>
      </c>
      <c r="AL36" t="s">
        <v>548</v>
      </c>
    </row>
    <row r="37" spans="1:38" x14ac:dyDescent="0.2">
      <c r="A37">
        <v>1235777</v>
      </c>
      <c r="B37">
        <v>5034456</v>
      </c>
      <c r="C37">
        <v>187514</v>
      </c>
      <c r="E37" t="b">
        <v>0</v>
      </c>
      <c r="F37">
        <v>29273</v>
      </c>
      <c r="G37" t="s">
        <v>715</v>
      </c>
      <c r="H37">
        <v>1</v>
      </c>
      <c r="I37" t="s">
        <v>716</v>
      </c>
      <c r="J37" t="s">
        <v>531</v>
      </c>
      <c r="K37" t="s">
        <v>532</v>
      </c>
      <c r="L37" t="s">
        <v>532</v>
      </c>
      <c r="M37" t="s">
        <v>717</v>
      </c>
      <c r="N37" t="s">
        <v>206</v>
      </c>
      <c r="O37" t="s">
        <v>486</v>
      </c>
      <c r="S37" t="s">
        <v>670</v>
      </c>
      <c r="V37" t="s">
        <v>718</v>
      </c>
      <c r="W37" t="s">
        <v>719</v>
      </c>
      <c r="X37" t="s">
        <v>533</v>
      </c>
      <c r="Y37" t="s">
        <v>116</v>
      </c>
      <c r="Z37" t="s">
        <v>545</v>
      </c>
      <c r="AB37" t="s">
        <v>656</v>
      </c>
      <c r="AD37" t="s">
        <v>242</v>
      </c>
      <c r="AE37" t="s">
        <v>487</v>
      </c>
      <c r="AF37">
        <v>0</v>
      </c>
      <c r="AG37">
        <v>0</v>
      </c>
      <c r="AH37">
        <v>27.5</v>
      </c>
      <c r="AI37">
        <v>0</v>
      </c>
      <c r="AJ37" t="s">
        <v>547</v>
      </c>
      <c r="AK37" t="s">
        <v>656</v>
      </c>
      <c r="AL37" t="s">
        <v>548</v>
      </c>
    </row>
    <row r="38" spans="1:38" x14ac:dyDescent="0.2">
      <c r="A38">
        <v>1235400</v>
      </c>
      <c r="B38">
        <v>6119636</v>
      </c>
      <c r="C38">
        <v>187514</v>
      </c>
      <c r="E38" t="b">
        <v>0</v>
      </c>
      <c r="F38">
        <v>44172</v>
      </c>
      <c r="G38" t="s">
        <v>720</v>
      </c>
      <c r="H38">
        <v>1</v>
      </c>
      <c r="I38" t="s">
        <v>721</v>
      </c>
      <c r="J38" t="s">
        <v>531</v>
      </c>
      <c r="K38" t="s">
        <v>532</v>
      </c>
      <c r="L38" t="s">
        <v>532</v>
      </c>
      <c r="M38" t="s">
        <v>722</v>
      </c>
      <c r="N38" t="s">
        <v>207</v>
      </c>
      <c r="O38" t="s">
        <v>407</v>
      </c>
      <c r="U38" t="s">
        <v>723</v>
      </c>
      <c r="V38" t="s">
        <v>724</v>
      </c>
      <c r="W38" t="s">
        <v>698</v>
      </c>
      <c r="X38" t="s">
        <v>533</v>
      </c>
      <c r="Y38" t="s">
        <v>544</v>
      </c>
      <c r="AB38" t="s">
        <v>656</v>
      </c>
      <c r="AD38" t="s">
        <v>243</v>
      </c>
      <c r="AE38" t="s">
        <v>408</v>
      </c>
      <c r="AF38">
        <v>0</v>
      </c>
      <c r="AG38">
        <v>0</v>
      </c>
      <c r="AI38">
        <v>0</v>
      </c>
      <c r="AJ38" t="s">
        <v>547</v>
      </c>
      <c r="AK38" t="s">
        <v>656</v>
      </c>
      <c r="AL38" t="s">
        <v>548</v>
      </c>
    </row>
    <row r="39" spans="1:38" x14ac:dyDescent="0.2">
      <c r="A39">
        <v>1235661</v>
      </c>
      <c r="B39">
        <v>8074219</v>
      </c>
      <c r="C39">
        <v>187514</v>
      </c>
      <c r="E39" t="b">
        <v>0</v>
      </c>
      <c r="F39">
        <v>72769</v>
      </c>
      <c r="G39" t="s">
        <v>725</v>
      </c>
      <c r="H39">
        <v>1</v>
      </c>
      <c r="I39" t="s">
        <v>726</v>
      </c>
      <c r="J39" t="s">
        <v>531</v>
      </c>
      <c r="K39" t="s">
        <v>532</v>
      </c>
      <c r="L39" t="s">
        <v>532</v>
      </c>
      <c r="M39" t="s">
        <v>727</v>
      </c>
      <c r="N39" t="s">
        <v>208</v>
      </c>
      <c r="O39" t="s">
        <v>471</v>
      </c>
      <c r="S39" t="s">
        <v>670</v>
      </c>
      <c r="U39" t="s">
        <v>728</v>
      </c>
      <c r="V39" t="s">
        <v>729</v>
      </c>
      <c r="W39" t="s">
        <v>502</v>
      </c>
      <c r="X39" t="s">
        <v>533</v>
      </c>
      <c r="Y39" t="s">
        <v>544</v>
      </c>
      <c r="Z39" t="s">
        <v>545</v>
      </c>
      <c r="AB39" t="s">
        <v>656</v>
      </c>
      <c r="AD39" t="s">
        <v>244</v>
      </c>
      <c r="AE39" t="s">
        <v>408</v>
      </c>
      <c r="AF39">
        <v>0</v>
      </c>
      <c r="AG39">
        <v>0</v>
      </c>
      <c r="AH39">
        <v>0</v>
      </c>
      <c r="AI39">
        <v>0</v>
      </c>
      <c r="AJ39" t="s">
        <v>547</v>
      </c>
      <c r="AK39" t="s">
        <v>656</v>
      </c>
      <c r="AL39" t="s">
        <v>548</v>
      </c>
    </row>
    <row r="40" spans="1:38" x14ac:dyDescent="0.2">
      <c r="A40">
        <v>1235507</v>
      </c>
      <c r="B40">
        <v>8085736</v>
      </c>
      <c r="C40">
        <v>187514</v>
      </c>
      <c r="E40" t="b">
        <v>0</v>
      </c>
      <c r="F40">
        <v>72935</v>
      </c>
      <c r="G40" t="s">
        <v>730</v>
      </c>
      <c r="H40">
        <v>1</v>
      </c>
      <c r="I40" t="s">
        <v>731</v>
      </c>
      <c r="J40" t="s">
        <v>530</v>
      </c>
      <c r="K40" t="s">
        <v>530</v>
      </c>
      <c r="L40" t="s">
        <v>530</v>
      </c>
      <c r="M40" t="s">
        <v>732</v>
      </c>
      <c r="N40" t="s">
        <v>209</v>
      </c>
      <c r="O40" t="s">
        <v>434</v>
      </c>
      <c r="U40" t="s">
        <v>733</v>
      </c>
      <c r="V40" t="s">
        <v>734</v>
      </c>
      <c r="W40" t="s">
        <v>465</v>
      </c>
      <c r="X40" t="s">
        <v>533</v>
      </c>
      <c r="Y40" t="s">
        <v>544</v>
      </c>
      <c r="AB40" t="s">
        <v>656</v>
      </c>
      <c r="AD40" t="s">
        <v>245</v>
      </c>
      <c r="AE40" t="s">
        <v>408</v>
      </c>
      <c r="AF40">
        <v>0</v>
      </c>
      <c r="AG40">
        <v>0</v>
      </c>
      <c r="AI40">
        <v>0</v>
      </c>
      <c r="AJ40" t="s">
        <v>547</v>
      </c>
      <c r="AK40" t="s">
        <v>656</v>
      </c>
      <c r="AL40" t="s">
        <v>548</v>
      </c>
    </row>
    <row r="42" spans="1:38" x14ac:dyDescent="0.2">
      <c r="A42">
        <v>1235500</v>
      </c>
      <c r="B42">
        <v>8128420</v>
      </c>
      <c r="C42">
        <v>187514</v>
      </c>
      <c r="E42" t="b">
        <v>0</v>
      </c>
      <c r="F42">
        <v>73271</v>
      </c>
      <c r="G42" t="s">
        <v>735</v>
      </c>
      <c r="H42">
        <v>1</v>
      </c>
      <c r="I42" t="s">
        <v>736</v>
      </c>
      <c r="J42" t="s">
        <v>531</v>
      </c>
      <c r="K42" t="s">
        <v>530</v>
      </c>
      <c r="L42" t="s">
        <v>532</v>
      </c>
      <c r="M42" t="s">
        <v>737</v>
      </c>
      <c r="N42" t="s">
        <v>210</v>
      </c>
      <c r="O42" t="s">
        <v>426</v>
      </c>
      <c r="U42" t="s">
        <v>738</v>
      </c>
      <c r="V42" t="s">
        <v>739</v>
      </c>
      <c r="W42" t="s">
        <v>107</v>
      </c>
      <c r="X42" t="s">
        <v>533</v>
      </c>
      <c r="Y42" t="s">
        <v>116</v>
      </c>
      <c r="Z42" t="s">
        <v>545</v>
      </c>
      <c r="AB42" t="s">
        <v>656</v>
      </c>
      <c r="AD42" t="s">
        <v>246</v>
      </c>
      <c r="AE42" t="s">
        <v>408</v>
      </c>
      <c r="AF42">
        <v>0</v>
      </c>
      <c r="AG42">
        <v>0</v>
      </c>
      <c r="AH42">
        <v>0</v>
      </c>
      <c r="AI42">
        <v>0</v>
      </c>
      <c r="AJ42" t="s">
        <v>547</v>
      </c>
      <c r="AK42" t="s">
        <v>656</v>
      </c>
      <c r="AL42" t="s">
        <v>548</v>
      </c>
    </row>
    <row r="43" spans="1:38" x14ac:dyDescent="0.2">
      <c r="A43">
        <v>1235509</v>
      </c>
      <c r="B43">
        <v>6206718</v>
      </c>
      <c r="C43">
        <v>187514</v>
      </c>
      <c r="E43" t="b">
        <v>0</v>
      </c>
      <c r="F43">
        <v>46040</v>
      </c>
      <c r="G43" t="s">
        <v>740</v>
      </c>
      <c r="H43">
        <v>2</v>
      </c>
      <c r="I43" t="s">
        <v>741</v>
      </c>
      <c r="J43" t="s">
        <v>531</v>
      </c>
      <c r="K43" t="s">
        <v>532</v>
      </c>
      <c r="L43" t="s">
        <v>532</v>
      </c>
      <c r="M43" t="s">
        <v>742</v>
      </c>
      <c r="N43" t="s">
        <v>211</v>
      </c>
      <c r="O43" t="s">
        <v>436</v>
      </c>
      <c r="U43" t="s">
        <v>743</v>
      </c>
      <c r="V43" t="s">
        <v>744</v>
      </c>
      <c r="W43" t="s">
        <v>719</v>
      </c>
      <c r="X43" t="s">
        <v>533</v>
      </c>
      <c r="Y43" t="s">
        <v>544</v>
      </c>
      <c r="AB43" t="s">
        <v>656</v>
      </c>
      <c r="AD43" t="s">
        <v>247</v>
      </c>
      <c r="AE43" t="s">
        <v>408</v>
      </c>
      <c r="AF43">
        <v>0</v>
      </c>
      <c r="AG43">
        <v>0</v>
      </c>
      <c r="AI43">
        <v>0</v>
      </c>
      <c r="AJ43" t="s">
        <v>547</v>
      </c>
      <c r="AK43" t="s">
        <v>656</v>
      </c>
      <c r="AL43" t="s">
        <v>548</v>
      </c>
    </row>
    <row r="44" spans="1:38" x14ac:dyDescent="0.2">
      <c r="A44">
        <v>1235498</v>
      </c>
      <c r="B44">
        <v>4234901</v>
      </c>
      <c r="C44">
        <v>187508</v>
      </c>
      <c r="E44" t="b">
        <v>0</v>
      </c>
      <c r="F44">
        <v>24455</v>
      </c>
      <c r="G44" t="s">
        <v>745</v>
      </c>
      <c r="H44">
        <v>1</v>
      </c>
      <c r="I44" t="s">
        <v>746</v>
      </c>
      <c r="J44" t="s">
        <v>531</v>
      </c>
      <c r="K44" t="s">
        <v>532</v>
      </c>
      <c r="L44" t="s">
        <v>532</v>
      </c>
      <c r="M44" t="s">
        <v>747</v>
      </c>
      <c r="N44" t="s">
        <v>212</v>
      </c>
      <c r="O44" t="s">
        <v>425</v>
      </c>
      <c r="S44" t="s">
        <v>748</v>
      </c>
      <c r="U44" t="s">
        <v>749</v>
      </c>
      <c r="V44" t="s">
        <v>750</v>
      </c>
      <c r="W44" t="s">
        <v>751</v>
      </c>
      <c r="X44" t="s">
        <v>533</v>
      </c>
      <c r="Y44" t="s">
        <v>116</v>
      </c>
      <c r="Z44" t="s">
        <v>545</v>
      </c>
      <c r="AB44" t="s">
        <v>546</v>
      </c>
      <c r="AD44" t="s">
        <v>248</v>
      </c>
      <c r="AE44" t="s">
        <v>408</v>
      </c>
      <c r="AF44">
        <v>0</v>
      </c>
      <c r="AG44">
        <v>0</v>
      </c>
      <c r="AH44">
        <v>68</v>
      </c>
      <c r="AI44">
        <v>0</v>
      </c>
      <c r="AJ44" t="s">
        <v>547</v>
      </c>
      <c r="AK44" t="s">
        <v>546</v>
      </c>
      <c r="AL44" t="s">
        <v>548</v>
      </c>
    </row>
    <row r="45" spans="1:38" x14ac:dyDescent="0.2">
      <c r="A45">
        <v>1235401</v>
      </c>
      <c r="B45">
        <v>6140648</v>
      </c>
      <c r="C45">
        <v>187514</v>
      </c>
      <c r="E45" t="b">
        <v>0</v>
      </c>
      <c r="F45">
        <v>44618</v>
      </c>
      <c r="G45" t="s">
        <v>752</v>
      </c>
      <c r="H45">
        <v>1</v>
      </c>
      <c r="I45" t="s">
        <v>753</v>
      </c>
      <c r="J45" t="s">
        <v>531</v>
      </c>
      <c r="K45" t="s">
        <v>532</v>
      </c>
      <c r="L45" t="s">
        <v>532</v>
      </c>
      <c r="M45" t="s">
        <v>754</v>
      </c>
      <c r="N45" t="s">
        <v>213</v>
      </c>
      <c r="O45" t="s">
        <v>409</v>
      </c>
      <c r="P45" t="s">
        <v>115</v>
      </c>
      <c r="U45" t="s">
        <v>755</v>
      </c>
      <c r="V45" t="s">
        <v>756</v>
      </c>
      <c r="W45" t="s">
        <v>164</v>
      </c>
      <c r="X45" t="s">
        <v>533</v>
      </c>
      <c r="Y45" t="s">
        <v>116</v>
      </c>
      <c r="AB45" t="s">
        <v>656</v>
      </c>
      <c r="AD45" t="s">
        <v>249</v>
      </c>
      <c r="AE45" t="s">
        <v>408</v>
      </c>
      <c r="AF45">
        <v>0</v>
      </c>
      <c r="AG45">
        <v>0</v>
      </c>
      <c r="AI45">
        <v>0</v>
      </c>
      <c r="AJ45" t="s">
        <v>547</v>
      </c>
      <c r="AK45" t="s">
        <v>656</v>
      </c>
      <c r="AL45" t="s">
        <v>548</v>
      </c>
    </row>
    <row r="46" spans="1:38" x14ac:dyDescent="0.2">
      <c r="A46">
        <v>1235402</v>
      </c>
      <c r="B46">
        <v>8128495</v>
      </c>
      <c r="C46">
        <v>187514</v>
      </c>
      <c r="E46" t="b">
        <v>0</v>
      </c>
      <c r="F46">
        <v>73279</v>
      </c>
      <c r="G46" t="s">
        <v>757</v>
      </c>
      <c r="H46">
        <v>1</v>
      </c>
      <c r="I46" t="s">
        <v>758</v>
      </c>
      <c r="J46" t="s">
        <v>531</v>
      </c>
      <c r="K46" t="s">
        <v>532</v>
      </c>
      <c r="L46" t="s">
        <v>532</v>
      </c>
      <c r="M46" t="s">
        <v>759</v>
      </c>
      <c r="N46" t="s">
        <v>214</v>
      </c>
      <c r="O46" t="s">
        <v>411</v>
      </c>
      <c r="P46" t="s">
        <v>115</v>
      </c>
      <c r="U46" t="s">
        <v>760</v>
      </c>
      <c r="V46" t="s">
        <v>761</v>
      </c>
      <c r="W46" t="s">
        <v>107</v>
      </c>
      <c r="X46" t="s">
        <v>533</v>
      </c>
      <c r="Y46" t="s">
        <v>116</v>
      </c>
      <c r="Z46" t="s">
        <v>545</v>
      </c>
      <c r="AB46" t="s">
        <v>656</v>
      </c>
      <c r="AD46" t="s">
        <v>250</v>
      </c>
      <c r="AE46" t="s">
        <v>408</v>
      </c>
      <c r="AF46">
        <v>0</v>
      </c>
      <c r="AG46">
        <v>0</v>
      </c>
      <c r="AH46">
        <v>0</v>
      </c>
      <c r="AI46">
        <v>0</v>
      </c>
      <c r="AJ46" t="s">
        <v>547</v>
      </c>
      <c r="AK46" t="s">
        <v>656</v>
      </c>
      <c r="AL46" t="s">
        <v>548</v>
      </c>
    </row>
    <row r="47" spans="1:38" x14ac:dyDescent="0.2">
      <c r="A47">
        <v>1235610</v>
      </c>
      <c r="B47">
        <v>3518992</v>
      </c>
      <c r="E47" t="b">
        <v>0</v>
      </c>
      <c r="F47">
        <v>7771</v>
      </c>
      <c r="G47" t="s">
        <v>762</v>
      </c>
      <c r="H47">
        <v>1</v>
      </c>
      <c r="I47" t="s">
        <v>763</v>
      </c>
      <c r="J47" t="s">
        <v>531</v>
      </c>
      <c r="K47" t="s">
        <v>530</v>
      </c>
      <c r="L47" t="s">
        <v>532</v>
      </c>
      <c r="M47" t="s">
        <v>764</v>
      </c>
      <c r="N47" t="s">
        <v>220</v>
      </c>
      <c r="O47" t="s">
        <v>219</v>
      </c>
      <c r="P47" t="s">
        <v>455</v>
      </c>
      <c r="S47" t="s">
        <v>576</v>
      </c>
      <c r="V47" t="s">
        <v>765</v>
      </c>
      <c r="W47" t="s">
        <v>439</v>
      </c>
      <c r="X47" t="s">
        <v>533</v>
      </c>
      <c r="Y47" t="s">
        <v>116</v>
      </c>
      <c r="Z47" t="s">
        <v>545</v>
      </c>
      <c r="AD47" t="s">
        <v>218</v>
      </c>
      <c r="AE47" t="s">
        <v>456</v>
      </c>
      <c r="AF47">
        <v>0</v>
      </c>
      <c r="AG47">
        <v>0</v>
      </c>
      <c r="AH47">
        <v>41</v>
      </c>
      <c r="AI47">
        <v>0</v>
      </c>
      <c r="AJ47" t="s">
        <v>766</v>
      </c>
    </row>
    <row r="49" spans="1:38" x14ac:dyDescent="0.2">
      <c r="A49">
        <v>1235673</v>
      </c>
      <c r="B49">
        <v>7098933</v>
      </c>
      <c r="C49">
        <v>187514</v>
      </c>
      <c r="E49" t="b">
        <v>0</v>
      </c>
      <c r="F49">
        <v>55608</v>
      </c>
      <c r="G49" t="s">
        <v>767</v>
      </c>
      <c r="H49">
        <v>1</v>
      </c>
      <c r="I49" t="s">
        <v>768</v>
      </c>
      <c r="J49" t="s">
        <v>531</v>
      </c>
      <c r="K49" t="s">
        <v>532</v>
      </c>
      <c r="L49" t="s">
        <v>532</v>
      </c>
      <c r="M49" t="s">
        <v>769</v>
      </c>
      <c r="N49" t="s">
        <v>325</v>
      </c>
      <c r="O49" t="s">
        <v>472</v>
      </c>
      <c r="U49" t="s">
        <v>770</v>
      </c>
      <c r="V49" t="s">
        <v>771</v>
      </c>
      <c r="W49" t="s">
        <v>107</v>
      </c>
      <c r="X49" t="s">
        <v>533</v>
      </c>
      <c r="Y49" t="s">
        <v>544</v>
      </c>
      <c r="Z49" t="s">
        <v>545</v>
      </c>
      <c r="AB49" t="s">
        <v>656</v>
      </c>
      <c r="AD49" t="s">
        <v>324</v>
      </c>
      <c r="AE49" t="s">
        <v>441</v>
      </c>
      <c r="AF49">
        <v>0</v>
      </c>
      <c r="AG49">
        <v>0</v>
      </c>
      <c r="AH49">
        <v>27.5</v>
      </c>
      <c r="AI49">
        <v>0</v>
      </c>
      <c r="AJ49" t="s">
        <v>547</v>
      </c>
      <c r="AK49" t="s">
        <v>656</v>
      </c>
      <c r="AL49" t="s">
        <v>548</v>
      </c>
    </row>
    <row r="50" spans="1:38" x14ac:dyDescent="0.2">
      <c r="A50">
        <v>1235526</v>
      </c>
      <c r="B50">
        <v>6917566</v>
      </c>
      <c r="C50">
        <v>187514</v>
      </c>
      <c r="E50" t="b">
        <v>0</v>
      </c>
      <c r="F50">
        <v>51875</v>
      </c>
      <c r="G50" t="s">
        <v>772</v>
      </c>
      <c r="H50">
        <v>1</v>
      </c>
      <c r="I50" t="s">
        <v>773</v>
      </c>
      <c r="J50" t="s">
        <v>531</v>
      </c>
      <c r="K50" t="s">
        <v>532</v>
      </c>
      <c r="L50" t="s">
        <v>532</v>
      </c>
      <c r="M50" t="s">
        <v>774</v>
      </c>
      <c r="N50" t="s">
        <v>215</v>
      </c>
      <c r="O50" t="s">
        <v>440</v>
      </c>
      <c r="U50" t="s">
        <v>775</v>
      </c>
      <c r="V50" t="s">
        <v>776</v>
      </c>
      <c r="W50" t="s">
        <v>453</v>
      </c>
      <c r="X50" t="s">
        <v>533</v>
      </c>
      <c r="Y50" t="s">
        <v>544</v>
      </c>
      <c r="AB50" t="s">
        <v>656</v>
      </c>
      <c r="AD50" t="s">
        <v>251</v>
      </c>
      <c r="AE50" t="s">
        <v>441</v>
      </c>
      <c r="AF50">
        <v>0</v>
      </c>
      <c r="AG50">
        <v>0</v>
      </c>
      <c r="AI50">
        <v>0</v>
      </c>
      <c r="AJ50" t="s">
        <v>547</v>
      </c>
      <c r="AK50" t="s">
        <v>656</v>
      </c>
      <c r="AL50" t="s">
        <v>548</v>
      </c>
    </row>
    <row r="51" spans="1:38" x14ac:dyDescent="0.2">
      <c r="A51">
        <v>2635568</v>
      </c>
      <c r="B51">
        <v>7621062</v>
      </c>
      <c r="C51">
        <v>187514</v>
      </c>
      <c r="E51" t="b">
        <v>0</v>
      </c>
      <c r="F51">
        <v>64450</v>
      </c>
      <c r="G51" t="s">
        <v>777</v>
      </c>
      <c r="H51">
        <v>1</v>
      </c>
      <c r="I51" t="s">
        <v>778</v>
      </c>
      <c r="J51" t="s">
        <v>530</v>
      </c>
      <c r="K51" t="s">
        <v>530</v>
      </c>
      <c r="L51" t="s">
        <v>530</v>
      </c>
      <c r="M51" t="s">
        <v>779</v>
      </c>
      <c r="N51" t="s">
        <v>216</v>
      </c>
      <c r="O51" t="s">
        <v>500</v>
      </c>
      <c r="U51" t="s">
        <v>780</v>
      </c>
      <c r="V51" t="s">
        <v>781</v>
      </c>
      <c r="W51" t="s">
        <v>493</v>
      </c>
      <c r="X51" t="s">
        <v>533</v>
      </c>
      <c r="Y51" t="s">
        <v>410</v>
      </c>
      <c r="Z51" t="s">
        <v>545</v>
      </c>
      <c r="AB51" t="s">
        <v>656</v>
      </c>
      <c r="AD51" t="s">
        <v>252</v>
      </c>
      <c r="AE51" t="s">
        <v>441</v>
      </c>
      <c r="AF51">
        <v>0</v>
      </c>
      <c r="AG51">
        <v>0</v>
      </c>
      <c r="AH51">
        <v>27.5</v>
      </c>
      <c r="AI51">
        <v>0</v>
      </c>
      <c r="AJ51" t="s">
        <v>547</v>
      </c>
      <c r="AK51" t="s">
        <v>656</v>
      </c>
      <c r="AL51" t="s">
        <v>548</v>
      </c>
    </row>
    <row r="52" spans="1:38" x14ac:dyDescent="0.2">
      <c r="A52">
        <v>1235345</v>
      </c>
      <c r="B52">
        <v>7865996</v>
      </c>
      <c r="C52">
        <v>7654931</v>
      </c>
      <c r="E52" t="b">
        <v>0</v>
      </c>
      <c r="F52">
        <v>68489</v>
      </c>
      <c r="G52" t="s">
        <v>782</v>
      </c>
      <c r="H52">
        <v>1</v>
      </c>
      <c r="I52" t="s">
        <v>783</v>
      </c>
      <c r="J52" t="s">
        <v>531</v>
      </c>
      <c r="K52" t="s">
        <v>532</v>
      </c>
      <c r="L52" t="s">
        <v>532</v>
      </c>
      <c r="M52" t="s">
        <v>784</v>
      </c>
      <c r="N52" t="s">
        <v>182</v>
      </c>
      <c r="O52" t="s">
        <v>182</v>
      </c>
      <c r="P52" t="s">
        <v>402</v>
      </c>
      <c r="S52" t="s">
        <v>785</v>
      </c>
      <c r="U52" t="s">
        <v>786</v>
      </c>
      <c r="V52" t="s">
        <v>787</v>
      </c>
      <c r="W52" t="s">
        <v>788</v>
      </c>
      <c r="X52" t="s">
        <v>533</v>
      </c>
      <c r="Y52" t="s">
        <v>116</v>
      </c>
      <c r="Z52" t="s">
        <v>789</v>
      </c>
      <c r="AB52" t="s">
        <v>571</v>
      </c>
      <c r="AD52" t="s">
        <v>181</v>
      </c>
      <c r="AE52" t="s">
        <v>403</v>
      </c>
      <c r="AF52">
        <v>0</v>
      </c>
      <c r="AG52">
        <v>0</v>
      </c>
      <c r="AH52">
        <v>117.75</v>
      </c>
      <c r="AI52">
        <v>0</v>
      </c>
      <c r="AJ52" t="s">
        <v>547</v>
      </c>
      <c r="AK52" t="s">
        <v>571</v>
      </c>
      <c r="AL52" t="s">
        <v>790</v>
      </c>
    </row>
    <row r="53" spans="1:38" x14ac:dyDescent="0.2">
      <c r="A53">
        <v>1235444</v>
      </c>
      <c r="B53">
        <v>7855800</v>
      </c>
      <c r="C53">
        <v>187508</v>
      </c>
      <c r="E53" t="b">
        <v>0</v>
      </c>
      <c r="F53">
        <v>68290</v>
      </c>
      <c r="G53" t="s">
        <v>791</v>
      </c>
      <c r="H53">
        <v>1</v>
      </c>
      <c r="I53" t="s">
        <v>792</v>
      </c>
      <c r="J53" t="s">
        <v>531</v>
      </c>
      <c r="K53" t="s">
        <v>530</v>
      </c>
      <c r="L53" t="s">
        <v>532</v>
      </c>
      <c r="M53" t="s">
        <v>793</v>
      </c>
      <c r="N53" t="s">
        <v>186</v>
      </c>
      <c r="O53" t="s">
        <v>185</v>
      </c>
      <c r="P53" t="s">
        <v>115</v>
      </c>
      <c r="S53" t="s">
        <v>584</v>
      </c>
      <c r="U53" t="s">
        <v>794</v>
      </c>
      <c r="V53" t="s">
        <v>795</v>
      </c>
      <c r="W53" t="s">
        <v>439</v>
      </c>
      <c r="X53" t="s">
        <v>533</v>
      </c>
      <c r="Y53" t="s">
        <v>544</v>
      </c>
      <c r="Z53" t="s">
        <v>545</v>
      </c>
      <c r="AB53" t="s">
        <v>546</v>
      </c>
      <c r="AD53" t="s">
        <v>420</v>
      </c>
      <c r="AE53" t="s">
        <v>796</v>
      </c>
      <c r="AF53">
        <v>0</v>
      </c>
      <c r="AG53">
        <v>0</v>
      </c>
      <c r="AH53">
        <v>102</v>
      </c>
      <c r="AI53">
        <v>0</v>
      </c>
      <c r="AJ53" t="s">
        <v>547</v>
      </c>
      <c r="AK53" t="s">
        <v>546</v>
      </c>
      <c r="AL53" t="s">
        <v>548</v>
      </c>
    </row>
    <row r="54" spans="1:38" x14ac:dyDescent="0.2">
      <c r="A54">
        <v>1235564</v>
      </c>
      <c r="B54">
        <v>7890061</v>
      </c>
      <c r="C54">
        <v>187508</v>
      </c>
      <c r="E54" t="b">
        <v>0</v>
      </c>
      <c r="F54">
        <v>69031</v>
      </c>
      <c r="G54" t="s">
        <v>797</v>
      </c>
      <c r="H54">
        <v>1</v>
      </c>
      <c r="I54" t="s">
        <v>798</v>
      </c>
      <c r="J54" t="s">
        <v>531</v>
      </c>
      <c r="K54" t="s">
        <v>530</v>
      </c>
      <c r="L54" t="s">
        <v>532</v>
      </c>
      <c r="M54" t="s">
        <v>799</v>
      </c>
      <c r="N54" t="s">
        <v>191</v>
      </c>
      <c r="O54" t="s">
        <v>190</v>
      </c>
      <c r="S54" t="s">
        <v>800</v>
      </c>
      <c r="U54" t="s">
        <v>801</v>
      </c>
      <c r="V54" t="s">
        <v>802</v>
      </c>
      <c r="W54" t="s">
        <v>439</v>
      </c>
      <c r="X54" t="s">
        <v>533</v>
      </c>
      <c r="Y54" t="s">
        <v>544</v>
      </c>
      <c r="Z54" t="s">
        <v>545</v>
      </c>
      <c r="AB54" t="s">
        <v>546</v>
      </c>
      <c r="AD54" t="s">
        <v>189</v>
      </c>
      <c r="AE54" t="s">
        <v>451</v>
      </c>
      <c r="AF54">
        <v>0</v>
      </c>
      <c r="AG54">
        <v>0</v>
      </c>
      <c r="AH54">
        <v>75</v>
      </c>
      <c r="AI54">
        <v>0</v>
      </c>
      <c r="AJ54" t="s">
        <v>547</v>
      </c>
      <c r="AK54" t="s">
        <v>546</v>
      </c>
      <c r="AL54" t="s">
        <v>548</v>
      </c>
    </row>
    <row r="55" spans="1:38" x14ac:dyDescent="0.2">
      <c r="A55">
        <v>1235501</v>
      </c>
      <c r="B55">
        <v>8010165</v>
      </c>
      <c r="C55">
        <v>187508</v>
      </c>
      <c r="E55" t="b">
        <v>0</v>
      </c>
      <c r="F55">
        <v>71410</v>
      </c>
      <c r="G55" t="s">
        <v>803</v>
      </c>
      <c r="H55">
        <v>1</v>
      </c>
      <c r="I55" t="s">
        <v>804</v>
      </c>
      <c r="J55" t="s">
        <v>531</v>
      </c>
      <c r="K55" t="s">
        <v>530</v>
      </c>
      <c r="L55" t="s">
        <v>532</v>
      </c>
      <c r="M55" t="s">
        <v>805</v>
      </c>
      <c r="N55" t="s">
        <v>194</v>
      </c>
      <c r="O55" t="s">
        <v>193</v>
      </c>
      <c r="P55" t="s">
        <v>410</v>
      </c>
      <c r="S55" t="s">
        <v>584</v>
      </c>
      <c r="U55" t="s">
        <v>622</v>
      </c>
      <c r="V55" t="s">
        <v>806</v>
      </c>
      <c r="W55" t="s">
        <v>439</v>
      </c>
      <c r="X55" t="s">
        <v>533</v>
      </c>
      <c r="Y55" t="s">
        <v>544</v>
      </c>
      <c r="Z55" t="s">
        <v>545</v>
      </c>
      <c r="AB55" t="s">
        <v>546</v>
      </c>
      <c r="AD55" t="s">
        <v>192</v>
      </c>
      <c r="AE55" t="s">
        <v>427</v>
      </c>
      <c r="AF55">
        <v>0</v>
      </c>
      <c r="AG55">
        <v>0</v>
      </c>
      <c r="AH55">
        <v>75</v>
      </c>
      <c r="AI55">
        <v>0</v>
      </c>
      <c r="AJ55" t="s">
        <v>547</v>
      </c>
      <c r="AK55" t="s">
        <v>546</v>
      </c>
      <c r="AL55" t="s">
        <v>548</v>
      </c>
    </row>
    <row r="56" spans="1:38" x14ac:dyDescent="0.2">
      <c r="A56">
        <v>1235704</v>
      </c>
      <c r="B56">
        <v>8031653</v>
      </c>
      <c r="C56">
        <v>187514</v>
      </c>
      <c r="E56" t="b">
        <v>0</v>
      </c>
      <c r="F56">
        <v>71907</v>
      </c>
      <c r="G56" t="s">
        <v>807</v>
      </c>
      <c r="H56">
        <v>1</v>
      </c>
      <c r="I56" t="s">
        <v>808</v>
      </c>
      <c r="J56" t="s">
        <v>531</v>
      </c>
      <c r="K56" t="s">
        <v>532</v>
      </c>
      <c r="L56" t="s">
        <v>532</v>
      </c>
      <c r="M56" t="s">
        <v>809</v>
      </c>
      <c r="N56" t="s">
        <v>260</v>
      </c>
      <c r="O56" t="s">
        <v>478</v>
      </c>
      <c r="S56" t="s">
        <v>670</v>
      </c>
      <c r="U56" t="s">
        <v>810</v>
      </c>
      <c r="V56" t="s">
        <v>811</v>
      </c>
      <c r="W56" t="s">
        <v>372</v>
      </c>
      <c r="X56" t="s">
        <v>533</v>
      </c>
      <c r="Y56" t="s">
        <v>410</v>
      </c>
      <c r="Z56" t="s">
        <v>545</v>
      </c>
      <c r="AB56" t="s">
        <v>656</v>
      </c>
      <c r="AD56" t="s">
        <v>259</v>
      </c>
      <c r="AE56" t="s">
        <v>259</v>
      </c>
      <c r="AF56">
        <v>0</v>
      </c>
      <c r="AG56">
        <v>0</v>
      </c>
      <c r="AH56">
        <v>27.5</v>
      </c>
      <c r="AI56">
        <v>0</v>
      </c>
      <c r="AJ56" t="s">
        <v>547</v>
      </c>
      <c r="AK56" t="s">
        <v>656</v>
      </c>
      <c r="AL56" t="s">
        <v>548</v>
      </c>
    </row>
    <row r="57" spans="1:38" x14ac:dyDescent="0.2">
      <c r="A57">
        <v>1235563</v>
      </c>
      <c r="B57">
        <v>7009411</v>
      </c>
      <c r="C57">
        <v>7589603</v>
      </c>
      <c r="E57" t="b">
        <v>0</v>
      </c>
      <c r="F57">
        <v>53782</v>
      </c>
      <c r="G57" t="s">
        <v>812</v>
      </c>
      <c r="H57">
        <v>1</v>
      </c>
      <c r="I57" t="s">
        <v>813</v>
      </c>
      <c r="J57" t="s">
        <v>531</v>
      </c>
      <c r="K57" t="s">
        <v>530</v>
      </c>
      <c r="L57" t="s">
        <v>532</v>
      </c>
      <c r="M57" t="s">
        <v>814</v>
      </c>
      <c r="N57" t="s">
        <v>226</v>
      </c>
      <c r="O57" t="s">
        <v>226</v>
      </c>
      <c r="P57" t="s">
        <v>448</v>
      </c>
      <c r="S57" t="s">
        <v>576</v>
      </c>
      <c r="U57" t="s">
        <v>815</v>
      </c>
      <c r="V57" t="s">
        <v>816</v>
      </c>
      <c r="W57" t="s">
        <v>439</v>
      </c>
      <c r="X57" t="s">
        <v>533</v>
      </c>
      <c r="Y57" t="s">
        <v>116</v>
      </c>
      <c r="Z57" t="s">
        <v>545</v>
      </c>
      <c r="AB57" t="s">
        <v>571</v>
      </c>
      <c r="AD57" t="s">
        <v>449</v>
      </c>
      <c r="AE57" t="s">
        <v>450</v>
      </c>
      <c r="AF57">
        <v>0</v>
      </c>
      <c r="AG57">
        <v>0</v>
      </c>
      <c r="AH57">
        <v>46</v>
      </c>
      <c r="AI57">
        <v>0</v>
      </c>
      <c r="AJ57" t="s">
        <v>547</v>
      </c>
      <c r="AK57" t="s">
        <v>571</v>
      </c>
      <c r="AL57" t="s">
        <v>580</v>
      </c>
    </row>
    <row r="58" spans="1:38" x14ac:dyDescent="0.2">
      <c r="A58">
        <v>1235428</v>
      </c>
      <c r="B58">
        <v>3934094</v>
      </c>
      <c r="C58">
        <v>7589603</v>
      </c>
      <c r="E58" t="b">
        <v>0</v>
      </c>
      <c r="F58">
        <v>17702</v>
      </c>
      <c r="G58" t="s">
        <v>817</v>
      </c>
      <c r="H58">
        <v>1</v>
      </c>
      <c r="I58" t="s">
        <v>818</v>
      </c>
      <c r="J58" t="s">
        <v>531</v>
      </c>
      <c r="K58" t="s">
        <v>532</v>
      </c>
      <c r="L58" t="s">
        <v>532</v>
      </c>
      <c r="M58" t="s">
        <v>819</v>
      </c>
      <c r="N58" t="s">
        <v>227</v>
      </c>
      <c r="O58" t="s">
        <v>227</v>
      </c>
      <c r="P58" t="s">
        <v>751</v>
      </c>
      <c r="S58" t="s">
        <v>576</v>
      </c>
      <c r="V58" t="s">
        <v>820</v>
      </c>
      <c r="W58" t="s">
        <v>439</v>
      </c>
      <c r="X58" t="s">
        <v>533</v>
      </c>
      <c r="Y58" t="s">
        <v>116</v>
      </c>
      <c r="Z58" t="s">
        <v>545</v>
      </c>
      <c r="AB58" t="s">
        <v>571</v>
      </c>
      <c r="AD58" t="s">
        <v>821</v>
      </c>
      <c r="AE58" t="s">
        <v>822</v>
      </c>
      <c r="AF58">
        <v>0</v>
      </c>
      <c r="AG58">
        <v>0</v>
      </c>
      <c r="AH58">
        <v>41</v>
      </c>
      <c r="AI58">
        <v>0</v>
      </c>
      <c r="AJ58" t="s">
        <v>547</v>
      </c>
      <c r="AK58" t="s">
        <v>571</v>
      </c>
      <c r="AL58" t="s">
        <v>580</v>
      </c>
    </row>
    <row r="59" spans="1:38" x14ac:dyDescent="0.2">
      <c r="A59">
        <v>2822437</v>
      </c>
    </row>
    <row r="60" spans="1:38" x14ac:dyDescent="0.2">
      <c r="A60">
        <v>1235598</v>
      </c>
      <c r="B60">
        <v>7490110</v>
      </c>
      <c r="C60">
        <v>7589602</v>
      </c>
      <c r="E60" t="b">
        <v>0</v>
      </c>
      <c r="F60">
        <v>61175</v>
      </c>
      <c r="G60" t="s">
        <v>823</v>
      </c>
      <c r="H60">
        <v>1</v>
      </c>
      <c r="I60" t="s">
        <v>824</v>
      </c>
      <c r="J60" t="s">
        <v>531</v>
      </c>
      <c r="K60" t="s">
        <v>530</v>
      </c>
      <c r="L60" t="s">
        <v>532</v>
      </c>
      <c r="M60" t="s">
        <v>825</v>
      </c>
      <c r="N60" t="s">
        <v>183</v>
      </c>
      <c r="O60" t="s">
        <v>183</v>
      </c>
      <c r="P60" t="s">
        <v>439</v>
      </c>
      <c r="S60" t="s">
        <v>584</v>
      </c>
      <c r="U60" t="s">
        <v>826</v>
      </c>
      <c r="V60" t="s">
        <v>827</v>
      </c>
      <c r="W60" t="s">
        <v>439</v>
      </c>
      <c r="X60" t="s">
        <v>533</v>
      </c>
      <c r="Y60" t="s">
        <v>116</v>
      </c>
      <c r="Z60" t="s">
        <v>545</v>
      </c>
      <c r="AA60" t="s">
        <v>22</v>
      </c>
      <c r="AB60" t="s">
        <v>588</v>
      </c>
      <c r="AD60" t="s">
        <v>454</v>
      </c>
      <c r="AE60" t="s">
        <v>454</v>
      </c>
      <c r="AF60">
        <v>0</v>
      </c>
      <c r="AG60">
        <v>0</v>
      </c>
      <c r="AH60">
        <v>76.25</v>
      </c>
      <c r="AI60">
        <v>0</v>
      </c>
      <c r="AJ60" t="s">
        <v>547</v>
      </c>
      <c r="AK60" t="s">
        <v>588</v>
      </c>
      <c r="AL60" t="s">
        <v>580</v>
      </c>
    </row>
    <row r="61" spans="1:38" x14ac:dyDescent="0.2">
      <c r="A61">
        <v>1235517</v>
      </c>
      <c r="B61">
        <v>6829128</v>
      </c>
      <c r="C61">
        <v>187510</v>
      </c>
      <c r="E61" t="b">
        <v>0</v>
      </c>
      <c r="F61">
        <v>50907</v>
      </c>
      <c r="G61" t="s">
        <v>828</v>
      </c>
      <c r="H61">
        <v>1</v>
      </c>
      <c r="I61" t="s">
        <v>829</v>
      </c>
      <c r="J61" t="s">
        <v>531</v>
      </c>
      <c r="K61" t="s">
        <v>530</v>
      </c>
      <c r="L61" t="s">
        <v>532</v>
      </c>
      <c r="M61" t="s">
        <v>830</v>
      </c>
      <c r="N61" t="s">
        <v>184</v>
      </c>
      <c r="O61" t="s">
        <v>184</v>
      </c>
      <c r="P61" t="s">
        <v>107</v>
      </c>
      <c r="S61" t="s">
        <v>584</v>
      </c>
      <c r="U61" t="s">
        <v>831</v>
      </c>
      <c r="V61" t="s">
        <v>832</v>
      </c>
      <c r="W61" t="s">
        <v>439</v>
      </c>
      <c r="X61" t="s">
        <v>533</v>
      </c>
      <c r="Y61" t="s">
        <v>116</v>
      </c>
      <c r="Z61" t="s">
        <v>545</v>
      </c>
      <c r="AA61" t="s">
        <v>22</v>
      </c>
      <c r="AB61" t="s">
        <v>588</v>
      </c>
      <c r="AD61" t="s">
        <v>833</v>
      </c>
      <c r="AE61" t="s">
        <v>833</v>
      </c>
      <c r="AF61">
        <v>0</v>
      </c>
      <c r="AG61">
        <v>0</v>
      </c>
      <c r="AH61">
        <v>74.75</v>
      </c>
      <c r="AI61">
        <v>0</v>
      </c>
      <c r="AJ61" t="s">
        <v>547</v>
      </c>
      <c r="AK61" t="s">
        <v>588</v>
      </c>
      <c r="AL61" t="s">
        <v>548</v>
      </c>
    </row>
    <row r="62" spans="1:38" x14ac:dyDescent="0.2">
      <c r="A62">
        <v>2822784</v>
      </c>
      <c r="B62">
        <v>8069275</v>
      </c>
      <c r="E62" t="b">
        <v>0</v>
      </c>
      <c r="F62">
        <v>72690</v>
      </c>
      <c r="G62" t="s">
        <v>834</v>
      </c>
      <c r="H62">
        <v>1</v>
      </c>
      <c r="I62" t="s">
        <v>835</v>
      </c>
      <c r="J62" t="s">
        <v>531</v>
      </c>
      <c r="K62" t="s">
        <v>532</v>
      </c>
      <c r="L62" t="s">
        <v>532</v>
      </c>
      <c r="M62" t="s">
        <v>836</v>
      </c>
      <c r="N62" t="s">
        <v>504</v>
      </c>
      <c r="O62" t="s">
        <v>504</v>
      </c>
      <c r="P62" t="s">
        <v>147</v>
      </c>
      <c r="S62" t="s">
        <v>837</v>
      </c>
      <c r="V62" t="s">
        <v>838</v>
      </c>
      <c r="W62" t="s">
        <v>439</v>
      </c>
      <c r="X62" t="s">
        <v>533</v>
      </c>
      <c r="Y62" t="s">
        <v>579</v>
      </c>
      <c r="Z62" t="s">
        <v>545</v>
      </c>
      <c r="AA62" t="s">
        <v>22</v>
      </c>
      <c r="AD62" t="s">
        <v>505</v>
      </c>
      <c r="AE62" t="s">
        <v>505</v>
      </c>
      <c r="AF62">
        <v>0</v>
      </c>
      <c r="AG62">
        <v>0</v>
      </c>
      <c r="AH62">
        <v>76.25</v>
      </c>
      <c r="AI62">
        <v>0</v>
      </c>
      <c r="AJ62" t="s">
        <v>547</v>
      </c>
    </row>
    <row r="63" spans="1:38" x14ac:dyDescent="0.2">
      <c r="A63">
        <v>1235416</v>
      </c>
      <c r="B63">
        <v>7618351</v>
      </c>
      <c r="C63">
        <v>187510</v>
      </c>
      <c r="E63" t="b">
        <v>0</v>
      </c>
      <c r="F63">
        <v>64375</v>
      </c>
      <c r="G63" t="s">
        <v>839</v>
      </c>
      <c r="H63">
        <v>1</v>
      </c>
      <c r="I63" t="s">
        <v>840</v>
      </c>
      <c r="J63" t="s">
        <v>531</v>
      </c>
      <c r="K63" t="s">
        <v>841</v>
      </c>
      <c r="L63" t="s">
        <v>532</v>
      </c>
      <c r="M63" t="s">
        <v>842</v>
      </c>
      <c r="N63" t="s">
        <v>414</v>
      </c>
      <c r="O63" t="s">
        <v>414</v>
      </c>
      <c r="P63" t="s">
        <v>415</v>
      </c>
      <c r="S63" t="s">
        <v>843</v>
      </c>
      <c r="U63" t="s">
        <v>844</v>
      </c>
      <c r="V63" t="s">
        <v>845</v>
      </c>
      <c r="W63" t="s">
        <v>439</v>
      </c>
      <c r="X63" t="s">
        <v>533</v>
      </c>
      <c r="Y63" t="s">
        <v>116</v>
      </c>
      <c r="Z63" t="s">
        <v>545</v>
      </c>
      <c r="AA63" t="s">
        <v>22</v>
      </c>
      <c r="AB63" t="s">
        <v>588</v>
      </c>
      <c r="AD63" t="s">
        <v>416</v>
      </c>
      <c r="AE63" t="s">
        <v>416</v>
      </c>
      <c r="AF63">
        <v>0</v>
      </c>
      <c r="AG63">
        <v>0</v>
      </c>
      <c r="AH63">
        <v>76.25</v>
      </c>
      <c r="AI63">
        <v>0</v>
      </c>
      <c r="AJ63" t="s">
        <v>547</v>
      </c>
      <c r="AK63" t="s">
        <v>588</v>
      </c>
      <c r="AL63" t="s">
        <v>548</v>
      </c>
    </row>
    <row r="64" spans="1:38" x14ac:dyDescent="0.2">
      <c r="A64">
        <v>1235503</v>
      </c>
      <c r="B64">
        <v>8035837</v>
      </c>
      <c r="C64">
        <v>187508</v>
      </c>
      <c r="E64" t="b">
        <v>0</v>
      </c>
      <c r="F64">
        <v>72022</v>
      </c>
      <c r="G64" t="s">
        <v>846</v>
      </c>
      <c r="H64">
        <v>1</v>
      </c>
      <c r="I64" t="s">
        <v>847</v>
      </c>
      <c r="J64" t="s">
        <v>531</v>
      </c>
      <c r="K64" t="s">
        <v>530</v>
      </c>
      <c r="L64" t="s">
        <v>532</v>
      </c>
      <c r="M64" t="s">
        <v>848</v>
      </c>
      <c r="N64" t="s">
        <v>263</v>
      </c>
      <c r="O64" t="s">
        <v>187</v>
      </c>
      <c r="P64" t="s">
        <v>410</v>
      </c>
      <c r="S64" t="s">
        <v>849</v>
      </c>
      <c r="U64" t="s">
        <v>850</v>
      </c>
      <c r="V64" t="s">
        <v>851</v>
      </c>
      <c r="W64" t="s">
        <v>439</v>
      </c>
      <c r="X64" t="s">
        <v>533</v>
      </c>
      <c r="Y64" t="s">
        <v>544</v>
      </c>
      <c r="Z64" t="s">
        <v>545</v>
      </c>
      <c r="AB64" t="s">
        <v>546</v>
      </c>
      <c r="AD64" t="s">
        <v>264</v>
      </c>
      <c r="AE64" t="s">
        <v>430</v>
      </c>
      <c r="AF64">
        <v>0</v>
      </c>
      <c r="AG64">
        <v>0</v>
      </c>
      <c r="AH64">
        <v>97</v>
      </c>
      <c r="AI64">
        <v>0</v>
      </c>
      <c r="AJ64" t="s">
        <v>547</v>
      </c>
      <c r="AK64" t="s">
        <v>546</v>
      </c>
      <c r="AL64" t="s">
        <v>548</v>
      </c>
    </row>
    <row r="65" spans="1:1" x14ac:dyDescent="0.2">
      <c r="A65">
        <v>1235768</v>
      </c>
    </row>
    <row r="66" spans="1:1" x14ac:dyDescent="0.2">
      <c r="A66">
        <v>1235769</v>
      </c>
    </row>
    <row r="67" spans="1:1" x14ac:dyDescent="0.2">
      <c r="A67">
        <v>1235540</v>
      </c>
    </row>
  </sheetData>
  <sheetProtection algorithmName="SHA-512" hashValue="vQQay6lPI7ip1QOLEnkCImCVvjNb0On77+v/8CpsdXZewwI7slCGf15Vad+9NkndBTCnE6LnY+wBxGzoAeAECw==" saltValue="oO0e6irRuZdz2iZFNIbOtQ==" spinCount="100000" sheet="1" objects="1" scenarios="1"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7" t="s">
        <v>564</v>
      </c>
      <c r="B1" s="37" t="s">
        <v>562</v>
      </c>
      <c r="C1" s="37" t="s">
        <v>563</v>
      </c>
    </row>
    <row r="2" spans="1:3" x14ac:dyDescent="0.2">
      <c r="A2" s="37" t="s">
        <v>561</v>
      </c>
      <c r="B2">
        <v>-100</v>
      </c>
      <c r="C2">
        <v>450</v>
      </c>
    </row>
    <row r="3" spans="1:3" x14ac:dyDescent="0.2">
      <c r="A3" s="37" t="s">
        <v>555</v>
      </c>
      <c r="B3">
        <v>-50</v>
      </c>
      <c r="C3">
        <v>450</v>
      </c>
    </row>
    <row r="4" spans="1:3" x14ac:dyDescent="0.2">
      <c r="A4" s="37" t="s">
        <v>554</v>
      </c>
      <c r="B4">
        <v>70</v>
      </c>
      <c r="C4">
        <v>500</v>
      </c>
    </row>
    <row r="5" spans="1:3" x14ac:dyDescent="0.2">
      <c r="A5" s="37" t="s">
        <v>556</v>
      </c>
      <c r="B5">
        <v>70</v>
      </c>
      <c r="C5">
        <v>450</v>
      </c>
    </row>
    <row r="6" spans="1:3" x14ac:dyDescent="0.2">
      <c r="A6" s="37" t="s">
        <v>558</v>
      </c>
      <c r="B6">
        <v>70</v>
      </c>
      <c r="C6">
        <v>1000</v>
      </c>
    </row>
    <row r="7" spans="1:3" x14ac:dyDescent="0.2">
      <c r="A7" s="37" t="s">
        <v>559</v>
      </c>
      <c r="B7">
        <v>200</v>
      </c>
      <c r="C7">
        <v>1850</v>
      </c>
    </row>
    <row r="8" spans="1:3" x14ac:dyDescent="0.2">
      <c r="A8" s="37" t="s">
        <v>557</v>
      </c>
      <c r="B8">
        <v>700</v>
      </c>
      <c r="C8">
        <v>2200</v>
      </c>
    </row>
    <row r="9" spans="1:3" x14ac:dyDescent="0.2">
      <c r="A9" s="37" t="s">
        <v>560</v>
      </c>
      <c r="B9">
        <v>700</v>
      </c>
      <c r="C9">
        <v>2200</v>
      </c>
    </row>
  </sheetData>
  <sheetProtection algorithmName="SHA-512" hashValue="SxsEV8SShkkwFfDmyfjTuoENtPSh0zn2mVgRf0H2uMQWZFeyF1DLby2JfjU1iCKlVg7SFF4ZYMahIB8wXlabNg==" saltValue="HYnMFkWkZoiTLirm3Rj4Ag=="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W41"/>
  <sheetViews>
    <sheetView workbookViewId="0">
      <selection activeCell="H15" sqref="H15"/>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0.42578125" bestFit="1" customWidth="1"/>
    <col min="6" max="6" width="5.140625" bestFit="1" customWidth="1"/>
    <col min="7" max="7" width="4.85546875" bestFit="1" customWidth="1"/>
    <col min="8" max="8" width="15.4257812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8" width="11.5703125" bestFit="1" customWidth="1"/>
    <col min="19" max="19" width="10.5703125" bestFit="1" customWidth="1"/>
    <col min="20" max="20" width="10.5703125" customWidth="1"/>
  </cols>
  <sheetData>
    <row r="1" spans="1:23" x14ac:dyDescent="0.2">
      <c r="A1" s="37"/>
      <c r="B1" s="37"/>
      <c r="C1" s="37"/>
      <c r="D1" s="37"/>
      <c r="E1" s="37" t="s">
        <v>909</v>
      </c>
      <c r="F1" s="37" t="s">
        <v>266</v>
      </c>
      <c r="G1" s="37" t="s">
        <v>267</v>
      </c>
      <c r="H1" s="37" t="s">
        <v>912</v>
      </c>
      <c r="J1" s="492" t="s">
        <v>907</v>
      </c>
      <c r="K1" s="493"/>
      <c r="M1" s="428" t="s">
        <v>902</v>
      </c>
      <c r="N1" s="429" t="s">
        <v>906</v>
      </c>
      <c r="O1" s="429" t="s">
        <v>897</v>
      </c>
      <c r="P1" s="429" t="s">
        <v>14</v>
      </c>
      <c r="Q1" s="490" t="s">
        <v>969</v>
      </c>
      <c r="R1" s="490" t="s">
        <v>266</v>
      </c>
      <c r="S1" s="490" t="s">
        <v>267</v>
      </c>
      <c r="T1" s="490" t="s">
        <v>970</v>
      </c>
      <c r="V1" s="37"/>
      <c r="W1" s="37"/>
    </row>
    <row r="2" spans="1:23" x14ac:dyDescent="0.2">
      <c r="A2" s="417"/>
      <c r="J2" s="431" t="s">
        <v>903</v>
      </c>
      <c r="K2" s="432">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417" t="str">
        <f>IFERROR(IF(OR(Alerts[[#This Row],[High]],Alerts[[#This Row],[Low]]),Alerts[[#This Row],[High]]&amp;Alerts[[#This Row],[Low]],Alerts[[#This Row],[Out Of Tolerance]]),"")</f>
        <v/>
      </c>
      <c r="Q2" t="b">
        <f>IF(
  Main!O5 = "",
  FALSE,
  COUNTIF(Survey[TestPoint], Alerts[[#This Row],[TestPoint]]) = 0
)</f>
        <v>0</v>
      </c>
      <c r="R2" s="417" t="str" cm="1">
        <f t="array" ref="R2">_xlfn.XLOOKUP(1,
  (Survey[TestPoint]=Alerts[[#This Row],[TestPoint]])*Survey[High],
  Survey[Time],
  "")</f>
        <v/>
      </c>
      <c r="S2" s="417" t="str" cm="1">
        <f t="array" ref="S2">_xlfn.XLOOKUP(1,
  (Survey[TestPoint]=Alerts[[#This Row],[TestPoint]])*Survey[Low],
  Survey[Time],
  "")</f>
        <v/>
      </c>
      <c r="T2" s="417" t="str" cm="1">
        <f t="array" ref="T2">_xlfn.XLOOKUP(1,
  (Survey[TestPoint]=Alerts[[#This Row],[TestPoint]])*Survey[OutOfTolerance],
  Survey[Time],
  "")</f>
        <v/>
      </c>
    </row>
    <row r="3" spans="1:23" x14ac:dyDescent="0.2">
      <c r="J3" s="437" t="s">
        <v>910</v>
      </c>
      <c r="K3" s="438" t="e">
        <f>_xlfn.T.INV.2T(1-0.9545, DoF)</f>
        <v>#NUM!</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417" t="str">
        <f>IFERROR(IF(OR(Alerts[[#This Row],[High]],Alerts[[#This Row],[Low]]),Alerts[[#This Row],[High]]&amp;Alerts[[#This Row],[Low]],Alerts[[#This Row],[Out Of Tolerance]]),"")</f>
        <v/>
      </c>
      <c r="Q3" t="b">
        <f>IF(
  Main!O6 = "",
  FALSE,
  COUNTIF(Survey[TestPoint], Alerts[[#This Row],[TestPoint]]) = 0
)</f>
        <v>0</v>
      </c>
      <c r="R3" s="417" t="str" cm="1">
        <f t="array" ref="R3">_xlfn.XLOOKUP(1,
  (Survey[TestPoint]=Alerts[[#This Row],[TestPoint]])*Survey[High],
  Survey[Time],
  "")</f>
        <v/>
      </c>
      <c r="S3" s="417" t="str" cm="1">
        <f t="array" ref="S3">_xlfn.XLOOKUP(1,
  (Survey[TestPoint]=Alerts[[#This Row],[TestPoint]])*Survey[Low],
  Survey[Time],
  "")</f>
        <v/>
      </c>
      <c r="T3" s="417" t="str" cm="1">
        <f t="array" ref="T3">_xlfn.XLOOKUP(1,
  (Survey[TestPoint]=Alerts[[#This Row],[TestPoint]])*Survey[OutOfTolerance],
  Survey[Time],
  "")</f>
        <v/>
      </c>
    </row>
    <row r="4" spans="1:23" x14ac:dyDescent="0.2">
      <c r="J4" s="433" t="s">
        <v>914</v>
      </c>
      <c r="K4" s="434"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417" t="str">
        <f>IFERROR(IF(OR(Alerts[[#This Row],[High]],Alerts[[#This Row],[Low]]),Alerts[[#This Row],[High]]&amp;Alerts[[#This Row],[Low]],Alerts[[#This Row],[Out Of Tolerance]]),"")</f>
        <v/>
      </c>
      <c r="Q4" t="b">
        <f>IF(
  Main!O7 = "",
  FALSE,
  COUNTIF(Survey[TestPoint], Alerts[[#This Row],[TestPoint]]) = 0
)</f>
        <v>0</v>
      </c>
      <c r="R4" s="417" t="str" cm="1">
        <f t="array" ref="R4">_xlfn.XLOOKUP(1,
  (Survey[TestPoint]=Alerts[[#This Row],[TestPoint]])*Survey[High],
  Survey[Time],
  "")</f>
        <v/>
      </c>
      <c r="S4" s="417" t="str" cm="1">
        <f t="array" ref="S4">_xlfn.XLOOKUP(1,
  (Survey[TestPoint]=Alerts[[#This Row],[TestPoint]])*Survey[Low],
  Survey[Time],
  "")</f>
        <v/>
      </c>
      <c r="T4" s="417" t="str" cm="1">
        <f t="array" ref="T4">_xlfn.XLOOKUP(1,
  (Survey[TestPoint]=Alerts[[#This Row],[TestPoint]])*Survey[OutOfTolerance],
  Survey[Time],
  "")</f>
        <v/>
      </c>
    </row>
    <row r="5" spans="1:23" x14ac:dyDescent="0.2">
      <c r="J5" s="437" t="s">
        <v>915</v>
      </c>
      <c r="K5" s="439"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417" t="str">
        <f>IFERROR(IF(OR(Alerts[[#This Row],[High]],Alerts[[#This Row],[Low]]),Alerts[[#This Row],[High]]&amp;Alerts[[#This Row],[Low]],Alerts[[#This Row],[Out Of Tolerance]]),"")</f>
        <v/>
      </c>
      <c r="Q5" t="b">
        <f>IF(
  Main!O8 = "",
  FALSE,
  COUNTIF(Survey[TestPoint], Alerts[[#This Row],[TestPoint]]) = 0
)</f>
        <v>0</v>
      </c>
      <c r="R5" s="417" t="str" cm="1">
        <f t="array" ref="R5">_xlfn.XLOOKUP(1,
  (Survey[TestPoint]=Alerts[[#This Row],[TestPoint]])*Survey[High],
  Survey[Time],
  "")</f>
        <v/>
      </c>
      <c r="S5" s="417" t="str" cm="1">
        <f t="array" ref="S5">_xlfn.XLOOKUP(1,
  (Survey[TestPoint]=Alerts[[#This Row],[TestPoint]])*Survey[Low],
  Survey[Time],
  "")</f>
        <v/>
      </c>
      <c r="T5" s="417" t="str" cm="1">
        <f t="array" ref="T5">_xlfn.XLOOKUP(1,
  (Survey[TestPoint]=Alerts[[#This Row],[TestPoint]])*Survey[OutOfTolerance],
  Survey[Time],
  "")</f>
        <v/>
      </c>
    </row>
    <row r="6" spans="1:23" x14ac:dyDescent="0.2">
      <c r="J6" s="433" t="s">
        <v>913</v>
      </c>
      <c r="K6" s="434">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417" t="str">
        <f>IFERROR(IF(OR(Alerts[[#This Row],[High]],Alerts[[#This Row],[Low]]),Alerts[[#This Row],[High]]&amp;Alerts[[#This Row],[Low]],Alerts[[#This Row],[Out Of Tolerance]]),"")</f>
        <v/>
      </c>
      <c r="Q6" t="b">
        <f>IF(
  Main!O9 = "",
  FALSE,
  COUNTIF(Survey[TestPoint], Alerts[[#This Row],[TestPoint]]) = 0
)</f>
        <v>0</v>
      </c>
      <c r="R6" s="417" t="str" cm="1">
        <f t="array" ref="R6">_xlfn.XLOOKUP(1,
  (Survey[TestPoint]=Alerts[[#This Row],[TestPoint]])*Survey[High],
  Survey[Time],
  "")</f>
        <v/>
      </c>
      <c r="S6" s="417" t="str" cm="1">
        <f t="array" ref="S6">_xlfn.XLOOKUP(1,
  (Survey[TestPoint]=Alerts[[#This Row],[TestPoint]])*Survey[Low],
  Survey[Time],
  "")</f>
        <v/>
      </c>
      <c r="T6" s="417" t="str" cm="1">
        <f t="array" ref="T6">_xlfn.XLOOKUP(1,
  (Survey[TestPoint]=Alerts[[#This Row],[TestPoint]])*Survey[OutOfTolerance],
  Survey[Time],
  "")</f>
        <v/>
      </c>
    </row>
    <row r="7" spans="1:23" x14ac:dyDescent="0.2">
      <c r="J7" s="437" t="s">
        <v>904</v>
      </c>
      <c r="K7" s="440" t="e">
        <f>K6*k</f>
        <v>#NUM!</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417" t="str">
        <f>IFERROR(IF(OR(Alerts[[#This Row],[High]],Alerts[[#This Row],[Low]]),Alerts[[#This Row],[High]]&amp;Alerts[[#This Row],[Low]],Alerts[[#This Row],[Out Of Tolerance]]),"")</f>
        <v/>
      </c>
      <c r="Q7" t="b">
        <f>IF(
  Main!O10 = "",
  FALSE,
  COUNTIF(Survey[TestPoint], Alerts[[#This Row],[TestPoint]]) = 0
)</f>
        <v>0</v>
      </c>
      <c r="R7" s="417" t="str" cm="1">
        <f t="array" ref="R7">_xlfn.XLOOKUP(1,
  (Survey[TestPoint]=Alerts[[#This Row],[TestPoint]])*Survey[High],
  Survey[Time],
  "")</f>
        <v/>
      </c>
      <c r="S7" s="417" t="str" cm="1">
        <f t="array" ref="S7">_xlfn.XLOOKUP(1,
  (Survey[TestPoint]=Alerts[[#This Row],[TestPoint]])*Survey[Low],
  Survey[Time],
  "")</f>
        <v/>
      </c>
      <c r="T7" s="417" t="str" cm="1">
        <f t="array" ref="T7">_xlfn.XLOOKUP(1,
  (Survey[TestPoint]=Alerts[[#This Row],[TestPoint]])*Survey[OutOfTolerance],
  Survey[Time],
  "")</f>
        <v/>
      </c>
    </row>
    <row r="8" spans="1:23" ht="13.5" thickBot="1" x14ac:dyDescent="0.25">
      <c r="J8" s="435" t="s">
        <v>905</v>
      </c>
      <c r="K8" s="436">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417" t="str">
        <f>IFERROR(IF(OR(Alerts[[#This Row],[High]],Alerts[[#This Row],[Low]]),Alerts[[#This Row],[High]]&amp;Alerts[[#This Row],[Low]],Alerts[[#This Row],[Out Of Tolerance]]),"")</f>
        <v/>
      </c>
      <c r="Q8" t="b">
        <f>IF(
  Main!O11 = "",
  FALSE,
  COUNTIF(Survey[TestPoint], Alerts[[#This Row],[TestPoint]]) = 0
)</f>
        <v>0</v>
      </c>
      <c r="R8" s="417" t="str" cm="1">
        <f t="array" ref="R8">_xlfn.XLOOKUP(1,
  (Survey[TestPoint]=Alerts[[#This Row],[TestPoint]])*Survey[High],
  Survey[Time],
  "")</f>
        <v/>
      </c>
      <c r="S8" s="417" t="str" cm="1">
        <f t="array" ref="S8">_xlfn.XLOOKUP(1,
  (Survey[TestPoint]=Alerts[[#This Row],[TestPoint]])*Survey[Low],
  Survey[Time],
  "")</f>
        <v/>
      </c>
      <c r="T8" s="417" t="str" cm="1">
        <f t="array" ref="T8">_xlfn.XLOOKUP(1,
  (Survey[TestPoint]=Alerts[[#This Row],[TestPoint]])*Survey[OutOfTolerance],
  Survey[Time],
  "")</f>
        <v/>
      </c>
    </row>
    <row r="9" spans="1:23" ht="13.5" thickTop="1" x14ac:dyDescent="0.2">
      <c r="J9" s="441" t="s">
        <v>911</v>
      </c>
      <c r="K9" s="442" t="e">
        <f>MAX(K7,K8)</f>
        <v>#NUM!</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417" t="str">
        <f>IFERROR(IF(OR(Alerts[[#This Row],[High]],Alerts[[#This Row],[Low]]),Alerts[[#This Row],[High]]&amp;Alerts[[#This Row],[Low]],Alerts[[#This Row],[Out Of Tolerance]]),"")</f>
        <v/>
      </c>
      <c r="Q9" t="b">
        <f>IF(
  Main!O12 = "",
  FALSE,
  COUNTIF(Survey[TestPoint], Alerts[[#This Row],[TestPoint]]) = 0
)</f>
        <v>0</v>
      </c>
      <c r="R9" s="417" t="str" cm="1">
        <f t="array" ref="R9">_xlfn.XLOOKUP(1,
  (Survey[TestPoint]=Alerts[[#This Row],[TestPoint]])*Survey[High],
  Survey[Time],
  "")</f>
        <v/>
      </c>
      <c r="S9" s="417" t="str" cm="1">
        <f t="array" ref="S9">_xlfn.XLOOKUP(1,
  (Survey[TestPoint]=Alerts[[#This Row],[TestPoint]])*Survey[Low],
  Survey[Time],
  "")</f>
        <v/>
      </c>
      <c r="T9" s="417" t="str" cm="1">
        <f t="array" ref="T9">_xlfn.XLOOKUP(1,
  (Survey[TestPoint]=Alerts[[#This Row],[TestPoint]])*Survey[OutOfTolerance],
  Survey[Time],
  "")</f>
        <v/>
      </c>
    </row>
    <row r="10" spans="1:23"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417" t="str">
        <f>IFERROR(IF(OR(Alerts[[#This Row],[High]],Alerts[[#This Row],[Low]]),Alerts[[#This Row],[High]]&amp;Alerts[[#This Row],[Low]],Alerts[[#This Row],[Out Of Tolerance]]),"")</f>
        <v/>
      </c>
      <c r="Q10" t="b">
        <f>IF(
  Main!O13 = "",
  FALSE,
  COUNTIF(Survey[TestPoint], Alerts[[#This Row],[TestPoint]]) = 0
)</f>
        <v>0</v>
      </c>
      <c r="R10" s="417" t="str" cm="1">
        <f t="array" ref="R10">_xlfn.XLOOKUP(1,
  (Survey[TestPoint]=Alerts[[#This Row],[TestPoint]])*Survey[High],
  Survey[Time],
  "")</f>
        <v/>
      </c>
      <c r="S10" s="417" t="str" cm="1">
        <f t="array" ref="S10">_xlfn.XLOOKUP(1,
  (Survey[TestPoint]=Alerts[[#This Row],[TestPoint]])*Survey[Low],
  Survey[Time],
  "")</f>
        <v/>
      </c>
      <c r="T10" s="417" t="str" cm="1">
        <f t="array" ref="T10">_xlfn.XLOOKUP(1,
  (Survey[TestPoint]=Alerts[[#This Row],[TestPoint]])*Survey[OutOfTolerance],
  Survey[Time],
  "")</f>
        <v/>
      </c>
    </row>
    <row r="11" spans="1:23"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417" t="str">
        <f>IFERROR(IF(OR(Alerts[[#This Row],[High]],Alerts[[#This Row],[Low]]),Alerts[[#This Row],[High]]&amp;Alerts[[#This Row],[Low]],Alerts[[#This Row],[Out Of Tolerance]]),"")</f>
        <v/>
      </c>
      <c r="Q11" t="b">
        <f>IF(
  Main!O14 = "",
  FALSE,
  COUNTIF(Survey[TestPoint], Alerts[[#This Row],[TestPoint]]) = 0
)</f>
        <v>0</v>
      </c>
      <c r="R11" s="417" t="str" cm="1">
        <f t="array" ref="R11">_xlfn.XLOOKUP(1,
  (Survey[TestPoint]=Alerts[[#This Row],[TestPoint]])*Survey[High],
  Survey[Time],
  "")</f>
        <v/>
      </c>
      <c r="S11" s="417" t="str" cm="1">
        <f t="array" ref="S11">_xlfn.XLOOKUP(1,
  (Survey[TestPoint]=Alerts[[#This Row],[TestPoint]])*Survey[Low],
  Survey[Time],
  "")</f>
        <v/>
      </c>
      <c r="T11" s="417" t="str" cm="1">
        <f t="array" ref="T11">_xlfn.XLOOKUP(1,
  (Survey[TestPoint]=Alerts[[#This Row],[TestPoint]])*Survey[OutOfTolerance],
  Survey[Time],
  "")</f>
        <v/>
      </c>
    </row>
    <row r="12" spans="1:23"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417" t="str">
        <f>IFERROR(IF(OR(Alerts[[#This Row],[High]],Alerts[[#This Row],[Low]]),Alerts[[#This Row],[High]]&amp;Alerts[[#This Row],[Low]],Alerts[[#This Row],[Out Of Tolerance]]),"")</f>
        <v/>
      </c>
      <c r="Q12" t="b">
        <f>IF(
  Main!O15 = "",
  FALSE,
  COUNTIF(Survey[TestPoint], Alerts[[#This Row],[TestPoint]]) = 0
)</f>
        <v>0</v>
      </c>
      <c r="R12" s="417" t="str" cm="1">
        <f t="array" ref="R12">_xlfn.XLOOKUP(1,
  (Survey[TestPoint]=Alerts[[#This Row],[TestPoint]])*Survey[High],
  Survey[Time],
  "")</f>
        <v/>
      </c>
      <c r="S12" s="417" t="str" cm="1">
        <f t="array" ref="S12">_xlfn.XLOOKUP(1,
  (Survey[TestPoint]=Alerts[[#This Row],[TestPoint]])*Survey[Low],
  Survey[Time],
  "")</f>
        <v/>
      </c>
      <c r="T12" s="417" t="str" cm="1">
        <f t="array" ref="T12">_xlfn.XLOOKUP(1,
  (Survey[TestPoint]=Alerts[[#This Row],[TestPoint]])*Survey[OutOfTolerance],
  Survey[Time],
  "")</f>
        <v/>
      </c>
    </row>
    <row r="13" spans="1:23"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417" t="str">
        <f>IFERROR(IF(OR(Alerts[[#This Row],[High]],Alerts[[#This Row],[Low]]),Alerts[[#This Row],[High]]&amp;Alerts[[#This Row],[Low]],Alerts[[#This Row],[Out Of Tolerance]]),"")</f>
        <v/>
      </c>
      <c r="Q13" t="b">
        <f>IF(
  Main!O16 = "",
  FALSE,
  COUNTIF(Survey[TestPoint], Alerts[[#This Row],[TestPoint]]) = 0
)</f>
        <v>0</v>
      </c>
      <c r="R13" s="417" t="str" cm="1">
        <f t="array" ref="R13">_xlfn.XLOOKUP(1,
  (Survey[TestPoint]=Alerts[[#This Row],[TestPoint]])*Survey[High],
  Survey[Time],
  "")</f>
        <v/>
      </c>
      <c r="S13" s="417" t="str" cm="1">
        <f t="array" ref="S13">_xlfn.XLOOKUP(1,
  (Survey[TestPoint]=Alerts[[#This Row],[TestPoint]])*Survey[Low],
  Survey[Time],
  "")</f>
        <v/>
      </c>
      <c r="T13" s="417" t="str" cm="1">
        <f t="array" ref="T13">_xlfn.XLOOKUP(1,
  (Survey[TestPoint]=Alerts[[#This Row],[TestPoint]])*Survey[OutOfTolerance],
  Survey[Time],
  "")</f>
        <v/>
      </c>
    </row>
    <row r="14" spans="1:23"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417" t="str">
        <f>IFERROR(IF(OR(Alerts[[#This Row],[High]],Alerts[[#This Row],[Low]]),Alerts[[#This Row],[High]]&amp;Alerts[[#This Row],[Low]],Alerts[[#This Row],[Out Of Tolerance]]),"")</f>
        <v/>
      </c>
      <c r="Q14" t="b">
        <f>IF(
  Main!O17 = "",
  FALSE,
  COUNTIF(Survey[TestPoint], Alerts[[#This Row],[TestPoint]]) = 0
)</f>
        <v>0</v>
      </c>
      <c r="R14" s="417" t="str" cm="1">
        <f t="array" ref="R14">_xlfn.XLOOKUP(1,
  (Survey[TestPoint]=Alerts[[#This Row],[TestPoint]])*Survey[High],
  Survey[Time],
  "")</f>
        <v/>
      </c>
      <c r="S14" s="417" t="str" cm="1">
        <f t="array" ref="S14">_xlfn.XLOOKUP(1,
  (Survey[TestPoint]=Alerts[[#This Row],[TestPoint]])*Survey[Low],
  Survey[Time],
  "")</f>
        <v/>
      </c>
      <c r="T14" s="417" t="str" cm="1">
        <f t="array" ref="T14">_xlfn.XLOOKUP(1,
  (Survey[TestPoint]=Alerts[[#This Row],[TestPoint]])*Survey[OutOfTolerance],
  Survey[Time],
  "")</f>
        <v/>
      </c>
    </row>
    <row r="15" spans="1:23"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417" t="str">
        <f>IFERROR(IF(OR(Alerts[[#This Row],[High]],Alerts[[#This Row],[Low]]),Alerts[[#This Row],[High]]&amp;Alerts[[#This Row],[Low]],Alerts[[#This Row],[Out Of Tolerance]]),"")</f>
        <v/>
      </c>
      <c r="Q15" t="b">
        <f>IF(
  Main!O18 = "",
  FALSE,
  COUNTIF(Survey[TestPoint], Alerts[[#This Row],[TestPoint]]) = 0
)</f>
        <v>0</v>
      </c>
      <c r="R15" s="417" t="str" cm="1">
        <f t="array" ref="R15">_xlfn.XLOOKUP(1,
  (Survey[TestPoint]=Alerts[[#This Row],[TestPoint]])*Survey[High],
  Survey[Time],
  "")</f>
        <v/>
      </c>
      <c r="S15" s="417" t="str" cm="1">
        <f t="array" ref="S15">_xlfn.XLOOKUP(1,
  (Survey[TestPoint]=Alerts[[#This Row],[TestPoint]])*Survey[Low],
  Survey[Time],
  "")</f>
        <v/>
      </c>
      <c r="T15" s="417" t="str" cm="1">
        <f t="array" ref="T15">_xlfn.XLOOKUP(1,
  (Survey[TestPoint]=Alerts[[#This Row],[TestPoint]])*Survey[OutOfTolerance],
  Survey[Time],
  "")</f>
        <v/>
      </c>
    </row>
    <row r="16" spans="1:23"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417" t="str">
        <f>IFERROR(IF(OR(Alerts[[#This Row],[High]],Alerts[[#This Row],[Low]]),Alerts[[#This Row],[High]]&amp;Alerts[[#This Row],[Low]],Alerts[[#This Row],[Out Of Tolerance]]),"")</f>
        <v/>
      </c>
      <c r="Q16" t="b">
        <f>IF(
  Main!O19 = "",
  FALSE,
  COUNTIF(Survey[TestPoint], Alerts[[#This Row],[TestPoint]]) = 0
)</f>
        <v>0</v>
      </c>
      <c r="R16" s="417" t="str" cm="1">
        <f t="array" ref="R16">_xlfn.XLOOKUP(1,
  (Survey[TestPoint]=Alerts[[#This Row],[TestPoint]])*Survey[High],
  Survey[Time],
  "")</f>
        <v/>
      </c>
      <c r="S16" s="417" t="str" cm="1">
        <f t="array" ref="S16">_xlfn.XLOOKUP(1,
  (Survey[TestPoint]=Alerts[[#This Row],[TestPoint]])*Survey[Low],
  Survey[Time],
  "")</f>
        <v/>
      </c>
      <c r="T16" s="417"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417" t="str">
        <f>IFERROR(IF(OR(Alerts[[#This Row],[High]],Alerts[[#This Row],[Low]]),Alerts[[#This Row],[High]]&amp;Alerts[[#This Row],[Low]],Alerts[[#This Row],[Out Of Tolerance]]),"")</f>
        <v/>
      </c>
      <c r="Q17" t="b">
        <f>IF(
  Main!O20 = "",
  FALSE,
  COUNTIF(Survey[TestPoint], Alerts[[#This Row],[TestPoint]]) = 0
)</f>
        <v>0</v>
      </c>
      <c r="R17" s="417" t="str" cm="1">
        <f t="array" ref="R17">_xlfn.XLOOKUP(1,
  (Survey[TestPoint]=Alerts[[#This Row],[TestPoint]])*Survey[High],
  Survey[Time],
  "")</f>
        <v/>
      </c>
      <c r="S17" s="417" t="str" cm="1">
        <f t="array" ref="S17">_xlfn.XLOOKUP(1,
  (Survey[TestPoint]=Alerts[[#This Row],[TestPoint]])*Survey[Low],
  Survey[Time],
  "")</f>
        <v/>
      </c>
      <c r="T17" s="417"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417" t="str">
        <f>IFERROR(IF(OR(Alerts[[#This Row],[High]],Alerts[[#This Row],[Low]]),Alerts[[#This Row],[High]]&amp;Alerts[[#This Row],[Low]],Alerts[[#This Row],[Out Of Tolerance]]),"")</f>
        <v/>
      </c>
      <c r="Q18" t="b">
        <f>IF(
  Main!O21 = "",
  FALSE,
  COUNTIF(Survey[TestPoint], Alerts[[#This Row],[TestPoint]]) = 0
)</f>
        <v>0</v>
      </c>
      <c r="R18" s="417" t="str" cm="1">
        <f t="array" ref="R18">_xlfn.XLOOKUP(1,
  (Survey[TestPoint]=Alerts[[#This Row],[TestPoint]])*Survey[High],
  Survey[Time],
  "")</f>
        <v/>
      </c>
      <c r="S18" s="417" t="str" cm="1">
        <f t="array" ref="S18">_xlfn.XLOOKUP(1,
  (Survey[TestPoint]=Alerts[[#This Row],[TestPoint]])*Survey[Low],
  Survey[Time],
  "")</f>
        <v/>
      </c>
      <c r="T18" s="417"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417" t="str">
        <f>IFERROR(IF(OR(Alerts[[#This Row],[High]],Alerts[[#This Row],[Low]]),Alerts[[#This Row],[High]]&amp;Alerts[[#This Row],[Low]],Alerts[[#This Row],[Out Of Tolerance]]),"")</f>
        <v/>
      </c>
      <c r="Q19" t="b">
        <f>IF(
  Main!O22 = "",
  FALSE,
  COUNTIF(Survey[TestPoint], Alerts[[#This Row],[TestPoint]]) = 0
)</f>
        <v>0</v>
      </c>
      <c r="R19" s="417" t="str" cm="1">
        <f t="array" ref="R19">_xlfn.XLOOKUP(1,
  (Survey[TestPoint]=Alerts[[#This Row],[TestPoint]])*Survey[High],
  Survey[Time],
  "")</f>
        <v/>
      </c>
      <c r="S19" s="417" t="str" cm="1">
        <f t="array" ref="S19">_xlfn.XLOOKUP(1,
  (Survey[TestPoint]=Alerts[[#This Row],[TestPoint]])*Survey[Low],
  Survey[Time],
  "")</f>
        <v/>
      </c>
      <c r="T19" s="417"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417" t="str">
        <f>IFERROR(IF(OR(Alerts[[#This Row],[High]],Alerts[[#This Row],[Low]]),Alerts[[#This Row],[High]]&amp;Alerts[[#This Row],[Low]],Alerts[[#This Row],[Out Of Tolerance]]),"")</f>
        <v/>
      </c>
      <c r="Q20" t="b">
        <f>IF(
  Main!O23 = "",
  FALSE,
  COUNTIF(Survey[TestPoint], Alerts[[#This Row],[TestPoint]]) = 0
)</f>
        <v>0</v>
      </c>
      <c r="R20" s="417" t="str" cm="1">
        <f t="array" ref="R20">_xlfn.XLOOKUP(1,
  (Survey[TestPoint]=Alerts[[#This Row],[TestPoint]])*Survey[High],
  Survey[Time],
  "")</f>
        <v/>
      </c>
      <c r="S20" s="417" t="str" cm="1">
        <f t="array" ref="S20">_xlfn.XLOOKUP(1,
  (Survey[TestPoint]=Alerts[[#This Row],[TestPoint]])*Survey[Low],
  Survey[Time],
  "")</f>
        <v/>
      </c>
      <c r="T20" s="417"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417" t="str">
        <f>IFERROR(IF(OR(Alerts[[#This Row],[High]],Alerts[[#This Row],[Low]]),Alerts[[#This Row],[High]]&amp;Alerts[[#This Row],[Low]],Alerts[[#This Row],[Out Of Tolerance]]),"")</f>
        <v/>
      </c>
      <c r="Q21" t="b">
        <f>IF(
  Main!O24 = "",
  FALSE,
  COUNTIF(Survey[TestPoint], Alerts[[#This Row],[TestPoint]]) = 0
)</f>
        <v>0</v>
      </c>
      <c r="R21" s="417" t="str" cm="1">
        <f t="array" ref="R21">_xlfn.XLOOKUP(1,
  (Survey[TestPoint]=Alerts[[#This Row],[TestPoint]])*Survey[High],
  Survey[Time],
  "")</f>
        <v/>
      </c>
      <c r="S21" s="417" t="str" cm="1">
        <f t="array" ref="S21">_xlfn.XLOOKUP(1,
  (Survey[TestPoint]=Alerts[[#This Row],[TestPoint]])*Survey[Low],
  Survey[Time],
  "")</f>
        <v/>
      </c>
      <c r="T21" s="417"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417" t="str">
        <f>IFERROR(IF(OR(Alerts[[#This Row],[High]],Alerts[[#This Row],[Low]]),Alerts[[#This Row],[High]]&amp;Alerts[[#This Row],[Low]],Alerts[[#This Row],[Out Of Tolerance]]),"")</f>
        <v/>
      </c>
      <c r="Q22" t="b">
        <f>IF(
  Main!O25 = "",
  FALSE,
  COUNTIF(Survey[TestPoint], Alerts[[#This Row],[TestPoint]]) = 0
)</f>
        <v>0</v>
      </c>
      <c r="R22" s="417" t="str" cm="1">
        <f t="array" ref="R22">_xlfn.XLOOKUP(1,
  (Survey[TestPoint]=Alerts[[#This Row],[TestPoint]])*Survey[High],
  Survey[Time],
  "")</f>
        <v/>
      </c>
      <c r="S22" s="417" t="str" cm="1">
        <f t="array" ref="S22">_xlfn.XLOOKUP(1,
  (Survey[TestPoint]=Alerts[[#This Row],[TestPoint]])*Survey[Low],
  Survey[Time],
  "")</f>
        <v/>
      </c>
      <c r="T22" s="417"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417" t="str">
        <f>IFERROR(IF(OR(Alerts[[#This Row],[High]],Alerts[[#This Row],[Low]]),Alerts[[#This Row],[High]]&amp;Alerts[[#This Row],[Low]],Alerts[[#This Row],[Out Of Tolerance]]),"")</f>
        <v/>
      </c>
      <c r="Q23" t="b">
        <f>IF(
  Main!O26 = "",
  FALSE,
  COUNTIF(Survey[TestPoint], Alerts[[#This Row],[TestPoint]]) = 0
)</f>
        <v>0</v>
      </c>
      <c r="R23" s="417" t="str" cm="1">
        <f t="array" ref="R23">_xlfn.XLOOKUP(1,
  (Survey[TestPoint]=Alerts[[#This Row],[TestPoint]])*Survey[High],
  Survey[Time],
  "")</f>
        <v/>
      </c>
      <c r="S23" s="417" t="str" cm="1">
        <f t="array" ref="S23">_xlfn.XLOOKUP(1,
  (Survey[TestPoint]=Alerts[[#This Row],[TestPoint]])*Survey[Low],
  Survey[Time],
  "")</f>
        <v/>
      </c>
      <c r="T23" s="417"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417" t="str">
        <f>IFERROR(IF(OR(Alerts[[#This Row],[High]],Alerts[[#This Row],[Low]]),Alerts[[#This Row],[High]]&amp;Alerts[[#This Row],[Low]],Alerts[[#This Row],[Out Of Tolerance]]),"")</f>
        <v/>
      </c>
      <c r="Q24" t="b">
        <f>IF(
  Main!O27 = "",
  FALSE,
  COUNTIF(Survey[TestPoint], Alerts[[#This Row],[TestPoint]]) = 0
)</f>
        <v>0</v>
      </c>
      <c r="R24" s="417" t="str" cm="1">
        <f t="array" ref="R24">_xlfn.XLOOKUP(1,
  (Survey[TestPoint]=Alerts[[#This Row],[TestPoint]])*Survey[High],
  Survey[Time],
  "")</f>
        <v/>
      </c>
      <c r="S24" s="417" t="str" cm="1">
        <f t="array" ref="S24">_xlfn.XLOOKUP(1,
  (Survey[TestPoint]=Alerts[[#This Row],[TestPoint]])*Survey[Low],
  Survey[Time],
  "")</f>
        <v/>
      </c>
      <c r="T24" s="417"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417" t="str">
        <f>IFERROR(IF(OR(Alerts[[#This Row],[High]],Alerts[[#This Row],[Low]]),Alerts[[#This Row],[High]]&amp;Alerts[[#This Row],[Low]],Alerts[[#This Row],[Out Of Tolerance]]),"")</f>
        <v/>
      </c>
      <c r="Q25" t="b">
        <f>IF(
  Main!O28 = "",
  FALSE,
  COUNTIF(Survey[TestPoint], Alerts[[#This Row],[TestPoint]]) = 0
)</f>
        <v>0</v>
      </c>
      <c r="R25" s="417" t="str" cm="1">
        <f t="array" ref="R25">_xlfn.XLOOKUP(1,
  (Survey[TestPoint]=Alerts[[#This Row],[TestPoint]])*Survey[High],
  Survey[Time],
  "")</f>
        <v/>
      </c>
      <c r="S25" s="417" t="str" cm="1">
        <f t="array" ref="S25">_xlfn.XLOOKUP(1,
  (Survey[TestPoint]=Alerts[[#This Row],[TestPoint]])*Survey[Low],
  Survey[Time],
  "")</f>
        <v/>
      </c>
      <c r="T25" s="417"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417" t="str">
        <f>IFERROR(IF(OR(Alerts[[#This Row],[High]],Alerts[[#This Row],[Low]]),Alerts[[#This Row],[High]]&amp;Alerts[[#This Row],[Low]],Alerts[[#This Row],[Out Of Tolerance]]),"")</f>
        <v/>
      </c>
      <c r="Q26" t="b">
        <f>IF(
  Main!O29 = "",
  FALSE,
  COUNTIF(Survey[TestPoint], Alerts[[#This Row],[TestPoint]]) = 0
)</f>
        <v>0</v>
      </c>
      <c r="R26" s="417" t="str" cm="1">
        <f t="array" ref="R26">_xlfn.XLOOKUP(1,
  (Survey[TestPoint]=Alerts[[#This Row],[TestPoint]])*Survey[High],
  Survey[Time],
  "")</f>
        <v/>
      </c>
      <c r="S26" s="417" t="str" cm="1">
        <f t="array" ref="S26">_xlfn.XLOOKUP(1,
  (Survey[TestPoint]=Alerts[[#This Row],[TestPoint]])*Survey[Low],
  Survey[Time],
  "")</f>
        <v/>
      </c>
      <c r="T26" s="417"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417" t="str">
        <f>IFERROR(IF(OR(Alerts[[#This Row],[High]],Alerts[[#This Row],[Low]]),Alerts[[#This Row],[High]]&amp;Alerts[[#This Row],[Low]],Alerts[[#This Row],[Out Of Tolerance]]),"")</f>
        <v/>
      </c>
      <c r="Q27" t="b">
        <f>IF(
  Main!O30 = "",
  FALSE,
  COUNTIF(Survey[TestPoint], Alerts[[#This Row],[TestPoint]]) = 0
)</f>
        <v>0</v>
      </c>
      <c r="R27" s="417" t="str" cm="1">
        <f t="array" ref="R27">_xlfn.XLOOKUP(1,
  (Survey[TestPoint]=Alerts[[#This Row],[TestPoint]])*Survey[High],
  Survey[Time],
  "")</f>
        <v/>
      </c>
      <c r="S27" s="417" t="str" cm="1">
        <f t="array" ref="S27">_xlfn.XLOOKUP(1,
  (Survey[TestPoint]=Alerts[[#This Row],[TestPoint]])*Survey[Low],
  Survey[Time],
  "")</f>
        <v/>
      </c>
      <c r="T27" s="417"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417" t="str">
        <f>IFERROR(IF(OR(Alerts[[#This Row],[High]],Alerts[[#This Row],[Low]]),Alerts[[#This Row],[High]]&amp;Alerts[[#This Row],[Low]],Alerts[[#This Row],[Out Of Tolerance]]),"")</f>
        <v/>
      </c>
      <c r="Q28" t="b">
        <f>IF(
  Main!O31 = "",
  FALSE,
  COUNTIF(Survey[TestPoint], Alerts[[#This Row],[TestPoint]]) = 0
)</f>
        <v>0</v>
      </c>
      <c r="R28" s="417" t="str" cm="1">
        <f t="array" ref="R28">_xlfn.XLOOKUP(1,
  (Survey[TestPoint]=Alerts[[#This Row],[TestPoint]])*Survey[High],
  Survey[Time],
  "")</f>
        <v/>
      </c>
      <c r="S28" s="417" t="str" cm="1">
        <f t="array" ref="S28">_xlfn.XLOOKUP(1,
  (Survey[TestPoint]=Alerts[[#This Row],[TestPoint]])*Survey[Low],
  Survey[Time],
  "")</f>
        <v/>
      </c>
      <c r="T28" s="417"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417" t="str">
        <f>IFERROR(IF(OR(Alerts[[#This Row],[High]],Alerts[[#This Row],[Low]]),Alerts[[#This Row],[High]]&amp;Alerts[[#This Row],[Low]],Alerts[[#This Row],[Out Of Tolerance]]),"")</f>
        <v/>
      </c>
      <c r="Q29" t="b">
        <f>IF(
  Main!O32 = "",
  FALSE,
  COUNTIF(Survey[TestPoint], Alerts[[#This Row],[TestPoint]]) = 0
)</f>
        <v>0</v>
      </c>
      <c r="R29" s="417" t="str" cm="1">
        <f t="array" ref="R29">_xlfn.XLOOKUP(1,
  (Survey[TestPoint]=Alerts[[#This Row],[TestPoint]])*Survey[High],
  Survey[Time],
  "")</f>
        <v/>
      </c>
      <c r="S29" s="417" t="str" cm="1">
        <f t="array" ref="S29">_xlfn.XLOOKUP(1,
  (Survey[TestPoint]=Alerts[[#This Row],[TestPoint]])*Survey[Low],
  Survey[Time],
  "")</f>
        <v/>
      </c>
      <c r="T29" s="417"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417" t="str">
        <f>IFERROR(IF(OR(Alerts[[#This Row],[High]],Alerts[[#This Row],[Low]]),Alerts[[#This Row],[High]]&amp;Alerts[[#This Row],[Low]],Alerts[[#This Row],[Out Of Tolerance]]),"")</f>
        <v/>
      </c>
      <c r="Q30" t="b">
        <f>IF(
  Main!O33 = "",
  FALSE,
  COUNTIF(Survey[TestPoint], Alerts[[#This Row],[TestPoint]]) = 0
)</f>
        <v>0</v>
      </c>
      <c r="R30" s="417" t="str" cm="1">
        <f t="array" ref="R30">_xlfn.XLOOKUP(1,
  (Survey[TestPoint]=Alerts[[#This Row],[TestPoint]])*Survey[High],
  Survey[Time],
  "")</f>
        <v/>
      </c>
      <c r="S30" s="417" t="str" cm="1">
        <f t="array" ref="S30">_xlfn.XLOOKUP(1,
  (Survey[TestPoint]=Alerts[[#This Row],[TestPoint]])*Survey[Low],
  Survey[Time],
  "")</f>
        <v/>
      </c>
      <c r="T30" s="417"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417" t="str">
        <f>IFERROR(IF(OR(Alerts[[#This Row],[High]],Alerts[[#This Row],[Low]]),Alerts[[#This Row],[High]]&amp;Alerts[[#This Row],[Low]],Alerts[[#This Row],[Out Of Tolerance]]),"")</f>
        <v/>
      </c>
      <c r="Q31" t="b">
        <f>IF(
  Main!O34 = "",
  FALSE,
  COUNTIF(Survey[TestPoint], Alerts[[#This Row],[TestPoint]]) = 0
)</f>
        <v>0</v>
      </c>
      <c r="R31" s="417" t="str" cm="1">
        <f t="array" ref="R31">_xlfn.XLOOKUP(1,
  (Survey[TestPoint]=Alerts[[#This Row],[TestPoint]])*Survey[High],
  Survey[Time],
  "")</f>
        <v/>
      </c>
      <c r="S31" s="417" t="str" cm="1">
        <f t="array" ref="S31">_xlfn.XLOOKUP(1,
  (Survey[TestPoint]=Alerts[[#This Row],[TestPoint]])*Survey[Low],
  Survey[Time],
  "")</f>
        <v/>
      </c>
      <c r="T31" s="417"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417" t="str">
        <f>IFERROR(IF(OR(Alerts[[#This Row],[High]],Alerts[[#This Row],[Low]]),Alerts[[#This Row],[High]]&amp;Alerts[[#This Row],[Low]],Alerts[[#This Row],[Out Of Tolerance]]),"")</f>
        <v/>
      </c>
      <c r="Q32" t="b">
        <f>IF(
  Main!O35 = "",
  FALSE,
  COUNTIF(Survey[TestPoint], Alerts[[#This Row],[TestPoint]]) = 0
)</f>
        <v>0</v>
      </c>
      <c r="R32" s="417" t="str" cm="1">
        <f t="array" ref="R32">_xlfn.XLOOKUP(1,
  (Survey[TestPoint]=Alerts[[#This Row],[TestPoint]])*Survey[High],
  Survey[Time],
  "")</f>
        <v/>
      </c>
      <c r="S32" s="417" t="str" cm="1">
        <f t="array" ref="S32">_xlfn.XLOOKUP(1,
  (Survey[TestPoint]=Alerts[[#This Row],[TestPoint]])*Survey[Low],
  Survey[Time],
  "")</f>
        <v/>
      </c>
      <c r="T32" s="417"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417" t="str">
        <f>IFERROR(IF(OR(Alerts[[#This Row],[High]],Alerts[[#This Row],[Low]]),Alerts[[#This Row],[High]]&amp;Alerts[[#This Row],[Low]],Alerts[[#This Row],[Out Of Tolerance]]),"")</f>
        <v/>
      </c>
      <c r="Q33" t="b">
        <f>IF(
  Main!O36 = "",
  FALSE,
  COUNTIF(Survey[TestPoint], Alerts[[#This Row],[TestPoint]]) = 0
)</f>
        <v>0</v>
      </c>
      <c r="R33" s="417" t="str" cm="1">
        <f t="array" ref="R33">_xlfn.XLOOKUP(1,
  (Survey[TestPoint]=Alerts[[#This Row],[TestPoint]])*Survey[High],
  Survey[Time],
  "")</f>
        <v/>
      </c>
      <c r="S33" s="417" t="str" cm="1">
        <f t="array" ref="S33">_xlfn.XLOOKUP(1,
  (Survey[TestPoint]=Alerts[[#This Row],[TestPoint]])*Survey[Low],
  Survey[Time],
  "")</f>
        <v/>
      </c>
      <c r="T33" s="417"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417" t="str">
        <f>IFERROR(IF(OR(Alerts[[#This Row],[High]],Alerts[[#This Row],[Low]]),Alerts[[#This Row],[High]]&amp;Alerts[[#This Row],[Low]],Alerts[[#This Row],[Out Of Tolerance]]),"")</f>
        <v/>
      </c>
      <c r="Q34" t="b">
        <f>IF(
  Main!O37 = "",
  FALSE,
  COUNTIF(Survey[TestPoint], Alerts[[#This Row],[TestPoint]]) = 0
)</f>
        <v>0</v>
      </c>
      <c r="R34" s="417" t="str" cm="1">
        <f t="array" ref="R34">_xlfn.XLOOKUP(1,
  (Survey[TestPoint]=Alerts[[#This Row],[TestPoint]])*Survey[High],
  Survey[Time],
  "")</f>
        <v/>
      </c>
      <c r="S34" s="417" t="str" cm="1">
        <f t="array" ref="S34">_xlfn.XLOOKUP(1,
  (Survey[TestPoint]=Alerts[[#This Row],[TestPoint]])*Survey[Low],
  Survey[Time],
  "")</f>
        <v/>
      </c>
      <c r="T34" s="417"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417" t="str">
        <f>IFERROR(IF(OR(Alerts[[#This Row],[High]],Alerts[[#This Row],[Low]]),Alerts[[#This Row],[High]]&amp;Alerts[[#This Row],[Low]],Alerts[[#This Row],[Out Of Tolerance]]),"")</f>
        <v/>
      </c>
      <c r="Q35" t="b">
        <f>IF(
  Main!O38 = "",
  FALSE,
  COUNTIF(Survey[TestPoint], Alerts[[#This Row],[TestPoint]]) = 0
)</f>
        <v>0</v>
      </c>
      <c r="R35" s="417" t="str" cm="1">
        <f t="array" ref="R35">_xlfn.XLOOKUP(1,
  (Survey[TestPoint]=Alerts[[#This Row],[TestPoint]])*Survey[High],
  Survey[Time],
  "")</f>
        <v/>
      </c>
      <c r="S35" s="417" t="str" cm="1">
        <f t="array" ref="S35">_xlfn.XLOOKUP(1,
  (Survey[TestPoint]=Alerts[[#This Row],[TestPoint]])*Survey[Low],
  Survey[Time],
  "")</f>
        <v/>
      </c>
      <c r="T35" s="417"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417" t="str">
        <f>IFERROR(IF(OR(Alerts[[#This Row],[High]],Alerts[[#This Row],[Low]]),Alerts[[#This Row],[High]]&amp;Alerts[[#This Row],[Low]],Alerts[[#This Row],[Out Of Tolerance]]),"")</f>
        <v/>
      </c>
      <c r="Q36" t="b">
        <f>IF(
  Main!O39 = "",
  FALSE,
  COUNTIF(Survey[TestPoint], Alerts[[#This Row],[TestPoint]]) = 0
)</f>
        <v>0</v>
      </c>
      <c r="R36" s="417" t="str" cm="1">
        <f t="array" ref="R36">_xlfn.XLOOKUP(1,
  (Survey[TestPoint]=Alerts[[#This Row],[TestPoint]])*Survey[High],
  Survey[Time],
  "")</f>
        <v/>
      </c>
      <c r="S36" s="417" t="str" cm="1">
        <f t="array" ref="S36">_xlfn.XLOOKUP(1,
  (Survey[TestPoint]=Alerts[[#This Row],[TestPoint]])*Survey[Low],
  Survey[Time],
  "")</f>
        <v/>
      </c>
      <c r="T36" s="417"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417" t="str">
        <f>IFERROR(IF(OR(Alerts[[#This Row],[High]],Alerts[[#This Row],[Low]]),Alerts[[#This Row],[High]]&amp;Alerts[[#This Row],[Low]],Alerts[[#This Row],[Out Of Tolerance]]),"")</f>
        <v/>
      </c>
      <c r="Q37" t="b">
        <f>IF(
  Main!O40 = "",
  FALSE,
  COUNTIF(Survey[TestPoint], Alerts[[#This Row],[TestPoint]]) = 0
)</f>
        <v>0</v>
      </c>
      <c r="R37" s="417" t="str" cm="1">
        <f t="array" ref="R37">_xlfn.XLOOKUP(1,
  (Survey[TestPoint]=Alerts[[#This Row],[TestPoint]])*Survey[High],
  Survey[Time],
  "")</f>
        <v/>
      </c>
      <c r="S37" s="417" t="str" cm="1">
        <f t="array" ref="S37">_xlfn.XLOOKUP(1,
  (Survey[TestPoint]=Alerts[[#This Row],[TestPoint]])*Survey[Low],
  Survey[Time],
  "")</f>
        <v/>
      </c>
      <c r="T37" s="417"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417" t="str">
        <f>IFERROR(IF(OR(Alerts[[#This Row],[High]],Alerts[[#This Row],[Low]]),Alerts[[#This Row],[High]]&amp;Alerts[[#This Row],[Low]],Alerts[[#This Row],[Out Of Tolerance]]),"")</f>
        <v/>
      </c>
      <c r="Q38" t="b">
        <f>IF(
  Main!O41 = "",
  FALSE,
  COUNTIF(Survey[TestPoint], Alerts[[#This Row],[TestPoint]]) = 0
)</f>
        <v>0</v>
      </c>
      <c r="R38" s="417" t="str" cm="1">
        <f t="array" ref="R38">_xlfn.XLOOKUP(1,
  (Survey[TestPoint]=Alerts[[#This Row],[TestPoint]])*Survey[High],
  Survey[Time],
  "")</f>
        <v/>
      </c>
      <c r="S38" s="417" t="str" cm="1">
        <f t="array" ref="S38">_xlfn.XLOOKUP(1,
  (Survey[TestPoint]=Alerts[[#This Row],[TestPoint]])*Survey[Low],
  Survey[Time],
  "")</f>
        <v/>
      </c>
      <c r="T38" s="417"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417" t="str">
        <f>IFERROR(IF(OR(Alerts[[#This Row],[High]],Alerts[[#This Row],[Low]]),Alerts[[#This Row],[High]]&amp;Alerts[[#This Row],[Low]],Alerts[[#This Row],[Out Of Tolerance]]),"")</f>
        <v/>
      </c>
      <c r="Q39" t="b">
        <f>IF(
  Main!O42 = "",
  FALSE,
  COUNTIF(Survey[TestPoint], Alerts[[#This Row],[TestPoint]]) = 0
)</f>
        <v>0</v>
      </c>
      <c r="R39" s="417" t="str" cm="1">
        <f t="array" ref="R39">_xlfn.XLOOKUP(1,
  (Survey[TestPoint]=Alerts[[#This Row],[TestPoint]])*Survey[High],
  Survey[Time],
  "")</f>
        <v/>
      </c>
      <c r="S39" s="417" t="str" cm="1">
        <f t="array" ref="S39">_xlfn.XLOOKUP(1,
  (Survey[TestPoint]=Alerts[[#This Row],[TestPoint]])*Survey[Low],
  Survey[Time],
  "")</f>
        <v/>
      </c>
      <c r="T39" s="417"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417" t="str">
        <f>IFERROR(IF(OR(Alerts[[#This Row],[High]],Alerts[[#This Row],[Low]]),Alerts[[#This Row],[High]]&amp;Alerts[[#This Row],[Low]],Alerts[[#This Row],[Out Of Tolerance]]),"")</f>
        <v/>
      </c>
      <c r="Q40" t="b">
        <f>IF(
  Main!O43 = "",
  FALSE,
  COUNTIF(Survey[TestPoint], Alerts[[#This Row],[TestPoint]]) = 0
)</f>
        <v>0</v>
      </c>
      <c r="R40" s="417" t="str" cm="1">
        <f t="array" ref="R40">_xlfn.XLOOKUP(1,
  (Survey[TestPoint]=Alerts[[#This Row],[TestPoint]])*Survey[High],
  Survey[Time],
  "")</f>
        <v/>
      </c>
      <c r="S40" s="417" t="str" cm="1">
        <f t="array" ref="S40">_xlfn.XLOOKUP(1,
  (Survey[TestPoint]=Alerts[[#This Row],[TestPoint]])*Survey[Low],
  Survey[Time],
  "")</f>
        <v/>
      </c>
      <c r="T40" s="417"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417" t="str">
        <f>IFERROR(IF(OR(Alerts[[#This Row],[High]],Alerts[[#This Row],[Low]]),Alerts[[#This Row],[High]]&amp;Alerts[[#This Row],[Low]],Alerts[[#This Row],[Out Of Tolerance]]),"")</f>
        <v/>
      </c>
      <c r="Q41" t="b">
        <f>IF(
  Main!O44 = "",
  FALSE,
  COUNTIF(Survey[TestPoint], Alerts[[#This Row],[TestPoint]]) = 0
)</f>
        <v>0</v>
      </c>
      <c r="R41" s="417" t="str" cm="1">
        <f t="array" ref="R41">_xlfn.XLOOKUP(1,
  (Survey[TestPoint]=Alerts[[#This Row],[TestPoint]])*Survey[High],
  Survey[Time],
  "")</f>
        <v/>
      </c>
      <c r="S41" s="417" t="str" cm="1">
        <f t="array" ref="S41">_xlfn.XLOOKUP(1,
  (Survey[TestPoint]=Alerts[[#This Row],[TestPoint]])*Survey[Low],
  Survey[Time],
  "")</f>
        <v/>
      </c>
      <c r="T41" s="417"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I7"/>
  <sheetViews>
    <sheetView workbookViewId="0">
      <selection activeCell="H11" sqref="H11:I12"/>
    </sheetView>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 min="8" max="8" width="17.7109375" bestFit="1" customWidth="1"/>
    <col min="9" max="9" width="10.85546875" bestFit="1" customWidth="1"/>
  </cols>
  <sheetData>
    <row r="1" spans="1:9" x14ac:dyDescent="0.2">
      <c r="A1"/>
      <c r="B1"/>
      <c r="C1"/>
      <c r="D1"/>
      <c r="E1"/>
      <c r="F1"/>
    </row>
    <row r="2" spans="1:9" x14ac:dyDescent="0.2">
      <c r="H2" t="s">
        <v>935</v>
      </c>
      <c r="I2" t="str" cm="1">
        <f t="array" ref="I2">TRANSPOSE(_xlfn._xlws.FILTER(CorrectionFactors[], (CorrectionFactors[point]&gt;=Main!V22) * (CorrectionFactors[point]&lt;=Main!V23), ""))</f>
        <v/>
      </c>
    </row>
    <row r="3" spans="1:9" x14ac:dyDescent="0.2">
      <c r="H3" t="s">
        <v>304</v>
      </c>
    </row>
    <row r="4" spans="1:9" x14ac:dyDescent="0.2">
      <c r="H4" t="s">
        <v>936</v>
      </c>
    </row>
    <row r="5" spans="1:9" x14ac:dyDescent="0.2">
      <c r="H5" t="s">
        <v>937</v>
      </c>
    </row>
    <row r="6" spans="1:9" x14ac:dyDescent="0.2">
      <c r="H6" t="s">
        <v>938</v>
      </c>
    </row>
    <row r="7" spans="1:9" x14ac:dyDescent="0.2">
      <c r="H7" t="s">
        <v>939</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1608"/>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16"/>
      <c r="I2"/>
    </row>
    <row r="3" spans="1:12" x14ac:dyDescent="0.2">
      <c r="A3"/>
      <c r="B3"/>
      <c r="C3"/>
      <c r="D3"/>
      <c r="E3"/>
      <c r="F3"/>
      <c r="G3"/>
      <c r="H3" s="106"/>
      <c r="I3"/>
    </row>
    <row r="4" spans="1:12" x14ac:dyDescent="0.2">
      <c r="A4"/>
      <c r="B4"/>
      <c r="C4"/>
      <c r="D4"/>
      <c r="E4"/>
      <c r="F4"/>
      <c r="G4"/>
      <c r="H4" s="106"/>
      <c r="I4"/>
    </row>
    <row r="5" spans="1:12" x14ac:dyDescent="0.2">
      <c r="A5"/>
      <c r="B5"/>
      <c r="C5"/>
      <c r="D5"/>
      <c r="E5"/>
      <c r="F5"/>
      <c r="G5"/>
      <c r="H5" s="106"/>
      <c r="I5"/>
    </row>
    <row r="6" spans="1:12" x14ac:dyDescent="0.2">
      <c r="A6"/>
      <c r="B6"/>
      <c r="C6"/>
      <c r="D6"/>
      <c r="E6"/>
      <c r="F6"/>
      <c r="G6"/>
      <c r="H6" s="106"/>
      <c r="I6"/>
    </row>
    <row r="7" spans="1:12" x14ac:dyDescent="0.2">
      <c r="A7"/>
      <c r="B7"/>
      <c r="C7"/>
      <c r="D7"/>
      <c r="E7"/>
      <c r="F7"/>
      <c r="G7"/>
      <c r="H7" s="106"/>
      <c r="I7"/>
      <c r="L7" s="37"/>
    </row>
    <row r="8" spans="1:12" x14ac:dyDescent="0.2">
      <c r="A8"/>
      <c r="B8"/>
      <c r="C8"/>
      <c r="D8"/>
      <c r="E8"/>
      <c r="F8"/>
      <c r="G8"/>
      <c r="H8" s="106"/>
      <c r="I8"/>
    </row>
    <row r="9" spans="1:12" x14ac:dyDescent="0.2">
      <c r="A9"/>
      <c r="B9"/>
      <c r="C9"/>
      <c r="D9"/>
      <c r="E9"/>
      <c r="F9"/>
      <c r="G9"/>
      <c r="H9" s="106"/>
      <c r="I9"/>
    </row>
    <row r="10" spans="1:12" x14ac:dyDescent="0.2">
      <c r="A10"/>
      <c r="B10"/>
      <c r="C10"/>
      <c r="D10"/>
      <c r="E10"/>
      <c r="F10"/>
      <c r="G10"/>
      <c r="H10" s="106"/>
      <c r="I10"/>
    </row>
    <row r="11" spans="1:12" x14ac:dyDescent="0.2">
      <c r="A11"/>
      <c r="B11"/>
      <c r="C11"/>
      <c r="D11"/>
      <c r="E11"/>
      <c r="F11"/>
      <c r="G11"/>
      <c r="H11" s="106"/>
      <c r="I11"/>
    </row>
    <row r="12" spans="1:12" x14ac:dyDescent="0.2">
      <c r="A12"/>
      <c r="B12"/>
      <c r="C12"/>
      <c r="D12"/>
      <c r="E12"/>
      <c r="F12"/>
      <c r="G12"/>
      <c r="H12" s="106"/>
      <c r="I12"/>
    </row>
    <row r="13" spans="1:12"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855</v>
      </c>
      <c r="B1" s="390" t="s">
        <v>856</v>
      </c>
    </row>
    <row r="2" spans="1:3" x14ac:dyDescent="0.2">
      <c r="A2" s="37"/>
      <c r="B2" s="37"/>
    </row>
    <row r="3" spans="1:3" x14ac:dyDescent="0.2">
      <c r="A3" s="37" t="s">
        <v>562</v>
      </c>
      <c r="B3" s="37" t="s">
        <v>563</v>
      </c>
      <c r="C3" s="37" t="s">
        <v>857</v>
      </c>
    </row>
    <row r="4" spans="1:3" x14ac:dyDescent="0.2">
      <c r="A4" s="389">
        <v>-100</v>
      </c>
      <c r="B4" s="389">
        <v>392</v>
      </c>
      <c r="C4" s="388">
        <v>1.6</v>
      </c>
    </row>
    <row r="5" spans="1:3" x14ac:dyDescent="0.2">
      <c r="A5" s="389">
        <v>392</v>
      </c>
      <c r="B5" s="389">
        <v>752</v>
      </c>
      <c r="C5" s="388">
        <v>4</v>
      </c>
    </row>
    <row r="6" spans="1:3" x14ac:dyDescent="0.2">
      <c r="A6" s="389">
        <v>752</v>
      </c>
      <c r="B6" s="389">
        <v>1200</v>
      </c>
      <c r="C6" s="388">
        <v>3</v>
      </c>
    </row>
    <row r="7" spans="1:3" x14ac:dyDescent="0.2">
      <c r="A7" s="389">
        <v>1200</v>
      </c>
      <c r="B7" s="389">
        <v>2000</v>
      </c>
      <c r="C7" s="388">
        <v>4.0999999999999996</v>
      </c>
    </row>
    <row r="8" spans="1:3" x14ac:dyDescent="0.2">
      <c r="A8" s="389">
        <v>1800</v>
      </c>
      <c r="B8" s="389">
        <v>2200</v>
      </c>
      <c r="C8" s="388">
        <v>4.0999999999999996</v>
      </c>
    </row>
  </sheetData>
  <sheetProtection algorithmName="SHA-512" hashValue="oUhDL94fDCAmGanZrVKQSUqup8h4HChDQqke/JjfAS8fPrtGZ8yEzfkkGaRVqpfGfVpASIBlvGvTuRkv5GZGvQ==" saltValue="pMt4lCdvAdyBNOpUoWpDvg=="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7"/>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cm="1">
        <f t="array" ref="AM2:BW2">_xlfn.XLOOKUP(AssetId,Header_Info[AssetId],Header_Info[],"")</f>
        <v>1276494</v>
      </c>
      <c r="AN2">
        <v>57283</v>
      </c>
      <c r="AO2" t="str">
        <v>W-CPI-3049 (Oven 10)</v>
      </c>
      <c r="AP2" t="str">
        <v>40100 Revision C 12-26-19</v>
      </c>
      <c r="AQ2" t="str">
        <v>AMS 2750H</v>
      </c>
      <c r="AR2" t="str">
        <v>SPECIFICATION</v>
      </c>
      <c r="AS2" t="str">
        <v>OVEN NO. 10</v>
      </c>
      <c r="AT2" t="str">
        <v>DESPATCH RS4HD</v>
      </c>
      <c r="AU2">
        <v>70773</v>
      </c>
      <c r="AV2" t="str">
        <v>W-CPI-3049</v>
      </c>
      <c r="AW2" t="str">
        <v>2D per AMS 2750H</v>
      </c>
      <c r="AX2" t="str">
        <v>GAS PROPORTIONAL</v>
      </c>
      <c r="AY2" t="str">
        <v>48" X 66" X 66"</v>
      </c>
      <c r="AZ2">
        <v>121</v>
      </c>
      <c r="BA2" t="str">
        <v>M</v>
      </c>
      <c r="BB2" t="str">
        <v/>
      </c>
      <c r="BC2" t="str">
        <v>Barber-Colman 7SD</v>
      </c>
      <c r="BD2">
        <v>5.25</v>
      </c>
      <c r="BE2" t="str">
        <v>±2.0°F</v>
      </c>
      <c r="BF2" t="str">
        <v/>
      </c>
      <c r="BG2" t="str">
        <v>Eurotherm Chessel 6100A</v>
      </c>
      <c r="BH2">
        <v>5256764</v>
      </c>
      <c r="BI2" t="str">
        <v>±2.0°F</v>
      </c>
      <c r="BJ2" t="str">
        <v/>
      </c>
      <c r="BK2" t="str">
        <v>On-Site</v>
      </c>
      <c r="BL2" t="str">
        <v>PRODUCTION - Tested on Site</v>
      </c>
      <c r="BM2" t="str">
        <v>Used</v>
      </c>
      <c r="BN2" t="str">
        <v>Unavailable</v>
      </c>
      <c r="BO2" t="str">
        <v/>
      </c>
      <c r="BP2" t="str">
        <v/>
      </c>
      <c r="BQ2" t="str">
        <v/>
      </c>
      <c r="BR2" t="str">
        <v/>
      </c>
      <c r="BS2" t="str">
        <v>y</v>
      </c>
      <c r="BT2" t="str">
        <v>Empty Rack</v>
      </c>
      <c r="BU2">
        <v>0</v>
      </c>
      <c r="BV2">
        <v>0</v>
      </c>
      <c r="BW2">
        <v>0</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P47"/>
      <c r="Q47"/>
      <c r="R47"/>
      <c r="S47"/>
      <c r="T47"/>
      <c r="U47"/>
      <c r="V47"/>
      <c r="W47"/>
      <c r="X47"/>
      <c r="Y47"/>
      <c r="Z47"/>
      <c r="AA47"/>
      <c r="AB47"/>
      <c r="AC47"/>
      <c r="AD47"/>
      <c r="AE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c r="AI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F59"/>
      <c r="AG59"/>
      <c r="AH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row>
    <row r="61" spans="1:36" x14ac:dyDescent="0.2">
      <c r="A61"/>
      <c r="B61"/>
      <c r="C61"/>
      <c r="D61"/>
      <c r="E61"/>
      <c r="F61"/>
      <c r="G61"/>
      <c r="H61"/>
      <c r="I61"/>
      <c r="J61"/>
      <c r="K61"/>
      <c r="L61"/>
      <c r="M61"/>
      <c r="N61"/>
      <c r="O61"/>
      <c r="P61"/>
      <c r="Q61"/>
      <c r="R61"/>
      <c r="S61"/>
      <c r="T61"/>
      <c r="U61"/>
      <c r="V61"/>
      <c r="W61"/>
      <c r="X61"/>
      <c r="Y61"/>
      <c r="Z61"/>
      <c r="AA61"/>
      <c r="AB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c r="AI75"/>
    </row>
    <row r="76" spans="1:35" x14ac:dyDescent="0.2">
      <c r="A76"/>
      <c r="B76"/>
      <c r="C76"/>
      <c r="D76"/>
      <c r="E76"/>
      <c r="F76"/>
      <c r="G76"/>
      <c r="H76"/>
      <c r="I76"/>
      <c r="J76"/>
      <c r="K76"/>
      <c r="L76"/>
      <c r="M76"/>
      <c r="N76"/>
      <c r="O76"/>
      <c r="P76"/>
      <c r="Q76"/>
      <c r="R76"/>
      <c r="S76"/>
      <c r="T76"/>
      <c r="U76"/>
      <c r="V76"/>
      <c r="W76"/>
      <c r="X76"/>
      <c r="Y76"/>
      <c r="Z76"/>
      <c r="AA76"/>
      <c r="AB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c r="AI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Y96"/>
      <c r="Z96"/>
      <c r="AA96"/>
      <c r="AB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X98"/>
      <c r="Y98"/>
      <c r="Z98"/>
      <c r="AA98"/>
      <c r="AB98"/>
      <c r="AC98"/>
      <c r="AD98"/>
      <c r="AE98"/>
      <c r="AF98"/>
      <c r="AG98"/>
      <c r="AH98"/>
      <c r="AI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c r="AJ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4"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4"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4"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4"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4"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4"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4"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4"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4"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4"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4"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4"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4"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4"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4"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4"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C181"/>
      <c r="AE181"/>
      <c r="AF181"/>
      <c r="AG181"/>
      <c r="AH181"/>
    </row>
    <row r="182" spans="1:35"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Y274"/>
      <c r="Z274"/>
      <c r="AA274"/>
      <c r="AB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J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Y303"/>
      <c r="Z303"/>
      <c r="AA303"/>
      <c r="AB303"/>
      <c r="AC303"/>
      <c r="AD303"/>
      <c r="AE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D304"/>
      <c r="AE304"/>
      <c r="AF304"/>
      <c r="AG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Y315"/>
      <c r="Z315"/>
      <c r="AA315"/>
      <c r="AB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J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P341"/>
      <c r="T341"/>
      <c r="X341"/>
      <c r="Y341"/>
      <c r="Z341"/>
      <c r="AA341"/>
      <c r="AB341"/>
      <c r="AC341"/>
      <c r="AD341"/>
      <c r="AE341"/>
      <c r="AF341"/>
      <c r="AG341"/>
      <c r="AH341"/>
    </row>
    <row r="342" spans="1:36" x14ac:dyDescent="0.2">
      <c r="A342"/>
      <c r="B342"/>
      <c r="C342"/>
      <c r="D342"/>
      <c r="E342"/>
      <c r="F342"/>
      <c r="G342"/>
      <c r="H342"/>
      <c r="I342"/>
      <c r="J342"/>
      <c r="K342"/>
      <c r="L342"/>
      <c r="M342"/>
      <c r="N342"/>
      <c r="O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P348"/>
      <c r="T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J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A2CA6-1378-4860-81B8-1B2A5E9BDD80}">
  <sheetPr codeName="Sheet22"/>
  <dimension ref="A1:G405"/>
  <sheetViews>
    <sheetView workbookViewId="0"/>
  </sheetViews>
  <sheetFormatPr defaultRowHeight="12.75" x14ac:dyDescent="0.2"/>
  <cols>
    <col min="1" max="1" width="9.7109375" bestFit="1" customWidth="1"/>
    <col min="2" max="2" width="27.28515625" bestFit="1" customWidth="1"/>
    <col min="3" max="3" width="15.7109375" bestFit="1" customWidth="1"/>
  </cols>
  <sheetData>
    <row r="1" spans="1:7" x14ac:dyDescent="0.2">
      <c r="A1"/>
      <c r="B1"/>
      <c r="C1"/>
      <c r="E1" t="s">
        <v>396</v>
      </c>
      <c r="F1" t="s">
        <v>957</v>
      </c>
      <c r="G1" t="s">
        <v>958</v>
      </c>
    </row>
    <row r="2" spans="1:7" x14ac:dyDescent="0.2">
      <c r="A2" s="657"/>
      <c r="B2" s="657"/>
      <c r="C2" s="657"/>
      <c r="E2" cm="1">
        <f t="array" ref="E2:G2">_xlfn.XLOOKUP(AssetId,AggregatedUUTRangeTol[AssetId],AggregatedUUTRangeTol[])</f>
        <v>1276494</v>
      </c>
      <c r="F2" t="str">
        <v>100°F/600°F</v>
      </c>
      <c r="G2" t="str">
        <v>±10.0°F</v>
      </c>
    </row>
    <row r="3" spans="1:7" x14ac:dyDescent="0.2">
      <c r="A3" s="657"/>
      <c r="B3" s="657"/>
      <c r="C3" s="657"/>
    </row>
    <row r="4" spans="1:7" x14ac:dyDescent="0.2">
      <c r="A4" s="657"/>
      <c r="B4" s="657"/>
      <c r="C4" s="657"/>
    </row>
    <row r="5" spans="1:7" x14ac:dyDescent="0.2">
      <c r="A5" s="657"/>
      <c r="B5" s="657"/>
      <c r="C5" s="657"/>
    </row>
    <row r="6" spans="1:7" x14ac:dyDescent="0.2">
      <c r="A6" s="657"/>
      <c r="B6" s="657"/>
      <c r="C6" s="657"/>
    </row>
    <row r="7" spans="1:7" x14ac:dyDescent="0.2">
      <c r="A7" s="657"/>
      <c r="B7" s="657"/>
      <c r="C7" s="657"/>
    </row>
    <row r="8" spans="1:7" x14ac:dyDescent="0.2">
      <c r="A8" s="657"/>
      <c r="B8" s="657"/>
      <c r="C8" s="657"/>
    </row>
    <row r="9" spans="1:7" x14ac:dyDescent="0.2">
      <c r="A9" s="657"/>
      <c r="B9" s="657"/>
      <c r="C9" s="657"/>
    </row>
    <row r="10" spans="1:7" x14ac:dyDescent="0.2">
      <c r="A10" s="657"/>
      <c r="B10" s="657"/>
      <c r="C10" s="657"/>
    </row>
    <row r="11" spans="1:7" x14ac:dyDescent="0.2">
      <c r="A11" s="657"/>
      <c r="B11" s="657"/>
      <c r="C11" s="657"/>
    </row>
    <row r="12" spans="1:7" x14ac:dyDescent="0.2">
      <c r="A12" s="657"/>
      <c r="B12" s="657"/>
      <c r="C12" s="657"/>
    </row>
    <row r="13" spans="1:7" x14ac:dyDescent="0.2">
      <c r="A13" s="657"/>
      <c r="B13" s="657"/>
      <c r="C13" s="657"/>
    </row>
    <row r="14" spans="1:7" x14ac:dyDescent="0.2">
      <c r="A14" s="657"/>
      <c r="B14" s="657"/>
      <c r="C14" s="657"/>
    </row>
    <row r="15" spans="1:7" x14ac:dyDescent="0.2">
      <c r="A15" s="657"/>
      <c r="B15" s="657"/>
      <c r="C15" s="657"/>
    </row>
    <row r="16" spans="1:7" x14ac:dyDescent="0.2">
      <c r="A16" s="657"/>
      <c r="B16" s="657"/>
      <c r="C16" s="657"/>
    </row>
    <row r="17" spans="1:3" x14ac:dyDescent="0.2">
      <c r="A17" s="657"/>
      <c r="B17" s="657"/>
      <c r="C17" s="657"/>
    </row>
    <row r="18" spans="1:3" x14ac:dyDescent="0.2">
      <c r="A18" s="657"/>
      <c r="B18" s="657"/>
      <c r="C18" s="657"/>
    </row>
    <row r="19" spans="1:3" x14ac:dyDescent="0.2">
      <c r="A19" s="657"/>
      <c r="B19" s="657"/>
      <c r="C19" s="657"/>
    </row>
    <row r="20" spans="1:3" x14ac:dyDescent="0.2">
      <c r="A20" s="657"/>
      <c r="B20" s="657"/>
      <c r="C20" s="657"/>
    </row>
    <row r="21" spans="1:3" x14ac:dyDescent="0.2">
      <c r="A21" s="657"/>
      <c r="B21" s="657"/>
      <c r="C21" s="657"/>
    </row>
    <row r="22" spans="1:3" x14ac:dyDescent="0.2">
      <c r="A22" s="657"/>
      <c r="B22" s="657"/>
      <c r="C22" s="657"/>
    </row>
    <row r="23" spans="1:3" x14ac:dyDescent="0.2">
      <c r="A23" s="657"/>
      <c r="B23" s="657"/>
      <c r="C23" s="657"/>
    </row>
    <row r="24" spans="1:3" x14ac:dyDescent="0.2">
      <c r="A24" s="657"/>
      <c r="B24" s="657"/>
      <c r="C24" s="657"/>
    </row>
    <row r="25" spans="1:3" x14ac:dyDescent="0.2">
      <c r="A25" s="657"/>
      <c r="B25" s="657"/>
      <c r="C25" s="657"/>
    </row>
    <row r="26" spans="1:3" x14ac:dyDescent="0.2">
      <c r="A26" s="657"/>
      <c r="B26" s="657"/>
      <c r="C26" s="657"/>
    </row>
    <row r="27" spans="1:3" x14ac:dyDescent="0.2">
      <c r="A27" s="657"/>
      <c r="B27" s="657"/>
      <c r="C27" s="657"/>
    </row>
    <row r="28" spans="1:3" x14ac:dyDescent="0.2">
      <c r="A28" s="657"/>
      <c r="B28" s="657"/>
      <c r="C28" s="657"/>
    </row>
    <row r="29" spans="1:3" x14ac:dyDescent="0.2">
      <c r="A29" s="657"/>
      <c r="B29" s="657"/>
      <c r="C29" s="657"/>
    </row>
    <row r="30" spans="1:3" x14ac:dyDescent="0.2">
      <c r="A30" s="657"/>
      <c r="B30" s="657"/>
      <c r="C30" s="657"/>
    </row>
    <row r="31" spans="1:3" x14ac:dyDescent="0.2">
      <c r="A31" s="657"/>
      <c r="B31" s="657"/>
      <c r="C31" s="657"/>
    </row>
    <row r="32" spans="1:3" x14ac:dyDescent="0.2">
      <c r="A32" s="657"/>
      <c r="B32" s="657"/>
      <c r="C32" s="657"/>
    </row>
    <row r="33" spans="1:3" x14ac:dyDescent="0.2">
      <c r="A33" s="657"/>
      <c r="B33" s="657"/>
      <c r="C33" s="657"/>
    </row>
    <row r="34" spans="1:3" x14ac:dyDescent="0.2">
      <c r="A34" s="657"/>
      <c r="B34" s="657"/>
      <c r="C34" s="657"/>
    </row>
    <row r="35" spans="1:3" x14ac:dyDescent="0.2">
      <c r="A35" s="657"/>
      <c r="B35" s="657"/>
      <c r="C35" s="657"/>
    </row>
    <row r="36" spans="1:3" x14ac:dyDescent="0.2">
      <c r="A36" s="657"/>
      <c r="B36" s="657"/>
      <c r="C36" s="657"/>
    </row>
    <row r="37" spans="1:3" x14ac:dyDescent="0.2">
      <c r="A37" s="657"/>
      <c r="B37" s="657"/>
      <c r="C37" s="657"/>
    </row>
    <row r="38" spans="1:3" x14ac:dyDescent="0.2">
      <c r="A38" s="657"/>
      <c r="B38" s="657"/>
      <c r="C38" s="657"/>
    </row>
    <row r="39" spans="1:3" x14ac:dyDescent="0.2">
      <c r="A39" s="657"/>
      <c r="B39" s="657"/>
      <c r="C39" s="657"/>
    </row>
    <row r="40" spans="1:3" x14ac:dyDescent="0.2">
      <c r="A40" s="657"/>
      <c r="B40" s="657"/>
      <c r="C40" s="657"/>
    </row>
    <row r="41" spans="1:3" x14ac:dyDescent="0.2">
      <c r="A41" s="657"/>
      <c r="B41" s="657"/>
      <c r="C41" s="657"/>
    </row>
    <row r="42" spans="1:3" x14ac:dyDescent="0.2">
      <c r="A42" s="657"/>
      <c r="B42" s="657"/>
      <c r="C42" s="657"/>
    </row>
    <row r="43" spans="1:3" x14ac:dyDescent="0.2">
      <c r="A43" s="657"/>
      <c r="B43" s="657"/>
      <c r="C43" s="657"/>
    </row>
    <row r="44" spans="1:3" x14ac:dyDescent="0.2">
      <c r="A44" s="657"/>
      <c r="B44" s="657"/>
      <c r="C44" s="657"/>
    </row>
    <row r="45" spans="1:3" x14ac:dyDescent="0.2">
      <c r="A45" s="657"/>
      <c r="B45" s="657"/>
      <c r="C45" s="657"/>
    </row>
    <row r="46" spans="1:3" x14ac:dyDescent="0.2">
      <c r="A46" s="657"/>
      <c r="B46" s="657"/>
      <c r="C46" s="657"/>
    </row>
    <row r="47" spans="1:3" x14ac:dyDescent="0.2">
      <c r="A47" s="657"/>
      <c r="B47" s="657"/>
      <c r="C47" s="657"/>
    </row>
    <row r="48" spans="1:3" x14ac:dyDescent="0.2">
      <c r="A48" s="657"/>
      <c r="B48" s="657"/>
      <c r="C48" s="657"/>
    </row>
    <row r="49" spans="1:3" x14ac:dyDescent="0.2">
      <c r="A49" s="657"/>
      <c r="B49" s="657"/>
      <c r="C49" s="657"/>
    </row>
    <row r="50" spans="1:3" x14ac:dyDescent="0.2">
      <c r="A50" s="657"/>
      <c r="B50" s="657"/>
      <c r="C50" s="657"/>
    </row>
    <row r="51" spans="1:3" x14ac:dyDescent="0.2">
      <c r="A51" s="657"/>
      <c r="B51" s="657"/>
      <c r="C51" s="657"/>
    </row>
    <row r="52" spans="1:3" x14ac:dyDescent="0.2">
      <c r="A52" s="657"/>
      <c r="B52" s="657"/>
      <c r="C52" s="657"/>
    </row>
    <row r="53" spans="1:3" x14ac:dyDescent="0.2">
      <c r="A53" s="657"/>
      <c r="B53" s="657"/>
      <c r="C53" s="657"/>
    </row>
    <row r="54" spans="1:3" x14ac:dyDescent="0.2">
      <c r="A54" s="657"/>
      <c r="B54" s="657"/>
      <c r="C54" s="657"/>
    </row>
    <row r="55" spans="1:3" x14ac:dyDescent="0.2">
      <c r="A55" s="657"/>
      <c r="B55" s="657"/>
      <c r="C55" s="657"/>
    </row>
    <row r="56" spans="1:3" x14ac:dyDescent="0.2">
      <c r="A56" s="657"/>
      <c r="B56" s="657"/>
      <c r="C56" s="657"/>
    </row>
    <row r="57" spans="1:3" x14ac:dyDescent="0.2">
      <c r="A57" s="657"/>
      <c r="B57" s="657"/>
      <c r="C57" s="657"/>
    </row>
    <row r="58" spans="1:3" x14ac:dyDescent="0.2">
      <c r="A58" s="657"/>
      <c r="B58" s="657"/>
      <c r="C58" s="657"/>
    </row>
    <row r="59" spans="1:3" x14ac:dyDescent="0.2">
      <c r="A59" s="657"/>
      <c r="B59" s="657"/>
      <c r="C59" s="657"/>
    </row>
    <row r="60" spans="1:3" x14ac:dyDescent="0.2">
      <c r="A60" s="657"/>
      <c r="B60" s="657"/>
      <c r="C60" s="657"/>
    </row>
    <row r="61" spans="1:3" x14ac:dyDescent="0.2">
      <c r="A61" s="657"/>
      <c r="B61" s="657"/>
      <c r="C61" s="657"/>
    </row>
    <row r="62" spans="1:3" x14ac:dyDescent="0.2">
      <c r="A62" s="657"/>
      <c r="B62" s="657"/>
      <c r="C62" s="657"/>
    </row>
    <row r="63" spans="1:3" x14ac:dyDescent="0.2">
      <c r="A63" s="657"/>
      <c r="B63" s="657"/>
      <c r="C63" s="657"/>
    </row>
    <row r="64" spans="1:3" x14ac:dyDescent="0.2">
      <c r="A64" s="657"/>
      <c r="B64" s="657"/>
      <c r="C64" s="657"/>
    </row>
    <row r="65" spans="1:3" x14ac:dyDescent="0.2">
      <c r="A65" s="657"/>
      <c r="B65" s="657"/>
      <c r="C65" s="657"/>
    </row>
    <row r="66" spans="1:3" x14ac:dyDescent="0.2">
      <c r="A66" s="657"/>
      <c r="B66" s="657"/>
      <c r="C66" s="657"/>
    </row>
    <row r="67" spans="1:3" x14ac:dyDescent="0.2">
      <c r="A67" s="657"/>
      <c r="B67" s="657"/>
      <c r="C67" s="657"/>
    </row>
    <row r="68" spans="1:3" x14ac:dyDescent="0.2">
      <c r="A68" s="657"/>
      <c r="B68" s="657"/>
      <c r="C68" s="657"/>
    </row>
    <row r="69" spans="1:3" x14ac:dyDescent="0.2">
      <c r="A69" s="657"/>
      <c r="B69" s="657"/>
      <c r="C69" s="657"/>
    </row>
    <row r="70" spans="1:3" x14ac:dyDescent="0.2">
      <c r="A70" s="657"/>
      <c r="B70" s="657"/>
      <c r="C70" s="657"/>
    </row>
    <row r="71" spans="1:3" x14ac:dyDescent="0.2">
      <c r="A71" s="657"/>
      <c r="B71" s="657"/>
      <c r="C71" s="657"/>
    </row>
    <row r="72" spans="1:3" x14ac:dyDescent="0.2">
      <c r="A72" s="657"/>
      <c r="B72" s="657"/>
      <c r="C72" s="657"/>
    </row>
    <row r="73" spans="1:3" x14ac:dyDescent="0.2">
      <c r="A73" s="657"/>
      <c r="B73" s="657"/>
      <c r="C73" s="657"/>
    </row>
    <row r="74" spans="1:3" x14ac:dyDescent="0.2">
      <c r="A74" s="657"/>
      <c r="B74" s="657"/>
      <c r="C74" s="657"/>
    </row>
    <row r="75" spans="1:3" x14ac:dyDescent="0.2">
      <c r="A75" s="657"/>
      <c r="B75" s="657"/>
      <c r="C75" s="657"/>
    </row>
    <row r="76" spans="1:3" x14ac:dyDescent="0.2">
      <c r="A76" s="657"/>
      <c r="B76" s="657"/>
      <c r="C76" s="657"/>
    </row>
    <row r="77" spans="1:3" x14ac:dyDescent="0.2">
      <c r="A77" s="657"/>
      <c r="B77" s="657"/>
      <c r="C77" s="657"/>
    </row>
    <row r="78" spans="1:3" x14ac:dyDescent="0.2">
      <c r="A78" s="657"/>
      <c r="B78" s="657"/>
      <c r="C78" s="657"/>
    </row>
    <row r="79" spans="1:3" x14ac:dyDescent="0.2">
      <c r="A79" s="657"/>
      <c r="B79" s="657"/>
      <c r="C79" s="657"/>
    </row>
    <row r="80" spans="1:3" x14ac:dyDescent="0.2">
      <c r="A80" s="657"/>
      <c r="B80" s="657"/>
      <c r="C80" s="657"/>
    </row>
    <row r="81" spans="1:3" x14ac:dyDescent="0.2">
      <c r="A81" s="657"/>
      <c r="B81" s="657"/>
      <c r="C81" s="657"/>
    </row>
    <row r="82" spans="1:3" x14ac:dyDescent="0.2">
      <c r="A82" s="657"/>
      <c r="B82" s="657"/>
      <c r="C82" s="657"/>
    </row>
    <row r="83" spans="1:3" x14ac:dyDescent="0.2">
      <c r="A83" s="657"/>
      <c r="B83" s="657"/>
      <c r="C83" s="657"/>
    </row>
    <row r="84" spans="1:3" x14ac:dyDescent="0.2">
      <c r="A84" s="657"/>
      <c r="B84" s="657"/>
      <c r="C84" s="657"/>
    </row>
    <row r="85" spans="1:3" x14ac:dyDescent="0.2">
      <c r="A85" s="657"/>
      <c r="B85" s="657"/>
      <c r="C85" s="657"/>
    </row>
    <row r="86" spans="1:3" x14ac:dyDescent="0.2">
      <c r="A86" s="657"/>
      <c r="B86" s="657"/>
      <c r="C86" s="657"/>
    </row>
    <row r="87" spans="1:3" x14ac:dyDescent="0.2">
      <c r="A87" s="657"/>
      <c r="B87" s="657"/>
      <c r="C87" s="657"/>
    </row>
    <row r="88" spans="1:3" x14ac:dyDescent="0.2">
      <c r="A88" s="657"/>
      <c r="B88" s="657"/>
      <c r="C88" s="657"/>
    </row>
    <row r="89" spans="1:3" x14ac:dyDescent="0.2">
      <c r="A89" s="657"/>
      <c r="B89" s="657"/>
      <c r="C89" s="657"/>
    </row>
    <row r="90" spans="1:3" x14ac:dyDescent="0.2">
      <c r="A90" s="657"/>
      <c r="B90" s="657"/>
      <c r="C90" s="657"/>
    </row>
    <row r="91" spans="1:3" x14ac:dyDescent="0.2">
      <c r="A91" s="657"/>
      <c r="B91" s="657"/>
      <c r="C91" s="657"/>
    </row>
    <row r="92" spans="1:3" x14ac:dyDescent="0.2">
      <c r="A92" s="657"/>
      <c r="B92" s="657"/>
      <c r="C92" s="657"/>
    </row>
    <row r="93" spans="1:3" x14ac:dyDescent="0.2">
      <c r="A93" s="657"/>
      <c r="B93" s="657"/>
      <c r="C93" s="657"/>
    </row>
    <row r="94" spans="1:3" x14ac:dyDescent="0.2">
      <c r="A94" s="657"/>
      <c r="B94" s="657"/>
      <c r="C94" s="657"/>
    </row>
    <row r="95" spans="1:3" x14ac:dyDescent="0.2">
      <c r="A95" s="657"/>
      <c r="B95" s="657"/>
      <c r="C95" s="657"/>
    </row>
    <row r="96" spans="1:3" x14ac:dyDescent="0.2">
      <c r="A96" s="657"/>
      <c r="B96" s="657"/>
      <c r="C96" s="657"/>
    </row>
    <row r="97" spans="1:3" x14ac:dyDescent="0.2">
      <c r="A97" s="657"/>
      <c r="B97" s="657"/>
      <c r="C97" s="657"/>
    </row>
    <row r="98" spans="1:3" x14ac:dyDescent="0.2">
      <c r="A98" s="657"/>
      <c r="B98" s="657"/>
      <c r="C98" s="657"/>
    </row>
    <row r="99" spans="1:3" x14ac:dyDescent="0.2">
      <c r="A99" s="657"/>
      <c r="B99" s="657"/>
      <c r="C99" s="657"/>
    </row>
    <row r="100" spans="1:3" x14ac:dyDescent="0.2">
      <c r="A100" s="657"/>
      <c r="B100" s="657"/>
      <c r="C100" s="657"/>
    </row>
    <row r="101" spans="1:3" x14ac:dyDescent="0.2">
      <c r="A101" s="657"/>
      <c r="B101" s="657"/>
      <c r="C101" s="657"/>
    </row>
    <row r="102" spans="1:3" x14ac:dyDescent="0.2">
      <c r="A102" s="657"/>
      <c r="B102" s="657"/>
      <c r="C102" s="657"/>
    </row>
    <row r="103" spans="1:3" x14ac:dyDescent="0.2">
      <c r="A103" s="657"/>
      <c r="B103" s="657"/>
      <c r="C103" s="657"/>
    </row>
    <row r="104" spans="1:3" x14ac:dyDescent="0.2">
      <c r="A104" s="657"/>
      <c r="B104" s="657"/>
      <c r="C104" s="657"/>
    </row>
    <row r="105" spans="1:3" x14ac:dyDescent="0.2">
      <c r="A105" s="657"/>
      <c r="B105" s="657"/>
      <c r="C105" s="657"/>
    </row>
    <row r="106" spans="1:3" x14ac:dyDescent="0.2">
      <c r="A106" s="657"/>
      <c r="B106" s="657"/>
      <c r="C106" s="657"/>
    </row>
    <row r="107" spans="1:3" x14ac:dyDescent="0.2">
      <c r="A107" s="657"/>
      <c r="B107" s="657"/>
      <c r="C107" s="657"/>
    </row>
    <row r="108" spans="1:3" x14ac:dyDescent="0.2">
      <c r="A108" s="657"/>
      <c r="B108" s="657"/>
      <c r="C108" s="657"/>
    </row>
    <row r="109" spans="1:3" x14ac:dyDescent="0.2">
      <c r="A109" s="657"/>
      <c r="B109" s="657"/>
      <c r="C109" s="657"/>
    </row>
    <row r="110" spans="1:3" x14ac:dyDescent="0.2">
      <c r="A110" s="657"/>
      <c r="B110" s="657"/>
      <c r="C110" s="657"/>
    </row>
    <row r="111" spans="1:3" x14ac:dyDescent="0.2">
      <c r="A111" s="657"/>
      <c r="B111" s="657"/>
      <c r="C111" s="657"/>
    </row>
    <row r="112" spans="1:3" x14ac:dyDescent="0.2">
      <c r="A112" s="657"/>
      <c r="B112" s="657"/>
      <c r="C112" s="657"/>
    </row>
    <row r="113" spans="1:3" x14ac:dyDescent="0.2">
      <c r="A113" s="657"/>
      <c r="B113" s="657"/>
      <c r="C113" s="657"/>
    </row>
    <row r="114" spans="1:3" x14ac:dyDescent="0.2">
      <c r="A114" s="657"/>
      <c r="B114" s="657"/>
      <c r="C114" s="657"/>
    </row>
    <row r="115" spans="1:3" x14ac:dyDescent="0.2">
      <c r="A115" s="657"/>
      <c r="B115" s="657"/>
      <c r="C115" s="657"/>
    </row>
    <row r="116" spans="1:3" x14ac:dyDescent="0.2">
      <c r="A116" s="657"/>
      <c r="B116" s="657"/>
      <c r="C116" s="657"/>
    </row>
    <row r="117" spans="1:3" x14ac:dyDescent="0.2">
      <c r="A117" s="657"/>
      <c r="B117" s="657"/>
      <c r="C117" s="657"/>
    </row>
    <row r="118" spans="1:3" x14ac:dyDescent="0.2">
      <c r="A118" s="657"/>
      <c r="B118" s="657"/>
      <c r="C118" s="657"/>
    </row>
    <row r="119" spans="1:3" x14ac:dyDescent="0.2">
      <c r="A119" s="657"/>
      <c r="B119" s="657"/>
      <c r="C119" s="657"/>
    </row>
    <row r="120" spans="1:3" x14ac:dyDescent="0.2">
      <c r="A120" s="657"/>
      <c r="B120" s="657"/>
      <c r="C120" s="657"/>
    </row>
    <row r="121" spans="1:3" x14ac:dyDescent="0.2">
      <c r="A121" s="657"/>
      <c r="B121" s="657"/>
      <c r="C121" s="657"/>
    </row>
    <row r="122" spans="1:3" x14ac:dyDescent="0.2">
      <c r="A122" s="657"/>
      <c r="B122" s="657"/>
      <c r="C122" s="657"/>
    </row>
    <row r="123" spans="1:3" x14ac:dyDescent="0.2">
      <c r="A123" s="657"/>
      <c r="B123" s="657"/>
      <c r="C123" s="657"/>
    </row>
    <row r="124" spans="1:3" x14ac:dyDescent="0.2">
      <c r="A124" s="657"/>
      <c r="B124" s="657"/>
      <c r="C124" s="657"/>
    </row>
    <row r="125" spans="1:3" x14ac:dyDescent="0.2">
      <c r="A125" s="657"/>
      <c r="B125" s="657"/>
      <c r="C125" s="657"/>
    </row>
    <row r="126" spans="1:3" x14ac:dyDescent="0.2">
      <c r="A126" s="657"/>
      <c r="B126" s="657"/>
      <c r="C126" s="657"/>
    </row>
    <row r="127" spans="1:3" x14ac:dyDescent="0.2">
      <c r="A127" s="657"/>
      <c r="B127" s="657"/>
      <c r="C127" s="657"/>
    </row>
    <row r="128" spans="1:3" x14ac:dyDescent="0.2">
      <c r="A128" s="657"/>
      <c r="B128" s="657"/>
      <c r="C128" s="657"/>
    </row>
    <row r="129" spans="1:3" x14ac:dyDescent="0.2">
      <c r="A129" s="657"/>
      <c r="B129" s="657"/>
      <c r="C129" s="657"/>
    </row>
    <row r="130" spans="1:3" x14ac:dyDescent="0.2">
      <c r="A130" s="657"/>
      <c r="B130" s="657"/>
      <c r="C130" s="657"/>
    </row>
    <row r="131" spans="1:3" x14ac:dyDescent="0.2">
      <c r="A131" s="657"/>
      <c r="B131" s="657"/>
      <c r="C131" s="657"/>
    </row>
    <row r="132" spans="1:3" x14ac:dyDescent="0.2">
      <c r="A132" s="657"/>
      <c r="B132" s="657"/>
      <c r="C132" s="657"/>
    </row>
    <row r="133" spans="1:3" x14ac:dyDescent="0.2">
      <c r="A133" s="657"/>
      <c r="B133" s="657"/>
      <c r="C133" s="657"/>
    </row>
    <row r="134" spans="1:3" x14ac:dyDescent="0.2">
      <c r="A134" s="657"/>
      <c r="B134" s="657"/>
      <c r="C134" s="657"/>
    </row>
    <row r="135" spans="1:3" x14ac:dyDescent="0.2">
      <c r="A135" s="657"/>
      <c r="B135" s="657"/>
      <c r="C135" s="657"/>
    </row>
    <row r="136" spans="1:3" x14ac:dyDescent="0.2">
      <c r="A136" s="657"/>
      <c r="B136" s="657"/>
      <c r="C136" s="657"/>
    </row>
    <row r="137" spans="1:3" x14ac:dyDescent="0.2">
      <c r="A137" s="657"/>
      <c r="B137" s="657"/>
      <c r="C137" s="657"/>
    </row>
    <row r="138" spans="1:3" x14ac:dyDescent="0.2">
      <c r="A138" s="657"/>
      <c r="B138" s="657"/>
      <c r="C138" s="657"/>
    </row>
    <row r="139" spans="1:3" x14ac:dyDescent="0.2">
      <c r="A139" s="657"/>
      <c r="B139" s="657"/>
      <c r="C139" s="657"/>
    </row>
    <row r="140" spans="1:3" x14ac:dyDescent="0.2">
      <c r="A140" s="657"/>
      <c r="B140" s="657"/>
      <c r="C140" s="657"/>
    </row>
    <row r="141" spans="1:3" x14ac:dyDescent="0.2">
      <c r="A141" s="657"/>
      <c r="B141" s="657"/>
      <c r="C141" s="657"/>
    </row>
    <row r="142" spans="1:3" x14ac:dyDescent="0.2">
      <c r="A142" s="657"/>
      <c r="B142" s="657"/>
      <c r="C142" s="657"/>
    </row>
    <row r="143" spans="1:3" x14ac:dyDescent="0.2">
      <c r="A143" s="657"/>
      <c r="B143" s="657"/>
      <c r="C143" s="657"/>
    </row>
    <row r="144" spans="1:3" x14ac:dyDescent="0.2">
      <c r="A144" s="657"/>
      <c r="B144" s="657"/>
      <c r="C144" s="657"/>
    </row>
    <row r="145" spans="1:3" x14ac:dyDescent="0.2">
      <c r="A145" s="657"/>
      <c r="B145" s="657"/>
      <c r="C145" s="657"/>
    </row>
    <row r="146" spans="1:3" x14ac:dyDescent="0.2">
      <c r="A146" s="657"/>
      <c r="B146" s="657"/>
      <c r="C146" s="657"/>
    </row>
    <row r="147" spans="1:3" x14ac:dyDescent="0.2">
      <c r="A147" s="657"/>
      <c r="B147" s="657"/>
      <c r="C147" s="657"/>
    </row>
    <row r="148" spans="1:3" x14ac:dyDescent="0.2">
      <c r="A148" s="657"/>
      <c r="B148" s="657"/>
      <c r="C148" s="657"/>
    </row>
    <row r="149" spans="1:3" x14ac:dyDescent="0.2">
      <c r="A149" s="657"/>
      <c r="B149" s="657"/>
      <c r="C149" s="657"/>
    </row>
    <row r="150" spans="1:3" x14ac:dyDescent="0.2">
      <c r="A150" s="657"/>
      <c r="B150" s="657"/>
      <c r="C150" s="657"/>
    </row>
    <row r="151" spans="1:3" x14ac:dyDescent="0.2">
      <c r="A151" s="657"/>
      <c r="B151" s="657"/>
      <c r="C151" s="657"/>
    </row>
    <row r="152" spans="1:3" x14ac:dyDescent="0.2">
      <c r="A152" s="657"/>
      <c r="B152" s="657"/>
      <c r="C152" s="657"/>
    </row>
    <row r="153" spans="1:3" x14ac:dyDescent="0.2">
      <c r="A153" s="657"/>
      <c r="B153" s="657"/>
      <c r="C153" s="657"/>
    </row>
    <row r="154" spans="1:3" x14ac:dyDescent="0.2">
      <c r="A154" s="657"/>
      <c r="B154" s="657"/>
      <c r="C154" s="657"/>
    </row>
    <row r="155" spans="1:3" x14ac:dyDescent="0.2">
      <c r="A155" s="657"/>
      <c r="B155" s="657"/>
      <c r="C155" s="657"/>
    </row>
    <row r="156" spans="1:3" x14ac:dyDescent="0.2">
      <c r="A156" s="657"/>
      <c r="B156" s="657"/>
      <c r="C156" s="657"/>
    </row>
    <row r="157" spans="1:3" x14ac:dyDescent="0.2">
      <c r="A157" s="657"/>
      <c r="B157" s="657"/>
      <c r="C157" s="657"/>
    </row>
    <row r="158" spans="1:3" x14ac:dyDescent="0.2">
      <c r="A158" s="657"/>
      <c r="B158" s="657"/>
      <c r="C158" s="657"/>
    </row>
    <row r="159" spans="1:3" x14ac:dyDescent="0.2">
      <c r="A159" s="657"/>
      <c r="B159" s="657"/>
      <c r="C159" s="657"/>
    </row>
    <row r="160" spans="1:3" x14ac:dyDescent="0.2">
      <c r="A160" s="657"/>
      <c r="B160" s="657"/>
      <c r="C160" s="657"/>
    </row>
    <row r="161" spans="1:3" x14ac:dyDescent="0.2">
      <c r="A161" s="657"/>
      <c r="B161" s="657"/>
      <c r="C161" s="657"/>
    </row>
    <row r="162" spans="1:3" x14ac:dyDescent="0.2">
      <c r="A162" s="657"/>
      <c r="B162" s="657"/>
      <c r="C162" s="657"/>
    </row>
    <row r="163" spans="1:3" x14ac:dyDescent="0.2">
      <c r="A163" s="657"/>
      <c r="B163" s="657"/>
      <c r="C163" s="657"/>
    </row>
    <row r="164" spans="1:3" x14ac:dyDescent="0.2">
      <c r="A164" s="657"/>
      <c r="B164" s="657"/>
      <c r="C164" s="657"/>
    </row>
    <row r="165" spans="1:3" x14ac:dyDescent="0.2">
      <c r="A165" s="657"/>
      <c r="B165" s="657"/>
      <c r="C165" s="657"/>
    </row>
    <row r="166" spans="1:3" x14ac:dyDescent="0.2">
      <c r="A166" s="657"/>
      <c r="B166" s="657"/>
      <c r="C166" s="657"/>
    </row>
    <row r="167" spans="1:3" x14ac:dyDescent="0.2">
      <c r="A167" s="657"/>
      <c r="B167" s="657"/>
      <c r="C167" s="657"/>
    </row>
    <row r="168" spans="1:3" x14ac:dyDescent="0.2">
      <c r="A168" s="657"/>
      <c r="B168" s="657"/>
      <c r="C168" s="657"/>
    </row>
    <row r="169" spans="1:3" x14ac:dyDescent="0.2">
      <c r="A169" s="657"/>
      <c r="B169" s="657"/>
      <c r="C169" s="657"/>
    </row>
    <row r="170" spans="1:3" x14ac:dyDescent="0.2">
      <c r="A170" s="657"/>
      <c r="B170" s="657"/>
      <c r="C170" s="657"/>
    </row>
    <row r="171" spans="1:3" x14ac:dyDescent="0.2">
      <c r="A171" s="657"/>
      <c r="B171" s="657"/>
      <c r="C171" s="657"/>
    </row>
    <row r="172" spans="1:3" x14ac:dyDescent="0.2">
      <c r="A172" s="657"/>
      <c r="B172" s="657"/>
      <c r="C172" s="657"/>
    </row>
    <row r="173" spans="1:3" x14ac:dyDescent="0.2">
      <c r="A173" s="657"/>
      <c r="B173" s="657"/>
      <c r="C173" s="657"/>
    </row>
    <row r="174" spans="1:3" x14ac:dyDescent="0.2">
      <c r="A174" s="657"/>
      <c r="B174" s="657"/>
      <c r="C174" s="657"/>
    </row>
    <row r="175" spans="1:3" x14ac:dyDescent="0.2">
      <c r="A175" s="657"/>
      <c r="B175" s="657"/>
      <c r="C175" s="657"/>
    </row>
    <row r="176" spans="1:3" x14ac:dyDescent="0.2">
      <c r="A176" s="657"/>
      <c r="B176" s="657"/>
      <c r="C176" s="657"/>
    </row>
    <row r="177" spans="1:3" x14ac:dyDescent="0.2">
      <c r="A177" s="657"/>
      <c r="B177" s="657"/>
      <c r="C177" s="657"/>
    </row>
    <row r="178" spans="1:3" x14ac:dyDescent="0.2">
      <c r="A178" s="657"/>
      <c r="B178" s="657"/>
      <c r="C178" s="657"/>
    </row>
    <row r="179" spans="1:3" x14ac:dyDescent="0.2">
      <c r="A179" s="657"/>
      <c r="B179" s="657"/>
      <c r="C179" s="657"/>
    </row>
    <row r="180" spans="1:3" x14ac:dyDescent="0.2">
      <c r="A180" s="657"/>
      <c r="B180" s="657"/>
      <c r="C180" s="657"/>
    </row>
    <row r="181" spans="1:3" x14ac:dyDescent="0.2">
      <c r="A181" s="657"/>
      <c r="B181" s="657"/>
      <c r="C181" s="657"/>
    </row>
    <row r="182" spans="1:3" x14ac:dyDescent="0.2">
      <c r="A182" s="657"/>
      <c r="B182" s="657"/>
      <c r="C182" s="657"/>
    </row>
    <row r="183" spans="1:3" x14ac:dyDescent="0.2">
      <c r="A183" s="657"/>
      <c r="B183" s="657"/>
      <c r="C183" s="657"/>
    </row>
    <row r="184" spans="1:3" x14ac:dyDescent="0.2">
      <c r="A184" s="657"/>
      <c r="B184" s="657"/>
      <c r="C184" s="657"/>
    </row>
    <row r="185" spans="1:3" x14ac:dyDescent="0.2">
      <c r="A185" s="657"/>
      <c r="B185" s="657"/>
      <c r="C185" s="657"/>
    </row>
    <row r="186" spans="1:3" x14ac:dyDescent="0.2">
      <c r="A186" s="657"/>
      <c r="B186" s="657"/>
      <c r="C186" s="657"/>
    </row>
    <row r="187" spans="1:3" x14ac:dyDescent="0.2">
      <c r="A187" s="657"/>
      <c r="B187" s="657"/>
      <c r="C187" s="657"/>
    </row>
    <row r="188" spans="1:3" x14ac:dyDescent="0.2">
      <c r="A188" s="657"/>
      <c r="B188" s="657"/>
      <c r="C188" s="657"/>
    </row>
    <row r="189" spans="1:3" x14ac:dyDescent="0.2">
      <c r="A189" s="657"/>
      <c r="B189" s="657"/>
      <c r="C189" s="657"/>
    </row>
    <row r="190" spans="1:3" x14ac:dyDescent="0.2">
      <c r="A190" s="657"/>
      <c r="B190" s="657"/>
      <c r="C190" s="657"/>
    </row>
    <row r="191" spans="1:3" x14ac:dyDescent="0.2">
      <c r="A191" s="657"/>
      <c r="B191" s="657"/>
      <c r="C191" s="657"/>
    </row>
    <row r="192" spans="1:3" x14ac:dyDescent="0.2">
      <c r="A192" s="657"/>
      <c r="B192" s="657"/>
      <c r="C192" s="657"/>
    </row>
    <row r="193" spans="1:3" x14ac:dyDescent="0.2">
      <c r="A193" s="657"/>
      <c r="B193" s="657"/>
      <c r="C193" s="657"/>
    </row>
    <row r="194" spans="1:3" x14ac:dyDescent="0.2">
      <c r="A194" s="657"/>
      <c r="B194" s="657"/>
      <c r="C194" s="657"/>
    </row>
    <row r="195" spans="1:3" x14ac:dyDescent="0.2">
      <c r="A195" s="657"/>
      <c r="B195" s="657"/>
      <c r="C195" s="657"/>
    </row>
    <row r="196" spans="1:3" x14ac:dyDescent="0.2">
      <c r="A196" s="657"/>
      <c r="B196" s="657"/>
      <c r="C196" s="657"/>
    </row>
    <row r="197" spans="1:3" x14ac:dyDescent="0.2">
      <c r="A197" s="657"/>
      <c r="B197" s="657"/>
      <c r="C197" s="657"/>
    </row>
    <row r="198" spans="1:3" x14ac:dyDescent="0.2">
      <c r="A198" s="657"/>
      <c r="B198" s="657"/>
      <c r="C198" s="657"/>
    </row>
    <row r="199" spans="1:3" x14ac:dyDescent="0.2">
      <c r="A199" s="657"/>
      <c r="B199" s="657"/>
      <c r="C199" s="657"/>
    </row>
    <row r="200" spans="1:3" x14ac:dyDescent="0.2">
      <c r="A200" s="657"/>
      <c r="B200" s="657"/>
      <c r="C200" s="657"/>
    </row>
    <row r="201" spans="1:3" x14ac:dyDescent="0.2">
      <c r="A201" s="657"/>
      <c r="B201" s="657"/>
      <c r="C201" s="657"/>
    </row>
    <row r="202" spans="1:3" x14ac:dyDescent="0.2">
      <c r="A202" s="657"/>
      <c r="B202" s="657"/>
      <c r="C202" s="657"/>
    </row>
    <row r="203" spans="1:3" x14ac:dyDescent="0.2">
      <c r="A203" s="657"/>
      <c r="B203" s="657"/>
      <c r="C203" s="657"/>
    </row>
    <row r="204" spans="1:3" x14ac:dyDescent="0.2">
      <c r="A204" s="657"/>
      <c r="B204" s="657"/>
      <c r="C204" s="657"/>
    </row>
    <row r="205" spans="1:3" x14ac:dyDescent="0.2">
      <c r="A205" s="657"/>
      <c r="B205" s="657"/>
      <c r="C205" s="657"/>
    </row>
    <row r="206" spans="1:3" x14ac:dyDescent="0.2">
      <c r="A206" s="657"/>
      <c r="B206" s="657"/>
      <c r="C206" s="657"/>
    </row>
    <row r="207" spans="1:3" x14ac:dyDescent="0.2">
      <c r="A207" s="657"/>
      <c r="B207" s="657"/>
      <c r="C207" s="657"/>
    </row>
    <row r="208" spans="1:3" x14ac:dyDescent="0.2">
      <c r="A208" s="657"/>
      <c r="B208" s="657"/>
      <c r="C208" s="657"/>
    </row>
    <row r="209" spans="1:3" x14ac:dyDescent="0.2">
      <c r="A209" s="657"/>
      <c r="B209" s="657"/>
      <c r="C209" s="657"/>
    </row>
    <row r="210" spans="1:3" x14ac:dyDescent="0.2">
      <c r="A210" s="657"/>
      <c r="B210" s="657"/>
      <c r="C210" s="657"/>
    </row>
    <row r="211" spans="1:3" x14ac:dyDescent="0.2">
      <c r="A211" s="657"/>
      <c r="B211" s="657"/>
      <c r="C211" s="657"/>
    </row>
    <row r="212" spans="1:3" x14ac:dyDescent="0.2">
      <c r="A212" s="657"/>
      <c r="B212" s="657"/>
      <c r="C212" s="657"/>
    </row>
    <row r="213" spans="1:3" x14ac:dyDescent="0.2">
      <c r="A213" s="657"/>
      <c r="B213" s="657"/>
      <c r="C213" s="657"/>
    </row>
    <row r="214" spans="1:3" x14ac:dyDescent="0.2">
      <c r="A214" s="657"/>
      <c r="B214" s="657"/>
      <c r="C214" s="657"/>
    </row>
    <row r="215" spans="1:3" x14ac:dyDescent="0.2">
      <c r="A215" s="657"/>
      <c r="B215" s="657"/>
      <c r="C215" s="657"/>
    </row>
    <row r="216" spans="1:3" x14ac:dyDescent="0.2">
      <c r="A216" s="657"/>
      <c r="B216" s="657"/>
      <c r="C216" s="657"/>
    </row>
    <row r="217" spans="1:3" x14ac:dyDescent="0.2">
      <c r="A217" s="657"/>
      <c r="B217" s="657"/>
      <c r="C217" s="657"/>
    </row>
    <row r="218" spans="1:3" x14ac:dyDescent="0.2">
      <c r="A218" s="657"/>
      <c r="B218" s="657"/>
      <c r="C218" s="657"/>
    </row>
    <row r="219" spans="1:3" x14ac:dyDescent="0.2">
      <c r="A219" s="657"/>
      <c r="B219" s="657"/>
      <c r="C219" s="657"/>
    </row>
    <row r="220" spans="1:3" x14ac:dyDescent="0.2">
      <c r="A220" s="657"/>
      <c r="B220" s="657"/>
      <c r="C220" s="657"/>
    </row>
    <row r="221" spans="1:3" x14ac:dyDescent="0.2">
      <c r="A221" s="657"/>
      <c r="B221" s="657"/>
      <c r="C221" s="657"/>
    </row>
    <row r="222" spans="1:3" x14ac:dyDescent="0.2">
      <c r="A222" s="657"/>
      <c r="B222" s="657"/>
      <c r="C222" s="657"/>
    </row>
    <row r="223" spans="1:3" x14ac:dyDescent="0.2">
      <c r="A223" s="657"/>
      <c r="B223" s="657"/>
      <c r="C223" s="657"/>
    </row>
    <row r="224" spans="1:3" x14ac:dyDescent="0.2">
      <c r="A224" s="657"/>
      <c r="B224" s="657"/>
      <c r="C224" s="657"/>
    </row>
    <row r="225" spans="1:3" x14ac:dyDescent="0.2">
      <c r="A225" s="657"/>
      <c r="B225" s="657"/>
      <c r="C225" s="657"/>
    </row>
    <row r="226" spans="1:3" x14ac:dyDescent="0.2">
      <c r="A226" s="657"/>
      <c r="B226" s="657"/>
      <c r="C226" s="657"/>
    </row>
    <row r="227" spans="1:3" x14ac:dyDescent="0.2">
      <c r="A227" s="657"/>
      <c r="B227" s="657"/>
      <c r="C227" s="657"/>
    </row>
    <row r="228" spans="1:3" x14ac:dyDescent="0.2">
      <c r="A228" s="657"/>
      <c r="B228" s="657"/>
      <c r="C228" s="657"/>
    </row>
    <row r="229" spans="1:3" x14ac:dyDescent="0.2">
      <c r="A229" s="657"/>
      <c r="B229" s="657"/>
      <c r="C229" s="657"/>
    </row>
    <row r="230" spans="1:3" x14ac:dyDescent="0.2">
      <c r="A230" s="657"/>
      <c r="B230" s="657"/>
      <c r="C230" s="657"/>
    </row>
    <row r="231" spans="1:3" x14ac:dyDescent="0.2">
      <c r="A231" s="657"/>
      <c r="B231" s="657"/>
      <c r="C231" s="657"/>
    </row>
    <row r="232" spans="1:3" x14ac:dyDescent="0.2">
      <c r="A232" s="657"/>
      <c r="B232" s="657"/>
      <c r="C232" s="657"/>
    </row>
    <row r="233" spans="1:3" x14ac:dyDescent="0.2">
      <c r="A233" s="657"/>
      <c r="B233" s="657"/>
      <c r="C233" s="657"/>
    </row>
    <row r="234" spans="1:3" x14ac:dyDescent="0.2">
      <c r="A234" s="657"/>
      <c r="B234" s="657"/>
      <c r="C234" s="657"/>
    </row>
    <row r="235" spans="1:3" x14ac:dyDescent="0.2">
      <c r="A235" s="657"/>
      <c r="B235" s="657"/>
      <c r="C235" s="657"/>
    </row>
    <row r="236" spans="1:3" x14ac:dyDescent="0.2">
      <c r="A236" s="657"/>
      <c r="B236" s="657"/>
      <c r="C236" s="657"/>
    </row>
    <row r="237" spans="1:3" x14ac:dyDescent="0.2">
      <c r="A237" s="657"/>
      <c r="B237" s="657"/>
      <c r="C237" s="657"/>
    </row>
    <row r="238" spans="1:3" x14ac:dyDescent="0.2">
      <c r="A238" s="657"/>
      <c r="B238" s="657"/>
      <c r="C238" s="657"/>
    </row>
    <row r="239" spans="1:3" x14ac:dyDescent="0.2">
      <c r="A239" s="657"/>
      <c r="B239" s="657"/>
      <c r="C239" s="657"/>
    </row>
    <row r="240" spans="1:3" x14ac:dyDescent="0.2">
      <c r="A240" s="657"/>
      <c r="B240" s="657"/>
      <c r="C240" s="657"/>
    </row>
    <row r="241" spans="1:3" x14ac:dyDescent="0.2">
      <c r="A241" s="657"/>
      <c r="B241" s="657"/>
      <c r="C241" s="657"/>
    </row>
    <row r="242" spans="1:3" x14ac:dyDescent="0.2">
      <c r="A242" s="657"/>
      <c r="B242" s="657"/>
      <c r="C242" s="657"/>
    </row>
    <row r="243" spans="1:3" x14ac:dyDescent="0.2">
      <c r="A243" s="657"/>
      <c r="B243" s="657"/>
      <c r="C243" s="657"/>
    </row>
    <row r="244" spans="1:3" x14ac:dyDescent="0.2">
      <c r="A244" s="657"/>
      <c r="B244" s="657"/>
      <c r="C244" s="657"/>
    </row>
    <row r="245" spans="1:3" x14ac:dyDescent="0.2">
      <c r="A245" s="657"/>
      <c r="B245" s="657"/>
      <c r="C245" s="657"/>
    </row>
    <row r="246" spans="1:3" x14ac:dyDescent="0.2">
      <c r="A246" s="657"/>
      <c r="B246" s="657"/>
      <c r="C246" s="657"/>
    </row>
    <row r="247" spans="1:3" x14ac:dyDescent="0.2">
      <c r="A247" s="657"/>
      <c r="B247" s="657"/>
      <c r="C247" s="657"/>
    </row>
    <row r="248" spans="1:3" x14ac:dyDescent="0.2">
      <c r="A248" s="657"/>
      <c r="B248" s="657"/>
      <c r="C248" s="657"/>
    </row>
    <row r="249" spans="1:3" x14ac:dyDescent="0.2">
      <c r="A249" s="657"/>
      <c r="B249" s="657"/>
      <c r="C249" s="657"/>
    </row>
    <row r="250" spans="1:3" x14ac:dyDescent="0.2">
      <c r="A250" s="657"/>
      <c r="B250" s="657"/>
      <c r="C250" s="657"/>
    </row>
    <row r="251" spans="1:3" x14ac:dyDescent="0.2">
      <c r="A251" s="657"/>
      <c r="B251" s="657"/>
      <c r="C251" s="657"/>
    </row>
    <row r="252" spans="1:3" x14ac:dyDescent="0.2">
      <c r="A252" s="657"/>
      <c r="B252" s="657"/>
      <c r="C252" s="657"/>
    </row>
    <row r="253" spans="1:3" x14ac:dyDescent="0.2">
      <c r="A253" s="657"/>
      <c r="B253" s="657"/>
      <c r="C253" s="657"/>
    </row>
    <row r="254" spans="1:3" x14ac:dyDescent="0.2">
      <c r="A254" s="657"/>
      <c r="B254" s="657"/>
      <c r="C254" s="657"/>
    </row>
    <row r="255" spans="1:3" x14ac:dyDescent="0.2">
      <c r="A255" s="657"/>
      <c r="B255" s="657"/>
      <c r="C255" s="657"/>
    </row>
    <row r="256" spans="1:3" x14ac:dyDescent="0.2">
      <c r="A256" s="657"/>
      <c r="B256" s="657"/>
      <c r="C256" s="657"/>
    </row>
    <row r="257" spans="1:3" x14ac:dyDescent="0.2">
      <c r="A257" s="657"/>
      <c r="B257" s="657"/>
      <c r="C257" s="657"/>
    </row>
    <row r="258" spans="1:3" x14ac:dyDescent="0.2">
      <c r="A258" s="657"/>
      <c r="B258" s="657"/>
      <c r="C258" s="657"/>
    </row>
    <row r="259" spans="1:3" x14ac:dyDescent="0.2">
      <c r="A259" s="657"/>
      <c r="B259" s="657"/>
      <c r="C259" s="657"/>
    </row>
    <row r="260" spans="1:3" x14ac:dyDescent="0.2">
      <c r="A260" s="657"/>
      <c r="B260" s="657"/>
      <c r="C260" s="657"/>
    </row>
    <row r="261" spans="1:3" x14ac:dyDescent="0.2">
      <c r="A261" s="657"/>
      <c r="B261" s="657"/>
      <c r="C261" s="657"/>
    </row>
    <row r="262" spans="1:3" x14ac:dyDescent="0.2">
      <c r="A262" s="657"/>
      <c r="B262" s="657"/>
      <c r="C262" s="657"/>
    </row>
    <row r="263" spans="1:3" x14ac:dyDescent="0.2">
      <c r="A263" s="657"/>
      <c r="B263" s="657"/>
      <c r="C263" s="657"/>
    </row>
    <row r="264" spans="1:3" x14ac:dyDescent="0.2">
      <c r="A264" s="657"/>
      <c r="B264" s="657"/>
      <c r="C264" s="657"/>
    </row>
    <row r="265" spans="1:3" x14ac:dyDescent="0.2">
      <c r="A265" s="657"/>
      <c r="B265" s="657"/>
      <c r="C265" s="657"/>
    </row>
    <row r="266" spans="1:3" x14ac:dyDescent="0.2">
      <c r="A266" s="657"/>
      <c r="B266" s="657"/>
      <c r="C266" s="657"/>
    </row>
    <row r="267" spans="1:3" x14ac:dyDescent="0.2">
      <c r="A267" s="657"/>
      <c r="B267" s="657"/>
      <c r="C267" s="657"/>
    </row>
    <row r="268" spans="1:3" x14ac:dyDescent="0.2">
      <c r="A268" s="657"/>
      <c r="B268" s="657"/>
      <c r="C268" s="657"/>
    </row>
    <row r="269" spans="1:3" x14ac:dyDescent="0.2">
      <c r="A269" s="657"/>
      <c r="B269" s="657"/>
      <c r="C269" s="657"/>
    </row>
    <row r="270" spans="1:3" x14ac:dyDescent="0.2">
      <c r="A270" s="657"/>
      <c r="B270" s="657"/>
      <c r="C270" s="657"/>
    </row>
    <row r="271" spans="1:3" x14ac:dyDescent="0.2">
      <c r="A271" s="657"/>
      <c r="B271" s="657"/>
      <c r="C271" s="657"/>
    </row>
    <row r="272" spans="1:3" x14ac:dyDescent="0.2">
      <c r="A272" s="657"/>
      <c r="B272" s="657"/>
      <c r="C272" s="657"/>
    </row>
    <row r="273" spans="1:3" x14ac:dyDescent="0.2">
      <c r="A273" s="657"/>
      <c r="B273" s="657"/>
      <c r="C273" s="657"/>
    </row>
    <row r="274" spans="1:3" x14ac:dyDescent="0.2">
      <c r="A274" s="657"/>
      <c r="B274" s="657"/>
      <c r="C274" s="657"/>
    </row>
    <row r="275" spans="1:3" x14ac:dyDescent="0.2">
      <c r="A275" s="657"/>
      <c r="B275" s="657"/>
      <c r="C275" s="657"/>
    </row>
    <row r="276" spans="1:3" x14ac:dyDescent="0.2">
      <c r="A276" s="657"/>
      <c r="B276" s="657"/>
      <c r="C276" s="657"/>
    </row>
    <row r="277" spans="1:3" x14ac:dyDescent="0.2">
      <c r="A277" s="657"/>
      <c r="B277" s="657"/>
      <c r="C277" s="657"/>
    </row>
    <row r="278" spans="1:3" x14ac:dyDescent="0.2">
      <c r="A278" s="657"/>
      <c r="B278" s="657"/>
      <c r="C278" s="657"/>
    </row>
    <row r="279" spans="1:3" x14ac:dyDescent="0.2">
      <c r="A279" s="657"/>
      <c r="B279" s="657"/>
      <c r="C279" s="657"/>
    </row>
    <row r="280" spans="1:3" x14ac:dyDescent="0.2">
      <c r="A280" s="657"/>
      <c r="B280" s="657"/>
      <c r="C280" s="657"/>
    </row>
    <row r="281" spans="1:3" x14ac:dyDescent="0.2">
      <c r="A281" s="657"/>
      <c r="B281" s="657"/>
      <c r="C281" s="657"/>
    </row>
    <row r="282" spans="1:3" x14ac:dyDescent="0.2">
      <c r="A282" s="657"/>
      <c r="B282" s="657"/>
      <c r="C282" s="657"/>
    </row>
    <row r="283" spans="1:3" x14ac:dyDescent="0.2">
      <c r="A283" s="657"/>
      <c r="B283" s="657"/>
      <c r="C283" s="657"/>
    </row>
    <row r="284" spans="1:3" x14ac:dyDescent="0.2">
      <c r="A284" s="657"/>
      <c r="B284" s="657"/>
      <c r="C284" s="657"/>
    </row>
    <row r="285" spans="1:3" x14ac:dyDescent="0.2">
      <c r="A285" s="657"/>
      <c r="B285" s="657"/>
      <c r="C285" s="657"/>
    </row>
    <row r="286" spans="1:3" x14ac:dyDescent="0.2">
      <c r="A286" s="657"/>
      <c r="B286" s="657"/>
      <c r="C286" s="657"/>
    </row>
    <row r="287" spans="1:3" x14ac:dyDescent="0.2">
      <c r="A287" s="657"/>
      <c r="B287" s="657"/>
      <c r="C287" s="657"/>
    </row>
    <row r="288" spans="1:3" x14ac:dyDescent="0.2">
      <c r="A288" s="657"/>
      <c r="B288" s="657"/>
      <c r="C288" s="657"/>
    </row>
    <row r="289" spans="1:3" x14ac:dyDescent="0.2">
      <c r="A289" s="657"/>
      <c r="B289" s="657"/>
      <c r="C289" s="657"/>
    </row>
    <row r="290" spans="1:3" x14ac:dyDescent="0.2">
      <c r="A290" s="657"/>
      <c r="B290" s="657"/>
      <c r="C290" s="657"/>
    </row>
    <row r="291" spans="1:3" x14ac:dyDescent="0.2">
      <c r="A291" s="657"/>
      <c r="B291" s="657"/>
      <c r="C291" s="657"/>
    </row>
    <row r="292" spans="1:3" x14ac:dyDescent="0.2">
      <c r="A292" s="657"/>
      <c r="B292" s="657"/>
      <c r="C292" s="657"/>
    </row>
    <row r="293" spans="1:3" x14ac:dyDescent="0.2">
      <c r="A293" s="657"/>
      <c r="B293" s="657"/>
      <c r="C293" s="657"/>
    </row>
    <row r="294" spans="1:3" x14ac:dyDescent="0.2">
      <c r="A294" s="657"/>
      <c r="B294" s="657"/>
      <c r="C294" s="657"/>
    </row>
    <row r="295" spans="1:3" x14ac:dyDescent="0.2">
      <c r="A295" s="657"/>
      <c r="B295" s="657"/>
      <c r="C295" s="657"/>
    </row>
    <row r="296" spans="1:3" x14ac:dyDescent="0.2">
      <c r="A296" s="657"/>
      <c r="B296" s="657"/>
      <c r="C296" s="657"/>
    </row>
    <row r="297" spans="1:3" x14ac:dyDescent="0.2">
      <c r="A297" s="657"/>
      <c r="B297" s="657"/>
      <c r="C297" s="657"/>
    </row>
    <row r="298" spans="1:3" x14ac:dyDescent="0.2">
      <c r="A298" s="657"/>
      <c r="B298" s="657"/>
      <c r="C298" s="657"/>
    </row>
    <row r="299" spans="1:3" x14ac:dyDescent="0.2">
      <c r="A299" s="657"/>
      <c r="B299" s="657"/>
      <c r="C299" s="657"/>
    </row>
    <row r="300" spans="1:3" x14ac:dyDescent="0.2">
      <c r="A300" s="657"/>
      <c r="B300" s="657"/>
      <c r="C300" s="657"/>
    </row>
    <row r="301" spans="1:3" x14ac:dyDescent="0.2">
      <c r="A301" s="657"/>
      <c r="B301" s="657"/>
      <c r="C301" s="657"/>
    </row>
    <row r="302" spans="1:3" x14ac:dyDescent="0.2">
      <c r="A302" s="657"/>
      <c r="B302" s="657"/>
      <c r="C302" s="657"/>
    </row>
    <row r="303" spans="1:3" x14ac:dyDescent="0.2">
      <c r="A303" s="657"/>
      <c r="B303" s="657"/>
      <c r="C303" s="657"/>
    </row>
    <row r="304" spans="1:3" x14ac:dyDescent="0.2">
      <c r="A304" s="657"/>
      <c r="B304" s="657"/>
      <c r="C304" s="657"/>
    </row>
    <row r="305" spans="1:3" x14ac:dyDescent="0.2">
      <c r="A305" s="657"/>
      <c r="B305" s="657"/>
      <c r="C305" s="657"/>
    </row>
    <row r="306" spans="1:3" x14ac:dyDescent="0.2">
      <c r="A306" s="657"/>
      <c r="B306" s="657"/>
      <c r="C306" s="657"/>
    </row>
    <row r="307" spans="1:3" x14ac:dyDescent="0.2">
      <c r="A307" s="657"/>
      <c r="B307" s="657"/>
      <c r="C307" s="657"/>
    </row>
    <row r="308" spans="1:3" x14ac:dyDescent="0.2">
      <c r="A308" s="657"/>
      <c r="B308" s="657"/>
      <c r="C308" s="657"/>
    </row>
    <row r="309" spans="1:3" x14ac:dyDescent="0.2">
      <c r="A309" s="657"/>
      <c r="B309" s="657"/>
      <c r="C309" s="657"/>
    </row>
    <row r="310" spans="1:3" x14ac:dyDescent="0.2">
      <c r="A310" s="657"/>
      <c r="B310" s="657"/>
      <c r="C310" s="657"/>
    </row>
    <row r="311" spans="1:3" x14ac:dyDescent="0.2">
      <c r="A311" s="657"/>
      <c r="B311" s="657"/>
      <c r="C311" s="657"/>
    </row>
    <row r="312" spans="1:3" x14ac:dyDescent="0.2">
      <c r="A312" s="657"/>
      <c r="B312" s="657"/>
      <c r="C312" s="657"/>
    </row>
    <row r="313" spans="1:3" x14ac:dyDescent="0.2">
      <c r="A313" s="657"/>
      <c r="B313" s="657"/>
      <c r="C313" s="657"/>
    </row>
    <row r="314" spans="1:3" x14ac:dyDescent="0.2">
      <c r="A314" s="657"/>
      <c r="B314" s="657"/>
      <c r="C314" s="657"/>
    </row>
    <row r="315" spans="1:3" x14ac:dyDescent="0.2">
      <c r="A315" s="657"/>
      <c r="B315" s="657"/>
      <c r="C315" s="657"/>
    </row>
    <row r="316" spans="1:3" x14ac:dyDescent="0.2">
      <c r="A316" s="657"/>
      <c r="B316" s="657"/>
      <c r="C316" s="657"/>
    </row>
    <row r="317" spans="1:3" x14ac:dyDescent="0.2">
      <c r="A317" s="657"/>
      <c r="B317" s="657"/>
      <c r="C317" s="657"/>
    </row>
    <row r="318" spans="1:3" x14ac:dyDescent="0.2">
      <c r="A318" s="657"/>
      <c r="B318" s="657"/>
      <c r="C318" s="657"/>
    </row>
    <row r="319" spans="1:3" x14ac:dyDescent="0.2">
      <c r="A319" s="657"/>
      <c r="B319" s="657"/>
      <c r="C319" s="657"/>
    </row>
    <row r="320" spans="1:3" x14ac:dyDescent="0.2">
      <c r="A320" s="657"/>
      <c r="B320" s="657"/>
      <c r="C320" s="657"/>
    </row>
    <row r="321" spans="1:3" x14ac:dyDescent="0.2">
      <c r="A321" s="657"/>
      <c r="B321" s="657"/>
      <c r="C321" s="657"/>
    </row>
    <row r="322" spans="1:3" x14ac:dyDescent="0.2">
      <c r="A322" s="657"/>
      <c r="B322" s="657"/>
      <c r="C322" s="657"/>
    </row>
    <row r="323" spans="1:3" x14ac:dyDescent="0.2">
      <c r="A323" s="657"/>
      <c r="B323" s="657"/>
      <c r="C323" s="657"/>
    </row>
    <row r="324" spans="1:3" x14ac:dyDescent="0.2">
      <c r="A324" s="657"/>
      <c r="B324" s="657"/>
      <c r="C324" s="657"/>
    </row>
    <row r="325" spans="1:3" x14ac:dyDescent="0.2">
      <c r="A325" s="657"/>
      <c r="B325" s="657"/>
      <c r="C325" s="657"/>
    </row>
    <row r="326" spans="1:3" x14ac:dyDescent="0.2">
      <c r="A326" s="657"/>
      <c r="B326" s="657"/>
      <c r="C326" s="657"/>
    </row>
    <row r="327" spans="1:3" x14ac:dyDescent="0.2">
      <c r="A327" s="657"/>
      <c r="B327" s="657"/>
      <c r="C327" s="657"/>
    </row>
    <row r="328" spans="1:3" x14ac:dyDescent="0.2">
      <c r="A328" s="657"/>
      <c r="B328" s="657"/>
      <c r="C328" s="657"/>
    </row>
    <row r="329" spans="1:3" x14ac:dyDescent="0.2">
      <c r="A329" s="657"/>
      <c r="B329" s="657"/>
      <c r="C329" s="657"/>
    </row>
    <row r="330" spans="1:3" x14ac:dyDescent="0.2">
      <c r="A330" s="657"/>
      <c r="B330" s="657"/>
      <c r="C330" s="657"/>
    </row>
    <row r="331" spans="1:3" x14ac:dyDescent="0.2">
      <c r="A331" s="657"/>
      <c r="B331" s="657"/>
      <c r="C331" s="657"/>
    </row>
    <row r="332" spans="1:3" x14ac:dyDescent="0.2">
      <c r="A332" s="657"/>
      <c r="B332" s="657"/>
      <c r="C332" s="657"/>
    </row>
    <row r="333" spans="1:3" x14ac:dyDescent="0.2">
      <c r="A333" s="657"/>
      <c r="B333" s="657"/>
      <c r="C333" s="657"/>
    </row>
    <row r="334" spans="1:3" x14ac:dyDescent="0.2">
      <c r="A334" s="657"/>
      <c r="B334" s="657"/>
      <c r="C334" s="657"/>
    </row>
    <row r="335" spans="1:3" x14ac:dyDescent="0.2">
      <c r="A335" s="657"/>
      <c r="B335" s="657"/>
      <c r="C335" s="657"/>
    </row>
    <row r="336" spans="1:3" x14ac:dyDescent="0.2">
      <c r="A336" s="657"/>
      <c r="B336" s="657"/>
      <c r="C336" s="657"/>
    </row>
    <row r="337" spans="1:3" x14ac:dyDescent="0.2">
      <c r="A337" s="657"/>
      <c r="B337" s="657"/>
      <c r="C337" s="657"/>
    </row>
    <row r="338" spans="1:3" x14ac:dyDescent="0.2">
      <c r="A338" s="657"/>
      <c r="B338" s="657"/>
      <c r="C338" s="657"/>
    </row>
    <row r="339" spans="1:3" x14ac:dyDescent="0.2">
      <c r="A339" s="657"/>
      <c r="B339" s="657"/>
      <c r="C339" s="657"/>
    </row>
    <row r="340" spans="1:3" x14ac:dyDescent="0.2">
      <c r="A340" s="657"/>
      <c r="B340" s="657"/>
      <c r="C340" s="657"/>
    </row>
    <row r="341" spans="1:3" x14ac:dyDescent="0.2">
      <c r="A341" s="657"/>
      <c r="B341" s="657"/>
      <c r="C341" s="657"/>
    </row>
    <row r="342" spans="1:3" x14ac:dyDescent="0.2">
      <c r="A342" s="657"/>
      <c r="B342" s="657"/>
      <c r="C342" s="657"/>
    </row>
    <row r="343" spans="1:3" x14ac:dyDescent="0.2">
      <c r="A343" s="657"/>
      <c r="B343" s="657"/>
      <c r="C343" s="657"/>
    </row>
    <row r="344" spans="1:3" x14ac:dyDescent="0.2">
      <c r="A344" s="657"/>
      <c r="B344" s="657"/>
      <c r="C344" s="657"/>
    </row>
    <row r="345" spans="1:3" x14ac:dyDescent="0.2">
      <c r="A345" s="657"/>
      <c r="B345" s="657"/>
      <c r="C345" s="657"/>
    </row>
    <row r="346" spans="1:3" x14ac:dyDescent="0.2">
      <c r="A346" s="657"/>
      <c r="B346" s="657"/>
      <c r="C346" s="657"/>
    </row>
    <row r="347" spans="1:3" x14ac:dyDescent="0.2">
      <c r="A347" s="657"/>
      <c r="B347" s="657"/>
      <c r="C347" s="657"/>
    </row>
    <row r="348" spans="1:3" x14ac:dyDescent="0.2">
      <c r="A348" s="657"/>
      <c r="B348" s="657"/>
      <c r="C348" s="657"/>
    </row>
    <row r="349" spans="1:3" x14ac:dyDescent="0.2">
      <c r="A349" s="657"/>
      <c r="B349" s="657"/>
      <c r="C349" s="657"/>
    </row>
    <row r="350" spans="1:3" x14ac:dyDescent="0.2">
      <c r="A350" s="657"/>
      <c r="B350" s="657"/>
      <c r="C350" s="657"/>
    </row>
    <row r="351" spans="1:3" x14ac:dyDescent="0.2">
      <c r="A351" s="657"/>
      <c r="B351" s="657"/>
      <c r="C351" s="657"/>
    </row>
    <row r="352" spans="1:3" x14ac:dyDescent="0.2">
      <c r="A352" s="657"/>
      <c r="B352" s="657"/>
      <c r="C352" s="657"/>
    </row>
    <row r="353" spans="1:3" x14ac:dyDescent="0.2">
      <c r="A353" s="657"/>
      <c r="B353" s="657"/>
      <c r="C353" s="657"/>
    </row>
    <row r="354" spans="1:3" x14ac:dyDescent="0.2">
      <c r="A354" s="657"/>
      <c r="B354" s="657"/>
      <c r="C354" s="657"/>
    </row>
    <row r="355" spans="1:3" x14ac:dyDescent="0.2">
      <c r="A355" s="657"/>
      <c r="B355" s="657"/>
      <c r="C355" s="657"/>
    </row>
    <row r="356" spans="1:3" x14ac:dyDescent="0.2">
      <c r="A356" s="657"/>
      <c r="B356" s="657"/>
      <c r="C356" s="657"/>
    </row>
    <row r="357" spans="1:3" x14ac:dyDescent="0.2">
      <c r="A357" s="657"/>
      <c r="B357" s="657"/>
      <c r="C357" s="657"/>
    </row>
    <row r="358" spans="1:3" x14ac:dyDescent="0.2">
      <c r="A358" s="657"/>
      <c r="B358" s="657"/>
      <c r="C358" s="657"/>
    </row>
    <row r="359" spans="1:3" x14ac:dyDescent="0.2">
      <c r="A359" s="657"/>
      <c r="B359" s="657"/>
      <c r="C359" s="657"/>
    </row>
    <row r="360" spans="1:3" x14ac:dyDescent="0.2">
      <c r="A360" s="657"/>
      <c r="B360" s="657"/>
      <c r="C360" s="657"/>
    </row>
    <row r="361" spans="1:3" x14ac:dyDescent="0.2">
      <c r="A361" s="657"/>
      <c r="B361" s="657"/>
      <c r="C361" s="657"/>
    </row>
    <row r="362" spans="1:3" x14ac:dyDescent="0.2">
      <c r="A362" s="657"/>
      <c r="B362" s="657"/>
      <c r="C362" s="657"/>
    </row>
    <row r="363" spans="1:3" x14ac:dyDescent="0.2">
      <c r="A363" s="657"/>
      <c r="B363" s="657"/>
      <c r="C363" s="657"/>
    </row>
    <row r="364" spans="1:3" x14ac:dyDescent="0.2">
      <c r="A364" s="657"/>
      <c r="B364" s="657"/>
      <c r="C364" s="657"/>
    </row>
    <row r="365" spans="1:3" x14ac:dyDescent="0.2">
      <c r="A365" s="657"/>
      <c r="B365" s="657"/>
      <c r="C365" s="657"/>
    </row>
    <row r="366" spans="1:3" x14ac:dyDescent="0.2">
      <c r="A366" s="657"/>
      <c r="B366" s="657"/>
      <c r="C366" s="657"/>
    </row>
    <row r="367" spans="1:3" x14ac:dyDescent="0.2">
      <c r="A367" s="657"/>
      <c r="B367" s="657"/>
      <c r="C367" s="657"/>
    </row>
    <row r="368" spans="1:3" x14ac:dyDescent="0.2">
      <c r="A368" s="657"/>
      <c r="B368" s="657"/>
      <c r="C368" s="657"/>
    </row>
    <row r="369" spans="1:3" x14ac:dyDescent="0.2">
      <c r="A369" s="657"/>
      <c r="B369" s="657"/>
      <c r="C369" s="657"/>
    </row>
    <row r="370" spans="1:3" x14ac:dyDescent="0.2">
      <c r="A370" s="657"/>
      <c r="B370" s="657"/>
      <c r="C370" s="657"/>
    </row>
    <row r="371" spans="1:3" x14ac:dyDescent="0.2">
      <c r="A371" s="657"/>
      <c r="B371" s="657"/>
      <c r="C371" s="657"/>
    </row>
    <row r="372" spans="1:3" x14ac:dyDescent="0.2">
      <c r="A372" s="657"/>
      <c r="B372" s="657"/>
      <c r="C372" s="657"/>
    </row>
    <row r="373" spans="1:3" x14ac:dyDescent="0.2">
      <c r="A373" s="657"/>
      <c r="B373" s="657"/>
      <c r="C373" s="657"/>
    </row>
    <row r="374" spans="1:3" x14ac:dyDescent="0.2">
      <c r="A374" s="657"/>
      <c r="B374" s="657"/>
      <c r="C374" s="657"/>
    </row>
    <row r="375" spans="1:3" x14ac:dyDescent="0.2">
      <c r="A375" s="657"/>
      <c r="B375" s="657"/>
      <c r="C375" s="657"/>
    </row>
    <row r="376" spans="1:3" x14ac:dyDescent="0.2">
      <c r="A376" s="657"/>
      <c r="B376" s="657"/>
      <c r="C376" s="657"/>
    </row>
    <row r="377" spans="1:3" x14ac:dyDescent="0.2">
      <c r="A377" s="657"/>
      <c r="B377" s="657"/>
      <c r="C377" s="657"/>
    </row>
    <row r="378" spans="1:3" x14ac:dyDescent="0.2">
      <c r="A378" s="657"/>
      <c r="B378" s="657"/>
      <c r="C378" s="657"/>
    </row>
    <row r="379" spans="1:3" x14ac:dyDescent="0.2">
      <c r="A379" s="657"/>
      <c r="B379" s="657"/>
      <c r="C379" s="657"/>
    </row>
    <row r="380" spans="1:3" x14ac:dyDescent="0.2">
      <c r="A380" s="657"/>
      <c r="B380" s="657"/>
      <c r="C380" s="657"/>
    </row>
    <row r="381" spans="1:3" x14ac:dyDescent="0.2">
      <c r="A381" s="657"/>
      <c r="B381" s="657"/>
      <c r="C381" s="657"/>
    </row>
    <row r="382" spans="1:3" x14ac:dyDescent="0.2">
      <c r="A382" s="657"/>
      <c r="B382" s="657"/>
      <c r="C382" s="657"/>
    </row>
    <row r="383" spans="1:3" x14ac:dyDescent="0.2">
      <c r="A383" s="657"/>
      <c r="B383" s="657"/>
      <c r="C383" s="657"/>
    </row>
    <row r="384" spans="1:3" x14ac:dyDescent="0.2">
      <c r="A384" s="657"/>
      <c r="B384" s="657"/>
      <c r="C384" s="657"/>
    </row>
    <row r="385" spans="1:3" x14ac:dyDescent="0.2">
      <c r="A385" s="657"/>
      <c r="B385" s="657"/>
      <c r="C385" s="657"/>
    </row>
    <row r="386" spans="1:3" x14ac:dyDescent="0.2">
      <c r="A386" s="657"/>
      <c r="B386" s="657"/>
      <c r="C386" s="657"/>
    </row>
    <row r="387" spans="1:3" x14ac:dyDescent="0.2">
      <c r="A387" s="657"/>
      <c r="B387" s="657"/>
      <c r="C387" s="657"/>
    </row>
    <row r="388" spans="1:3" x14ac:dyDescent="0.2">
      <c r="A388" s="657"/>
      <c r="B388" s="657"/>
      <c r="C388" s="657"/>
    </row>
    <row r="389" spans="1:3" x14ac:dyDescent="0.2">
      <c r="A389" s="657"/>
      <c r="B389" s="657"/>
      <c r="C389" s="657"/>
    </row>
    <row r="390" spans="1:3" x14ac:dyDescent="0.2">
      <c r="A390" s="657"/>
      <c r="B390" s="657"/>
      <c r="C390" s="657"/>
    </row>
    <row r="391" spans="1:3" x14ac:dyDescent="0.2">
      <c r="A391" s="657"/>
      <c r="B391" s="657"/>
      <c r="C391" s="657"/>
    </row>
    <row r="392" spans="1:3" x14ac:dyDescent="0.2">
      <c r="A392" s="657"/>
      <c r="B392" s="657"/>
      <c r="C392" s="657"/>
    </row>
    <row r="393" spans="1:3" x14ac:dyDescent="0.2">
      <c r="A393" s="657"/>
      <c r="B393" s="657"/>
      <c r="C393" s="657"/>
    </row>
    <row r="394" spans="1:3" x14ac:dyDescent="0.2">
      <c r="A394" s="657"/>
      <c r="B394" s="657"/>
      <c r="C394" s="657"/>
    </row>
    <row r="395" spans="1:3" x14ac:dyDescent="0.2">
      <c r="A395" s="657"/>
      <c r="B395" s="657"/>
      <c r="C395" s="657"/>
    </row>
    <row r="396" spans="1:3" x14ac:dyDescent="0.2">
      <c r="A396" s="657"/>
      <c r="B396" s="657"/>
      <c r="C396" s="657"/>
    </row>
    <row r="397" spans="1:3" x14ac:dyDescent="0.2">
      <c r="A397" s="657"/>
      <c r="B397" s="657"/>
      <c r="C397" s="657"/>
    </row>
    <row r="398" spans="1:3" x14ac:dyDescent="0.2">
      <c r="A398" s="657"/>
      <c r="B398" s="657"/>
      <c r="C398" s="657"/>
    </row>
    <row r="399" spans="1:3" x14ac:dyDescent="0.2">
      <c r="A399" s="657"/>
      <c r="B399" s="657"/>
      <c r="C399" s="657"/>
    </row>
    <row r="400" spans="1:3" x14ac:dyDescent="0.2">
      <c r="A400" s="657"/>
      <c r="B400" s="657"/>
      <c r="C400" s="657"/>
    </row>
    <row r="401" spans="1:3" x14ac:dyDescent="0.2">
      <c r="A401" s="657"/>
      <c r="B401" s="657"/>
      <c r="C401" s="657"/>
    </row>
    <row r="402" spans="1:3" x14ac:dyDescent="0.2">
      <c r="A402" s="657"/>
      <c r="B402" s="657"/>
      <c r="C402" s="657"/>
    </row>
    <row r="403" spans="1:3" x14ac:dyDescent="0.2">
      <c r="A403" s="657"/>
      <c r="B403" s="657"/>
      <c r="C403" s="657"/>
    </row>
    <row r="404" spans="1:3" x14ac:dyDescent="0.2">
      <c r="A404" s="657"/>
      <c r="B404" s="657"/>
      <c r="C404" s="657"/>
    </row>
    <row r="405" spans="1:3" x14ac:dyDescent="0.2">
      <c r="A405" s="657"/>
      <c r="B405" s="657"/>
      <c r="C405" s="657"/>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19"/>
  <sheetViews>
    <sheetView workbookViewId="0">
      <selection activeCell="Q16" sqref="Q16"/>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952</v>
      </c>
      <c r="J1" t="s">
        <v>953</v>
      </c>
      <c r="K1" t="s">
        <v>954</v>
      </c>
      <c r="L1" t="s">
        <v>955</v>
      </c>
      <c r="M1" t="s">
        <v>956</v>
      </c>
      <c r="O1" s="37" t="s">
        <v>396</v>
      </c>
      <c r="P1" t="s">
        <v>946</v>
      </c>
      <c r="Q1" t="s">
        <v>947</v>
      </c>
      <c r="R1" t="s">
        <v>948</v>
      </c>
      <c r="S1" t="s">
        <v>949</v>
      </c>
      <c r="T1" t="s">
        <v>950</v>
      </c>
      <c r="U1" t="s">
        <v>951</v>
      </c>
      <c r="X1" t="s">
        <v>951</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v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#VALUE!</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960</v>
      </c>
      <c r="Q5" s="37" t="s">
        <v>961</v>
      </c>
      <c r="S5" s="37" t="s">
        <v>962</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562</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563</v>
      </c>
      <c r="P7" s="467">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400°F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-15.0°F</v>
      </c>
      <c r="J416" t="str">
        <f>TEXT(UUTRangeTol[[#This Row],[TolMax]],SUBSTITUTE(UUTRangeTol[[#This Row],[TolResolution]],"1","0"))&amp;UUTRangeTol[[#This Row],[Unit]]</f>
        <v>15.0°F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6" t="str">
        <f>UUTRangeTol[[#This Row],[RangeMax]]&amp;UUTRangeTol[[#This Row],[Unit]]</f>
        <v>180°F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17" spans="1:13" x14ac:dyDescent="0.2">
      <c r="A417"/>
      <c r="B417"/>
      <c r="C417"/>
      <c r="D417"/>
      <c r="E417"/>
      <c r="F417"/>
      <c r="G417"/>
      <c r="I417" t="str">
        <f>TEXT(UUTRangeTol[[#This Row],[TolMin]],SUBSTITUTE(UUTRangeTol[[#This Row],[TolResolution]],"1","0"))&amp;UUTRangeTol[[#This Row],[Unit]]</f>
        <v>-10°F</v>
      </c>
      <c r="J417" t="str">
        <f>TEXT(UUTRangeTol[[#This Row],[TolMax]],SUBSTITUTE(UUTRangeTol[[#This Row],[TolResolution]],"1","0"))&amp;UUTRangeTol[[#This Row],[Unit]]</f>
        <v>10°F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7" t="str">
        <f>UUTRangeTol[[#This Row],[RangeMax]]&amp;UUTRangeTol[[#This Row],[Unit]]</f>
        <v>190°F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8" spans="1:13" x14ac:dyDescent="0.2">
      <c r="A418"/>
      <c r="B418"/>
      <c r="C418"/>
      <c r="D418"/>
      <c r="E418"/>
      <c r="F418"/>
      <c r="G418"/>
      <c r="I418" t="str">
        <f>TEXT(UUTRangeTol[[#This Row],[TolMin]],SUBSTITUTE(UUTRangeTol[[#This Row],[TolResolution]],"1","0"))&amp;UUTRangeTol[[#This Row],[Unit]]</f>
        <v>-10.0°F</v>
      </c>
      <c r="J418" t="str">
        <f>TEXT(UUTRangeTol[[#This Row],[TolMax]],SUBSTITUTE(UUTRangeTol[[#This Row],[TolResolution]],"1","0"))&amp;UUTRangeTol[[#This Row],[Unit]]</f>
        <v>10.0°F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19" spans="1:13" x14ac:dyDescent="0.2">
      <c r="A419"/>
      <c r="B419"/>
      <c r="C419"/>
      <c r="D419"/>
      <c r="E419"/>
      <c r="F419"/>
      <c r="G419"/>
      <c r="I419" t="str">
        <f>TEXT(UUTRangeTol[[#This Row],[TolMin]],SUBSTITUTE(UUTRangeTol[[#This Row],[TolResolution]],"1","0"))&amp;UUTRangeTol[[#This Row],[Unit]]</f>
        <v>-15.0°F</v>
      </c>
      <c r="J419" t="str">
        <f>TEXT(UUTRangeTol[[#This Row],[TolMax]],SUBSTITUTE(UUTRangeTol[[#This Row],[TolResolution]],"1","0"))&amp;UUTRangeTol[[#This Row],[Unit]]</f>
        <v>15.0°F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9" t="str">
        <f>UUTRangeTol[[#This Row],[RangeMax]]&amp;UUTRangeTol[[#This Row],[Unit]]</f>
        <v>180°F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9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4" customWidth="1"/>
    <col min="21" max="21" width="15.85546875" style="304" customWidth="1"/>
    <col min="22" max="22" width="13.5703125" style="304" customWidth="1"/>
    <col min="23" max="23" width="11.140625" style="304" customWidth="1"/>
    <col min="24" max="16384" width="9.140625" style="304"/>
  </cols>
  <sheetData>
    <row r="1" spans="1:22" ht="23.25" x14ac:dyDescent="0.35">
      <c r="A1" s="463" t="s">
        <v>971</v>
      </c>
      <c r="B1" s="321"/>
      <c r="C1" s="524" t="s">
        <v>50</v>
      </c>
      <c r="D1" s="525"/>
      <c r="E1" s="525"/>
      <c r="F1" s="525"/>
      <c r="G1" s="138" t="e" cm="1">
        <f t="array" ref="G1">GetFormattedWorkItemNumber(K14, D24)</f>
        <v>#VALUE!</v>
      </c>
      <c r="H1" s="138"/>
      <c r="I1" s="139"/>
      <c r="J1" s="304"/>
      <c r="K1" s="304"/>
      <c r="L1" s="304"/>
      <c r="M1" s="304"/>
      <c r="N1" s="304"/>
      <c r="O1" s="304"/>
      <c r="P1" s="304"/>
      <c r="Q1" s="304"/>
      <c r="R1" s="304"/>
      <c r="S1" s="304"/>
    </row>
    <row r="2" spans="1:22" ht="12.75" customHeight="1" x14ac:dyDescent="0.2">
      <c r="A2" s="322"/>
      <c r="B2" s="323"/>
      <c r="C2" s="304"/>
      <c r="D2" s="304"/>
      <c r="E2" s="324"/>
      <c r="F2" s="324"/>
      <c r="G2" s="323"/>
      <c r="H2" s="304"/>
      <c r="I2" s="304"/>
      <c r="J2" s="304"/>
      <c r="K2" s="304"/>
      <c r="L2" s="305"/>
      <c r="M2" s="305"/>
      <c r="N2" s="305"/>
      <c r="O2" s="305"/>
      <c r="P2" s="305"/>
      <c r="Q2" s="305"/>
      <c r="R2" s="305"/>
      <c r="S2" s="305"/>
      <c r="T2" s="305"/>
      <c r="U2" s="305"/>
      <c r="V2" s="305"/>
    </row>
    <row r="3" spans="1:22" s="279" customFormat="1" x14ac:dyDescent="0.2">
      <c r="A3" s="322"/>
      <c r="B3" s="141"/>
      <c r="C3" s="142" t="s">
        <v>72</v>
      </c>
      <c r="D3" s="281"/>
      <c r="E3" s="304"/>
      <c r="F3" s="304"/>
      <c r="G3" s="304"/>
      <c r="H3" s="304"/>
      <c r="I3" s="304"/>
      <c r="J3" s="526" t="s">
        <v>102</v>
      </c>
      <c r="K3" s="527"/>
      <c r="L3" s="528"/>
      <c r="M3" s="304"/>
      <c r="N3" s="542" t="s">
        <v>91</v>
      </c>
      <c r="O3" s="542"/>
      <c r="P3" s="542"/>
      <c r="Q3" s="542"/>
      <c r="R3" s="542"/>
      <c r="S3" s="542"/>
      <c r="T3" s="459"/>
    </row>
    <row r="4" spans="1:22" s="279" customFormat="1" x14ac:dyDescent="0.2">
      <c r="A4" s="322"/>
      <c r="B4" s="141"/>
      <c r="C4" s="142" t="s">
        <v>228</v>
      </c>
      <c r="D4" s="286" t="str">
        <f>IF(Condition="","",Condition)</f>
        <v>Used</v>
      </c>
      <c r="E4" s="304"/>
      <c r="F4" s="304"/>
      <c r="G4" s="304"/>
      <c r="H4" s="304"/>
      <c r="I4" s="304"/>
      <c r="J4" s="531" t="s">
        <v>1</v>
      </c>
      <c r="K4" s="532"/>
      <c r="L4" s="143">
        <f>IFERROR(Survey!#REF!,0)</f>
        <v>0</v>
      </c>
      <c r="M4" s="304"/>
      <c r="N4" s="144" t="s">
        <v>90</v>
      </c>
      <c r="O4" s="145" t="s">
        <v>89</v>
      </c>
      <c r="P4" s="529" t="s">
        <v>100</v>
      </c>
      <c r="Q4" s="530"/>
      <c r="R4" s="144" t="s">
        <v>137</v>
      </c>
      <c r="S4" s="144" t="s">
        <v>141</v>
      </c>
      <c r="T4" s="459"/>
    </row>
    <row r="5" spans="1:22" s="279" customFormat="1" x14ac:dyDescent="0.2">
      <c r="A5" s="322"/>
      <c r="B5" s="141"/>
      <c r="C5" s="142" t="s">
        <v>41</v>
      </c>
      <c r="D5" s="546" t="str">
        <f>companyName</f>
        <v>CHROME PLUS INT'L - WICHITA</v>
      </c>
      <c r="E5" s="547"/>
      <c r="F5" s="547"/>
      <c r="G5" s="547"/>
      <c r="H5" s="548"/>
      <c r="I5" s="287"/>
      <c r="J5" s="531" t="s">
        <v>2</v>
      </c>
      <c r="K5" s="532"/>
      <c r="L5" s="143">
        <f>IFERROR(Survey!#REF!,0)</f>
        <v>0</v>
      </c>
      <c r="M5" s="304"/>
      <c r="N5" s="430">
        <v>1</v>
      </c>
      <c r="O5" s="146"/>
      <c r="P5" s="559" t="str">
        <f>Survey!N2</f>
        <v/>
      </c>
      <c r="Q5" s="560"/>
      <c r="R5" s="491" t="e">
        <f>Survey!O2</f>
        <v>#VALUE!</v>
      </c>
      <c r="S5" s="147" t="str">
        <f>IF(Survey!P2="","",--Survey!P2)</f>
        <v/>
      </c>
      <c r="T5" s="459"/>
    </row>
    <row r="6" spans="1:22" s="279" customFormat="1" x14ac:dyDescent="0.2">
      <c r="A6" s="322"/>
      <c r="B6" s="141"/>
      <c r="C6" s="142" t="s">
        <v>40</v>
      </c>
      <c r="D6" s="543" t="str">
        <f>VLOOKUP("assetName",WorkItemDetails[],2,FALSE)</f>
        <v>DESPATCH RS4HD Temperature Uniformity Survey, 10 points</v>
      </c>
      <c r="E6" s="544"/>
      <c r="F6" s="544"/>
      <c r="G6" s="544"/>
      <c r="H6" s="545"/>
      <c r="J6" s="531" t="s">
        <v>101</v>
      </c>
      <c r="K6" s="532"/>
      <c r="L6" s="143">
        <f>L4-L5</f>
        <v>0</v>
      </c>
      <c r="M6" s="304"/>
      <c r="N6" s="430">
        <v>2</v>
      </c>
      <c r="O6" s="146"/>
      <c r="P6" s="559" t="str">
        <f>Survey!N3</f>
        <v/>
      </c>
      <c r="Q6" s="560"/>
      <c r="R6" s="491" t="e">
        <f>Survey!O3</f>
        <v>#VALUE!</v>
      </c>
      <c r="S6" s="147" t="str">
        <f>IF(Survey!P3="","",--Survey!P3)</f>
        <v/>
      </c>
      <c r="T6" s="459"/>
    </row>
    <row r="7" spans="1:22" s="279" customFormat="1" x14ac:dyDescent="0.2">
      <c r="A7" s="322"/>
      <c r="B7" s="148"/>
      <c r="C7" s="149" t="s">
        <v>27</v>
      </c>
      <c r="D7" s="392" t="str" cm="1">
        <f t="array" ref="D7">_xlfn.XLOOKUP(User[User],Employees[login_email],Employees[Name])</f>
        <v>Jeff Hall</v>
      </c>
      <c r="E7" s="304"/>
      <c r="F7" s="304"/>
      <c r="G7" s="304"/>
      <c r="H7" s="304"/>
      <c r="I7" s="304"/>
      <c r="J7" s="325"/>
      <c r="K7" s="325"/>
      <c r="L7" s="325"/>
      <c r="M7" s="304"/>
      <c r="N7" s="430">
        <v>3</v>
      </c>
      <c r="O7" s="146"/>
      <c r="P7" s="559" t="str">
        <f>Survey!N4</f>
        <v/>
      </c>
      <c r="Q7" s="560"/>
      <c r="R7" s="491" t="e">
        <f>Survey!O4</f>
        <v>#VALUE!</v>
      </c>
      <c r="S7" s="147" t="str">
        <f>IF(Survey!P4="","",--Survey!P4)</f>
        <v/>
      </c>
      <c r="T7" s="459"/>
    </row>
    <row r="8" spans="1:22" s="279" customFormat="1" x14ac:dyDescent="0.2">
      <c r="A8" s="322"/>
      <c r="B8" s="319"/>
      <c r="C8" s="326"/>
      <c r="D8" s="327"/>
      <c r="E8" s="304"/>
      <c r="F8" s="328" t="str">
        <f>IF(N49="","CHECK TUNING CONSTANTS","")</f>
        <v/>
      </c>
      <c r="G8" s="304"/>
      <c r="H8" s="304"/>
      <c r="I8" s="304"/>
      <c r="J8" s="304"/>
      <c r="K8" s="304"/>
      <c r="L8" s="304"/>
      <c r="M8" s="304"/>
      <c r="N8" s="430">
        <v>4</v>
      </c>
      <c r="O8" s="146"/>
      <c r="P8" s="559" t="str">
        <f>Survey!N5</f>
        <v/>
      </c>
      <c r="Q8" s="560"/>
      <c r="R8" s="491" t="e">
        <f>Survey!O5</f>
        <v>#VALUE!</v>
      </c>
      <c r="S8" s="147" t="str">
        <f>IF(Survey!P5="","",--Survey!P5)</f>
        <v/>
      </c>
      <c r="T8" s="459"/>
    </row>
    <row r="9" spans="1:22" s="279" customFormat="1" ht="12.75" customHeight="1" x14ac:dyDescent="0.2">
      <c r="A9" s="322"/>
      <c r="B9" s="141"/>
      <c r="C9" s="150" t="s">
        <v>66</v>
      </c>
      <c r="D9" s="283"/>
      <c r="E9" s="287" t="str" cm="1">
        <f t="array" ref="E9">IFERROR(
  _xlfn.XLOOKUP(
    Main!$D$9,
    _xlfn._xlws.FILTER(AssetPool[AssetTag], AssetPool[RootCategoryName]= "DAQ Modules"),
    _xlfn._xlws.FILTER(AssetPool[AssetId], AssetPool[RootCategoryName]= "DAQ Modules")
  ),
  ""
)</f>
        <v/>
      </c>
      <c r="F9" s="304"/>
      <c r="G9" s="304"/>
      <c r="H9" s="304"/>
      <c r="I9" s="304"/>
      <c r="J9" s="304"/>
      <c r="K9" s="304"/>
      <c r="L9" s="304"/>
      <c r="M9" s="304"/>
      <c r="N9" s="430">
        <v>5</v>
      </c>
      <c r="O9" s="146"/>
      <c r="P9" s="559" t="str">
        <f>Survey!N6</f>
        <v/>
      </c>
      <c r="Q9" s="560"/>
      <c r="R9" s="491" t="e">
        <f>Survey!O6</f>
        <v>#VALUE!</v>
      </c>
      <c r="S9" s="147" t="str">
        <f>IF(Survey!P6="","",--Survey!P6)</f>
        <v/>
      </c>
      <c r="T9" s="459"/>
    </row>
    <row r="10" spans="1:22" s="279" customFormat="1" x14ac:dyDescent="0.2">
      <c r="A10" s="322"/>
      <c r="B10" s="319"/>
      <c r="C10" s="320"/>
      <c r="D10" s="304"/>
      <c r="E10" s="304"/>
      <c r="F10" s="304"/>
      <c r="G10" s="305" t="str">
        <f>IFERROR(IF(OR(Survey[OutOfTolerance]),"!!!!! OVEN IS OOT !!!!!",""),"")</f>
        <v/>
      </c>
      <c r="H10" s="304"/>
      <c r="I10" s="304"/>
      <c r="J10" s="304"/>
      <c r="K10" s="304"/>
      <c r="L10" s="304"/>
      <c r="M10" s="304"/>
      <c r="N10" s="430">
        <v>6</v>
      </c>
      <c r="O10" s="146"/>
      <c r="P10" s="559" t="str">
        <f>Survey!N7</f>
        <v/>
      </c>
      <c r="Q10" s="560"/>
      <c r="R10" s="491" t="e">
        <f>Survey!O7</f>
        <v>#VALUE!</v>
      </c>
      <c r="S10" s="147" t="str">
        <f>IF(Survey!P7="","",--Survey!P7)</f>
        <v/>
      </c>
      <c r="T10" s="459"/>
    </row>
    <row r="11" spans="1:22" s="279" customFormat="1" x14ac:dyDescent="0.2">
      <c r="A11" s="322"/>
      <c r="B11" s="141"/>
      <c r="C11" s="150" t="s">
        <v>53</v>
      </c>
      <c r="D11" s="458">
        <f>VLOOKUP("serial_number",DaqbookServiceRecord[], 2, FALSE)</f>
        <v>0</v>
      </c>
      <c r="E11" s="304"/>
      <c r="F11" s="304"/>
      <c r="G11" s="305" t="str">
        <f>IF(OR(ISBLANK(D3),ISBLANK(D13)),"",IF(D13&lt;D3,"!!!!! DAQBOOK IS OUT OF CERTIFICATION !!!!!",""))</f>
        <v/>
      </c>
      <c r="H11" s="304"/>
      <c r="I11" s="304"/>
      <c r="J11" s="304"/>
      <c r="K11" s="304"/>
      <c r="L11" s="304"/>
      <c r="M11" s="304"/>
      <c r="N11" s="430">
        <v>7</v>
      </c>
      <c r="O11" s="146"/>
      <c r="P11" s="559" t="str">
        <f>Survey!N8</f>
        <v/>
      </c>
      <c r="Q11" s="560"/>
      <c r="R11" s="491" t="e">
        <f>Survey!O8</f>
        <v>#VALUE!</v>
      </c>
      <c r="S11" s="147" t="str">
        <f>IF(Survey!P8="","",--Survey!P8)</f>
        <v/>
      </c>
      <c r="T11" s="459"/>
    </row>
    <row r="12" spans="1:22" s="279" customFormat="1" x14ac:dyDescent="0.2">
      <c r="A12" s="322"/>
      <c r="B12" s="141"/>
      <c r="C12" s="150" t="s">
        <v>87</v>
      </c>
      <c r="D12" s="280">
        <f>VLOOKUP("service_date",DaqbookServiceRecord[], 2, FALSE)</f>
        <v>0</v>
      </c>
      <c r="E12" s="304"/>
      <c r="F12" s="304"/>
      <c r="G12" s="305" t="str">
        <f>IF(IF(COUNTIFS(DataForChannels1to14[],"&gt;"&amp;B2,DataForChannels1to14[],"&lt;"&amp;(B2+200))&gt;0,1,0)=1,"!!!!! OVEN OVERSHOT IN POINTS 1-14 !!!!!","")</f>
        <v/>
      </c>
      <c r="H12" s="304"/>
      <c r="I12" s="304"/>
      <c r="J12" s="325"/>
      <c r="K12" s="308"/>
      <c r="L12" s="325"/>
      <c r="M12" s="308"/>
      <c r="N12" s="430">
        <v>8</v>
      </c>
      <c r="O12" s="146"/>
      <c r="P12" s="559" t="str">
        <f>Survey!N9</f>
        <v/>
      </c>
      <c r="Q12" s="560"/>
      <c r="R12" s="491" t="e">
        <f>Survey!O9</f>
        <v>#VALUE!</v>
      </c>
      <c r="S12" s="147" t="str">
        <f>IF(Survey!P9="","",--Survey!P9)</f>
        <v/>
      </c>
      <c r="T12" s="459"/>
    </row>
    <row r="13" spans="1:22" s="279" customFormat="1" x14ac:dyDescent="0.2">
      <c r="A13" s="322"/>
      <c r="B13" s="151"/>
      <c r="C13" s="152" t="s">
        <v>86</v>
      </c>
      <c r="D13" s="280">
        <f>VLOOKUP("next_service_date",DaqbookServiceRecord[], 2, FALSE)</f>
        <v>0</v>
      </c>
      <c r="E13" s="304"/>
      <c r="F13" s="329"/>
      <c r="G13" s="320" t="str">
        <f>IF(IF(COUNTIFS(DataForChannels15to28[],"&gt;"&amp;B2,DataForChannels15to28[],"&lt;"&amp;(B2+200))&gt;0,1,0)=1,"!!!!! OVEN OVERSHOT IN POINTS 15-28 !!!!!","")</f>
        <v/>
      </c>
      <c r="H13" s="304"/>
      <c r="I13" s="304"/>
      <c r="J13" s="240" t="s">
        <v>321</v>
      </c>
      <c r="K13" s="540" t="str">
        <f>IFERROR(VLOOKUP("PoNumber",WorkItemDetails[],2,FALSE),"")</f>
        <v/>
      </c>
      <c r="L13" s="541"/>
      <c r="M13" s="304"/>
      <c r="N13" s="430">
        <v>9</v>
      </c>
      <c r="O13" s="146"/>
      <c r="P13" s="559" t="str">
        <f>Survey!N10</f>
        <v/>
      </c>
      <c r="Q13" s="560"/>
      <c r="R13" s="491" t="e">
        <f>Survey!O10</f>
        <v>#VALUE!</v>
      </c>
      <c r="S13" s="147" t="str">
        <f>IF(Survey!P10="","",--Survey!P10)</f>
        <v/>
      </c>
      <c r="T13" s="459"/>
    </row>
    <row r="14" spans="1:22" s="279" customFormat="1" x14ac:dyDescent="0.2">
      <c r="A14" s="322"/>
      <c r="B14" s="141"/>
      <c r="C14" s="150" t="s">
        <v>88</v>
      </c>
      <c r="D14" s="458">
        <f>VLOOKUP("certificate_number",DaqbookServiceRecord[], 2, FALSE)</f>
        <v>0</v>
      </c>
      <c r="E14" s="304"/>
      <c r="F14" s="304"/>
      <c r="G14" s="305" t="str">
        <f>IF(IF(COUNTIFS(DataForChannels29to40[],"&gt;"&amp;B2,DataForChannels29to40[],"&lt;"&amp;(B2+200))&gt;0,1,0)=1,"!!!!! OVEN OVERSHOT IN POINTS 29-40 !!!!!","")</f>
        <v/>
      </c>
      <c r="H14" s="304"/>
      <c r="I14" s="304"/>
      <c r="J14" s="153" t="s">
        <v>136</v>
      </c>
      <c r="K14" s="549"/>
      <c r="L14" s="550"/>
      <c r="M14" s="304"/>
      <c r="N14" s="430">
        <v>10</v>
      </c>
      <c r="O14" s="146"/>
      <c r="P14" s="559" t="str">
        <f>Survey!N11</f>
        <v/>
      </c>
      <c r="Q14" s="560"/>
      <c r="R14" s="491" t="e">
        <f>Survey!O11</f>
        <v>#VALUE!</v>
      </c>
      <c r="S14" s="147" t="str">
        <f>IF(Survey!P11="","",--Survey!P11)</f>
        <v/>
      </c>
      <c r="T14" s="459"/>
    </row>
    <row r="15" spans="1:22" s="279" customFormat="1" x14ac:dyDescent="0.2">
      <c r="A15" s="322"/>
      <c r="B15" s="188"/>
      <c r="C15" s="186" t="s">
        <v>65</v>
      </c>
      <c r="D15" s="297"/>
      <c r="E15" s="304"/>
      <c r="F15" s="304"/>
      <c r="G15" s="304"/>
      <c r="H15" s="445" t="b">
        <v>1</v>
      </c>
      <c r="I15" s="304"/>
      <c r="J15" s="154" t="s">
        <v>131</v>
      </c>
      <c r="K15" s="535"/>
      <c r="L15" s="536"/>
      <c r="M15" s="304"/>
      <c r="N15" s="430">
        <v>11</v>
      </c>
      <c r="O15" s="146"/>
      <c r="P15" s="559" t="str">
        <f>Survey!N12</f>
        <v/>
      </c>
      <c r="Q15" s="560"/>
      <c r="R15" s="491" t="e">
        <f>Survey!O12</f>
        <v>#VALUE!</v>
      </c>
      <c r="S15" s="147" t="str">
        <f>IF(Survey!P12="","",--Survey!P12)</f>
        <v/>
      </c>
      <c r="T15" s="459"/>
    </row>
    <row r="16" spans="1:22" s="279" customFormat="1" x14ac:dyDescent="0.2">
      <c r="A16" s="322"/>
      <c r="B16" s="155"/>
      <c r="C16" s="187" t="s">
        <v>262</v>
      </c>
      <c r="D16" s="297"/>
      <c r="E16" s="304"/>
      <c r="F16" s="153" t="s">
        <v>77</v>
      </c>
      <c r="G16" s="418" t="s">
        <v>265</v>
      </c>
      <c r="H16" s="419"/>
      <c r="I16" s="304"/>
      <c r="J16" s="497" t="s">
        <v>161</v>
      </c>
      <c r="K16" s="498"/>
      <c r="L16" s="285"/>
      <c r="M16" s="304"/>
      <c r="N16" s="430">
        <v>12</v>
      </c>
      <c r="O16" s="146"/>
      <c r="P16" s="559" t="str">
        <f>Survey!N13</f>
        <v/>
      </c>
      <c r="Q16" s="560"/>
      <c r="R16" s="491" t="e">
        <f>Survey!O13</f>
        <v>#VALUE!</v>
      </c>
      <c r="S16" s="147" t="str">
        <f>IF(Survey!P13="","",--Survey!P13)</f>
        <v/>
      </c>
      <c r="T16" s="459"/>
    </row>
    <row r="17" spans="1:22" s="279" customFormat="1" x14ac:dyDescent="0.2">
      <c r="A17" s="322"/>
      <c r="B17" s="141"/>
      <c r="C17" s="142" t="s">
        <v>64</v>
      </c>
      <c r="D17" s="298"/>
      <c r="E17" s="304"/>
      <c r="F17" s="154" t="s">
        <v>96</v>
      </c>
      <c r="G17" s="393" t="str">
        <f>IF(ISBLANK(Load),"",Load)</f>
        <v>Empty Rack</v>
      </c>
      <c r="H17" s="304"/>
      <c r="I17" s="305"/>
      <c r="J17" s="497" t="s">
        <v>162</v>
      </c>
      <c r="K17" s="498"/>
      <c r="L17" s="157" t="str">
        <f>IF(K15="SIM Load Hot",TEXT(D26,"hh:mm"),"")</f>
        <v/>
      </c>
      <c r="M17" s="304"/>
      <c r="N17" s="430">
        <v>13</v>
      </c>
      <c r="O17" s="146"/>
      <c r="P17" s="559" t="str">
        <f>Survey!N14</f>
        <v/>
      </c>
      <c r="Q17" s="560"/>
      <c r="R17" s="491" t="e">
        <f>Survey!O14</f>
        <v>#VALUE!</v>
      </c>
      <c r="S17" s="147" t="str">
        <f>IF(Survey!P14="","",--Survey!P14)</f>
        <v/>
      </c>
      <c r="T17" s="459"/>
    </row>
    <row r="18" spans="1:22" s="279" customFormat="1" x14ac:dyDescent="0.2">
      <c r="A18" s="322"/>
      <c r="B18" s="151"/>
      <c r="C18" s="158" t="s">
        <v>67</v>
      </c>
      <c r="D18" s="283"/>
      <c r="E18" s="304"/>
      <c r="F18" s="159" t="s">
        <v>78</v>
      </c>
      <c r="G18" s="551" t="s">
        <v>19</v>
      </c>
      <c r="H18" s="552"/>
      <c r="I18" s="305"/>
      <c r="J18" s="330"/>
      <c r="K18" s="304"/>
      <c r="L18" s="305"/>
      <c r="M18" s="304"/>
      <c r="N18" s="430">
        <v>14</v>
      </c>
      <c r="O18" s="146"/>
      <c r="P18" s="559" t="str">
        <f>Survey!N15</f>
        <v/>
      </c>
      <c r="Q18" s="560"/>
      <c r="R18" s="491" t="e">
        <f>Survey!O15</f>
        <v>#VALUE!</v>
      </c>
      <c r="S18" s="147" t="str">
        <f>IF(Survey!P15="","",--Survey!P15)</f>
        <v/>
      </c>
      <c r="T18" s="459"/>
    </row>
    <row r="19" spans="1:22" s="279" customFormat="1" x14ac:dyDescent="0.2">
      <c r="A19" s="322"/>
      <c r="B19" s="141"/>
      <c r="C19" s="142" t="s">
        <v>10</v>
      </c>
      <c r="D19" s="466" t="str">
        <f>Tolerances</f>
        <v>±10.0°F</v>
      </c>
      <c r="E19" s="304"/>
      <c r="F19" s="154" t="s">
        <v>79</v>
      </c>
      <c r="G19" s="533" t="str">
        <f>IF(K15="Salt",0, IF(OR(K15="Hot",K15="SIM Load Hot"),IF(OR(D26="",D28=""),"N/A",IF(ISBLANK(D26),"N/A",D28-D26)),"N/A"))</f>
        <v>N/A</v>
      </c>
      <c r="H19" s="534"/>
      <c r="I19" s="331" t="str">
        <f>IF(G19="N/A","N/A",IF(G19=0,"&lt;2",ROUND(IF(LEN(G19)&gt;3,G19*1440,RIGHT(TEXT(G19,"hh:mm"),2)),0))&amp;" MINUTES")</f>
        <v>N/A</v>
      </c>
      <c r="J19" s="461">
        <f>V21</f>
        <v>40</v>
      </c>
      <c r="K19" s="304"/>
      <c r="L19" s="305"/>
      <c r="M19" s="304"/>
      <c r="N19" s="430">
        <v>15</v>
      </c>
      <c r="O19" s="146"/>
      <c r="P19" s="559" t="str">
        <f>Survey!N16</f>
        <v/>
      </c>
      <c r="Q19" s="560"/>
      <c r="R19" s="491" t="e">
        <f>Survey!O16</f>
        <v>#VALUE!</v>
      </c>
      <c r="S19" s="147" t="str">
        <f>IF(Survey!P16="","",--Survey!P16)</f>
        <v/>
      </c>
      <c r="T19" s="459"/>
      <c r="U19" s="287" t="s">
        <v>945</v>
      </c>
      <c r="V19" s="287">
        <f>L20</f>
        <v>1</v>
      </c>
    </row>
    <row r="20" spans="1:22" s="279" customFormat="1" ht="13.7" customHeight="1" x14ac:dyDescent="0.2">
      <c r="A20" s="185"/>
      <c r="B20" s="537" t="s">
        <v>965</v>
      </c>
      <c r="C20" s="538"/>
      <c r="D20" s="391" t="str">
        <f>"±"&amp;SAT_Tolerance&amp;"°F"</f>
        <v>±0°F</v>
      </c>
      <c r="E20" s="443"/>
      <c r="F20" s="304"/>
      <c r="G20" s="304"/>
      <c r="H20" s="304"/>
      <c r="I20" s="305"/>
      <c r="J20" s="304"/>
      <c r="K20" s="304"/>
      <c r="L20" s="444">
        <v>1</v>
      </c>
      <c r="M20" s="304"/>
      <c r="N20" s="430">
        <v>16</v>
      </c>
      <c r="O20" s="146"/>
      <c r="P20" s="559" t="str">
        <f>Survey!N17</f>
        <v/>
      </c>
      <c r="Q20" s="560"/>
      <c r="R20" s="491" t="e">
        <f>Survey!O17</f>
        <v>#VALUE!</v>
      </c>
      <c r="S20" s="147" t="str">
        <f>IF(Survey!P17="","",--Survey!P17)</f>
        <v/>
      </c>
      <c r="T20" s="459"/>
      <c r="U20" s="287" t="s">
        <v>944</v>
      </c>
      <c r="V20" s="287">
        <f>(V19-1)*14</f>
        <v>0</v>
      </c>
    </row>
    <row r="21" spans="1:22" s="279" customFormat="1" x14ac:dyDescent="0.2">
      <c r="A21" s="322"/>
      <c r="B21" s="319"/>
      <c r="C21" s="332"/>
      <c r="D21" s="327"/>
      <c r="E21" s="304"/>
      <c r="F21" s="304"/>
      <c r="G21" s="304"/>
      <c r="H21" s="304"/>
      <c r="I21" s="305"/>
      <c r="J21" s="304"/>
      <c r="K21" s="304"/>
      <c r="L21" s="305"/>
      <c r="M21" s="304"/>
      <c r="N21" s="430">
        <v>17</v>
      </c>
      <c r="O21" s="146"/>
      <c r="P21" s="559" t="str">
        <f>Survey!N18</f>
        <v/>
      </c>
      <c r="Q21" s="560"/>
      <c r="R21" s="491" t="e">
        <f>Survey!O18</f>
        <v>#VALUE!</v>
      </c>
      <c r="S21" s="147" t="str">
        <f>IF(Survey!P18="","",--Survey!P18)</f>
        <v/>
      </c>
      <c r="T21" s="459"/>
      <c r="U21" s="287" t="s">
        <v>943</v>
      </c>
      <c r="V21" s="462">
        <f>IF(D17=0,40,D17)</f>
        <v>40</v>
      </c>
    </row>
    <row r="22" spans="1:22" s="279" customFormat="1" x14ac:dyDescent="0.2">
      <c r="A22" s="322"/>
      <c r="B22" s="155"/>
      <c r="C22" s="156" t="s">
        <v>42</v>
      </c>
      <c r="D22" s="282"/>
      <c r="E22" s="304"/>
      <c r="F22" s="333"/>
      <c r="G22" s="304"/>
      <c r="H22" s="304"/>
      <c r="I22" s="305"/>
      <c r="J22" s="304"/>
      <c r="K22" s="304"/>
      <c r="L22" s="305"/>
      <c r="M22" s="304"/>
      <c r="N22" s="430">
        <v>18</v>
      </c>
      <c r="O22" s="146"/>
      <c r="P22" s="559" t="str">
        <f>Survey!N19</f>
        <v/>
      </c>
      <c r="Q22" s="560"/>
      <c r="R22" s="491" t="e">
        <f>Survey!O19</f>
        <v>#VALUE!</v>
      </c>
      <c r="S22" s="147" t="str">
        <f>IF(Survey!P19="","",--Survey!P19)</f>
        <v/>
      </c>
      <c r="T22" s="459"/>
      <c r="U22" s="287" t="s">
        <v>942</v>
      </c>
      <c r="V22" s="287">
        <f>V20+1</f>
        <v>1</v>
      </c>
    </row>
    <row r="23" spans="1:22" s="279" customFormat="1" x14ac:dyDescent="0.2">
      <c r="A23" s="322"/>
      <c r="B23" s="141"/>
      <c r="C23" s="421" t="s">
        <v>908</v>
      </c>
      <c r="D23" s="283"/>
      <c r="E23" s="304"/>
      <c r="F23" s="160" t="s">
        <v>97</v>
      </c>
      <c r="G23" s="514" t="s">
        <v>368</v>
      </c>
      <c r="H23" s="515"/>
      <c r="I23" s="515"/>
      <c r="J23" s="515"/>
      <c r="K23" s="516"/>
      <c r="L23" s="305"/>
      <c r="M23" s="304"/>
      <c r="N23" s="430">
        <v>19</v>
      </c>
      <c r="O23" s="146"/>
      <c r="P23" s="559" t="str">
        <f>Survey!N20</f>
        <v/>
      </c>
      <c r="Q23" s="560"/>
      <c r="R23" s="491" t="e">
        <f>Survey!O20</f>
        <v>#VALUE!</v>
      </c>
      <c r="S23" s="147" t="str">
        <f>IF(Survey!P20="","",--Survey!P20)</f>
        <v/>
      </c>
      <c r="T23" s="459"/>
      <c r="U23" s="287" t="s">
        <v>941</v>
      </c>
      <c r="V23" s="287">
        <f>V20+V21</f>
        <v>40</v>
      </c>
    </row>
    <row r="24" spans="1:22" s="279" customFormat="1" x14ac:dyDescent="0.2">
      <c r="A24" s="322"/>
      <c r="B24" s="537" t="s">
        <v>549</v>
      </c>
      <c r="C24" s="539"/>
      <c r="D24" s="283">
        <v>1</v>
      </c>
      <c r="E24" s="304"/>
      <c r="F24" s="160" t="s">
        <v>98</v>
      </c>
      <c r="G24" s="517"/>
      <c r="H24" s="518"/>
      <c r="I24" s="518"/>
      <c r="J24" s="518"/>
      <c r="K24" s="519"/>
      <c r="L24" s="305"/>
      <c r="M24" s="304"/>
      <c r="N24" s="430">
        <v>20</v>
      </c>
      <c r="O24" s="146"/>
      <c r="P24" s="559" t="str">
        <f>Survey!N21</f>
        <v/>
      </c>
      <c r="Q24" s="560"/>
      <c r="R24" s="491" t="e">
        <f>Survey!O21</f>
        <v>#VALUE!</v>
      </c>
      <c r="S24" s="147" t="str">
        <f>IF(Survey!P21="","",--Survey!P21)</f>
        <v/>
      </c>
      <c r="T24" s="459"/>
      <c r="U24" s="287" t="s">
        <v>940</v>
      </c>
      <c r="V24" s="287" t="str">
        <f>IF(V19=1,"","DaqBook points "&amp;V22&amp;"-"&amp;V23&amp;" used.")</f>
        <v/>
      </c>
    </row>
    <row r="25" spans="1:22" s="279" customFormat="1" x14ac:dyDescent="0.2">
      <c r="A25" s="322"/>
      <c r="B25" s="319"/>
      <c r="C25" s="320"/>
      <c r="D25" s="327"/>
      <c r="E25" s="304"/>
      <c r="F25" s="160" t="s">
        <v>99</v>
      </c>
      <c r="G25" s="517"/>
      <c r="H25" s="518"/>
      <c r="I25" s="518"/>
      <c r="J25" s="518"/>
      <c r="K25" s="519"/>
      <c r="L25" s="305"/>
      <c r="M25" s="304"/>
      <c r="N25" s="430">
        <v>21</v>
      </c>
      <c r="O25" s="146"/>
      <c r="P25" s="559" t="str">
        <f>Survey!N22</f>
        <v/>
      </c>
      <c r="Q25" s="560"/>
      <c r="R25" s="491" t="e">
        <f>Survey!O22</f>
        <v>#VALUE!</v>
      </c>
      <c r="S25" s="147" t="str">
        <f>IF(Survey!P22="","",--Survey!P22)</f>
        <v/>
      </c>
      <c r="T25" s="459"/>
    </row>
    <row r="26" spans="1:22" s="279" customFormat="1" x14ac:dyDescent="0.2">
      <c r="A26" s="322"/>
      <c r="B26" s="155"/>
      <c r="C26" s="156" t="s">
        <v>60</v>
      </c>
      <c r="D26" s="293"/>
      <c r="E26" s="306" t="str">
        <f>TEXT(D26,"hh:mm")</f>
        <v>00:00</v>
      </c>
      <c r="F26" s="305"/>
      <c r="G26" s="305"/>
      <c r="H26" s="305"/>
      <c r="I26" s="305"/>
      <c r="J26" s="305"/>
      <c r="K26" s="305"/>
      <c r="L26" s="305"/>
      <c r="M26" s="304"/>
      <c r="N26" s="430">
        <v>22</v>
      </c>
      <c r="O26" s="146"/>
      <c r="P26" s="559" t="str">
        <f>Survey!N23</f>
        <v/>
      </c>
      <c r="Q26" s="560"/>
      <c r="R26" s="491" t="e">
        <f>Survey!O23</f>
        <v>#VALUE!</v>
      </c>
      <c r="S26" s="147" t="str">
        <f>IF(Survey!P23="","",--Survey!P23)</f>
        <v/>
      </c>
      <c r="T26" s="459"/>
    </row>
    <row r="27" spans="1:22" s="279" customFormat="1" x14ac:dyDescent="0.2">
      <c r="A27" s="322"/>
      <c r="B27" s="161">
        <v>10</v>
      </c>
      <c r="C27" s="142" t="s">
        <v>61</v>
      </c>
      <c r="D27" s="293"/>
      <c r="E27" s="306"/>
      <c r="F27" s="240" t="s">
        <v>268</v>
      </c>
      <c r="G27" s="239" t="str">
        <f>G28</f>
        <v>Cal by Customer</v>
      </c>
      <c r="H27" s="512" t="str">
        <f>IF(ISBLANK(D6),"",IF(CheckRec="x","CHECK INSTRUMENT CAL DATES!!!!             CHECK INSTRUMENT CAL DATES!!!!",""))</f>
        <v/>
      </c>
      <c r="I27" s="513"/>
      <c r="J27" s="513"/>
      <c r="K27" s="513"/>
      <c r="L27" s="305"/>
      <c r="M27" s="304"/>
      <c r="N27" s="430">
        <v>23</v>
      </c>
      <c r="O27" s="146"/>
      <c r="P27" s="559" t="str">
        <f>Survey!N24</f>
        <v/>
      </c>
      <c r="Q27" s="560"/>
      <c r="R27" s="491" t="e">
        <f>Survey!O24</f>
        <v>#VALUE!</v>
      </c>
      <c r="S27" s="147" t="str">
        <f>IF(Survey!P24="","",--Survey!P24)</f>
        <v/>
      </c>
      <c r="T27" s="459"/>
    </row>
    <row r="28" spans="1:22" s="279" customFormat="1" x14ac:dyDescent="0.2">
      <c r="A28" s="322"/>
      <c r="B28" s="162">
        <v>30</v>
      </c>
      <c r="C28" s="158" t="s">
        <v>62</v>
      </c>
      <c r="D28" s="293"/>
      <c r="E28" s="306"/>
      <c r="F28" s="240" t="s">
        <v>269</v>
      </c>
      <c r="G28" s="239" t="str">
        <f>IF(CheckRec="y","Cal by Customer",IF(D$3,D$3,""))</f>
        <v>Cal by Customer</v>
      </c>
      <c r="H28" s="512"/>
      <c r="I28" s="513"/>
      <c r="J28" s="513"/>
      <c r="K28" s="513"/>
      <c r="L28" s="305"/>
      <c r="M28" s="304"/>
      <c r="N28" s="430">
        <v>24</v>
      </c>
      <c r="O28" s="146"/>
      <c r="P28" s="559" t="str">
        <f>Survey!N25</f>
        <v/>
      </c>
      <c r="Q28" s="560"/>
      <c r="R28" s="491" t="e">
        <f>Survey!O25</f>
        <v>#VALUE!</v>
      </c>
      <c r="S28" s="147" t="str">
        <f>IF(Survey!P25="","",--Survey!P25)</f>
        <v/>
      </c>
      <c r="T28" s="459"/>
    </row>
    <row r="29" spans="1:22" s="279" customFormat="1" x14ac:dyDescent="0.2">
      <c r="A29" s="322"/>
      <c r="B29" s="161">
        <v>40</v>
      </c>
      <c r="C29" s="142" t="s">
        <v>73</v>
      </c>
      <c r="D29" s="163" t="str">
        <f>(IF(OR(D27="",D28=""),"",IF(ISBLANK(D27),"",D28-D27)))</f>
        <v/>
      </c>
      <c r="E29" s="334" t="str">
        <f>IFERROR(IF(D29=0,"&lt;2",ROUND(IF(LEN(D29)&gt;3,D29*1440,TEXT(D29,"hh:mm")),0)) &amp;" MINUTES","")</f>
        <v/>
      </c>
      <c r="F29" s="308" t="s">
        <v>270</v>
      </c>
      <c r="G29" s="305"/>
      <c r="H29" s="305"/>
      <c r="I29" s="305"/>
      <c r="J29" s="305"/>
      <c r="K29" s="305"/>
      <c r="L29" s="305"/>
      <c r="M29" s="304"/>
      <c r="N29" s="430">
        <v>25</v>
      </c>
      <c r="O29" s="146"/>
      <c r="P29" s="559" t="str">
        <f>Survey!N26</f>
        <v/>
      </c>
      <c r="Q29" s="560"/>
      <c r="R29" s="491" t="e">
        <f>Survey!O26</f>
        <v>#VALUE!</v>
      </c>
      <c r="S29" s="147" t="str">
        <f>IF(Survey!P26="","",--Survey!P26)</f>
        <v/>
      </c>
      <c r="T29" s="459"/>
    </row>
    <row r="30" spans="1:22" s="279" customFormat="1" x14ac:dyDescent="0.2">
      <c r="A30" s="322"/>
      <c r="B30" s="247">
        <v>45</v>
      </c>
      <c r="C30" s="158" t="s">
        <v>63</v>
      </c>
      <c r="D30" s="387"/>
      <c r="E30" s="335" t="str">
        <f>IF(ISBLANK(D30), "", TEXT(D30, "H:mm"))</f>
        <v/>
      </c>
      <c r="F30" s="304"/>
      <c r="G30" s="307">
        <f>IF(D29="",0,D29)</f>
        <v>0</v>
      </c>
      <c r="H30" s="336">
        <f>D28-D26</f>
        <v>0</v>
      </c>
      <c r="I30" s="305"/>
      <c r="J30" s="305"/>
      <c r="K30" s="305"/>
      <c r="L30" s="337"/>
      <c r="M30" s="304"/>
      <c r="N30" s="430">
        <v>26</v>
      </c>
      <c r="O30" s="146"/>
      <c r="P30" s="559" t="str">
        <f>Survey!N27</f>
        <v/>
      </c>
      <c r="Q30" s="560"/>
      <c r="R30" s="491" t="e">
        <f>Survey!O27</f>
        <v>#VALUE!</v>
      </c>
      <c r="S30" s="147" t="str">
        <f>IF(Survey!P27="","",--Survey!P27)</f>
        <v/>
      </c>
      <c r="T30" s="459"/>
    </row>
    <row r="31" spans="1:22" s="279" customFormat="1" x14ac:dyDescent="0.2">
      <c r="A31" s="322"/>
      <c r="B31" s="141"/>
      <c r="C31" s="142" t="s">
        <v>52</v>
      </c>
      <c r="D31" s="277">
        <f>D30+TIME(0,D32,0)</f>
        <v>0</v>
      </c>
      <c r="E31" s="304"/>
      <c r="F31" s="338" t="str">
        <f>IF(AND(LagLimit&gt;0,G30&gt;LagLimit),"LAG TIME TOO HIGH!!!","")</f>
        <v/>
      </c>
      <c r="G31" s="305"/>
      <c r="H31" s="339" t="str">
        <f>IF(AND(RecoveryLimit&gt;0,H30&gt;RecoveryLimit),"RECOVERY TIME TOO HIGH!!!!","")</f>
        <v/>
      </c>
      <c r="I31" s="305"/>
      <c r="J31" s="305"/>
      <c r="K31" s="305"/>
      <c r="L31" s="340"/>
      <c r="M31" s="340"/>
      <c r="N31" s="430">
        <v>27</v>
      </c>
      <c r="O31" s="146"/>
      <c r="P31" s="559" t="str">
        <f>Survey!N28</f>
        <v/>
      </c>
      <c r="Q31" s="560"/>
      <c r="R31" s="491" t="e">
        <f>Survey!O28</f>
        <v>#VALUE!</v>
      </c>
      <c r="S31" s="147" t="str">
        <f>IF(Survey!P28="","",--Survey!P28)</f>
        <v/>
      </c>
      <c r="T31" s="459"/>
    </row>
    <row r="32" spans="1:22" s="279" customFormat="1" x14ac:dyDescent="0.2">
      <c r="A32" s="332"/>
      <c r="B32" s="164"/>
      <c r="C32" s="165" t="s">
        <v>81</v>
      </c>
      <c r="D32" s="284"/>
      <c r="E32" s="304"/>
      <c r="F32" s="305" t="str">
        <f>IF(COUNTIF(Comparison_Report!R1:R8, 1) &gt; 0, "CHECK COMPARISON REPORT!!!", "")</f>
        <v/>
      </c>
      <c r="G32" s="305"/>
      <c r="H32" s="305"/>
      <c r="I32" s="305"/>
      <c r="J32" s="305"/>
      <c r="K32" s="305"/>
      <c r="L32" s="305"/>
      <c r="M32" s="304"/>
      <c r="N32" s="430">
        <v>28</v>
      </c>
      <c r="O32" s="146"/>
      <c r="P32" s="559" t="str">
        <f>Survey!N29</f>
        <v/>
      </c>
      <c r="Q32" s="560"/>
      <c r="R32" s="491" t="e">
        <f>Survey!O29</f>
        <v>#VALUE!</v>
      </c>
      <c r="S32" s="147" t="str">
        <f>IF(Survey!P29="","",--Survey!P29)</f>
        <v/>
      </c>
      <c r="T32" s="459"/>
    </row>
    <row r="33" spans="1:24" s="279" customFormat="1" x14ac:dyDescent="0.2">
      <c r="A33" s="322"/>
      <c r="B33" s="319"/>
      <c r="C33" s="341"/>
      <c r="D33" s="140"/>
      <c r="E33" s="140"/>
      <c r="F33" s="140"/>
      <c r="G33" s="140"/>
      <c r="H33" s="140"/>
      <c r="I33" s="140"/>
      <c r="J33" s="140"/>
      <c r="K33" s="140"/>
      <c r="L33" s="140"/>
      <c r="M33" s="304"/>
      <c r="N33" s="430">
        <v>29</v>
      </c>
      <c r="O33" s="146"/>
      <c r="P33" s="559" t="str">
        <f>Survey!N30</f>
        <v/>
      </c>
      <c r="Q33" s="560"/>
      <c r="R33" s="491" t="e">
        <f>Survey!O30</f>
        <v>#VALUE!</v>
      </c>
      <c r="S33" s="147" t="str">
        <f>IF(Survey!P30="","",--Survey!P30)</f>
        <v/>
      </c>
      <c r="T33" s="459"/>
    </row>
    <row r="34" spans="1:24" s="279" customFormat="1" ht="12.75" customHeight="1" x14ac:dyDescent="0.2">
      <c r="A34" s="322"/>
      <c r="B34" s="526" t="s">
        <v>49</v>
      </c>
      <c r="C34" s="527"/>
      <c r="D34" s="527"/>
      <c r="E34" s="527"/>
      <c r="F34" s="527"/>
      <c r="G34" s="527"/>
      <c r="H34" s="527"/>
      <c r="I34" s="527"/>
      <c r="J34" s="527"/>
      <c r="K34" s="527"/>
      <c r="L34" s="528"/>
      <c r="M34" s="304"/>
      <c r="N34" s="430">
        <v>30</v>
      </c>
      <c r="O34" s="146"/>
      <c r="P34" s="559" t="str">
        <f>Survey!N31</f>
        <v/>
      </c>
      <c r="Q34" s="560"/>
      <c r="R34" s="491" t="e">
        <f>Survey!O31</f>
        <v>#VALUE!</v>
      </c>
      <c r="S34" s="147" t="str">
        <f>IF(Survey!P31="","",--Survey!P31)</f>
        <v/>
      </c>
      <c r="T34" s="460"/>
    </row>
    <row r="35" spans="1:24" s="279" customFormat="1" ht="12.75" customHeight="1" thickBot="1" x14ac:dyDescent="0.25">
      <c r="A35" s="464"/>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4"/>
      <c r="N35" s="430">
        <v>31</v>
      </c>
      <c r="O35" s="146"/>
      <c r="P35" s="559" t="str">
        <f>Survey!N32</f>
        <v/>
      </c>
      <c r="Q35" s="560"/>
      <c r="R35" s="491" t="e">
        <f>Survey!O32</f>
        <v>#VALUE!</v>
      </c>
      <c r="S35" s="147" t="str">
        <f>IF(Survey!P32="","",--Survey!P32)</f>
        <v/>
      </c>
      <c r="T35" s="460"/>
    </row>
    <row r="36" spans="1:24" s="279" customFormat="1" ht="13.5" thickBot="1" x14ac:dyDescent="0.25">
      <c r="A36" s="465" t="s">
        <v>916</v>
      </c>
      <c r="B36" s="170" t="s">
        <v>12</v>
      </c>
      <c r="C36" s="171" t="s">
        <v>48</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4"/>
      <c r="N36" s="430">
        <v>32</v>
      </c>
      <c r="O36" s="146"/>
      <c r="P36" s="559" t="str">
        <f>Survey!N33</f>
        <v/>
      </c>
      <c r="Q36" s="560"/>
      <c r="R36" s="491" t="e">
        <f>Survey!O33</f>
        <v>#VALUE!</v>
      </c>
      <c r="S36" s="147" t="str">
        <f>IF(Survey!P33="","",--Survey!P33)</f>
        <v/>
      </c>
      <c r="T36" s="460"/>
    </row>
    <row r="37" spans="1:24" s="279" customFormat="1" x14ac:dyDescent="0.2">
      <c r="A37" s="472" t="str">
        <f t="shared" ref="A37:A44" si="0">IF(B37,1,"")</f>
        <v/>
      </c>
      <c r="B37" s="472"/>
      <c r="C37" s="473"/>
      <c r="D37" s="474"/>
      <c r="E37" s="474"/>
      <c r="F37" s="474"/>
      <c r="G37" s="474"/>
      <c r="H37" s="474"/>
      <c r="I37" s="475"/>
      <c r="J37" s="475"/>
      <c r="K37" s="475"/>
      <c r="L37" s="475"/>
      <c r="M37" s="304"/>
      <c r="N37" s="430">
        <v>33</v>
      </c>
      <c r="O37" s="146"/>
      <c r="P37" s="559" t="str">
        <f>Survey!N34</f>
        <v/>
      </c>
      <c r="Q37" s="560"/>
      <c r="R37" s="491" t="e">
        <f>Survey!O34</f>
        <v>#VALUE!</v>
      </c>
      <c r="S37" s="147" t="str">
        <f>IF(Survey!P34="","",--Survey!P34)</f>
        <v/>
      </c>
      <c r="T37" s="460"/>
    </row>
    <row r="38" spans="1:24" s="279" customFormat="1" x14ac:dyDescent="0.2">
      <c r="A38" s="472" t="str">
        <f t="shared" si="0"/>
        <v/>
      </c>
      <c r="B38" s="476"/>
      <c r="C38" s="477"/>
      <c r="D38" s="474"/>
      <c r="E38" s="474"/>
      <c r="F38" s="474"/>
      <c r="G38" s="474"/>
      <c r="H38" s="474"/>
      <c r="I38" s="475"/>
      <c r="J38" s="475"/>
      <c r="K38" s="475"/>
      <c r="L38" s="475"/>
      <c r="M38" s="304"/>
      <c r="N38" s="430">
        <v>34</v>
      </c>
      <c r="O38" s="146"/>
      <c r="P38" s="559" t="str">
        <f>Survey!N35</f>
        <v/>
      </c>
      <c r="Q38" s="560"/>
      <c r="R38" s="491" t="e">
        <f>Survey!O35</f>
        <v>#VALUE!</v>
      </c>
      <c r="S38" s="147" t="str">
        <f>IF(Survey!P35="","",--Survey!P35)</f>
        <v/>
      </c>
      <c r="T38" s="460"/>
    </row>
    <row r="39" spans="1:24" s="279" customFormat="1" x14ac:dyDescent="0.2">
      <c r="A39" s="472" t="str">
        <f t="shared" si="0"/>
        <v/>
      </c>
      <c r="B39" s="476"/>
      <c r="C39" s="477"/>
      <c r="D39" s="474"/>
      <c r="E39" s="474"/>
      <c r="F39" s="474"/>
      <c r="G39" s="474"/>
      <c r="H39" s="475"/>
      <c r="I39" s="475"/>
      <c r="J39" s="475"/>
      <c r="K39" s="475"/>
      <c r="L39" s="475"/>
      <c r="M39" s="304"/>
      <c r="N39" s="430">
        <v>35</v>
      </c>
      <c r="O39" s="146"/>
      <c r="P39" s="559" t="str">
        <f>Survey!N36</f>
        <v/>
      </c>
      <c r="Q39" s="560"/>
      <c r="R39" s="491" t="e">
        <f>Survey!O36</f>
        <v>#VALUE!</v>
      </c>
      <c r="S39" s="147" t="str">
        <f>IF(Survey!P36="","",--Survey!P36)</f>
        <v/>
      </c>
      <c r="T39" s="460"/>
    </row>
    <row r="40" spans="1:24" s="279" customFormat="1" x14ac:dyDescent="0.2">
      <c r="A40" s="472" t="str">
        <f t="shared" si="0"/>
        <v/>
      </c>
      <c r="B40" s="476"/>
      <c r="C40" s="477"/>
      <c r="D40" s="474"/>
      <c r="E40" s="474"/>
      <c r="F40" s="474"/>
      <c r="G40" s="474"/>
      <c r="H40" s="475"/>
      <c r="I40" s="475"/>
      <c r="J40" s="475"/>
      <c r="K40" s="475"/>
      <c r="L40" s="475"/>
      <c r="M40" s="304"/>
      <c r="N40" s="430">
        <v>36</v>
      </c>
      <c r="O40" s="146"/>
      <c r="P40" s="559" t="str">
        <f>Survey!N37</f>
        <v/>
      </c>
      <c r="Q40" s="560"/>
      <c r="R40" s="491" t="e">
        <f>Survey!O37</f>
        <v>#VALUE!</v>
      </c>
      <c r="S40" s="147" t="str">
        <f>IF(Survey!P37="","",--Survey!P37)</f>
        <v/>
      </c>
      <c r="T40" s="460"/>
    </row>
    <row r="41" spans="1:24" s="279" customFormat="1" x14ac:dyDescent="0.2">
      <c r="A41" s="472" t="str">
        <f t="shared" si="0"/>
        <v/>
      </c>
      <c r="B41" s="478"/>
      <c r="C41" s="479"/>
      <c r="D41" s="480"/>
      <c r="E41" s="480"/>
      <c r="F41" s="480"/>
      <c r="G41" s="480"/>
      <c r="H41" s="480"/>
      <c r="I41" s="480"/>
      <c r="J41" s="480"/>
      <c r="K41" s="480"/>
      <c r="L41" s="480"/>
      <c r="M41" s="304"/>
      <c r="N41" s="430">
        <v>37</v>
      </c>
      <c r="O41" s="146"/>
      <c r="P41" s="559" t="str">
        <f>Survey!N38</f>
        <v/>
      </c>
      <c r="Q41" s="560"/>
      <c r="R41" s="491" t="e">
        <f>Survey!O38</f>
        <v>#VALUE!</v>
      </c>
      <c r="S41" s="147" t="str">
        <f>IF(Survey!P38="","",--Survey!P38)</f>
        <v/>
      </c>
      <c r="T41" s="460"/>
    </row>
    <row r="42" spans="1:24" s="279" customFormat="1" x14ac:dyDescent="0.2">
      <c r="A42" s="472" t="str">
        <f t="shared" si="0"/>
        <v/>
      </c>
      <c r="B42" s="478"/>
      <c r="C42" s="479"/>
      <c r="D42" s="480"/>
      <c r="E42" s="480"/>
      <c r="F42" s="480"/>
      <c r="G42" s="480"/>
      <c r="H42" s="480"/>
      <c r="I42" s="480"/>
      <c r="J42" s="480"/>
      <c r="K42" s="480"/>
      <c r="L42" s="480"/>
      <c r="M42" s="304"/>
      <c r="N42" s="430">
        <v>38</v>
      </c>
      <c r="O42" s="146"/>
      <c r="P42" s="559" t="str">
        <f>Survey!N39</f>
        <v/>
      </c>
      <c r="Q42" s="560"/>
      <c r="R42" s="491" t="e">
        <f>Survey!O39</f>
        <v>#VALUE!</v>
      </c>
      <c r="S42" s="147" t="str">
        <f>IF(Survey!P39="","",--Survey!P39)</f>
        <v/>
      </c>
      <c r="T42" s="460"/>
    </row>
    <row r="43" spans="1:24" s="279" customFormat="1" x14ac:dyDescent="0.2">
      <c r="A43" s="472" t="str">
        <f t="shared" si="0"/>
        <v/>
      </c>
      <c r="B43" s="478"/>
      <c r="C43" s="479"/>
      <c r="D43" s="480"/>
      <c r="E43" s="480"/>
      <c r="F43" s="480"/>
      <c r="G43" s="480"/>
      <c r="H43" s="480"/>
      <c r="I43" s="480"/>
      <c r="J43" s="480"/>
      <c r="K43" s="480"/>
      <c r="L43" s="480"/>
      <c r="M43" s="304"/>
      <c r="N43" s="430">
        <v>39</v>
      </c>
      <c r="O43" s="146"/>
      <c r="P43" s="559" t="str">
        <f>Survey!N40</f>
        <v/>
      </c>
      <c r="Q43" s="560"/>
      <c r="R43" s="491" t="e">
        <f>Survey!O40</f>
        <v>#VALUE!</v>
      </c>
      <c r="S43" s="147" t="str">
        <f>IF(Survey!P40="","",--Survey!P40)</f>
        <v/>
      </c>
      <c r="T43" s="460"/>
    </row>
    <row r="44" spans="1:24" s="279" customFormat="1" x14ac:dyDescent="0.2">
      <c r="A44" s="472" t="str">
        <f t="shared" si="0"/>
        <v/>
      </c>
      <c r="B44" s="478"/>
      <c r="C44" s="479"/>
      <c r="D44" s="480"/>
      <c r="E44" s="480"/>
      <c r="F44" s="480"/>
      <c r="G44" s="480"/>
      <c r="H44" s="480"/>
      <c r="I44" s="480"/>
      <c r="J44" s="480"/>
      <c r="K44" s="480"/>
      <c r="L44" s="480"/>
      <c r="M44" s="304"/>
      <c r="N44" s="430">
        <v>40</v>
      </c>
      <c r="O44" s="146"/>
      <c r="P44" s="559" t="str">
        <f>Survey!N41</f>
        <v/>
      </c>
      <c r="Q44" s="560"/>
      <c r="R44" s="491" t="e">
        <f>Survey!O41</f>
        <v>#VALUE!</v>
      </c>
      <c r="S44" s="147" t="str">
        <f>IF(Survey!P41="","",--Survey!P41)</f>
        <v/>
      </c>
      <c r="T44" s="460"/>
    </row>
    <row r="45" spans="1:24" s="308" customFormat="1" x14ac:dyDescent="0.2">
      <c r="A45" s="322"/>
      <c r="B45" s="343"/>
      <c r="C45" s="344"/>
      <c r="D45" s="304"/>
      <c r="E45" s="304"/>
      <c r="F45" s="304"/>
      <c r="G45" s="304"/>
      <c r="H45" s="304"/>
      <c r="I45" s="304"/>
      <c r="J45" s="304"/>
      <c r="K45" s="345"/>
      <c r="L45" s="304"/>
      <c r="M45" s="304"/>
      <c r="N45" s="306"/>
      <c r="P45" s="306"/>
      <c r="Q45" s="306"/>
      <c r="R45" s="306"/>
      <c r="S45" s="485"/>
      <c r="T45" s="306"/>
      <c r="X45" s="485"/>
    </row>
    <row r="46" spans="1:24" x14ac:dyDescent="0.2">
      <c r="A46" s="326"/>
      <c r="B46" s="346"/>
      <c r="C46" s="347"/>
      <c r="D46" s="494" t="s">
        <v>33</v>
      </c>
      <c r="E46" s="495"/>
      <c r="F46" s="495"/>
      <c r="G46" s="495"/>
      <c r="H46" s="495"/>
      <c r="I46" s="496"/>
      <c r="J46" s="348"/>
      <c r="K46" s="348"/>
      <c r="L46" s="348"/>
      <c r="M46" s="520" t="s">
        <v>326</v>
      </c>
      <c r="N46" s="521"/>
      <c r="O46" s="522"/>
      <c r="P46" s="523"/>
      <c r="Q46" s="308"/>
      <c r="S46" s="308"/>
      <c r="T46" s="308"/>
      <c r="U46" s="308"/>
    </row>
    <row r="47" spans="1:24" x14ac:dyDescent="0.2">
      <c r="A47" s="326"/>
      <c r="B47" s="346"/>
      <c r="C47" s="407" t="s">
        <v>59</v>
      </c>
      <c r="D47" s="290" t="str">
        <f>IF(D48="","",""""&amp;_xlfn.XLOOKUP(D$48,WireSets[serial_number],WireSets[type],"",0)&amp;"""")</f>
        <v/>
      </c>
      <c r="E47" s="290" t="str">
        <f>IF(E48="","",""""&amp;_xlfn.XLOOKUP(E$48,WireSets[serial_number],WireSets[type],"",0)&amp;"""")</f>
        <v/>
      </c>
      <c r="F47" s="290" t="str">
        <f>IF(F48="","",""""&amp;_xlfn.XLOOKUP(F$48,WireSets[serial_number],WireSets[type],"",0)&amp;"""")</f>
        <v/>
      </c>
      <c r="G47" s="290" t="str">
        <f>IF(G48="","",""""&amp;_xlfn.XLOOKUP(G$48,WireSets[serial_number],WireSets[type],"",0)&amp;"""")</f>
        <v/>
      </c>
      <c r="H47" s="290" t="str">
        <f>IF(H48="","",""""&amp;_xlfn.XLOOKUP(H$48,WireSets[serial_number],WireSets[type],"",0)&amp;"""")</f>
        <v/>
      </c>
      <c r="I47" s="290" t="str">
        <f>IF(I48="","",""""&amp;_xlfn.XLOOKUP(I$48,WireSets[serial_number],WireSets[type],"",0)&amp;"""")</f>
        <v/>
      </c>
      <c r="J47" s="348"/>
      <c r="K47" s="348"/>
      <c r="L47" s="304"/>
      <c r="M47" s="240" t="s">
        <v>327</v>
      </c>
      <c r="N47" s="302" t="s">
        <v>328</v>
      </c>
      <c r="O47" s="349"/>
      <c r="P47" s="501" t="s">
        <v>329</v>
      </c>
      <c r="Q47" s="501"/>
      <c r="R47" s="410" t="s">
        <v>330</v>
      </c>
      <c r="T47" s="308"/>
      <c r="U47" s="308"/>
    </row>
    <row r="48" spans="1:24" x14ac:dyDescent="0.2">
      <c r="A48" s="322"/>
      <c r="B48" s="346"/>
      <c r="C48" s="408" t="s">
        <v>34</v>
      </c>
      <c r="D48" s="291"/>
      <c r="E48" s="291"/>
      <c r="F48" s="291"/>
      <c r="G48" s="291"/>
      <c r="H48" s="291"/>
      <c r="I48" s="291"/>
      <c r="J48" s="348"/>
      <c r="K48" s="348"/>
      <c r="L48" s="348"/>
      <c r="M48" s="502" t="s">
        <v>331</v>
      </c>
      <c r="N48" s="502"/>
      <c r="O48" s="350"/>
      <c r="P48" s="503" t="s">
        <v>377</v>
      </c>
      <c r="Q48" s="504"/>
      <c r="R48" s="505"/>
      <c r="S48" s="484" t="b">
        <f>_xlfn.REGEXTEST(TRIM(Class),"^[0-9][AC]",1)</f>
        <v>0</v>
      </c>
      <c r="T48" s="309"/>
      <c r="U48" s="503" t="s">
        <v>380</v>
      </c>
      <c r="V48" s="504"/>
      <c r="W48" s="505"/>
      <c r="X48" s="484" t="b">
        <f>_xlfn.REGEXTEST(TRIM(Class),"^[0-9][AC]",1)</f>
        <v>0</v>
      </c>
    </row>
    <row r="49" spans="1:24" x14ac:dyDescent="0.2">
      <c r="A49" s="322"/>
      <c r="B49" s="351"/>
      <c r="C49" s="407" t="s">
        <v>35</v>
      </c>
      <c r="D49" s="289" t="str">
        <f>_xlfn.XLOOKUP(D$48,WireSets[serial_number],WireSets[service_date],"",0)</f>
        <v/>
      </c>
      <c r="E49" s="289" t="str">
        <f>_xlfn.XLOOKUP(E$48,WireSets[serial_number],WireSets[service_date],"",0)</f>
        <v/>
      </c>
      <c r="F49" s="289" t="str">
        <f>_xlfn.XLOOKUP(F$48,WireSets[serial_number],WireSets[service_date],"",0)</f>
        <v/>
      </c>
      <c r="G49" s="289" t="str">
        <f>_xlfn.XLOOKUP(G$48,WireSets[serial_number],WireSets[service_date],"",0)</f>
        <v/>
      </c>
      <c r="H49" s="289" t="str">
        <f>_xlfn.XLOOKUP(H$48,WireSets[serial_number],WireSets[service_date],"",0)</f>
        <v/>
      </c>
      <c r="I49" s="289" t="str">
        <f>_xlfn.XLOOKUP(I$48,WireSets[serial_number],WireSets[service_date],"",0)</f>
        <v/>
      </c>
      <c r="J49" s="348"/>
      <c r="K49" s="348" t="s">
        <v>854</v>
      </c>
      <c r="L49" s="348"/>
      <c r="M49" s="240" t="s">
        <v>332</v>
      </c>
      <c r="N49" s="301" t="str">
        <f>IF(PB="","",PB)</f>
        <v>Unavailable</v>
      </c>
      <c r="O49" s="318"/>
      <c r="P49" s="506" t="s">
        <v>382</v>
      </c>
      <c r="Q49" s="507"/>
      <c r="R49" s="508"/>
      <c r="S49" s="411" t="str">
        <f>IF(_xlfn.REGEXTEST(TRIM(Class),"^[0-9][AC]",1),
  IF(L4&lt;=HalfTolMax,"Yes","No"),
"N/A")</f>
        <v>N/A</v>
      </c>
      <c r="T49" s="310"/>
      <c r="U49" s="506" t="s">
        <v>381</v>
      </c>
      <c r="V49" s="507"/>
      <c r="W49" s="508"/>
      <c r="X49" s="411" t="str">
        <f>IF(_xlfn.REGEXTEST(TRIM(Class),"^[0-9][AC]",1),
  IF(L5&gt;=HalfTolMin,"Yes","No"),
"N/A")</f>
        <v>N/A</v>
      </c>
    </row>
    <row r="50" spans="1:24" x14ac:dyDescent="0.2">
      <c r="A50" s="322"/>
      <c r="B50" s="352"/>
      <c r="C50" s="407" t="s">
        <v>36</v>
      </c>
      <c r="D50" s="289" t="str">
        <f>IF(D49="","",EDATE(D49,3))</f>
        <v/>
      </c>
      <c r="E50" s="289" t="str">
        <f t="shared" ref="E50:I50" si="1">IF(E49="","",EDATE(E49,3))</f>
        <v/>
      </c>
      <c r="F50" s="289" t="str">
        <f t="shared" si="1"/>
        <v/>
      </c>
      <c r="G50" s="289" t="str">
        <f t="shared" si="1"/>
        <v/>
      </c>
      <c r="H50" s="289" t="str">
        <f t="shared" si="1"/>
        <v/>
      </c>
      <c r="I50" s="289" t="str">
        <f t="shared" si="1"/>
        <v/>
      </c>
      <c r="J50" s="348"/>
      <c r="K50" s="348"/>
      <c r="L50" s="348"/>
      <c r="M50" s="240" t="s">
        <v>333</v>
      </c>
      <c r="N50" s="301" t="str">
        <f>IF(Integral="","",Integral)</f>
        <v/>
      </c>
      <c r="O50" s="318"/>
      <c r="P50" s="509" t="s">
        <v>334</v>
      </c>
      <c r="Q50" s="510"/>
      <c r="R50" s="511"/>
      <c r="S50" s="353"/>
      <c r="T50" s="311"/>
      <c r="U50" s="509" t="s">
        <v>334</v>
      </c>
      <c r="V50" s="510"/>
      <c r="W50" s="511"/>
      <c r="X50" s="308"/>
    </row>
    <row r="51" spans="1:24" x14ac:dyDescent="0.2">
      <c r="A51" s="322"/>
      <c r="B51" s="354"/>
      <c r="C51" s="407" t="s">
        <v>57</v>
      </c>
      <c r="D51" s="291"/>
      <c r="E51" s="291"/>
      <c r="F51" s="291"/>
      <c r="G51" s="291"/>
      <c r="H51" s="291"/>
      <c r="I51" s="291"/>
      <c r="J51" s="348"/>
      <c r="K51" s="355"/>
      <c r="L51" s="348"/>
      <c r="M51" s="394" t="s">
        <v>335</v>
      </c>
      <c r="N51" s="301" t="str">
        <f>IF(Derivative="","",Derivative)</f>
        <v/>
      </c>
      <c r="O51" s="304"/>
      <c r="P51" s="506" t="s">
        <v>378</v>
      </c>
      <c r="Q51" s="507"/>
      <c r="R51" s="508"/>
      <c r="S51" s="411"/>
      <c r="T51" s="312"/>
      <c r="U51" s="506" t="s">
        <v>383</v>
      </c>
      <c r="V51" s="507"/>
      <c r="W51" s="508"/>
      <c r="X51" s="411"/>
    </row>
    <row r="52" spans="1:24" x14ac:dyDescent="0.2">
      <c r="A52" s="322"/>
      <c r="B52" s="346"/>
      <c r="C52" s="407" t="s">
        <v>341</v>
      </c>
      <c r="D52" s="291"/>
      <c r="E52" s="291"/>
      <c r="F52" s="291"/>
      <c r="G52" s="291"/>
      <c r="H52" s="291"/>
      <c r="I52" s="291"/>
      <c r="J52" s="348"/>
      <c r="K52" s="355"/>
      <c r="L52" s="348"/>
      <c r="M52" s="394" t="s">
        <v>336</v>
      </c>
      <c r="N52" s="301" t="str">
        <f>IF(Other1="","",Other1)</f>
        <v/>
      </c>
      <c r="O52" s="318"/>
      <c r="P52" s="509" t="s">
        <v>334</v>
      </c>
      <c r="Q52" s="510"/>
      <c r="R52" s="511"/>
      <c r="S52" s="353"/>
      <c r="T52" s="313"/>
      <c r="U52" s="509" t="s">
        <v>334</v>
      </c>
      <c r="V52" s="510"/>
      <c r="W52" s="511"/>
      <c r="X52" s="308"/>
    </row>
    <row r="53" spans="1:24" ht="12.75" customHeight="1" x14ac:dyDescent="0.2">
      <c r="A53" s="322"/>
      <c r="B53" s="346"/>
      <c r="C53" s="407" t="s">
        <v>58</v>
      </c>
      <c r="D53" s="296"/>
      <c r="E53" s="296"/>
      <c r="F53" s="296"/>
      <c r="G53" s="296"/>
      <c r="H53" s="296"/>
      <c r="I53" s="296"/>
      <c r="J53" s="348"/>
      <c r="K53" s="356"/>
      <c r="L53" s="356"/>
      <c r="M53" s="395" t="s">
        <v>336</v>
      </c>
      <c r="N53" s="301" t="str">
        <f>IF(Other2="","",Other2)</f>
        <v/>
      </c>
      <c r="O53" s="318"/>
      <c r="P53" s="553" t="s">
        <v>379</v>
      </c>
      <c r="Q53" s="554"/>
      <c r="R53" s="555"/>
      <c r="S53" s="411"/>
      <c r="T53" s="314"/>
      <c r="U53" s="553" t="s">
        <v>384</v>
      </c>
      <c r="V53" s="554"/>
      <c r="W53" s="555"/>
      <c r="X53" s="411"/>
    </row>
    <row r="54" spans="1:24" x14ac:dyDescent="0.2">
      <c r="A54" s="322"/>
      <c r="B54" s="346"/>
      <c r="C54" s="409" t="s">
        <v>82</v>
      </c>
      <c r="D54" s="452" t="str">
        <f>_xlfn.XLOOKUP(D$48,WireSets[serial_number],WireSets[traceability_number],"",0)</f>
        <v/>
      </c>
      <c r="E54" s="452" t="str">
        <f>_xlfn.XLOOKUP(E$48,WireSets[serial_number],WireSets[traceability_number],"",0)</f>
        <v/>
      </c>
      <c r="F54" s="452" t="str">
        <f>_xlfn.XLOOKUP(F$48,WireSets[serial_number],WireSets[traceability_number],"",0)</f>
        <v/>
      </c>
      <c r="G54" s="452" t="str">
        <f>_xlfn.XLOOKUP(G$48,WireSets[serial_number],WireSets[traceability_number],"",0)</f>
        <v/>
      </c>
      <c r="H54" s="452" t="str">
        <f>_xlfn.XLOOKUP(H$48,WireSets[serial_number],WireSets[traceability_number],"",0)</f>
        <v/>
      </c>
      <c r="I54" s="452" t="str">
        <f>_xlfn.XLOOKUP(I$48,WireSets[serial_number],WireSets[traceability_number],"",0)</f>
        <v/>
      </c>
      <c r="J54" s="357"/>
      <c r="K54" s="396"/>
      <c r="L54" s="397"/>
      <c r="M54" s="398" t="s">
        <v>363</v>
      </c>
      <c r="N54" s="300">
        <v>0</v>
      </c>
      <c r="O54" s="306"/>
      <c r="P54" s="556"/>
      <c r="Q54" s="557"/>
      <c r="R54" s="558"/>
      <c r="S54" s="358"/>
      <c r="T54" s="315"/>
      <c r="U54" s="556"/>
      <c r="V54" s="557"/>
      <c r="W54" s="558"/>
    </row>
    <row r="55" spans="1:24" x14ac:dyDescent="0.2">
      <c r="A55" s="322"/>
      <c r="B55" s="346"/>
      <c r="C55" s="409" t="s">
        <v>150</v>
      </c>
      <c r="D55" s="453" t="str">
        <f>_xlfn.XLOOKUP(D$48,WireSets[serial_number],WireSets[wire_roll_cert_number],"",0)</f>
        <v/>
      </c>
      <c r="E55" s="453" t="str">
        <f>_xlfn.XLOOKUP(E$48,WireSets[serial_number],WireSets[wire_roll_cert_number],"",0)</f>
        <v/>
      </c>
      <c r="F55" s="453" t="str">
        <f>_xlfn.XLOOKUP(F$48,WireSets[serial_number],WireSets[wire_roll_cert_number],"",0)</f>
        <v/>
      </c>
      <c r="G55" s="453" t="str">
        <f>_xlfn.XLOOKUP(G$48,WireSets[serial_number],WireSets[wire_roll_cert_number],"",0)</f>
        <v/>
      </c>
      <c r="H55" s="453" t="str">
        <f>_xlfn.XLOOKUP(H$48,WireSets[serial_number],WireSets[wire_roll_cert_number],"",0)</f>
        <v/>
      </c>
      <c r="I55" s="453" t="str">
        <f>_xlfn.XLOOKUP(I$48,WireSets[serial_number],WireSets[wire_roll_cert_number],"",0)</f>
        <v/>
      </c>
      <c r="J55" s="359"/>
      <c r="K55" s="399"/>
      <c r="L55" s="400"/>
      <c r="M55" s="401" t="s">
        <v>364</v>
      </c>
      <c r="N55" s="300">
        <v>0</v>
      </c>
      <c r="O55" s="306"/>
      <c r="P55" s="243" t="s">
        <v>337</v>
      </c>
      <c r="Q55" s="243" t="s">
        <v>14</v>
      </c>
      <c r="R55" s="251" t="s">
        <v>338</v>
      </c>
      <c r="S55" s="360"/>
      <c r="T55" s="316"/>
      <c r="U55" s="303" t="s">
        <v>339</v>
      </c>
      <c r="V55" s="243" t="s">
        <v>14</v>
      </c>
      <c r="W55" s="243" t="s">
        <v>340</v>
      </c>
    </row>
    <row r="56" spans="1:24" x14ac:dyDescent="0.2">
      <c r="A56" s="322"/>
      <c r="B56" s="361"/>
      <c r="C56" s="409" t="s">
        <v>151</v>
      </c>
      <c r="D56" s="291"/>
      <c r="E56" s="291"/>
      <c r="F56" s="291"/>
      <c r="G56" s="291"/>
      <c r="H56" s="291"/>
      <c r="I56" s="291"/>
      <c r="J56" s="362"/>
      <c r="K56" s="402"/>
      <c r="L56" s="403"/>
      <c r="M56" s="401" t="s">
        <v>365</v>
      </c>
      <c r="N56" s="300">
        <v>0</v>
      </c>
      <c r="O56" s="306"/>
      <c r="P56" s="412"/>
      <c r="Q56" s="413"/>
      <c r="R56" s="414" t="e">
        <f>_xlfn.XLOOKUP("High",$C$37:$C$44,B37:B44)</f>
        <v>#N/A</v>
      </c>
      <c r="S56" s="363"/>
      <c r="T56" s="317"/>
      <c r="U56" s="415"/>
      <c r="V56" s="413"/>
      <c r="W56" s="412" t="e">
        <f>_xlfn.XLOOKUP("Low",$C$37:$C$44,B37:B44)</f>
        <v>#N/A</v>
      </c>
    </row>
    <row r="57" spans="1:24" x14ac:dyDescent="0.2">
      <c r="A57" s="322"/>
      <c r="B57" s="343"/>
      <c r="C57" s="240" t="s">
        <v>342</v>
      </c>
      <c r="D57" s="292"/>
      <c r="E57" s="292"/>
      <c r="F57" s="292"/>
      <c r="G57" s="292"/>
      <c r="H57" s="292"/>
      <c r="I57" s="292"/>
      <c r="J57" s="304"/>
      <c r="K57" s="404"/>
      <c r="L57" s="405"/>
      <c r="M57" s="406" t="s">
        <v>366</v>
      </c>
      <c r="N57" s="300">
        <v>0</v>
      </c>
      <c r="O57" s="306"/>
      <c r="P57" s="304"/>
      <c r="Q57" s="486"/>
      <c r="S57" s="304"/>
      <c r="V57" s="486"/>
    </row>
    <row r="58" spans="1:24" x14ac:dyDescent="0.2">
      <c r="A58" s="322"/>
      <c r="B58" s="343"/>
      <c r="C58" s="494" t="s">
        <v>156</v>
      </c>
      <c r="D58" s="495"/>
      <c r="E58" s="495"/>
      <c r="F58" s="495"/>
      <c r="G58" s="495"/>
      <c r="H58" s="495"/>
      <c r="I58" s="495"/>
      <c r="J58" s="495"/>
      <c r="K58" s="499"/>
      <c r="L58" s="500"/>
      <c r="M58" s="308"/>
      <c r="N58" s="308"/>
      <c r="O58" s="308"/>
      <c r="P58" s="304"/>
      <c r="Q58" s="488"/>
      <c r="S58" s="308"/>
      <c r="T58" s="308"/>
      <c r="U58" s="308"/>
      <c r="V58" s="486"/>
    </row>
    <row r="59" spans="1:24" x14ac:dyDescent="0.2">
      <c r="A59" s="322"/>
      <c r="B59" s="343"/>
      <c r="C59" s="494" t="s">
        <v>159</v>
      </c>
      <c r="D59" s="495"/>
      <c r="E59" s="495"/>
      <c r="F59" s="495"/>
      <c r="G59" s="495"/>
      <c r="H59" s="495"/>
      <c r="I59" s="495"/>
      <c r="J59" s="495"/>
      <c r="K59" s="495"/>
      <c r="L59" s="496"/>
      <c r="M59" s="308"/>
      <c r="N59" s="318" t="str">
        <f>"DOORS OPENED FOR " &amp;L16&amp; " SECONDS TO SIMULATE LOAD ENTRY AT " &amp;L17&amp; "."</f>
        <v>DOORS OPENED FOR  SECONDS TO SIMULATE LOAD ENTRY AT .</v>
      </c>
      <c r="O59" s="318"/>
      <c r="P59" s="318"/>
      <c r="Q59" s="487"/>
      <c r="R59" s="318"/>
      <c r="S59" s="318"/>
      <c r="T59" s="318"/>
      <c r="U59" s="318"/>
      <c r="V59" s="487"/>
    </row>
    <row r="60" spans="1:24" x14ac:dyDescent="0.2">
      <c r="A60" s="364"/>
      <c r="B60" s="351"/>
      <c r="C60" s="173"/>
      <c r="D60" s="174" t="s">
        <v>157</v>
      </c>
      <c r="E60" s="299"/>
      <c r="F60" s="175" t="str">
        <f>Unit&amp;" and oven setpoint raised until high limit system activated at "</f>
        <v xml:space="preserve">°F and oven setpoint raised until high limit system activated at </v>
      </c>
      <c r="G60" s="176"/>
      <c r="H60" s="176"/>
      <c r="I60" s="176"/>
      <c r="J60" s="177"/>
      <c r="K60" s="299"/>
      <c r="L60" s="178" t="str">
        <f>Unit&amp;"."</f>
        <v>°F.</v>
      </c>
      <c r="M60" s="348"/>
      <c r="N60" s="365" t="str">
        <f>"AFTER TUS, HIGH LIMIT SET AT " &amp;E60&amp; "°F AND OVEN SETPOINT RAISED UNTIL HIGH LIMIT SYSTEM ACTIVATED AT " &amp;K60&amp; "°F."</f>
        <v>AFTER TUS, HIGH LIMIT SET AT °F AND OVEN SETPOINT RAISED UNTIL HIGH LIMIT SYSTEM ACTIVATED AT °F.</v>
      </c>
      <c r="O60" s="365"/>
      <c r="P60" s="318"/>
      <c r="Q60" s="487"/>
      <c r="R60" s="318"/>
      <c r="S60" s="318"/>
      <c r="T60" s="318"/>
      <c r="U60" s="318"/>
      <c r="V60" s="487"/>
    </row>
    <row r="61" spans="1:24" x14ac:dyDescent="0.2">
      <c r="A61" s="326"/>
      <c r="B61" s="319"/>
      <c r="C61" s="174"/>
      <c r="D61" s="174" t="s">
        <v>158</v>
      </c>
      <c r="E61" s="299"/>
      <c r="F61" s="180" t="s">
        <v>160</v>
      </c>
      <c r="G61" s="181"/>
      <c r="H61" s="181"/>
      <c r="I61" s="182"/>
      <c r="J61" s="299"/>
      <c r="K61" s="183" t="str">
        <f>Unit&amp;"."</f>
        <v>°F.</v>
      </c>
      <c r="L61" s="304"/>
      <c r="M61" s="308"/>
      <c r="N61" s="365" t="str">
        <f>"AFTER TUS, HIGH LIMIT READING " &amp;E61&amp; "°F AND HIGH LIMIT SETPOINT LOWERED UNTIL ACTIVATION AT " &amp;J61&amp; "°F."</f>
        <v>AFTER TUS, HIGH LIMIT READING °F AND HIGH LIMIT SETPOINT LOWERED UNTIL ACTIVATION AT °F.</v>
      </c>
      <c r="O61" s="366"/>
      <c r="P61" s="318"/>
      <c r="Q61" s="487"/>
      <c r="R61" s="318"/>
      <c r="S61" s="318"/>
      <c r="T61" s="318"/>
      <c r="U61" s="318"/>
      <c r="V61" s="487"/>
    </row>
    <row r="62" spans="1:24" x14ac:dyDescent="0.2">
      <c r="A62" s="326"/>
      <c r="B62" s="319"/>
      <c r="C62" s="320"/>
      <c r="D62" s="304"/>
      <c r="E62" s="304"/>
      <c r="F62" s="308" t="s">
        <v>361</v>
      </c>
      <c r="G62" s="342"/>
      <c r="H62" s="342"/>
      <c r="I62" s="342"/>
      <c r="J62" s="304"/>
      <c r="K62" s="304"/>
      <c r="L62" s="304"/>
      <c r="M62" s="367"/>
      <c r="N62" s="366"/>
      <c r="O62" s="366"/>
      <c r="P62" s="318"/>
      <c r="Q62" s="487"/>
      <c r="R62" s="318"/>
      <c r="S62" s="318"/>
      <c r="T62" s="318"/>
      <c r="U62" s="318"/>
      <c r="V62" s="487"/>
    </row>
    <row r="63" spans="1:24" x14ac:dyDescent="0.2">
      <c r="A63" s="326"/>
      <c r="B63" s="319"/>
      <c r="C63" s="341"/>
      <c r="D63" s="342"/>
      <c r="E63" s="342"/>
      <c r="F63" s="342"/>
      <c r="G63" s="342"/>
      <c r="H63" s="342"/>
      <c r="I63" s="342"/>
      <c r="J63" s="304"/>
      <c r="K63" s="304"/>
      <c r="L63" s="304"/>
      <c r="M63" s="308"/>
      <c r="N63" s="348"/>
      <c r="O63" s="348"/>
      <c r="P63" s="308"/>
      <c r="Q63" s="488"/>
      <c r="R63" s="308"/>
      <c r="S63" s="308"/>
      <c r="T63" s="308"/>
      <c r="U63" s="308"/>
      <c r="V63" s="486"/>
    </row>
    <row r="64" spans="1:24" x14ac:dyDescent="0.2">
      <c r="A64" s="368"/>
      <c r="B64" s="369"/>
      <c r="C64" s="370"/>
      <c r="D64" s="371"/>
      <c r="E64" s="377"/>
      <c r="F64" s="378"/>
      <c r="G64" s="379"/>
      <c r="H64" s="380"/>
      <c r="I64" s="381"/>
      <c r="J64" s="374"/>
      <c r="K64" s="375"/>
      <c r="L64" s="376"/>
      <c r="M64" s="371"/>
      <c r="N64" s="372"/>
      <c r="O64" s="372"/>
      <c r="P64" s="372"/>
      <c r="Q64" s="489"/>
      <c r="R64" s="304"/>
      <c r="S64" s="304"/>
      <c r="V64" s="486"/>
    </row>
    <row r="65" spans="1:26" x14ac:dyDescent="0.2">
      <c r="A65" s="368"/>
      <c r="B65" s="369"/>
      <c r="C65" s="370"/>
      <c r="D65" s="371"/>
      <c r="E65" s="68" t="s">
        <v>900</v>
      </c>
      <c r="F65" t="s">
        <v>149</v>
      </c>
      <c r="G65" s="37" t="s">
        <v>901</v>
      </c>
      <c r="I65" s="375"/>
      <c r="J65" s="376"/>
      <c r="K65" s="371"/>
      <c r="L65" s="372"/>
      <c r="M65" s="372"/>
      <c r="N65" s="372"/>
      <c r="O65" s="371"/>
      <c r="P65" s="304"/>
      <c r="Q65" s="486"/>
      <c r="R65" s="308"/>
      <c r="S65" s="304"/>
      <c r="V65" s="486"/>
    </row>
    <row r="66" spans="1:26" x14ac:dyDescent="0.2">
      <c r="A66" s="368"/>
      <c r="B66" s="369"/>
      <c r="C66" s="370"/>
      <c r="D66" s="371"/>
      <c r="E66">
        <v>1</v>
      </c>
      <c r="F66" s="389">
        <v>5</v>
      </c>
      <c r="G66" s="389">
        <v>2</v>
      </c>
      <c r="I66" s="375"/>
      <c r="J66" s="376"/>
      <c r="K66" s="371"/>
      <c r="L66" s="372"/>
      <c r="M66" s="372"/>
      <c r="N66" s="372"/>
      <c r="O66" s="371"/>
      <c r="P66" s="304"/>
      <c r="Q66" s="486"/>
      <c r="R66" s="304"/>
      <c r="S66" s="304"/>
      <c r="V66" s="486"/>
    </row>
    <row r="67" spans="1:26" x14ac:dyDescent="0.2">
      <c r="A67" s="368"/>
      <c r="B67" s="369"/>
      <c r="C67" s="370"/>
      <c r="D67" s="371"/>
      <c r="E67">
        <v>2</v>
      </c>
      <c r="F67" s="389">
        <v>10</v>
      </c>
      <c r="G67" s="389">
        <v>3</v>
      </c>
      <c r="I67" s="375"/>
      <c r="J67" s="376"/>
      <c r="K67" s="371"/>
      <c r="L67" s="372"/>
      <c r="M67" s="372"/>
      <c r="N67" s="372"/>
      <c r="O67" s="371"/>
      <c r="P67" s="304"/>
      <c r="Q67" s="486"/>
      <c r="R67" s="304"/>
      <c r="S67" s="304"/>
      <c r="V67" s="486"/>
    </row>
    <row r="68" spans="1:26" x14ac:dyDescent="0.2">
      <c r="A68" s="368"/>
      <c r="B68" s="369"/>
      <c r="C68" s="370"/>
      <c r="D68" s="371"/>
      <c r="E68">
        <v>3</v>
      </c>
      <c r="F68" s="389">
        <v>15</v>
      </c>
      <c r="G68" s="389">
        <v>4</v>
      </c>
      <c r="I68" s="375"/>
      <c r="J68" s="376"/>
      <c r="K68" s="371"/>
      <c r="L68" s="372"/>
      <c r="M68" s="372"/>
      <c r="N68" s="372"/>
      <c r="O68" s="371"/>
      <c r="P68" s="304"/>
      <c r="Q68" s="486"/>
      <c r="R68" s="304"/>
      <c r="S68" s="304"/>
      <c r="V68" s="486"/>
    </row>
    <row r="69" spans="1:26" x14ac:dyDescent="0.2">
      <c r="A69" s="368"/>
      <c r="B69" s="369"/>
      <c r="C69" s="370"/>
      <c r="D69" s="371"/>
      <c r="E69">
        <v>4</v>
      </c>
      <c r="F69" s="389">
        <v>20</v>
      </c>
      <c r="G69" s="389">
        <v>4</v>
      </c>
      <c r="I69" s="375"/>
      <c r="J69" s="376"/>
      <c r="K69" s="371"/>
      <c r="L69" s="372"/>
      <c r="M69" s="372"/>
      <c r="N69" s="372"/>
      <c r="O69" s="371"/>
      <c r="P69" s="304"/>
      <c r="Q69" s="486"/>
      <c r="R69" s="304"/>
      <c r="S69" s="304"/>
      <c r="V69" s="486"/>
    </row>
    <row r="70" spans="1:26" x14ac:dyDescent="0.2">
      <c r="A70" s="368"/>
      <c r="B70" s="369"/>
      <c r="C70" s="370"/>
      <c r="D70" s="371"/>
      <c r="E70">
        <v>5</v>
      </c>
      <c r="F70" s="389">
        <v>25</v>
      </c>
      <c r="G70" s="389">
        <v>5</v>
      </c>
      <c r="I70" s="375"/>
      <c r="J70" s="376"/>
      <c r="K70" s="371"/>
      <c r="L70" s="372"/>
      <c r="M70" s="372"/>
      <c r="N70" s="372"/>
      <c r="O70" s="371"/>
      <c r="P70" s="304"/>
      <c r="Q70" s="486"/>
      <c r="R70" s="304"/>
      <c r="S70" s="304"/>
      <c r="V70" s="486"/>
    </row>
    <row r="71" spans="1:26" x14ac:dyDescent="0.2">
      <c r="A71" s="368"/>
      <c r="B71" s="369"/>
      <c r="C71" s="370"/>
      <c r="D71" s="371"/>
      <c r="E71">
        <v>6</v>
      </c>
      <c r="F71" s="389">
        <v>50</v>
      </c>
      <c r="G71" s="389">
        <v>10</v>
      </c>
      <c r="I71" s="375"/>
      <c r="J71" s="376"/>
      <c r="K71" s="371"/>
      <c r="L71" s="372"/>
      <c r="M71" s="372"/>
      <c r="N71" s="372"/>
      <c r="O71" s="371"/>
      <c r="P71" s="304"/>
      <c r="Q71" s="304"/>
      <c r="R71" s="304"/>
      <c r="S71" s="304"/>
    </row>
    <row r="72" spans="1:26" x14ac:dyDescent="0.2">
      <c r="A72" s="368"/>
      <c r="B72" s="369"/>
      <c r="C72" s="370"/>
      <c r="D72" s="371"/>
      <c r="E72" s="377"/>
      <c r="F72" s="378"/>
      <c r="H72" s="380"/>
      <c r="I72" s="381"/>
      <c r="J72" s="374"/>
      <c r="K72" s="375"/>
      <c r="L72" s="376"/>
      <c r="M72" s="371"/>
      <c r="N72" s="372"/>
      <c r="O72" s="372"/>
      <c r="P72" s="372"/>
      <c r="Q72" s="371"/>
      <c r="R72" s="304"/>
      <c r="S72" s="304"/>
    </row>
    <row r="73" spans="1:26" x14ac:dyDescent="0.2">
      <c r="A73" s="368"/>
      <c r="B73" s="369"/>
      <c r="C73" s="370"/>
      <c r="D73" s="371"/>
      <c r="E73" s="377"/>
      <c r="F73" s="407" t="s">
        <v>966</v>
      </c>
      <c r="G73" s="470" t="b">
        <f>AND(UUTRangeTol!R2+UUTRangeTol!S2=0,UUTRangeTol!S2&gt;0)</f>
        <v>0</v>
      </c>
      <c r="H73" s="382"/>
      <c r="I73" s="381"/>
      <c r="J73" s="374"/>
      <c r="K73" s="375"/>
      <c r="L73" s="376"/>
      <c r="M73" s="371"/>
      <c r="N73" s="372"/>
      <c r="O73" s="372"/>
      <c r="P73" s="372"/>
      <c r="Q73" s="371"/>
      <c r="R73" s="304"/>
      <c r="S73" s="304"/>
    </row>
    <row r="74" spans="1:26" x14ac:dyDescent="0.2">
      <c r="A74" s="368"/>
      <c r="B74" s="369"/>
      <c r="C74" s="370"/>
      <c r="D74" s="371"/>
      <c r="E74" s="377"/>
      <c r="F74" s="407" t="s">
        <v>967</v>
      </c>
      <c r="G74" s="469">
        <f>IF(Symmetric_Tol,VLOOKUP(UUTRangeTol!S2,SAT_Tolerance_Lookup[[TUS Tol]:[SAT Multiplier]],2,FALSE),SAT_Tol)</f>
        <v>0</v>
      </c>
      <c r="H74" s="376"/>
      <c r="J74" s="374"/>
      <c r="K74" s="375"/>
      <c r="L74" s="376"/>
      <c r="M74" s="371"/>
      <c r="N74" s="372"/>
      <c r="O74" s="372"/>
      <c r="P74" s="372"/>
      <c r="Q74" s="371"/>
      <c r="R74" s="304"/>
      <c r="S74" s="304"/>
    </row>
    <row r="75" spans="1:26" x14ac:dyDescent="0.2">
      <c r="A75" s="368"/>
      <c r="B75" s="369"/>
      <c r="C75" s="370"/>
      <c r="D75" s="371"/>
      <c r="E75" s="373"/>
      <c r="F75" s="407" t="s">
        <v>968</v>
      </c>
      <c r="G75" s="471">
        <f>G74*MAX(NominalTemp/1000,1)</f>
        <v>0</v>
      </c>
      <c r="H75" s="371"/>
      <c r="I75" s="373"/>
      <c r="J75" s="374"/>
      <c r="K75" s="375"/>
      <c r="L75" s="376"/>
      <c r="M75" s="371"/>
      <c r="N75" s="372"/>
      <c r="O75" s="372"/>
      <c r="P75" s="372"/>
      <c r="Q75" s="371"/>
      <c r="R75" s="304"/>
      <c r="S75" s="304"/>
    </row>
    <row r="76" spans="1:26" x14ac:dyDescent="0.2">
      <c r="A76" s="368"/>
      <c r="B76" s="369"/>
      <c r="C76" s="370"/>
      <c r="D76" s="371"/>
      <c r="E76" s="368"/>
      <c r="H76" s="371"/>
      <c r="I76" s="368"/>
      <c r="J76" s="369"/>
      <c r="K76" s="370"/>
      <c r="L76" s="371"/>
      <c r="M76" s="371"/>
      <c r="N76" s="372"/>
      <c r="O76" s="372"/>
      <c r="P76" s="372"/>
      <c r="Q76" s="371"/>
      <c r="R76" s="304"/>
      <c r="S76" s="304"/>
    </row>
    <row r="77" spans="1:26" x14ac:dyDescent="0.2">
      <c r="A77" s="368"/>
      <c r="B77" s="369"/>
      <c r="C77" s="370"/>
      <c r="D77" s="371"/>
      <c r="E77" s="368"/>
      <c r="H77" s="371"/>
      <c r="I77" s="368"/>
      <c r="J77" s="369"/>
      <c r="K77" s="370"/>
      <c r="L77" s="371"/>
      <c r="M77" s="371"/>
      <c r="N77" s="372"/>
      <c r="O77" s="372"/>
      <c r="P77" s="372"/>
      <c r="Q77" s="371"/>
      <c r="R77" s="304"/>
      <c r="S77" s="304"/>
    </row>
    <row r="78" spans="1:26" x14ac:dyDescent="0.2">
      <c r="A78" s="368"/>
      <c r="B78" s="369"/>
      <c r="C78" s="370"/>
      <c r="D78" s="371"/>
      <c r="E78" s="371"/>
      <c r="F78" s="371"/>
      <c r="G78" s="371"/>
      <c r="H78" s="371"/>
      <c r="I78" s="371"/>
      <c r="J78" s="371"/>
      <c r="K78" s="371"/>
      <c r="L78" s="371"/>
      <c r="M78" s="371"/>
      <c r="N78" s="372"/>
      <c r="O78" s="372"/>
      <c r="P78" s="372"/>
      <c r="Q78" s="371"/>
      <c r="R78" s="304"/>
      <c r="S78" s="304"/>
    </row>
    <row r="79" spans="1:26" x14ac:dyDescent="0.2">
      <c r="A79" s="368"/>
      <c r="B79" s="369"/>
      <c r="C79" s="370"/>
      <c r="D79" s="371"/>
      <c r="E79" s="371"/>
      <c r="F79" s="371"/>
      <c r="G79" s="371"/>
      <c r="H79" s="371"/>
      <c r="I79" s="371"/>
      <c r="J79" s="371"/>
      <c r="K79" s="371"/>
      <c r="L79" s="371"/>
      <c r="M79" s="371"/>
      <c r="N79" s="372"/>
      <c r="O79" s="372"/>
      <c r="P79" s="372"/>
      <c r="Q79" s="371"/>
      <c r="R79" s="304"/>
      <c r="S79" s="304"/>
    </row>
    <row r="80" spans="1:26" x14ac:dyDescent="0.2">
      <c r="A80" s="368"/>
      <c r="B80" s="369"/>
      <c r="C80" s="370"/>
      <c r="D80" s="371"/>
      <c r="E80" s="371"/>
      <c r="F80" s="371"/>
      <c r="G80" s="371"/>
      <c r="H80" s="371"/>
      <c r="I80" s="371"/>
      <c r="J80" s="371"/>
      <c r="K80" s="371"/>
      <c r="L80" s="371"/>
      <c r="M80" s="371"/>
      <c r="N80" s="372"/>
      <c r="O80" s="372"/>
      <c r="P80" s="372"/>
      <c r="Q80" s="371"/>
      <c r="R80" s="304"/>
      <c r="S80" s="304"/>
      <c r="Z80" s="450"/>
    </row>
    <row r="81" spans="1:19" x14ac:dyDescent="0.2">
      <c r="A81" s="368"/>
      <c r="B81" s="369"/>
      <c r="C81" s="370"/>
      <c r="D81" s="371"/>
      <c r="E81" s="371"/>
      <c r="F81" s="371"/>
      <c r="G81" s="371"/>
      <c r="H81" s="371"/>
      <c r="I81" s="371"/>
      <c r="J81" s="371"/>
      <c r="K81" s="371"/>
      <c r="L81" s="371"/>
      <c r="M81" s="371"/>
      <c r="N81" s="372"/>
      <c r="O81" s="372"/>
      <c r="P81" s="372"/>
      <c r="Q81" s="371"/>
      <c r="R81" s="304"/>
      <c r="S81" s="304"/>
    </row>
    <row r="82" spans="1:19" x14ac:dyDescent="0.2">
      <c r="A82" s="368"/>
      <c r="B82" s="369"/>
      <c r="C82" s="370"/>
      <c r="D82" s="371"/>
      <c r="E82" s="371"/>
      <c r="F82" s="371"/>
      <c r="G82" s="371"/>
      <c r="H82" s="371"/>
      <c r="I82" s="371"/>
      <c r="J82" s="371"/>
      <c r="K82" s="371"/>
      <c r="L82" s="371"/>
      <c r="M82" s="371"/>
      <c r="N82" s="372"/>
      <c r="O82" s="372"/>
      <c r="P82" s="372"/>
      <c r="Q82" s="371"/>
      <c r="R82" s="304"/>
      <c r="S82" s="304"/>
    </row>
    <row r="83" spans="1:19" x14ac:dyDescent="0.2">
      <c r="A83" s="368"/>
      <c r="B83" s="369"/>
      <c r="C83" s="370"/>
      <c r="D83" s="371"/>
      <c r="E83" s="371"/>
      <c r="F83" s="371"/>
      <c r="G83" s="371"/>
      <c r="H83" s="371"/>
      <c r="I83" s="371"/>
      <c r="J83" s="371"/>
      <c r="K83" s="371"/>
      <c r="L83" s="371"/>
      <c r="M83" s="371"/>
      <c r="N83" s="372"/>
      <c r="O83" s="372"/>
      <c r="P83" s="372"/>
      <c r="Q83" s="371"/>
      <c r="R83" s="304"/>
      <c r="S83" s="304"/>
    </row>
    <row r="84" spans="1:19" x14ac:dyDescent="0.2">
      <c r="A84" s="368"/>
      <c r="B84" s="369"/>
      <c r="C84" s="370"/>
      <c r="D84" s="371"/>
      <c r="E84" s="371"/>
      <c r="F84" s="371"/>
      <c r="G84" s="371"/>
      <c r="H84" s="371"/>
      <c r="I84" s="371"/>
      <c r="J84" s="371"/>
      <c r="K84" s="371"/>
      <c r="L84" s="371"/>
      <c r="M84" s="371"/>
      <c r="N84" s="372"/>
      <c r="O84" s="372"/>
      <c r="P84" s="372"/>
      <c r="Q84" s="371"/>
      <c r="R84" s="304"/>
      <c r="S84" s="304"/>
    </row>
    <row r="85" spans="1:19" x14ac:dyDescent="0.2">
      <c r="A85" s="368"/>
      <c r="B85" s="369"/>
      <c r="C85" s="370"/>
      <c r="D85" s="371"/>
      <c r="E85" s="371"/>
      <c r="F85" s="371"/>
      <c r="G85" s="449"/>
      <c r="H85" s="371"/>
      <c r="I85" s="371"/>
      <c r="J85" s="371"/>
      <c r="K85" s="371"/>
      <c r="L85" s="371"/>
      <c r="M85" s="371"/>
      <c r="N85" s="372"/>
      <c r="O85" s="372"/>
      <c r="P85" s="372"/>
      <c r="Q85" s="371"/>
      <c r="R85" s="304"/>
      <c r="S85" s="304"/>
    </row>
    <row r="86" spans="1:19" x14ac:dyDescent="0.2">
      <c r="A86" s="368"/>
      <c r="B86" s="369"/>
      <c r="C86" s="370"/>
      <c r="D86" s="371"/>
      <c r="E86" s="371"/>
      <c r="F86" s="371"/>
      <c r="G86" s="371"/>
      <c r="H86" s="371"/>
      <c r="I86" s="371"/>
      <c r="J86" s="371"/>
      <c r="K86" s="371"/>
      <c r="L86" s="371"/>
      <c r="M86" s="371"/>
      <c r="N86" s="372"/>
      <c r="O86" s="372"/>
      <c r="P86" s="372"/>
      <c r="Q86" s="371"/>
      <c r="R86" s="304"/>
      <c r="S86" s="304"/>
    </row>
    <row r="87" spans="1:19" x14ac:dyDescent="0.2">
      <c r="A87" s="368"/>
      <c r="B87" s="369"/>
      <c r="C87" s="370"/>
      <c r="D87" s="371"/>
      <c r="E87" s="371"/>
      <c r="F87" s="371"/>
      <c r="G87" s="371"/>
      <c r="H87" s="371"/>
      <c r="I87" s="371"/>
      <c r="J87" s="371"/>
      <c r="K87" s="371"/>
      <c r="L87" s="371"/>
      <c r="M87" s="371"/>
      <c r="N87" s="372"/>
      <c r="O87" s="372"/>
      <c r="P87" s="372"/>
      <c r="Q87" s="371"/>
      <c r="R87" s="304"/>
      <c r="S87" s="304"/>
    </row>
    <row r="88" spans="1:19" x14ac:dyDescent="0.2">
      <c r="A88" s="368"/>
      <c r="B88" s="369"/>
      <c r="C88" s="370"/>
      <c r="D88" s="371"/>
      <c r="E88" s="371"/>
      <c r="F88" s="371"/>
      <c r="G88" s="371"/>
      <c r="H88" s="371"/>
      <c r="I88" s="371"/>
      <c r="J88" s="371"/>
      <c r="K88" s="371"/>
      <c r="L88" s="371"/>
      <c r="M88" s="371"/>
      <c r="N88" s="372"/>
      <c r="O88" s="372"/>
      <c r="P88" s="372"/>
      <c r="Q88" s="371"/>
      <c r="R88" s="304"/>
      <c r="S88" s="304"/>
    </row>
    <row r="89" spans="1:19" x14ac:dyDescent="0.2">
      <c r="A89" s="368"/>
      <c r="B89" s="369"/>
      <c r="C89" s="370"/>
      <c r="D89" s="371"/>
      <c r="E89" s="371"/>
      <c r="F89" s="371"/>
      <c r="G89" s="371"/>
      <c r="H89" s="371"/>
      <c r="I89" s="371"/>
      <c r="J89" s="371"/>
      <c r="K89" s="371"/>
      <c r="L89" s="371"/>
      <c r="M89" s="371"/>
      <c r="N89" s="372"/>
      <c r="O89" s="372"/>
      <c r="P89" s="372"/>
      <c r="Q89" s="371"/>
      <c r="R89" s="304"/>
      <c r="S89" s="304"/>
    </row>
    <row r="90" spans="1:19" x14ac:dyDescent="0.2">
      <c r="A90" s="368"/>
      <c r="B90" s="369"/>
      <c r="C90" s="370"/>
      <c r="D90" s="371"/>
      <c r="E90" s="371"/>
      <c r="F90" s="371"/>
      <c r="G90" s="371"/>
      <c r="H90" s="371"/>
      <c r="I90" s="371"/>
      <c r="J90" s="371"/>
      <c r="K90" s="371"/>
      <c r="L90" s="371"/>
      <c r="M90" s="371"/>
      <c r="N90" s="372"/>
      <c r="O90" s="372"/>
      <c r="P90" s="372"/>
      <c r="Q90" s="371"/>
      <c r="R90" s="304"/>
      <c r="S90" s="304"/>
    </row>
    <row r="91" spans="1:19" x14ac:dyDescent="0.2">
      <c r="A91" s="368"/>
      <c r="B91" s="369"/>
      <c r="C91" s="370"/>
      <c r="D91" s="371"/>
      <c r="E91" s="371"/>
      <c r="F91" s="371"/>
      <c r="G91" s="371"/>
      <c r="H91" s="371"/>
      <c r="I91" s="371"/>
      <c r="J91" s="371"/>
      <c r="K91" s="371"/>
      <c r="L91" s="371"/>
      <c r="M91" s="371"/>
      <c r="N91" s="372"/>
      <c r="O91" s="372"/>
      <c r="P91" s="372"/>
      <c r="Q91" s="371"/>
      <c r="R91" s="304"/>
      <c r="S91" s="304"/>
    </row>
    <row r="92" spans="1:19" x14ac:dyDescent="0.2">
      <c r="A92" s="368"/>
      <c r="B92" s="369"/>
      <c r="C92" s="370"/>
      <c r="D92" s="371"/>
      <c r="E92" s="371"/>
      <c r="F92" s="371"/>
      <c r="G92" s="371"/>
      <c r="H92" s="371"/>
      <c r="I92" s="371"/>
      <c r="J92" s="371"/>
      <c r="K92" s="371"/>
      <c r="L92" s="371"/>
      <c r="M92" s="371"/>
      <c r="N92" s="383"/>
      <c r="O92" s="383"/>
      <c r="P92" s="383"/>
      <c r="Q92" s="371"/>
      <c r="R92" s="304"/>
      <c r="S92" s="304"/>
    </row>
    <row r="93" spans="1:19" x14ac:dyDescent="0.2">
      <c r="A93" s="368"/>
      <c r="B93" s="369"/>
      <c r="C93" s="370"/>
      <c r="D93" s="371"/>
      <c r="E93" s="371"/>
      <c r="F93" s="371"/>
      <c r="G93" s="371"/>
      <c r="H93" s="371"/>
      <c r="I93" s="371"/>
      <c r="J93" s="371"/>
      <c r="K93" s="371"/>
      <c r="L93" s="371"/>
      <c r="M93" s="371"/>
      <c r="N93" s="383"/>
      <c r="O93" s="383"/>
      <c r="P93" s="383"/>
      <c r="Q93" s="371"/>
      <c r="R93" s="304"/>
      <c r="S93" s="304"/>
    </row>
    <row r="94" spans="1:19" x14ac:dyDescent="0.2">
      <c r="A94" s="368"/>
      <c r="B94" s="369"/>
      <c r="C94" s="370"/>
      <c r="D94" s="371"/>
      <c r="E94" s="371"/>
      <c r="F94" s="371"/>
      <c r="G94" s="371"/>
      <c r="H94" s="371"/>
      <c r="I94" s="371"/>
      <c r="J94" s="371"/>
      <c r="K94" s="371"/>
      <c r="L94" s="371"/>
      <c r="M94" s="371"/>
      <c r="N94" s="383"/>
      <c r="O94" s="383"/>
      <c r="P94" s="383"/>
      <c r="Q94" s="371"/>
      <c r="R94" s="304"/>
      <c r="S94" s="304"/>
    </row>
    <row r="95" spans="1:19" x14ac:dyDescent="0.2">
      <c r="A95" s="368"/>
      <c r="B95" s="369"/>
      <c r="C95" s="370"/>
      <c r="D95" s="371"/>
      <c r="E95" s="371"/>
      <c r="F95" s="371"/>
      <c r="G95" s="371"/>
      <c r="H95" s="371"/>
      <c r="I95" s="371"/>
      <c r="J95" s="371"/>
      <c r="K95" s="371"/>
      <c r="L95" s="371"/>
      <c r="M95" s="371"/>
      <c r="N95" s="383"/>
      <c r="O95" s="383"/>
      <c r="P95" s="383"/>
      <c r="Q95" s="371"/>
      <c r="R95" s="304"/>
      <c r="S95" s="304"/>
    </row>
    <row r="96" spans="1:19" x14ac:dyDescent="0.2">
      <c r="A96" s="368"/>
      <c r="B96" s="369"/>
      <c r="C96" s="370"/>
      <c r="D96" s="371"/>
      <c r="E96" s="371"/>
      <c r="F96" s="306"/>
      <c r="G96" s="306"/>
      <c r="H96" s="306"/>
      <c r="I96" s="371"/>
      <c r="J96" s="371"/>
      <c r="K96" s="371"/>
      <c r="L96" s="371"/>
      <c r="M96" s="371"/>
      <c r="N96" s="371"/>
      <c r="O96" s="371"/>
      <c r="P96" s="371"/>
      <c r="Q96" s="371"/>
      <c r="R96" s="304"/>
      <c r="S96" s="304"/>
    </row>
    <row r="97" spans="1:19" x14ac:dyDescent="0.2">
      <c r="A97" s="384"/>
      <c r="B97" s="385"/>
      <c r="C97" s="386"/>
      <c r="D97" s="306"/>
      <c r="E97" s="306"/>
      <c r="F97" s="306"/>
      <c r="G97" s="306"/>
      <c r="H97" s="306"/>
      <c r="I97" s="306"/>
      <c r="J97" s="304"/>
      <c r="K97" s="304"/>
      <c r="L97" s="304"/>
      <c r="M97" s="304"/>
      <c r="N97" s="304"/>
      <c r="O97" s="304"/>
      <c r="P97" s="304"/>
      <c r="Q97" s="304"/>
      <c r="R97" s="304"/>
      <c r="S97" s="304"/>
    </row>
    <row r="98" spans="1:19" x14ac:dyDescent="0.2">
      <c r="A98" s="384"/>
      <c r="B98" s="385"/>
      <c r="C98" s="386"/>
      <c r="D98" s="306"/>
      <c r="E98" s="306"/>
      <c r="F98" s="306"/>
      <c r="G98" s="306"/>
      <c r="H98" s="306"/>
      <c r="I98" s="306"/>
      <c r="J98" s="304"/>
      <c r="K98" s="304"/>
      <c r="L98" s="304"/>
      <c r="M98" s="304"/>
      <c r="N98" s="304"/>
      <c r="O98" s="304"/>
      <c r="P98" s="304"/>
      <c r="Q98" s="304"/>
      <c r="R98" s="304"/>
      <c r="S98" s="304"/>
    </row>
    <row r="99" spans="1:19" x14ac:dyDescent="0.2">
      <c r="A99" s="384"/>
      <c r="B99" s="385"/>
      <c r="C99" s="386"/>
      <c r="D99" s="306"/>
      <c r="E99" s="306"/>
      <c r="I99" s="306"/>
      <c r="J99" s="304"/>
      <c r="K99" s="304"/>
      <c r="L99" s="304"/>
      <c r="M99" s="304"/>
      <c r="N99" s="304"/>
      <c r="O99" s="304"/>
      <c r="P99" s="304"/>
      <c r="Q99" s="304"/>
      <c r="R99" s="304"/>
      <c r="S99" s="304"/>
    </row>
  </sheetData>
  <sheetProtection algorithmName="SHA-512" hashValue="bvTcfw5lK6yFK5Ps91gHPqjJzu/4jmY4GRjPEdujygeZZXa7WVTquWgVWXyJnEVdqf5aPepd3FRl8uvUkbhp4w==" saltValue="moJwR6aOBl+yUdS96zZSTg==" spinCount="100000" sheet="1" objects="1" scenarios="1" selectLockedCells="1" autoFilter="0"/>
  <protectedRanges>
    <protectedRange sqref="G74" name="SAT Tolerance"/>
    <protectedRange sqref="D47:I57" name="Expendable Wire Data"/>
  </protectedRanges>
  <dataConsolidate/>
  <mergeCells count="81">
    <mergeCell ref="P42:Q42"/>
    <mergeCell ref="P43:Q43"/>
    <mergeCell ref="P44:Q44"/>
    <mergeCell ref="P37:Q37"/>
    <mergeCell ref="P38:Q38"/>
    <mergeCell ref="P39:Q39"/>
    <mergeCell ref="P40:Q40"/>
    <mergeCell ref="P41:Q41"/>
    <mergeCell ref="P32:Q32"/>
    <mergeCell ref="P33:Q33"/>
    <mergeCell ref="P34:Q34"/>
    <mergeCell ref="P35:Q35"/>
    <mergeCell ref="P36:Q36"/>
    <mergeCell ref="P27:Q27"/>
    <mergeCell ref="P28:Q28"/>
    <mergeCell ref="P29:Q29"/>
    <mergeCell ref="P30:Q30"/>
    <mergeCell ref="P31:Q31"/>
    <mergeCell ref="P15:Q15"/>
    <mergeCell ref="P16:Q16"/>
    <mergeCell ref="P17:Q17"/>
    <mergeCell ref="P18:Q18"/>
    <mergeCell ref="P19:Q19"/>
    <mergeCell ref="P10:Q10"/>
    <mergeCell ref="P11:Q11"/>
    <mergeCell ref="P12:Q12"/>
    <mergeCell ref="P13:Q13"/>
    <mergeCell ref="P14:Q14"/>
    <mergeCell ref="P5:Q5"/>
    <mergeCell ref="P6:Q6"/>
    <mergeCell ref="P7:Q7"/>
    <mergeCell ref="P8:Q8"/>
    <mergeCell ref="P9:Q9"/>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allowBlank="1" showInputMessage="1" showErrorMessage="1" sqref="C37:C44" xr:uid="{D66B35DD-3E61-4996-B504-86E777E0AB13}">
      <formula1>"Controller, Recorder, High, Low"</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2:D14" evalError="1"/>
    <ignoredError sqref="G27:G28 G7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933</v>
      </c>
      <c r="B1" s="1" t="s">
        <v>932</v>
      </c>
    </row>
    <row r="2" spans="1:2" x14ac:dyDescent="0.2">
      <c r="A2" t="s">
        <v>934</v>
      </c>
      <c r="B2" t="b">
        <v>1</v>
      </c>
    </row>
  </sheetData>
  <sheetProtection algorithmName="SHA-512" hashValue="HncgONfvFJLP2w+zap9PLptvCmN14qogFcAz06KIX27h1eZRikBMpBYKBx5bvf4d9FqOjjdNG/5qsI/76geoDQ==" saltValue="pU3cL8mNN8DcGbrSEJ9IQw==" spinCount="100000" sheet="1" objects="1" scenarios="1" autoFilter="0"/>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R15" sqref="R15"/>
    </sheetView>
  </sheetViews>
  <sheetFormatPr defaultColWidth="9.140625" defaultRowHeight="12.75" x14ac:dyDescent="0.2"/>
  <cols>
    <col min="1" max="1" width="9" style="454" bestFit="1" customWidth="1"/>
    <col min="2" max="15" width="6" style="50" customWidth="1"/>
    <col min="16" max="16" width="2.140625" style="50" customWidth="1"/>
    <col min="17" max="17" width="9" style="420" bestFit="1" customWidth="1"/>
    <col min="18" max="31" width="6" style="50" customWidth="1"/>
    <col min="32" max="32" width="2.140625" style="50" customWidth="1"/>
    <col min="33" max="33" width="9" style="420" bestFit="1" customWidth="1"/>
    <col min="34" max="45" width="6" style="50" customWidth="1"/>
    <col min="46" max="16384" width="9.140625" style="50"/>
  </cols>
  <sheetData>
    <row r="1" spans="1:45" s="422" customFormat="1" ht="24.75" customHeight="1" x14ac:dyDescent="0.25"/>
    <row r="2" spans="1:45" s="423" customFormat="1" x14ac:dyDescent="0.2">
      <c r="A2" s="420" t="s">
        <v>14</v>
      </c>
      <c r="B2" s="46" t="s">
        <v>885</v>
      </c>
      <c r="C2" s="46" t="s">
        <v>886</v>
      </c>
      <c r="D2" s="46" t="s">
        <v>887</v>
      </c>
      <c r="E2" s="46" t="s">
        <v>392</v>
      </c>
      <c r="F2" s="46" t="s">
        <v>888</v>
      </c>
      <c r="G2" s="46" t="s">
        <v>889</v>
      </c>
      <c r="H2" s="46" t="s">
        <v>890</v>
      </c>
      <c r="I2" s="46" t="s">
        <v>891</v>
      </c>
      <c r="J2" s="46" t="s">
        <v>892</v>
      </c>
      <c r="K2" s="46" t="s">
        <v>393</v>
      </c>
      <c r="L2" s="46" t="s">
        <v>893</v>
      </c>
      <c r="M2" s="46" t="s">
        <v>894</v>
      </c>
      <c r="N2" s="46" t="s">
        <v>895</v>
      </c>
      <c r="O2" s="46" t="s">
        <v>896</v>
      </c>
      <c r="P2" s="50"/>
      <c r="Q2" s="420" t="s">
        <v>14</v>
      </c>
      <c r="R2" s="46" t="s">
        <v>871</v>
      </c>
      <c r="S2" s="46" t="s">
        <v>872</v>
      </c>
      <c r="T2" s="46" t="s">
        <v>873</v>
      </c>
      <c r="U2" s="46" t="s">
        <v>874</v>
      </c>
      <c r="V2" s="46" t="s">
        <v>875</v>
      </c>
      <c r="W2" s="46" t="s">
        <v>876</v>
      </c>
      <c r="X2" s="46" t="s">
        <v>877</v>
      </c>
      <c r="Y2" s="46" t="s">
        <v>878</v>
      </c>
      <c r="Z2" s="46" t="s">
        <v>879</v>
      </c>
      <c r="AA2" s="46" t="s">
        <v>880</v>
      </c>
      <c r="AB2" s="46" t="s">
        <v>881</v>
      </c>
      <c r="AC2" s="46" t="s">
        <v>882</v>
      </c>
      <c r="AD2" s="46" t="s">
        <v>883</v>
      </c>
      <c r="AE2" s="46" t="s">
        <v>884</v>
      </c>
      <c r="AF2" s="50"/>
      <c r="AG2" s="420" t="s">
        <v>14</v>
      </c>
      <c r="AH2" s="84" t="s">
        <v>859</v>
      </c>
      <c r="AI2" s="84" t="s">
        <v>860</v>
      </c>
      <c r="AJ2" s="84" t="s">
        <v>861</v>
      </c>
      <c r="AK2" s="84" t="s">
        <v>862</v>
      </c>
      <c r="AL2" s="84" t="s">
        <v>863</v>
      </c>
      <c r="AM2" s="84" t="s">
        <v>864</v>
      </c>
      <c r="AN2" s="84" t="s">
        <v>865</v>
      </c>
      <c r="AO2" s="84" t="s">
        <v>866</v>
      </c>
      <c r="AP2" s="84" t="s">
        <v>867</v>
      </c>
      <c r="AQ2" s="84" t="s">
        <v>868</v>
      </c>
      <c r="AR2" s="84" t="s">
        <v>869</v>
      </c>
      <c r="AS2" s="84" t="s">
        <v>870</v>
      </c>
    </row>
    <row r="3" spans="1:45" x14ac:dyDescent="0.2">
      <c r="A3" s="658"/>
      <c r="B3" s="659"/>
      <c r="C3" s="659"/>
      <c r="D3" s="659"/>
      <c r="E3" s="659"/>
      <c r="F3" s="659"/>
      <c r="G3" s="659"/>
      <c r="H3" s="659"/>
      <c r="I3" s="659"/>
      <c r="J3" s="659"/>
      <c r="K3" s="659"/>
      <c r="L3" s="456"/>
      <c r="M3" s="456"/>
      <c r="N3" s="456"/>
      <c r="O3" s="451"/>
      <c r="Q3" s="454"/>
      <c r="R3" s="455"/>
      <c r="S3" s="455"/>
      <c r="T3" s="455"/>
      <c r="U3" s="455"/>
      <c r="V3" s="455"/>
      <c r="W3" s="455"/>
      <c r="X3" s="455"/>
      <c r="Y3" s="455"/>
      <c r="Z3" s="455"/>
      <c r="AA3" s="455"/>
      <c r="AD3" s="457"/>
      <c r="AE3" s="451"/>
      <c r="AG3" s="454"/>
      <c r="AH3" s="455"/>
      <c r="AI3" s="455"/>
      <c r="AJ3" s="455"/>
      <c r="AK3" s="455"/>
      <c r="AL3" s="455"/>
      <c r="AM3" s="455"/>
      <c r="AN3" s="455"/>
      <c r="AO3" s="455"/>
      <c r="AP3" s="455"/>
      <c r="AQ3" s="455"/>
    </row>
    <row r="4" spans="1:45" x14ac:dyDescent="0.2">
      <c r="Q4" s="454"/>
      <c r="AG4" s="454"/>
    </row>
    <row r="5" spans="1:45" x14ac:dyDescent="0.2">
      <c r="Q5" s="454"/>
      <c r="AG5" s="454"/>
    </row>
    <row r="6" spans="1:45" x14ac:dyDescent="0.2">
      <c r="Q6" s="454"/>
      <c r="AG6" s="454"/>
    </row>
    <row r="7" spans="1:45" x14ac:dyDescent="0.2">
      <c r="Q7" s="454"/>
      <c r="AG7" s="454"/>
    </row>
    <row r="8" spans="1:45" x14ac:dyDescent="0.2">
      <c r="Q8" s="454"/>
      <c r="AG8" s="454"/>
    </row>
    <row r="9" spans="1:45" x14ac:dyDescent="0.2">
      <c r="Q9" s="454"/>
      <c r="AG9" s="454"/>
    </row>
    <row r="10" spans="1:45" x14ac:dyDescent="0.2">
      <c r="Q10" s="454"/>
      <c r="AG10" s="454"/>
    </row>
    <row r="11" spans="1:45" x14ac:dyDescent="0.2">
      <c r="Q11" s="454"/>
      <c r="AG11" s="454"/>
    </row>
    <row r="12" spans="1:45" x14ac:dyDescent="0.2">
      <c r="Q12" s="454"/>
      <c r="AG12" s="454"/>
    </row>
    <row r="13" spans="1:45" x14ac:dyDescent="0.2">
      <c r="Q13" s="454"/>
      <c r="AG13" s="454"/>
    </row>
    <row r="14" spans="1:45" x14ac:dyDescent="0.2">
      <c r="Q14" s="454"/>
      <c r="AG14" s="454"/>
    </row>
    <row r="15" spans="1:45" x14ac:dyDescent="0.2">
      <c r="Q15" s="454"/>
      <c r="AG15" s="454"/>
    </row>
    <row r="16" spans="1:45" x14ac:dyDescent="0.2">
      <c r="Q16" s="454"/>
      <c r="AG16" s="454"/>
    </row>
    <row r="17" spans="17:33" x14ac:dyDescent="0.2">
      <c r="Q17" s="454"/>
      <c r="AG17" s="454"/>
    </row>
    <row r="18" spans="17:33" x14ac:dyDescent="0.2">
      <c r="Q18" s="454"/>
      <c r="AG18" s="454"/>
    </row>
    <row r="19" spans="17:33" x14ac:dyDescent="0.2">
      <c r="Q19" s="454"/>
      <c r="AG19" s="454"/>
    </row>
    <row r="20" spans="17:33" x14ac:dyDescent="0.2">
      <c r="Q20" s="454"/>
      <c r="AG20" s="454"/>
    </row>
    <row r="21" spans="17:33" x14ac:dyDescent="0.2">
      <c r="Q21" s="454"/>
      <c r="AG21" s="454"/>
    </row>
    <row r="22" spans="17:33" x14ac:dyDescent="0.2">
      <c r="Q22" s="454"/>
      <c r="AG22" s="454"/>
    </row>
    <row r="23" spans="17:33" x14ac:dyDescent="0.2">
      <c r="Q23" s="454"/>
      <c r="AG23" s="454"/>
    </row>
    <row r="24" spans="17:33" x14ac:dyDescent="0.2">
      <c r="Q24" s="454"/>
      <c r="AG24" s="454"/>
    </row>
    <row r="25" spans="17:33" x14ac:dyDescent="0.2">
      <c r="Q25" s="454"/>
      <c r="AG25" s="454"/>
    </row>
    <row r="26" spans="17:33" x14ac:dyDescent="0.2">
      <c r="Q26" s="454"/>
      <c r="AG26" s="454"/>
    </row>
    <row r="27" spans="17:33" x14ac:dyDescent="0.2">
      <c r="Q27" s="454"/>
      <c r="AG27" s="454"/>
    </row>
    <row r="28" spans="17:33" x14ac:dyDescent="0.2">
      <c r="Q28" s="454"/>
      <c r="AG28" s="454"/>
    </row>
    <row r="29" spans="17:33" x14ac:dyDescent="0.2">
      <c r="Q29" s="454"/>
      <c r="AG29" s="454"/>
    </row>
    <row r="30" spans="17:33" x14ac:dyDescent="0.2">
      <c r="Q30" s="454"/>
      <c r="AG30" s="454"/>
    </row>
    <row r="31" spans="17:33" x14ac:dyDescent="0.2">
      <c r="Q31" s="454"/>
      <c r="AG31" s="454"/>
    </row>
    <row r="32" spans="17:33" x14ac:dyDescent="0.2">
      <c r="Q32" s="454"/>
      <c r="AG32" s="454"/>
    </row>
    <row r="33" spans="17:33" x14ac:dyDescent="0.2">
      <c r="Q33" s="454"/>
      <c r="AG33" s="454"/>
    </row>
    <row r="34" spans="17:33" x14ac:dyDescent="0.2">
      <c r="Q34" s="454"/>
      <c r="AG34" s="454"/>
    </row>
    <row r="35" spans="17:33" x14ac:dyDescent="0.2">
      <c r="Q35" s="454"/>
      <c r="AG35" s="454"/>
    </row>
    <row r="36" spans="17:33" x14ac:dyDescent="0.2">
      <c r="Q36" s="454"/>
      <c r="AG36" s="454"/>
    </row>
    <row r="37" spans="17:33" x14ac:dyDescent="0.2">
      <c r="Q37" s="454"/>
      <c r="AG37" s="454"/>
    </row>
    <row r="38" spans="17:33" x14ac:dyDescent="0.2">
      <c r="Q38" s="454"/>
      <c r="AG38" s="454"/>
    </row>
    <row r="39" spans="17:33" x14ac:dyDescent="0.2">
      <c r="Q39" s="454"/>
      <c r="AG39" s="454"/>
    </row>
    <row r="40" spans="17:33" x14ac:dyDescent="0.2">
      <c r="Q40" s="454"/>
      <c r="AG40" s="454"/>
    </row>
    <row r="41" spans="17:33" x14ac:dyDescent="0.2">
      <c r="Q41" s="454"/>
      <c r="AG41" s="454"/>
    </row>
    <row r="42" spans="17:33" x14ac:dyDescent="0.2">
      <c r="Q42" s="454"/>
      <c r="AG42" s="454"/>
    </row>
    <row r="43" spans="17:33" x14ac:dyDescent="0.2">
      <c r="Q43" s="454"/>
      <c r="AG43" s="454"/>
    </row>
    <row r="44" spans="17:33" x14ac:dyDescent="0.2">
      <c r="Q44" s="454"/>
      <c r="AG44" s="454"/>
    </row>
    <row r="45" spans="17:33" x14ac:dyDescent="0.2">
      <c r="Q45" s="454"/>
      <c r="AG45" s="454"/>
    </row>
    <row r="46" spans="17:33" x14ac:dyDescent="0.2">
      <c r="Q46" s="454"/>
      <c r="AG46" s="454"/>
    </row>
    <row r="47" spans="17:33" x14ac:dyDescent="0.2">
      <c r="Q47" s="454"/>
      <c r="AG47" s="454"/>
    </row>
    <row r="48" spans="17:33" x14ac:dyDescent="0.2">
      <c r="Q48" s="454"/>
      <c r="AG48" s="454"/>
    </row>
    <row r="49" spans="17:33" x14ac:dyDescent="0.2">
      <c r="Q49" s="454"/>
      <c r="AG49" s="454"/>
    </row>
    <row r="50" spans="17:33" x14ac:dyDescent="0.2">
      <c r="Q50" s="454"/>
      <c r="AG50" s="454"/>
    </row>
    <row r="51" spans="17:33" x14ac:dyDescent="0.2">
      <c r="Q51" s="454"/>
      <c r="AG51" s="454"/>
    </row>
    <row r="52" spans="17:33" x14ac:dyDescent="0.2">
      <c r="Q52" s="454"/>
      <c r="AG52" s="454"/>
    </row>
    <row r="53" spans="17:33" x14ac:dyDescent="0.2">
      <c r="Q53" s="454"/>
      <c r="AG53" s="454"/>
    </row>
    <row r="54" spans="17:33" x14ac:dyDescent="0.2">
      <c r="Q54" s="454"/>
      <c r="AG54" s="454"/>
    </row>
    <row r="55" spans="17:33" x14ac:dyDescent="0.2">
      <c r="Q55" s="454"/>
      <c r="AG55" s="454"/>
    </row>
    <row r="56" spans="17:33" x14ac:dyDescent="0.2">
      <c r="Q56" s="454"/>
      <c r="AG56" s="454"/>
    </row>
    <row r="57" spans="17:33" x14ac:dyDescent="0.2">
      <c r="Q57" s="454"/>
      <c r="AG57" s="454"/>
    </row>
    <row r="58" spans="17:33" x14ac:dyDescent="0.2">
      <c r="Q58" s="454"/>
      <c r="AG58" s="454"/>
    </row>
    <row r="59" spans="17:33" x14ac:dyDescent="0.2">
      <c r="Q59" s="454"/>
      <c r="AG59" s="454"/>
    </row>
    <row r="60" spans="17:33" x14ac:dyDescent="0.2">
      <c r="Q60" s="454"/>
      <c r="AG60" s="454"/>
    </row>
    <row r="61" spans="17:33" x14ac:dyDescent="0.2">
      <c r="Q61" s="454"/>
      <c r="AG61" s="454"/>
    </row>
    <row r="62" spans="17:33" x14ac:dyDescent="0.2">
      <c r="Q62" s="454"/>
      <c r="AG62" s="454"/>
    </row>
    <row r="63" spans="17:33" x14ac:dyDescent="0.2">
      <c r="Q63" s="454"/>
      <c r="AG63" s="454"/>
    </row>
    <row r="64" spans="17:33" x14ac:dyDescent="0.2">
      <c r="Q64" s="454"/>
      <c r="AG64" s="454"/>
    </row>
    <row r="65" spans="17:33" x14ac:dyDescent="0.2">
      <c r="Q65" s="454"/>
      <c r="AG65" s="454"/>
    </row>
    <row r="66" spans="17:33" x14ac:dyDescent="0.2">
      <c r="Q66" s="454"/>
      <c r="AG66" s="454"/>
    </row>
    <row r="67" spans="17:33" x14ac:dyDescent="0.2">
      <c r="Q67" s="454"/>
      <c r="AG67" s="454"/>
    </row>
    <row r="68" spans="17:33" x14ac:dyDescent="0.2">
      <c r="Q68" s="454"/>
      <c r="AG68" s="454"/>
    </row>
    <row r="69" spans="17:33" x14ac:dyDescent="0.2">
      <c r="Q69" s="454"/>
      <c r="AG69" s="454"/>
    </row>
    <row r="70" spans="17:33" x14ac:dyDescent="0.2">
      <c r="Q70" s="454"/>
      <c r="AG70" s="454"/>
    </row>
    <row r="71" spans="17:33" x14ac:dyDescent="0.2">
      <c r="Q71" s="454"/>
      <c r="AG71" s="454"/>
    </row>
    <row r="72" spans="17:33" x14ac:dyDescent="0.2">
      <c r="Q72" s="454"/>
      <c r="AG72" s="454"/>
    </row>
    <row r="73" spans="17:33" x14ac:dyDescent="0.2">
      <c r="Q73" s="454"/>
      <c r="AG73" s="454"/>
    </row>
    <row r="74" spans="17:33" x14ac:dyDescent="0.2">
      <c r="Q74" s="454"/>
      <c r="AG74" s="454"/>
    </row>
    <row r="75" spans="17:33" x14ac:dyDescent="0.2">
      <c r="Q75" s="454"/>
      <c r="AG75" s="454"/>
    </row>
    <row r="76" spans="17:33" x14ac:dyDescent="0.2">
      <c r="Q76" s="454"/>
      <c r="AG76" s="454"/>
    </row>
    <row r="77" spans="17:33" x14ac:dyDescent="0.2">
      <c r="Q77" s="454"/>
      <c r="AG77" s="454"/>
    </row>
    <row r="78" spans="17:33" x14ac:dyDescent="0.2">
      <c r="Q78" s="454"/>
      <c r="AG78" s="454"/>
    </row>
    <row r="79" spans="17:33" x14ac:dyDescent="0.2">
      <c r="Q79" s="454"/>
      <c r="AG79" s="454"/>
    </row>
    <row r="80" spans="17:33" x14ac:dyDescent="0.2">
      <c r="Q80" s="454"/>
      <c r="AG80" s="454"/>
    </row>
    <row r="81" spans="17:33" x14ac:dyDescent="0.2">
      <c r="Q81" s="454"/>
      <c r="AG81" s="454"/>
    </row>
    <row r="82" spans="17:33" x14ac:dyDescent="0.2">
      <c r="Q82" s="454"/>
      <c r="AG82" s="454"/>
    </row>
    <row r="83" spans="17:33" x14ac:dyDescent="0.2">
      <c r="Q83" s="454"/>
      <c r="AG83" s="454"/>
    </row>
    <row r="84" spans="17:33" x14ac:dyDescent="0.2">
      <c r="Q84" s="454"/>
      <c r="AG84" s="454"/>
    </row>
    <row r="85" spans="17:33" x14ac:dyDescent="0.2">
      <c r="Q85" s="454"/>
      <c r="AG85" s="454"/>
    </row>
    <row r="86" spans="17:33" x14ac:dyDescent="0.2">
      <c r="Q86" s="454"/>
      <c r="AG86" s="454"/>
    </row>
    <row r="87" spans="17:33" x14ac:dyDescent="0.2">
      <c r="Q87" s="454"/>
      <c r="AG87" s="454"/>
    </row>
    <row r="88" spans="17:33" x14ac:dyDescent="0.2">
      <c r="Q88" s="454"/>
      <c r="AG88" s="454"/>
    </row>
    <row r="89" spans="17:33" x14ac:dyDescent="0.2">
      <c r="Q89" s="454"/>
      <c r="AG89" s="454"/>
    </row>
    <row r="90" spans="17:33" x14ac:dyDescent="0.2">
      <c r="Q90" s="454"/>
      <c r="AG90" s="454"/>
    </row>
    <row r="91" spans="17:33" x14ac:dyDescent="0.2">
      <c r="Q91" s="454"/>
      <c r="AG91" s="454"/>
    </row>
    <row r="92" spans="17:33" x14ac:dyDescent="0.2">
      <c r="Q92" s="454"/>
      <c r="AG92" s="454"/>
    </row>
    <row r="93" spans="17:33" x14ac:dyDescent="0.2">
      <c r="Q93" s="454"/>
      <c r="AG93" s="454"/>
    </row>
    <row r="94" spans="17:33" x14ac:dyDescent="0.2">
      <c r="Q94" s="454"/>
      <c r="AG94" s="454"/>
    </row>
    <row r="95" spans="17:33" x14ac:dyDescent="0.2">
      <c r="Q95" s="454"/>
      <c r="AG95" s="454"/>
    </row>
    <row r="96" spans="17:33" x14ac:dyDescent="0.2">
      <c r="Q96" s="454"/>
      <c r="AG96" s="454"/>
    </row>
    <row r="97" spans="17:33" x14ac:dyDescent="0.2">
      <c r="Q97" s="454"/>
      <c r="AG97" s="454"/>
    </row>
    <row r="98" spans="17:33" x14ac:dyDescent="0.2">
      <c r="Q98" s="454"/>
      <c r="AG98" s="454"/>
    </row>
    <row r="99" spans="17:33" x14ac:dyDescent="0.2">
      <c r="Q99" s="454"/>
      <c r="AG99" s="454"/>
    </row>
    <row r="100" spans="17:33" x14ac:dyDescent="0.2">
      <c r="Q100" s="454"/>
      <c r="AG100" s="454"/>
    </row>
    <row r="101" spans="17:33" x14ac:dyDescent="0.2">
      <c r="Q101" s="454"/>
      <c r="AG101" s="454"/>
    </row>
    <row r="102" spans="17:33" x14ac:dyDescent="0.2">
      <c r="Q102" s="454"/>
      <c r="AG102" s="454"/>
    </row>
    <row r="103" spans="17:33" x14ac:dyDescent="0.2">
      <c r="Q103" s="454"/>
      <c r="AG103" s="454"/>
    </row>
    <row r="104" spans="17:33" x14ac:dyDescent="0.2">
      <c r="Q104" s="454"/>
      <c r="AG104" s="454"/>
    </row>
    <row r="105" spans="17:33" x14ac:dyDescent="0.2">
      <c r="Q105" s="454"/>
      <c r="AG105" s="454"/>
    </row>
    <row r="106" spans="17:33" x14ac:dyDescent="0.2">
      <c r="Q106" s="454"/>
      <c r="AG106" s="454"/>
    </row>
    <row r="107" spans="17:33" x14ac:dyDescent="0.2">
      <c r="Q107" s="454"/>
      <c r="AG107" s="454"/>
    </row>
    <row r="108" spans="17:33" x14ac:dyDescent="0.2">
      <c r="Q108" s="454"/>
      <c r="AG108" s="454"/>
    </row>
    <row r="109" spans="17:33" x14ac:dyDescent="0.2">
      <c r="Q109" s="454"/>
      <c r="AG109" s="454"/>
    </row>
    <row r="110" spans="17:33" x14ac:dyDescent="0.2">
      <c r="Q110" s="454"/>
      <c r="AG110" s="454"/>
    </row>
    <row r="111" spans="17:33" x14ac:dyDescent="0.2">
      <c r="Q111" s="454"/>
      <c r="AG111" s="454"/>
    </row>
    <row r="112" spans="17:33" x14ac:dyDescent="0.2">
      <c r="Q112" s="454"/>
      <c r="AG112" s="454"/>
    </row>
    <row r="113" spans="17:33" x14ac:dyDescent="0.2">
      <c r="Q113" s="454"/>
      <c r="AG113" s="454"/>
    </row>
    <row r="114" spans="17:33" x14ac:dyDescent="0.2">
      <c r="Q114" s="454"/>
      <c r="AG114" s="454"/>
    </row>
    <row r="115" spans="17:33" x14ac:dyDescent="0.2">
      <c r="Q115" s="454"/>
      <c r="AG115" s="454"/>
    </row>
    <row r="116" spans="17:33" x14ac:dyDescent="0.2">
      <c r="Q116" s="454"/>
      <c r="AG116" s="454"/>
    </row>
    <row r="117" spans="17:33" x14ac:dyDescent="0.2">
      <c r="Q117" s="454"/>
      <c r="AG117" s="454"/>
    </row>
    <row r="118" spans="17:33" x14ac:dyDescent="0.2">
      <c r="Q118" s="454"/>
      <c r="AG118" s="454"/>
    </row>
    <row r="119" spans="17:33" x14ac:dyDescent="0.2">
      <c r="Q119" s="454"/>
      <c r="AG119" s="454"/>
    </row>
    <row r="120" spans="17:33" x14ac:dyDescent="0.2">
      <c r="Q120" s="454"/>
      <c r="AG120" s="454"/>
    </row>
    <row r="121" spans="17:33" x14ac:dyDescent="0.2">
      <c r="Q121" s="454"/>
      <c r="AG121" s="454"/>
    </row>
    <row r="122" spans="17:33" x14ac:dyDescent="0.2">
      <c r="Q122" s="454"/>
      <c r="AG122" s="454"/>
    </row>
    <row r="123" spans="17:33" x14ac:dyDescent="0.2">
      <c r="Q123" s="454"/>
      <c r="AG123" s="454"/>
    </row>
    <row r="124" spans="17:33" x14ac:dyDescent="0.2">
      <c r="Q124" s="454"/>
      <c r="AG124" s="454"/>
    </row>
    <row r="125" spans="17:33" x14ac:dyDescent="0.2">
      <c r="Q125" s="454"/>
      <c r="AG125" s="454"/>
    </row>
    <row r="126" spans="17:33" x14ac:dyDescent="0.2">
      <c r="Q126" s="454"/>
      <c r="AG126" s="454"/>
    </row>
    <row r="127" spans="17:33" x14ac:dyDescent="0.2">
      <c r="Q127" s="454"/>
      <c r="AG127" s="454"/>
    </row>
    <row r="128" spans="17:33" x14ac:dyDescent="0.2">
      <c r="Q128" s="454"/>
      <c r="AG128" s="454"/>
    </row>
    <row r="129" spans="17:33" x14ac:dyDescent="0.2">
      <c r="Q129" s="454"/>
      <c r="AG129" s="454"/>
    </row>
    <row r="130" spans="17:33" x14ac:dyDescent="0.2">
      <c r="Q130" s="454"/>
      <c r="AG130" s="454"/>
    </row>
    <row r="131" spans="17:33" x14ac:dyDescent="0.2">
      <c r="Q131" s="454"/>
      <c r="AG131" s="454"/>
    </row>
    <row r="132" spans="17:33" x14ac:dyDescent="0.2">
      <c r="Q132" s="454"/>
      <c r="AG132" s="454"/>
    </row>
    <row r="133" spans="17:33" x14ac:dyDescent="0.2">
      <c r="Q133" s="454"/>
      <c r="AG133" s="454"/>
    </row>
    <row r="134" spans="17:33" x14ac:dyDescent="0.2">
      <c r="Q134" s="454"/>
      <c r="AG134" s="454"/>
    </row>
    <row r="135" spans="17:33" x14ac:dyDescent="0.2">
      <c r="Q135" s="454"/>
      <c r="AG135" s="454"/>
    </row>
    <row r="136" spans="17:33" x14ac:dyDescent="0.2">
      <c r="Q136" s="454"/>
      <c r="AG136" s="454"/>
    </row>
    <row r="137" spans="17:33" x14ac:dyDescent="0.2">
      <c r="Q137" s="454"/>
      <c r="AG137" s="454"/>
    </row>
    <row r="138" spans="17:33" x14ac:dyDescent="0.2">
      <c r="Q138" s="454"/>
      <c r="AG138" s="454"/>
    </row>
    <row r="139" spans="17:33" x14ac:dyDescent="0.2">
      <c r="Q139" s="454"/>
      <c r="AG139" s="454"/>
    </row>
    <row r="140" spans="17:33" x14ac:dyDescent="0.2">
      <c r="Q140" s="454"/>
      <c r="AG140" s="454"/>
    </row>
    <row r="141" spans="17:33" x14ac:dyDescent="0.2">
      <c r="Q141" s="454"/>
      <c r="AG141" s="454"/>
    </row>
    <row r="142" spans="17:33" x14ac:dyDescent="0.2">
      <c r="Q142" s="454"/>
      <c r="AG142" s="454"/>
    </row>
    <row r="143" spans="17:33" x14ac:dyDescent="0.2">
      <c r="Q143" s="454"/>
      <c r="AG143" s="454"/>
    </row>
    <row r="144" spans="17:33" x14ac:dyDescent="0.2">
      <c r="Q144" s="454"/>
      <c r="AG144" s="454"/>
    </row>
    <row r="145" spans="17:33" x14ac:dyDescent="0.2">
      <c r="Q145" s="454"/>
      <c r="AG145" s="454"/>
    </row>
    <row r="146" spans="17:33" x14ac:dyDescent="0.2">
      <c r="Q146" s="454"/>
      <c r="AG146" s="454"/>
    </row>
    <row r="147" spans="17:33" x14ac:dyDescent="0.2">
      <c r="Q147" s="454"/>
      <c r="AG147" s="454"/>
    </row>
    <row r="148" spans="17:33" x14ac:dyDescent="0.2">
      <c r="Q148" s="454"/>
      <c r="AG148" s="454"/>
    </row>
    <row r="149" spans="17:33" x14ac:dyDescent="0.2">
      <c r="Q149" s="454"/>
      <c r="AG149" s="454"/>
    </row>
    <row r="150" spans="17:33" x14ac:dyDescent="0.2">
      <c r="Q150" s="454"/>
      <c r="AG150" s="454"/>
    </row>
    <row r="151" spans="17:33" x14ac:dyDescent="0.2">
      <c r="Q151" s="454"/>
      <c r="AG151" s="454"/>
    </row>
    <row r="152" spans="17:33" x14ac:dyDescent="0.2">
      <c r="Q152" s="454"/>
      <c r="AG152" s="454"/>
    </row>
    <row r="153" spans="17:33" x14ac:dyDescent="0.2">
      <c r="Q153" s="454"/>
      <c r="AG153" s="454"/>
    </row>
    <row r="154" spans="17:33" x14ac:dyDescent="0.2">
      <c r="Q154" s="454"/>
      <c r="AG154" s="454"/>
    </row>
    <row r="155" spans="17:33" x14ac:dyDescent="0.2">
      <c r="Q155" s="454"/>
      <c r="AG155" s="454"/>
    </row>
    <row r="156" spans="17:33" x14ac:dyDescent="0.2">
      <c r="Q156" s="454"/>
      <c r="AG156" s="454"/>
    </row>
    <row r="157" spans="17:33" x14ac:dyDescent="0.2">
      <c r="Q157" s="454"/>
      <c r="AG157" s="454"/>
    </row>
    <row r="158" spans="17:33" x14ac:dyDescent="0.2">
      <c r="Q158" s="454"/>
      <c r="AG158" s="454"/>
    </row>
    <row r="159" spans="17:33" x14ac:dyDescent="0.2">
      <c r="Q159" s="454"/>
      <c r="AG159" s="454"/>
    </row>
    <row r="160" spans="17:33" x14ac:dyDescent="0.2">
      <c r="Q160" s="454"/>
      <c r="AG160" s="454"/>
    </row>
    <row r="161" spans="17:33" x14ac:dyDescent="0.2">
      <c r="Q161" s="454"/>
      <c r="AG161" s="454"/>
    </row>
    <row r="162" spans="17:33" x14ac:dyDescent="0.2">
      <c r="Q162" s="454"/>
      <c r="AG162" s="454"/>
    </row>
    <row r="163" spans="17:33" x14ac:dyDescent="0.2">
      <c r="Q163" s="454"/>
      <c r="AG163" s="454"/>
    </row>
    <row r="164" spans="17:33" x14ac:dyDescent="0.2">
      <c r="Q164" s="454"/>
      <c r="AG164" s="454"/>
    </row>
    <row r="165" spans="17:33" x14ac:dyDescent="0.2">
      <c r="Q165" s="454"/>
      <c r="AG165" s="454"/>
    </row>
    <row r="166" spans="17:33" x14ac:dyDescent="0.2">
      <c r="Q166" s="454"/>
      <c r="AG166" s="454"/>
    </row>
    <row r="167" spans="17:33" x14ac:dyDescent="0.2">
      <c r="Q167" s="454"/>
      <c r="AG167" s="454"/>
    </row>
    <row r="168" spans="17:33" x14ac:dyDescent="0.2">
      <c r="Q168" s="454"/>
      <c r="AG168" s="454"/>
    </row>
    <row r="169" spans="17:33" x14ac:dyDescent="0.2">
      <c r="Q169" s="454"/>
      <c r="AG169" s="454"/>
    </row>
    <row r="170" spans="17:33" x14ac:dyDescent="0.2">
      <c r="Q170" s="454"/>
      <c r="AG170" s="454"/>
    </row>
    <row r="171" spans="17:33" x14ac:dyDescent="0.2">
      <c r="Q171" s="454"/>
      <c r="AG171" s="454"/>
    </row>
    <row r="172" spans="17:33" x14ac:dyDescent="0.2">
      <c r="Q172" s="454"/>
      <c r="AG172" s="454"/>
    </row>
    <row r="173" spans="17:33" x14ac:dyDescent="0.2">
      <c r="Q173" s="454"/>
      <c r="AG173" s="454"/>
    </row>
    <row r="174" spans="17:33" x14ac:dyDescent="0.2">
      <c r="Q174" s="454"/>
      <c r="AG174" s="454"/>
    </row>
    <row r="175" spans="17:33" x14ac:dyDescent="0.2">
      <c r="Q175" s="454"/>
      <c r="AG175" s="454"/>
    </row>
    <row r="176" spans="17:33" x14ac:dyDescent="0.2">
      <c r="Q176" s="454"/>
      <c r="AG176" s="454"/>
    </row>
    <row r="177" spans="17:33" x14ac:dyDescent="0.2">
      <c r="Q177" s="454"/>
      <c r="AG177" s="454"/>
    </row>
    <row r="178" spans="17:33" x14ac:dyDescent="0.2">
      <c r="Q178" s="454"/>
      <c r="AG178" s="454"/>
    </row>
    <row r="179" spans="17:33" x14ac:dyDescent="0.2">
      <c r="Q179" s="454"/>
      <c r="AG179" s="454"/>
    </row>
    <row r="180" spans="17:33" x14ac:dyDescent="0.2">
      <c r="Q180" s="454"/>
      <c r="AG180" s="454"/>
    </row>
    <row r="181" spans="17:33" x14ac:dyDescent="0.2">
      <c r="Q181" s="454"/>
      <c r="AG181" s="454"/>
    </row>
    <row r="182" spans="17:33" x14ac:dyDescent="0.2">
      <c r="Q182" s="454"/>
      <c r="AG182" s="454"/>
    </row>
    <row r="183" spans="17:33" x14ac:dyDescent="0.2">
      <c r="Q183" s="454"/>
      <c r="AG183" s="454"/>
    </row>
    <row r="184" spans="17:33" x14ac:dyDescent="0.2">
      <c r="Q184" s="454"/>
      <c r="AG184" s="454"/>
    </row>
    <row r="185" spans="17:33" x14ac:dyDescent="0.2">
      <c r="Q185" s="454"/>
      <c r="AG185" s="454"/>
    </row>
    <row r="186" spans="17:33" x14ac:dyDescent="0.2">
      <c r="Q186" s="454"/>
      <c r="AG186" s="454"/>
    </row>
    <row r="187" spans="17:33" x14ac:dyDescent="0.2">
      <c r="Q187" s="454"/>
      <c r="AG187" s="454"/>
    </row>
    <row r="188" spans="17:33" x14ac:dyDescent="0.2">
      <c r="Q188" s="454"/>
      <c r="AG188" s="454"/>
    </row>
    <row r="189" spans="17:33" x14ac:dyDescent="0.2">
      <c r="Q189" s="454"/>
      <c r="AG189" s="454"/>
    </row>
    <row r="190" spans="17:33" x14ac:dyDescent="0.2">
      <c r="Q190" s="454"/>
      <c r="AG190" s="454"/>
    </row>
    <row r="191" spans="17:33" x14ac:dyDescent="0.2">
      <c r="Q191" s="454"/>
      <c r="AG191" s="454"/>
    </row>
    <row r="192" spans="17:33" x14ac:dyDescent="0.2">
      <c r="Q192" s="454"/>
      <c r="AG192" s="454"/>
    </row>
    <row r="193" spans="17:33" x14ac:dyDescent="0.2">
      <c r="Q193" s="454"/>
      <c r="AG193" s="454"/>
    </row>
    <row r="194" spans="17:33" x14ac:dyDescent="0.2">
      <c r="Q194" s="454"/>
      <c r="AG194" s="454"/>
    </row>
    <row r="195" spans="17:33" x14ac:dyDescent="0.2">
      <c r="Q195" s="454"/>
      <c r="AG195" s="454"/>
    </row>
    <row r="196" spans="17:33" x14ac:dyDescent="0.2">
      <c r="Q196" s="454"/>
      <c r="AG196" s="454"/>
    </row>
    <row r="197" spans="17:33" x14ac:dyDescent="0.2">
      <c r="Q197" s="454"/>
      <c r="AG197" s="454"/>
    </row>
    <row r="198" spans="17:33" x14ac:dyDescent="0.2">
      <c r="Q198" s="454"/>
      <c r="AG198" s="454"/>
    </row>
    <row r="199" spans="17:33" x14ac:dyDescent="0.2">
      <c r="Q199" s="454"/>
      <c r="AG199" s="454"/>
    </row>
    <row r="200" spans="17:33" x14ac:dyDescent="0.2">
      <c r="Q200" s="454"/>
      <c r="AG200" s="454"/>
    </row>
    <row r="201" spans="17:33" x14ac:dyDescent="0.2">
      <c r="Q201" s="454"/>
      <c r="AG201" s="454"/>
    </row>
    <row r="202" spans="17:33" x14ac:dyDescent="0.2">
      <c r="Q202" s="454"/>
      <c r="AG202" s="454"/>
    </row>
    <row r="203" spans="17:33" x14ac:dyDescent="0.2">
      <c r="Q203" s="454"/>
      <c r="AG203" s="454"/>
    </row>
    <row r="204" spans="17:33" x14ac:dyDescent="0.2">
      <c r="Q204" s="454"/>
      <c r="AG204" s="454"/>
    </row>
    <row r="205" spans="17:33" x14ac:dyDescent="0.2">
      <c r="Q205" s="454"/>
      <c r="AG205" s="454"/>
    </row>
    <row r="206" spans="17:33" x14ac:dyDescent="0.2">
      <c r="Q206" s="454"/>
      <c r="AG206" s="454"/>
    </row>
    <row r="207" spans="17:33" x14ac:dyDescent="0.2">
      <c r="Q207" s="454"/>
      <c r="AG207" s="454"/>
    </row>
    <row r="208" spans="17:33" x14ac:dyDescent="0.2">
      <c r="Q208" s="454"/>
      <c r="AG208" s="454"/>
    </row>
    <row r="209" spans="17:33" x14ac:dyDescent="0.2">
      <c r="Q209" s="454"/>
      <c r="AG209" s="454"/>
    </row>
    <row r="210" spans="17:33" x14ac:dyDescent="0.2">
      <c r="Q210" s="454"/>
      <c r="AG210" s="454"/>
    </row>
    <row r="211" spans="17:33" x14ac:dyDescent="0.2">
      <c r="Q211" s="454"/>
      <c r="AG211" s="454"/>
    </row>
    <row r="212" spans="17:33" x14ac:dyDescent="0.2">
      <c r="Q212" s="454"/>
      <c r="AG212" s="454"/>
    </row>
    <row r="213" spans="17:33" x14ac:dyDescent="0.2">
      <c r="Q213" s="454"/>
      <c r="AG213" s="454"/>
    </row>
    <row r="214" spans="17:33" x14ac:dyDescent="0.2">
      <c r="Q214" s="454"/>
      <c r="AG214" s="454"/>
    </row>
    <row r="215" spans="17:33" x14ac:dyDescent="0.2">
      <c r="Q215" s="454"/>
      <c r="AG215" s="454"/>
    </row>
    <row r="216" spans="17:33" x14ac:dyDescent="0.2">
      <c r="Q216" s="454"/>
      <c r="AG216" s="454"/>
    </row>
    <row r="217" spans="17:33" x14ac:dyDescent="0.2">
      <c r="Q217" s="454"/>
      <c r="AG217" s="454"/>
    </row>
    <row r="218" spans="17:33" x14ac:dyDescent="0.2">
      <c r="Q218" s="454"/>
      <c r="AG218" s="454"/>
    </row>
    <row r="219" spans="17:33" x14ac:dyDescent="0.2">
      <c r="Q219" s="454"/>
      <c r="AG219" s="454"/>
    </row>
    <row r="220" spans="17:33" x14ac:dyDescent="0.2">
      <c r="Q220" s="454"/>
      <c r="AG220" s="454"/>
    </row>
    <row r="221" spans="17:33" x14ac:dyDescent="0.2">
      <c r="Q221" s="454"/>
      <c r="AG221" s="454"/>
    </row>
    <row r="222" spans="17:33" x14ac:dyDescent="0.2">
      <c r="Q222" s="454"/>
      <c r="AG222" s="454"/>
    </row>
    <row r="223" spans="17:33" x14ac:dyDescent="0.2">
      <c r="Q223" s="454"/>
      <c r="AG223" s="454"/>
    </row>
    <row r="224" spans="17:33" x14ac:dyDescent="0.2">
      <c r="Q224" s="454"/>
      <c r="AG224" s="454"/>
    </row>
    <row r="225" spans="17:33" x14ac:dyDescent="0.2">
      <c r="Q225" s="454"/>
      <c r="AG225" s="454"/>
    </row>
    <row r="226" spans="17:33" x14ac:dyDescent="0.2">
      <c r="Q226" s="454"/>
      <c r="AG226" s="454"/>
    </row>
    <row r="227" spans="17:33" x14ac:dyDescent="0.2">
      <c r="Q227" s="454"/>
      <c r="AG227" s="454"/>
    </row>
    <row r="228" spans="17:33" x14ac:dyDescent="0.2">
      <c r="Q228" s="454"/>
      <c r="AG228" s="454"/>
    </row>
    <row r="229" spans="17:33" x14ac:dyDescent="0.2">
      <c r="Q229" s="454"/>
      <c r="AG229" s="454"/>
    </row>
    <row r="230" spans="17:33" x14ac:dyDescent="0.2">
      <c r="Q230" s="454"/>
      <c r="AG230" s="454"/>
    </row>
    <row r="231" spans="17:33" x14ac:dyDescent="0.2">
      <c r="Q231" s="454"/>
      <c r="AG231" s="454"/>
    </row>
    <row r="232" spans="17:33" x14ac:dyDescent="0.2">
      <c r="Q232" s="454"/>
      <c r="AG232" s="454"/>
    </row>
    <row r="233" spans="17:33" x14ac:dyDescent="0.2">
      <c r="Q233" s="454"/>
      <c r="AG233" s="454"/>
    </row>
    <row r="234" spans="17:33" x14ac:dyDescent="0.2">
      <c r="Q234" s="454"/>
      <c r="AG234" s="454"/>
    </row>
    <row r="235" spans="17:33" x14ac:dyDescent="0.2">
      <c r="Q235" s="454"/>
      <c r="AG235" s="454"/>
    </row>
    <row r="236" spans="17:33" x14ac:dyDescent="0.2">
      <c r="Q236" s="454"/>
      <c r="AG236" s="454"/>
    </row>
    <row r="237" spans="17:33" x14ac:dyDescent="0.2">
      <c r="Q237" s="454"/>
      <c r="AG237" s="454"/>
    </row>
    <row r="238" spans="17:33" x14ac:dyDescent="0.2">
      <c r="Q238" s="454"/>
      <c r="AG238" s="454"/>
    </row>
    <row r="239" spans="17:33" x14ac:dyDescent="0.2">
      <c r="Q239" s="454"/>
      <c r="AG239" s="454"/>
    </row>
    <row r="240" spans="17:33" x14ac:dyDescent="0.2">
      <c r="Q240" s="454"/>
      <c r="AG240" s="454"/>
    </row>
    <row r="241" spans="17:33" x14ac:dyDescent="0.2">
      <c r="Q241" s="454"/>
      <c r="AG241" s="454"/>
    </row>
    <row r="242" spans="17:33" x14ac:dyDescent="0.2">
      <c r="Q242" s="454"/>
      <c r="AG242" s="454"/>
    </row>
    <row r="243" spans="17:33" x14ac:dyDescent="0.2">
      <c r="Q243" s="454"/>
      <c r="AG243" s="454"/>
    </row>
    <row r="244" spans="17:33" x14ac:dyDescent="0.2">
      <c r="Q244" s="454"/>
      <c r="AG244" s="454"/>
    </row>
    <row r="245" spans="17:33" x14ac:dyDescent="0.2">
      <c r="Q245" s="454"/>
      <c r="AG245" s="454"/>
    </row>
    <row r="246" spans="17:33" x14ac:dyDescent="0.2">
      <c r="Q246" s="454"/>
      <c r="AG246" s="454"/>
    </row>
    <row r="247" spans="17:33" x14ac:dyDescent="0.2">
      <c r="Q247" s="454"/>
      <c r="AG247" s="454"/>
    </row>
    <row r="248" spans="17:33" x14ac:dyDescent="0.2">
      <c r="Q248" s="454"/>
      <c r="AG248" s="454"/>
    </row>
    <row r="249" spans="17:33" x14ac:dyDescent="0.2">
      <c r="Q249" s="454"/>
      <c r="AG249" s="454"/>
    </row>
    <row r="250" spans="17:33" x14ac:dyDescent="0.2">
      <c r="Q250" s="454"/>
      <c r="AG250" s="454"/>
    </row>
    <row r="251" spans="17:33" x14ac:dyDescent="0.2">
      <c r="Q251" s="454"/>
      <c r="AG251" s="454"/>
    </row>
    <row r="252" spans="17:33" x14ac:dyDescent="0.2">
      <c r="Q252" s="454"/>
      <c r="AG252" s="454"/>
    </row>
    <row r="253" spans="17:33" x14ac:dyDescent="0.2">
      <c r="Q253" s="454"/>
      <c r="AG253" s="454"/>
    </row>
    <row r="254" spans="17:33" x14ac:dyDescent="0.2">
      <c r="Q254" s="454"/>
      <c r="AG254" s="454"/>
    </row>
    <row r="255" spans="17:33" x14ac:dyDescent="0.2">
      <c r="Q255" s="454"/>
      <c r="AG255" s="454"/>
    </row>
    <row r="256" spans="17:33" x14ac:dyDescent="0.2">
      <c r="Q256" s="454"/>
      <c r="AG256" s="454"/>
    </row>
    <row r="257" spans="17:33" x14ac:dyDescent="0.2">
      <c r="Q257" s="454"/>
      <c r="AG257" s="454"/>
    </row>
    <row r="258" spans="17:33" x14ac:dyDescent="0.2">
      <c r="Q258" s="454"/>
      <c r="AG258" s="454"/>
    </row>
    <row r="259" spans="17:33" x14ac:dyDescent="0.2">
      <c r="Q259" s="454"/>
      <c r="AG259" s="454"/>
    </row>
    <row r="260" spans="17:33" x14ac:dyDescent="0.2">
      <c r="Q260" s="454"/>
      <c r="AG260" s="454"/>
    </row>
    <row r="261" spans="17:33" x14ac:dyDescent="0.2">
      <c r="Q261" s="454"/>
      <c r="AG261" s="454"/>
    </row>
    <row r="262" spans="17:33" x14ac:dyDescent="0.2">
      <c r="Q262" s="454"/>
      <c r="AG262" s="454"/>
    </row>
    <row r="263" spans="17:33" x14ac:dyDescent="0.2">
      <c r="Q263" s="454"/>
      <c r="AG263" s="454"/>
    </row>
    <row r="264" spans="17:33" x14ac:dyDescent="0.2">
      <c r="Q264" s="454"/>
      <c r="AG264" s="454"/>
    </row>
    <row r="265" spans="17:33" x14ac:dyDescent="0.2">
      <c r="Q265" s="454"/>
      <c r="AG265" s="454"/>
    </row>
    <row r="266" spans="17:33" x14ac:dyDescent="0.2">
      <c r="Q266" s="454"/>
      <c r="AG266" s="454"/>
    </row>
    <row r="267" spans="17:33" x14ac:dyDescent="0.2">
      <c r="Q267" s="454"/>
      <c r="AG267" s="454"/>
    </row>
    <row r="268" spans="17:33" x14ac:dyDescent="0.2">
      <c r="Q268" s="454"/>
      <c r="AG268" s="454"/>
    </row>
    <row r="269" spans="17:33" x14ac:dyDescent="0.2">
      <c r="Q269" s="454"/>
      <c r="AG269" s="454"/>
    </row>
    <row r="270" spans="17:33" x14ac:dyDescent="0.2">
      <c r="Q270" s="454"/>
      <c r="AG270" s="454"/>
    </row>
    <row r="271" spans="17:33" x14ac:dyDescent="0.2">
      <c r="Q271" s="454"/>
      <c r="AG271" s="454"/>
    </row>
    <row r="272" spans="17:33" x14ac:dyDescent="0.2">
      <c r="Q272" s="454"/>
      <c r="AG272" s="454"/>
    </row>
    <row r="273" spans="17:33" x14ac:dyDescent="0.2">
      <c r="Q273" s="454"/>
      <c r="AG273" s="454"/>
    </row>
    <row r="274" spans="17:33" x14ac:dyDescent="0.2">
      <c r="Q274" s="454"/>
      <c r="AG274" s="454"/>
    </row>
    <row r="275" spans="17:33" x14ac:dyDescent="0.2">
      <c r="Q275" s="454"/>
      <c r="AG275" s="454"/>
    </row>
    <row r="276" spans="17:33" x14ac:dyDescent="0.2">
      <c r="Q276" s="454"/>
      <c r="AG276" s="454"/>
    </row>
    <row r="277" spans="17:33" x14ac:dyDescent="0.2">
      <c r="Q277" s="454"/>
      <c r="AG277" s="454"/>
    </row>
    <row r="278" spans="17:33" x14ac:dyDescent="0.2">
      <c r="Q278" s="454"/>
      <c r="AG278" s="454"/>
    </row>
    <row r="279" spans="17:33" x14ac:dyDescent="0.2">
      <c r="Q279" s="454"/>
      <c r="AG279" s="454"/>
    </row>
    <row r="280" spans="17:33" x14ac:dyDescent="0.2">
      <c r="Q280" s="454"/>
      <c r="AG280" s="454"/>
    </row>
    <row r="281" spans="17:33" x14ac:dyDescent="0.2">
      <c r="Q281" s="454"/>
      <c r="AG281" s="454"/>
    </row>
    <row r="282" spans="17:33" x14ac:dyDescent="0.2">
      <c r="Q282" s="454"/>
      <c r="AG282" s="454"/>
    </row>
    <row r="283" spans="17:33" x14ac:dyDescent="0.2">
      <c r="Q283" s="454"/>
      <c r="AG283" s="454"/>
    </row>
    <row r="284" spans="17:33" x14ac:dyDescent="0.2">
      <c r="Q284" s="454"/>
      <c r="AG284" s="454"/>
    </row>
    <row r="285" spans="17:33" x14ac:dyDescent="0.2">
      <c r="Q285" s="454"/>
      <c r="AG285" s="454"/>
    </row>
    <row r="286" spans="17:33" x14ac:dyDescent="0.2">
      <c r="Q286" s="454"/>
      <c r="AG286" s="454"/>
    </row>
    <row r="287" spans="17:33" x14ac:dyDescent="0.2">
      <c r="Q287" s="454"/>
      <c r="AG287" s="454"/>
    </row>
    <row r="288" spans="17:33" x14ac:dyDescent="0.2">
      <c r="Q288" s="454"/>
      <c r="AG288" s="454"/>
    </row>
    <row r="289" spans="17:33" x14ac:dyDescent="0.2">
      <c r="Q289" s="454"/>
      <c r="AG289" s="454"/>
    </row>
    <row r="290" spans="17:33" x14ac:dyDescent="0.2">
      <c r="Q290" s="454"/>
      <c r="AG290" s="454"/>
    </row>
    <row r="291" spans="17:33" x14ac:dyDescent="0.2">
      <c r="Q291" s="454"/>
      <c r="AG291" s="454"/>
    </row>
    <row r="292" spans="17:33" x14ac:dyDescent="0.2">
      <c r="Q292" s="454"/>
      <c r="AG292" s="454"/>
    </row>
    <row r="293" spans="17:33" x14ac:dyDescent="0.2">
      <c r="Q293" s="454"/>
      <c r="AG293" s="454"/>
    </row>
    <row r="294" spans="17:33" x14ac:dyDescent="0.2">
      <c r="Q294" s="454"/>
      <c r="AG294" s="454"/>
    </row>
    <row r="295" spans="17:33" x14ac:dyDescent="0.2">
      <c r="Q295" s="454"/>
      <c r="AG295" s="454"/>
    </row>
    <row r="296" spans="17:33" x14ac:dyDescent="0.2">
      <c r="Q296" s="454"/>
      <c r="AG296" s="454"/>
    </row>
    <row r="297" spans="17:33" x14ac:dyDescent="0.2">
      <c r="Q297" s="454"/>
      <c r="AG297" s="454"/>
    </row>
    <row r="298" spans="17:33" x14ac:dyDescent="0.2">
      <c r="Q298" s="454"/>
      <c r="AG298" s="454"/>
    </row>
    <row r="299" spans="17:33" x14ac:dyDescent="0.2">
      <c r="Q299" s="454"/>
      <c r="AG299" s="454"/>
    </row>
    <row r="300" spans="17:33" x14ac:dyDescent="0.2">
      <c r="Q300" s="454"/>
      <c r="AG300" s="454"/>
    </row>
    <row r="301" spans="17:33" x14ac:dyDescent="0.2">
      <c r="Q301" s="454"/>
      <c r="AG301" s="454"/>
    </row>
    <row r="302" spans="17:33" x14ac:dyDescent="0.2">
      <c r="Q302" s="454"/>
      <c r="AG302" s="454"/>
    </row>
    <row r="303" spans="17:33" x14ac:dyDescent="0.2">
      <c r="Q303" s="454"/>
      <c r="AG303" s="454"/>
    </row>
    <row r="304" spans="17:33" x14ac:dyDescent="0.2">
      <c r="Q304" s="454"/>
      <c r="AG304" s="454"/>
    </row>
    <row r="305" spans="17:33" x14ac:dyDescent="0.2">
      <c r="Q305" s="454"/>
      <c r="AG305" s="454"/>
    </row>
    <row r="306" spans="17:33" x14ac:dyDescent="0.2">
      <c r="Q306" s="454"/>
      <c r="AG306" s="454"/>
    </row>
    <row r="307" spans="17:33" x14ac:dyDescent="0.2">
      <c r="Q307" s="454"/>
      <c r="AG307" s="454"/>
    </row>
    <row r="308" spans="17:33" x14ac:dyDescent="0.2">
      <c r="Q308" s="454"/>
      <c r="AG308" s="454"/>
    </row>
    <row r="309" spans="17:33" x14ac:dyDescent="0.2">
      <c r="Q309" s="454"/>
      <c r="AG309" s="454"/>
    </row>
    <row r="310" spans="17:33" x14ac:dyDescent="0.2">
      <c r="Q310" s="454"/>
      <c r="AG310" s="454"/>
    </row>
    <row r="311" spans="17:33" x14ac:dyDescent="0.2">
      <c r="Q311" s="454"/>
      <c r="AG311" s="454"/>
    </row>
    <row r="312" spans="17:33" x14ac:dyDescent="0.2">
      <c r="Q312" s="454"/>
      <c r="AG312" s="454"/>
    </row>
    <row r="313" spans="17:33" x14ac:dyDescent="0.2">
      <c r="Q313" s="454"/>
      <c r="AG313" s="454"/>
    </row>
    <row r="314" spans="17:33" x14ac:dyDescent="0.2">
      <c r="Q314" s="454"/>
      <c r="AG314" s="454"/>
    </row>
    <row r="315" spans="17:33" x14ac:dyDescent="0.2">
      <c r="Q315" s="454"/>
      <c r="AG315" s="454"/>
    </row>
    <row r="316" spans="17:33" x14ac:dyDescent="0.2">
      <c r="Q316" s="454"/>
      <c r="AG316" s="454"/>
    </row>
    <row r="317" spans="17:33" x14ac:dyDescent="0.2">
      <c r="Q317" s="454"/>
      <c r="AG317" s="454"/>
    </row>
    <row r="318" spans="17:33" x14ac:dyDescent="0.2">
      <c r="Q318" s="454"/>
      <c r="AG318" s="454"/>
    </row>
    <row r="319" spans="17:33" x14ac:dyDescent="0.2">
      <c r="Q319" s="454"/>
      <c r="AG319" s="454"/>
    </row>
    <row r="320" spans="17:33" x14ac:dyDescent="0.2">
      <c r="Q320" s="454"/>
      <c r="AG320" s="454"/>
    </row>
    <row r="321" spans="17:33" x14ac:dyDescent="0.2">
      <c r="Q321" s="454"/>
      <c r="AG321" s="454"/>
    </row>
    <row r="322" spans="17:33" x14ac:dyDescent="0.2">
      <c r="Q322" s="454"/>
      <c r="AG322" s="454"/>
    </row>
    <row r="323" spans="17:33" x14ac:dyDescent="0.2">
      <c r="Q323" s="454"/>
      <c r="AG323" s="454"/>
    </row>
    <row r="324" spans="17:33" x14ac:dyDescent="0.2">
      <c r="Q324" s="454"/>
      <c r="AG324" s="454"/>
    </row>
    <row r="325" spans="17:33" x14ac:dyDescent="0.2">
      <c r="Q325" s="454"/>
      <c r="AG325" s="454"/>
    </row>
    <row r="326" spans="17:33" x14ac:dyDescent="0.2">
      <c r="Q326" s="454"/>
      <c r="AG326" s="454"/>
    </row>
    <row r="327" spans="17:33" x14ac:dyDescent="0.2">
      <c r="Q327" s="454"/>
      <c r="AG327" s="454"/>
    </row>
    <row r="328" spans="17:33" x14ac:dyDescent="0.2">
      <c r="Q328" s="454"/>
      <c r="AG328" s="454"/>
    </row>
    <row r="329" spans="17:33" x14ac:dyDescent="0.2">
      <c r="Q329" s="454"/>
      <c r="AG329" s="454"/>
    </row>
    <row r="330" spans="17:33" x14ac:dyDescent="0.2">
      <c r="Q330" s="454"/>
      <c r="AG330" s="454"/>
    </row>
    <row r="331" spans="17:33" x14ac:dyDescent="0.2">
      <c r="Q331" s="454"/>
      <c r="AG331" s="454"/>
    </row>
    <row r="332" spans="17:33" x14ac:dyDescent="0.2">
      <c r="Q332" s="454"/>
      <c r="AG332" s="454"/>
    </row>
    <row r="333" spans="17:33" x14ac:dyDescent="0.2">
      <c r="Q333" s="454"/>
      <c r="AG333" s="454"/>
    </row>
    <row r="334" spans="17:33" x14ac:dyDescent="0.2">
      <c r="Q334" s="454"/>
      <c r="AG334" s="454"/>
    </row>
    <row r="335" spans="17:33" x14ac:dyDescent="0.2">
      <c r="Q335" s="454"/>
      <c r="AG335" s="454"/>
    </row>
    <row r="336" spans="17:33" x14ac:dyDescent="0.2">
      <c r="Q336" s="454"/>
      <c r="AG336" s="454"/>
    </row>
    <row r="337" spans="17:33" x14ac:dyDescent="0.2">
      <c r="Q337" s="454"/>
      <c r="AG337" s="454"/>
    </row>
    <row r="338" spans="17:33" x14ac:dyDescent="0.2">
      <c r="Q338" s="454"/>
      <c r="AG338" s="454"/>
    </row>
    <row r="339" spans="17:33" x14ac:dyDescent="0.2">
      <c r="Q339" s="454"/>
      <c r="AG339" s="454"/>
    </row>
    <row r="340" spans="17:33" x14ac:dyDescent="0.2">
      <c r="Q340" s="454"/>
      <c r="AG340" s="454"/>
    </row>
    <row r="341" spans="17:33" x14ac:dyDescent="0.2">
      <c r="Q341" s="454"/>
      <c r="AG341" s="454"/>
    </row>
    <row r="342" spans="17:33" x14ac:dyDescent="0.2">
      <c r="Q342" s="454"/>
      <c r="AG342" s="454"/>
    </row>
    <row r="343" spans="17:33" x14ac:dyDescent="0.2">
      <c r="Q343" s="454"/>
      <c r="AG343" s="454"/>
    </row>
    <row r="344" spans="17:33" x14ac:dyDescent="0.2">
      <c r="Q344" s="454"/>
      <c r="AG344" s="454"/>
    </row>
    <row r="345" spans="17:33" x14ac:dyDescent="0.2">
      <c r="Q345" s="454"/>
      <c r="AG345" s="454"/>
    </row>
    <row r="346" spans="17:33" x14ac:dyDescent="0.2">
      <c r="Q346" s="454"/>
      <c r="AG346" s="454"/>
    </row>
    <row r="347" spans="17:33" x14ac:dyDescent="0.2">
      <c r="Q347" s="454"/>
      <c r="AG347" s="454"/>
    </row>
    <row r="348" spans="17:33" x14ac:dyDescent="0.2">
      <c r="Q348" s="454"/>
      <c r="AG348" s="454"/>
    </row>
    <row r="349" spans="17:33" x14ac:dyDescent="0.2">
      <c r="Q349" s="454"/>
      <c r="AG349" s="454"/>
    </row>
    <row r="350" spans="17:33" x14ac:dyDescent="0.2">
      <c r="Q350" s="454"/>
      <c r="AG350" s="454"/>
    </row>
    <row r="351" spans="17:33" x14ac:dyDescent="0.2">
      <c r="Q351" s="454"/>
      <c r="AG351" s="454"/>
    </row>
    <row r="352" spans="17:33" x14ac:dyDescent="0.2">
      <c r="Q352" s="454"/>
      <c r="AG352" s="454"/>
    </row>
    <row r="353" spans="17:33" x14ac:dyDescent="0.2">
      <c r="Q353" s="454"/>
      <c r="AG353" s="454"/>
    </row>
    <row r="354" spans="17:33" x14ac:dyDescent="0.2">
      <c r="Q354" s="454"/>
      <c r="AG354" s="454"/>
    </row>
    <row r="355" spans="17:33" x14ac:dyDescent="0.2">
      <c r="Q355" s="454"/>
      <c r="AG355" s="454"/>
    </row>
    <row r="356" spans="17:33" x14ac:dyDescent="0.2">
      <c r="Q356" s="454"/>
      <c r="AG356" s="454"/>
    </row>
    <row r="357" spans="17:33" x14ac:dyDescent="0.2">
      <c r="Q357" s="454"/>
      <c r="AG357" s="454"/>
    </row>
    <row r="358" spans="17:33" x14ac:dyDescent="0.2">
      <c r="Q358" s="454"/>
      <c r="AG358" s="454"/>
    </row>
    <row r="359" spans="17:33" x14ac:dyDescent="0.2">
      <c r="Q359" s="454"/>
      <c r="AG359" s="454"/>
    </row>
    <row r="360" spans="17:33" x14ac:dyDescent="0.2">
      <c r="Q360" s="454"/>
      <c r="AG360" s="454"/>
    </row>
    <row r="361" spans="17:33" x14ac:dyDescent="0.2">
      <c r="Q361" s="454"/>
      <c r="AG361" s="454"/>
    </row>
    <row r="362" spans="17:33" x14ac:dyDescent="0.2">
      <c r="Q362" s="454"/>
      <c r="AG362" s="454"/>
    </row>
    <row r="363" spans="17:33" x14ac:dyDescent="0.2">
      <c r="Q363" s="454"/>
      <c r="AG363" s="454"/>
    </row>
    <row r="364" spans="17:33" x14ac:dyDescent="0.2">
      <c r="Q364" s="454"/>
      <c r="AG364" s="454"/>
    </row>
    <row r="365" spans="17:33" x14ac:dyDescent="0.2">
      <c r="Q365" s="454"/>
      <c r="AG365" s="454"/>
    </row>
    <row r="366" spans="17:33" x14ac:dyDescent="0.2">
      <c r="Q366" s="454"/>
      <c r="AG366" s="454"/>
    </row>
    <row r="367" spans="17:33" x14ac:dyDescent="0.2">
      <c r="Q367" s="454"/>
      <c r="AG367" s="454"/>
    </row>
    <row r="368" spans="17:33" x14ac:dyDescent="0.2">
      <c r="Q368" s="454"/>
      <c r="AG368" s="454"/>
    </row>
    <row r="369" spans="17:33" x14ac:dyDescent="0.2">
      <c r="Q369" s="454"/>
      <c r="AG369" s="454"/>
    </row>
    <row r="370" spans="17:33" x14ac:dyDescent="0.2">
      <c r="Q370" s="454"/>
      <c r="AG370" s="454"/>
    </row>
    <row r="371" spans="17:33" x14ac:dyDescent="0.2">
      <c r="Q371" s="454"/>
      <c r="AG371" s="454"/>
    </row>
    <row r="372" spans="17:33" x14ac:dyDescent="0.2">
      <c r="Q372" s="454"/>
      <c r="AG372" s="454"/>
    </row>
    <row r="373" spans="17:33" x14ac:dyDescent="0.2">
      <c r="Q373" s="454"/>
      <c r="AG373" s="454"/>
    </row>
    <row r="374" spans="17:33" x14ac:dyDescent="0.2">
      <c r="Q374" s="454"/>
      <c r="AG374" s="454"/>
    </row>
    <row r="375" spans="17:33" x14ac:dyDescent="0.2">
      <c r="Q375" s="454"/>
      <c r="AG375" s="454"/>
    </row>
    <row r="376" spans="17:33" x14ac:dyDescent="0.2">
      <c r="Q376" s="454"/>
      <c r="AG376" s="454"/>
    </row>
    <row r="377" spans="17:33" x14ac:dyDescent="0.2">
      <c r="Q377" s="454"/>
      <c r="AG377" s="454"/>
    </row>
    <row r="378" spans="17:33" x14ac:dyDescent="0.2">
      <c r="Q378" s="454"/>
      <c r="AG378" s="454"/>
    </row>
    <row r="379" spans="17:33" x14ac:dyDescent="0.2">
      <c r="Q379" s="454"/>
      <c r="AG379" s="454"/>
    </row>
    <row r="380" spans="17:33" x14ac:dyDescent="0.2">
      <c r="Q380" s="454"/>
      <c r="AG380" s="454"/>
    </row>
    <row r="381" spans="17:33" x14ac:dyDescent="0.2">
      <c r="Q381" s="454"/>
      <c r="AG381" s="454"/>
    </row>
    <row r="382" spans="17:33" x14ac:dyDescent="0.2">
      <c r="Q382" s="454"/>
      <c r="AG382" s="454"/>
    </row>
    <row r="383" spans="17:33" x14ac:dyDescent="0.2">
      <c r="Q383" s="454"/>
      <c r="AG383" s="454"/>
    </row>
    <row r="384" spans="17:33" x14ac:dyDescent="0.2">
      <c r="Q384" s="454"/>
      <c r="AG384" s="454"/>
    </row>
    <row r="385" spans="17:33" x14ac:dyDescent="0.2">
      <c r="Q385" s="454"/>
      <c r="AG385" s="454"/>
    </row>
    <row r="386" spans="17:33" x14ac:dyDescent="0.2">
      <c r="Q386" s="454"/>
      <c r="AG386" s="454"/>
    </row>
    <row r="387" spans="17:33" x14ac:dyDescent="0.2">
      <c r="Q387" s="454"/>
      <c r="AG387" s="454"/>
    </row>
    <row r="388" spans="17:33" x14ac:dyDescent="0.2">
      <c r="Q388" s="454"/>
      <c r="AG388" s="454"/>
    </row>
    <row r="389" spans="17:33" x14ac:dyDescent="0.2">
      <c r="Q389" s="454"/>
      <c r="AG389" s="454"/>
    </row>
    <row r="390" spans="17:33" x14ac:dyDescent="0.2">
      <c r="Q390" s="454"/>
      <c r="AG390" s="454"/>
    </row>
    <row r="391" spans="17:33" x14ac:dyDescent="0.2">
      <c r="Q391" s="454"/>
      <c r="AG391" s="454"/>
    </row>
    <row r="392" spans="17:33" x14ac:dyDescent="0.2">
      <c r="Q392" s="454"/>
      <c r="AG392" s="454"/>
    </row>
    <row r="393" spans="17:33" x14ac:dyDescent="0.2">
      <c r="Q393" s="454"/>
      <c r="AG393" s="454"/>
    </row>
    <row r="394" spans="17:33" x14ac:dyDescent="0.2">
      <c r="Q394" s="454"/>
      <c r="AG394" s="454"/>
    </row>
    <row r="395" spans="17:33" x14ac:dyDescent="0.2">
      <c r="Q395" s="454"/>
      <c r="AG395" s="454"/>
    </row>
    <row r="396" spans="17:33" x14ac:dyDescent="0.2">
      <c r="Q396" s="454"/>
      <c r="AG396" s="454"/>
    </row>
    <row r="397" spans="17:33" x14ac:dyDescent="0.2">
      <c r="Q397" s="454"/>
      <c r="AG397" s="454"/>
    </row>
    <row r="398" spans="17:33" x14ac:dyDescent="0.2">
      <c r="Q398" s="454"/>
      <c r="AG398" s="454"/>
    </row>
    <row r="399" spans="17:33" x14ac:dyDescent="0.2">
      <c r="Q399" s="454"/>
      <c r="AG399" s="454"/>
    </row>
    <row r="400" spans="17:33" x14ac:dyDescent="0.2">
      <c r="Q400" s="454"/>
      <c r="AG400" s="454"/>
    </row>
    <row r="401" spans="17:33" x14ac:dyDescent="0.2">
      <c r="Q401" s="454"/>
      <c r="AG401" s="454"/>
    </row>
    <row r="402" spans="17:33" x14ac:dyDescent="0.2">
      <c r="Q402" s="454"/>
      <c r="AG402" s="454"/>
    </row>
    <row r="403" spans="17:33" x14ac:dyDescent="0.2">
      <c r="Q403" s="454"/>
      <c r="AG403" s="454"/>
    </row>
    <row r="404" spans="17:33" x14ac:dyDescent="0.2">
      <c r="Q404" s="454"/>
      <c r="AG404" s="454"/>
    </row>
    <row r="405" spans="17:33" x14ac:dyDescent="0.2">
      <c r="Q405" s="454"/>
      <c r="AG405" s="454"/>
    </row>
    <row r="406" spans="17:33" x14ac:dyDescent="0.2">
      <c r="Q406" s="454"/>
      <c r="AG406" s="454"/>
    </row>
    <row r="407" spans="17:33" x14ac:dyDescent="0.2">
      <c r="Q407" s="454"/>
      <c r="AG407" s="454"/>
    </row>
    <row r="408" spans="17:33" x14ac:dyDescent="0.2">
      <c r="Q408" s="454"/>
      <c r="AG408" s="454"/>
    </row>
    <row r="409" spans="17:33" x14ac:dyDescent="0.2">
      <c r="Q409" s="454"/>
      <c r="AG409" s="454"/>
    </row>
    <row r="410" spans="17:33" x14ac:dyDescent="0.2">
      <c r="Q410" s="454"/>
      <c r="AG410" s="454"/>
    </row>
    <row r="411" spans="17:33" x14ac:dyDescent="0.2">
      <c r="Q411" s="454"/>
      <c r="AG411" s="454"/>
    </row>
    <row r="412" spans="17:33" x14ac:dyDescent="0.2">
      <c r="Q412" s="454"/>
      <c r="AG412" s="454"/>
    </row>
    <row r="413" spans="17:33" x14ac:dyDescent="0.2">
      <c r="Q413" s="454"/>
      <c r="AG413" s="454"/>
    </row>
    <row r="414" spans="17:33" x14ac:dyDescent="0.2">
      <c r="Q414" s="454"/>
      <c r="AG414" s="454"/>
    </row>
    <row r="415" spans="17:33" x14ac:dyDescent="0.2">
      <c r="Q415" s="454"/>
      <c r="AG415" s="454"/>
    </row>
    <row r="416" spans="17:33" x14ac:dyDescent="0.2">
      <c r="Q416" s="454"/>
      <c r="AG416" s="454"/>
    </row>
    <row r="417" spans="17:33" x14ac:dyDescent="0.2">
      <c r="Q417" s="454"/>
      <c r="AG417" s="454"/>
    </row>
    <row r="418" spans="17:33" x14ac:dyDescent="0.2">
      <c r="Q418" s="454"/>
      <c r="AG418" s="454"/>
    </row>
    <row r="419" spans="17:33" x14ac:dyDescent="0.2">
      <c r="Q419" s="454"/>
      <c r="AG419" s="454"/>
    </row>
    <row r="420" spans="17:33" x14ac:dyDescent="0.2">
      <c r="Q420" s="454"/>
      <c r="AG420" s="454"/>
    </row>
    <row r="421" spans="17:33" x14ac:dyDescent="0.2">
      <c r="Q421" s="454"/>
      <c r="AG421" s="454"/>
    </row>
    <row r="422" spans="17:33" x14ac:dyDescent="0.2">
      <c r="Q422" s="454"/>
      <c r="AG422" s="454"/>
    </row>
    <row r="423" spans="17:33" x14ac:dyDescent="0.2">
      <c r="Q423" s="454"/>
      <c r="AG423" s="454"/>
    </row>
    <row r="424" spans="17:33" x14ac:dyDescent="0.2">
      <c r="Q424" s="454"/>
      <c r="AG424" s="454"/>
    </row>
    <row r="425" spans="17:33" x14ac:dyDescent="0.2">
      <c r="Q425" s="454"/>
      <c r="AG425" s="454"/>
    </row>
    <row r="426" spans="17:33" x14ac:dyDescent="0.2">
      <c r="Q426" s="454"/>
      <c r="AG426" s="454"/>
    </row>
    <row r="427" spans="17:33" x14ac:dyDescent="0.2">
      <c r="Q427" s="454"/>
      <c r="AG427" s="454"/>
    </row>
    <row r="428" spans="17:33" x14ac:dyDescent="0.2">
      <c r="Q428" s="454"/>
      <c r="AG428" s="454"/>
    </row>
    <row r="429" spans="17:33" x14ac:dyDescent="0.2">
      <c r="Q429" s="454"/>
      <c r="AG429" s="454"/>
    </row>
    <row r="430" spans="17:33" x14ac:dyDescent="0.2">
      <c r="Q430" s="454"/>
      <c r="AG430" s="454"/>
    </row>
    <row r="431" spans="17:33" x14ac:dyDescent="0.2">
      <c r="Q431" s="454"/>
      <c r="AG431" s="454"/>
    </row>
    <row r="432" spans="17:33" x14ac:dyDescent="0.2">
      <c r="Q432" s="454"/>
      <c r="AG432" s="454"/>
    </row>
    <row r="433" spans="17:33" x14ac:dyDescent="0.2">
      <c r="Q433" s="454"/>
      <c r="AG433" s="454"/>
    </row>
    <row r="434" spans="17:33" x14ac:dyDescent="0.2">
      <c r="Q434" s="454"/>
      <c r="AG434" s="454"/>
    </row>
    <row r="435" spans="17:33" x14ac:dyDescent="0.2">
      <c r="Q435" s="454"/>
      <c r="AG435" s="454"/>
    </row>
    <row r="436" spans="17:33" x14ac:dyDescent="0.2">
      <c r="Q436" s="454"/>
      <c r="AG436" s="454"/>
    </row>
    <row r="437" spans="17:33" x14ac:dyDescent="0.2">
      <c r="Q437" s="454"/>
      <c r="AG437" s="454"/>
    </row>
    <row r="438" spans="17:33" x14ac:dyDescent="0.2">
      <c r="Q438" s="454"/>
      <c r="AG438" s="454"/>
    </row>
    <row r="439" spans="17:33" x14ac:dyDescent="0.2">
      <c r="Q439" s="454"/>
      <c r="AG439" s="454"/>
    </row>
    <row r="440" spans="17:33" x14ac:dyDescent="0.2">
      <c r="Q440" s="454"/>
      <c r="AG440" s="454"/>
    </row>
    <row r="441" spans="17:33" x14ac:dyDescent="0.2">
      <c r="Q441" s="454"/>
      <c r="AG441" s="454"/>
    </row>
    <row r="442" spans="17:33" x14ac:dyDescent="0.2">
      <c r="Q442" s="454"/>
      <c r="AG442" s="454"/>
    </row>
    <row r="443" spans="17:33" x14ac:dyDescent="0.2">
      <c r="Q443" s="454"/>
      <c r="AG443" s="454"/>
    </row>
    <row r="444" spans="17:33" x14ac:dyDescent="0.2">
      <c r="Q444" s="454"/>
      <c r="AG444" s="454"/>
    </row>
    <row r="445" spans="17:33" x14ac:dyDescent="0.2">
      <c r="Q445" s="454"/>
      <c r="AG445" s="454"/>
    </row>
    <row r="446" spans="17:33" x14ac:dyDescent="0.2">
      <c r="Q446" s="454"/>
      <c r="AG446" s="454"/>
    </row>
    <row r="447" spans="17:33" x14ac:dyDescent="0.2">
      <c r="Q447" s="454"/>
      <c r="AG447" s="454"/>
    </row>
    <row r="448" spans="17:33" x14ac:dyDescent="0.2">
      <c r="Q448" s="454"/>
      <c r="AG448" s="454"/>
    </row>
    <row r="449" spans="17:33" x14ac:dyDescent="0.2">
      <c r="Q449" s="454"/>
      <c r="AG449" s="454"/>
    </row>
    <row r="450" spans="17:33" x14ac:dyDescent="0.2">
      <c r="Q450" s="454"/>
      <c r="AG450" s="454"/>
    </row>
    <row r="451" spans="17:33" x14ac:dyDescent="0.2">
      <c r="Q451" s="454"/>
      <c r="AG451" s="454"/>
    </row>
    <row r="452" spans="17:33" x14ac:dyDescent="0.2">
      <c r="Q452" s="454"/>
      <c r="AG452" s="454"/>
    </row>
    <row r="453" spans="17:33" x14ac:dyDescent="0.2">
      <c r="Q453" s="454"/>
      <c r="AG453" s="454"/>
    </row>
    <row r="454" spans="17:33" x14ac:dyDescent="0.2">
      <c r="Q454" s="454"/>
      <c r="AG454" s="454"/>
    </row>
    <row r="455" spans="17:33" x14ac:dyDescent="0.2">
      <c r="Q455" s="454"/>
      <c r="AG455" s="454"/>
    </row>
    <row r="456" spans="17:33" x14ac:dyDescent="0.2">
      <c r="Q456" s="454"/>
      <c r="AG456" s="454"/>
    </row>
    <row r="457" spans="17:33" x14ac:dyDescent="0.2">
      <c r="Q457" s="454"/>
      <c r="AG457" s="454"/>
    </row>
    <row r="458" spans="17:33" x14ac:dyDescent="0.2">
      <c r="Q458" s="454"/>
      <c r="AG458" s="454"/>
    </row>
    <row r="459" spans="17:33" x14ac:dyDescent="0.2">
      <c r="Q459" s="454"/>
      <c r="AG459" s="454"/>
    </row>
    <row r="460" spans="17:33" x14ac:dyDescent="0.2">
      <c r="Q460" s="454"/>
      <c r="AG460" s="454"/>
    </row>
    <row r="461" spans="17:33" x14ac:dyDescent="0.2">
      <c r="Q461" s="454"/>
      <c r="AG461" s="454"/>
    </row>
    <row r="462" spans="17:33" x14ac:dyDescent="0.2">
      <c r="Q462" s="454"/>
      <c r="AG462" s="454"/>
    </row>
    <row r="463" spans="17:33" x14ac:dyDescent="0.2">
      <c r="Q463" s="454"/>
      <c r="AG463" s="454"/>
    </row>
    <row r="464" spans="17:33" x14ac:dyDescent="0.2">
      <c r="Q464" s="454"/>
      <c r="AG464" s="454"/>
    </row>
    <row r="465" spans="17:33" x14ac:dyDescent="0.2">
      <c r="Q465" s="454"/>
      <c r="AG465" s="454"/>
    </row>
    <row r="466" spans="17:33" x14ac:dyDescent="0.2">
      <c r="Q466" s="454"/>
      <c r="AG466" s="454"/>
    </row>
    <row r="467" spans="17:33" x14ac:dyDescent="0.2">
      <c r="Q467" s="454"/>
      <c r="AG467" s="454"/>
    </row>
    <row r="468" spans="17:33" x14ac:dyDescent="0.2">
      <c r="Q468" s="454"/>
      <c r="AG468" s="454"/>
    </row>
    <row r="469" spans="17:33" x14ac:dyDescent="0.2">
      <c r="Q469" s="454"/>
      <c r="AG469" s="454"/>
    </row>
    <row r="470" spans="17:33" x14ac:dyDescent="0.2">
      <c r="Q470" s="454"/>
      <c r="AG470" s="454"/>
    </row>
    <row r="471" spans="17:33" x14ac:dyDescent="0.2">
      <c r="Q471" s="454"/>
      <c r="AG471" s="454"/>
    </row>
    <row r="472" spans="17:33" x14ac:dyDescent="0.2">
      <c r="Q472" s="454"/>
      <c r="AG472" s="454"/>
    </row>
    <row r="473" spans="17:33" x14ac:dyDescent="0.2">
      <c r="Q473" s="454"/>
      <c r="AG473" s="454"/>
    </row>
    <row r="474" spans="17:33" x14ac:dyDescent="0.2">
      <c r="Q474" s="454"/>
      <c r="AG474" s="454"/>
    </row>
    <row r="475" spans="17:33" x14ac:dyDescent="0.2">
      <c r="Q475" s="454"/>
      <c r="AG475" s="454"/>
    </row>
    <row r="476" spans="17:33" x14ac:dyDescent="0.2">
      <c r="Q476" s="454"/>
      <c r="AG476" s="454"/>
    </row>
    <row r="477" spans="17:33" x14ac:dyDescent="0.2">
      <c r="Q477" s="454"/>
      <c r="AG477" s="454"/>
    </row>
    <row r="478" spans="17:33" x14ac:dyDescent="0.2">
      <c r="Q478" s="454"/>
      <c r="AG478" s="454"/>
    </row>
    <row r="479" spans="17:33" x14ac:dyDescent="0.2">
      <c r="Q479" s="454"/>
      <c r="AG479" s="454"/>
    </row>
    <row r="480" spans="17:33" x14ac:dyDescent="0.2">
      <c r="Q480" s="454"/>
      <c r="AG480" s="454"/>
    </row>
    <row r="481" spans="17:33" x14ac:dyDescent="0.2">
      <c r="Q481" s="454"/>
      <c r="AG481" s="454"/>
    </row>
    <row r="482" spans="17:33" x14ac:dyDescent="0.2">
      <c r="Q482" s="454"/>
      <c r="AG482" s="454"/>
    </row>
    <row r="483" spans="17:33" x14ac:dyDescent="0.2">
      <c r="Q483" s="454"/>
      <c r="AG483" s="454"/>
    </row>
    <row r="484" spans="17:33" x14ac:dyDescent="0.2">
      <c r="Q484" s="454"/>
      <c r="AG484" s="454"/>
    </row>
    <row r="485" spans="17:33" x14ac:dyDescent="0.2">
      <c r="Q485" s="454"/>
      <c r="AG485" s="454"/>
    </row>
    <row r="486" spans="17:33" x14ac:dyDescent="0.2">
      <c r="Q486" s="454"/>
      <c r="AG486" s="454"/>
    </row>
    <row r="487" spans="17:33" x14ac:dyDescent="0.2">
      <c r="Q487" s="454"/>
      <c r="AG487" s="454"/>
    </row>
    <row r="488" spans="17:33" x14ac:dyDescent="0.2">
      <c r="Q488" s="454"/>
      <c r="AG488" s="454"/>
    </row>
    <row r="489" spans="17:33" x14ac:dyDescent="0.2">
      <c r="Q489" s="454"/>
      <c r="AG489" s="454"/>
    </row>
    <row r="490" spans="17:33" x14ac:dyDescent="0.2">
      <c r="Q490" s="454"/>
      <c r="AG490" s="454"/>
    </row>
    <row r="491" spans="17:33" x14ac:dyDescent="0.2">
      <c r="Q491" s="454"/>
      <c r="AG491" s="454"/>
    </row>
    <row r="492" spans="17:33" x14ac:dyDescent="0.2">
      <c r="Q492" s="454"/>
      <c r="AG492" s="454"/>
    </row>
    <row r="493" spans="17:33" x14ac:dyDescent="0.2">
      <c r="Q493" s="454"/>
      <c r="AG493" s="454"/>
    </row>
    <row r="494" spans="17:33" x14ac:dyDescent="0.2">
      <c r="Q494" s="454"/>
      <c r="AG494" s="454"/>
    </row>
    <row r="495" spans="17:33" x14ac:dyDescent="0.2">
      <c r="Q495" s="454"/>
      <c r="AG495" s="454"/>
    </row>
    <row r="496" spans="17:33" x14ac:dyDescent="0.2">
      <c r="Q496" s="454"/>
      <c r="AG496" s="454"/>
    </row>
    <row r="497" spans="17:33" x14ac:dyDescent="0.2">
      <c r="Q497" s="454"/>
      <c r="AG497" s="454"/>
    </row>
    <row r="498" spans="17:33" x14ac:dyDescent="0.2">
      <c r="Q498" s="454"/>
      <c r="AG498" s="454"/>
    </row>
    <row r="499" spans="17:33" x14ac:dyDescent="0.2">
      <c r="Q499" s="454"/>
      <c r="AG499" s="454"/>
    </row>
    <row r="500" spans="17:33" x14ac:dyDescent="0.2">
      <c r="Q500" s="454"/>
      <c r="AG500" s="454"/>
    </row>
    <row r="501" spans="17:33" x14ac:dyDescent="0.2">
      <c r="Q501" s="454"/>
      <c r="AG501" s="454"/>
    </row>
    <row r="502" spans="17:33" x14ac:dyDescent="0.2">
      <c r="Q502" s="454"/>
      <c r="AG502" s="454"/>
    </row>
    <row r="503" spans="17:33" x14ac:dyDescent="0.2">
      <c r="Q503" s="454"/>
      <c r="AG503" s="454"/>
    </row>
    <row r="504" spans="17:33" x14ac:dyDescent="0.2">
      <c r="Q504" s="454"/>
      <c r="AG504" s="454"/>
    </row>
    <row r="505" spans="17:33" x14ac:dyDescent="0.2">
      <c r="Q505" s="454"/>
      <c r="AG505" s="454"/>
    </row>
    <row r="506" spans="17:33" x14ac:dyDescent="0.2">
      <c r="Q506" s="454"/>
      <c r="AG506" s="454"/>
    </row>
    <row r="507" spans="17:33" x14ac:dyDescent="0.2">
      <c r="Q507" s="454"/>
      <c r="AG507" s="454"/>
    </row>
    <row r="508" spans="17:33" x14ac:dyDescent="0.2">
      <c r="Q508" s="454"/>
      <c r="AG508" s="454"/>
    </row>
    <row r="509" spans="17:33" x14ac:dyDescent="0.2">
      <c r="Q509" s="454"/>
      <c r="AG509" s="454"/>
    </row>
    <row r="510" spans="17:33" x14ac:dyDescent="0.2">
      <c r="Q510" s="454"/>
      <c r="AG510" s="454"/>
    </row>
    <row r="511" spans="17:33" x14ac:dyDescent="0.2">
      <c r="Q511" s="454"/>
      <c r="AG511" s="454"/>
    </row>
    <row r="512" spans="17:33" x14ac:dyDescent="0.2">
      <c r="Q512" s="454"/>
      <c r="AG512" s="454"/>
    </row>
    <row r="513" spans="17:33" x14ac:dyDescent="0.2">
      <c r="Q513" s="454"/>
      <c r="AG513" s="454"/>
    </row>
    <row r="514" spans="17:33" x14ac:dyDescent="0.2">
      <c r="Q514" s="454"/>
      <c r="AG514" s="454"/>
    </row>
    <row r="515" spans="17:33" x14ac:dyDescent="0.2">
      <c r="Q515" s="454"/>
      <c r="AG515" s="454"/>
    </row>
    <row r="516" spans="17:33" x14ac:dyDescent="0.2">
      <c r="Q516" s="454"/>
      <c r="AG516" s="454"/>
    </row>
    <row r="517" spans="17:33" x14ac:dyDescent="0.2">
      <c r="Q517" s="454"/>
      <c r="AG517" s="454"/>
    </row>
    <row r="518" spans="17:33" x14ac:dyDescent="0.2">
      <c r="Q518" s="454"/>
      <c r="AG518" s="454"/>
    </row>
    <row r="519" spans="17:33" x14ac:dyDescent="0.2">
      <c r="Q519" s="454"/>
      <c r="AG519" s="454"/>
    </row>
    <row r="520" spans="17:33" x14ac:dyDescent="0.2">
      <c r="Q520" s="454"/>
      <c r="AG520" s="454"/>
    </row>
    <row r="521" spans="17:33" x14ac:dyDescent="0.2">
      <c r="Q521" s="454"/>
      <c r="AG521" s="454"/>
    </row>
    <row r="522" spans="17:33" x14ac:dyDescent="0.2">
      <c r="Q522" s="454"/>
      <c r="AG522" s="454"/>
    </row>
    <row r="523" spans="17:33" x14ac:dyDescent="0.2">
      <c r="Q523" s="454"/>
      <c r="AG523" s="454"/>
    </row>
    <row r="524" spans="17:33" x14ac:dyDescent="0.2">
      <c r="Q524" s="454"/>
      <c r="AG524" s="454"/>
    </row>
    <row r="525" spans="17:33" x14ac:dyDescent="0.2">
      <c r="Q525" s="454"/>
      <c r="AG525" s="454"/>
    </row>
    <row r="526" spans="17:33" x14ac:dyDescent="0.2">
      <c r="Q526" s="454"/>
      <c r="AG526" s="454"/>
    </row>
    <row r="527" spans="17:33" x14ac:dyDescent="0.2">
      <c r="Q527" s="454"/>
      <c r="AG527" s="454"/>
    </row>
    <row r="528" spans="17:33" x14ac:dyDescent="0.2">
      <c r="Q528" s="454"/>
      <c r="AG528" s="454"/>
    </row>
    <row r="529" spans="17:33" x14ac:dyDescent="0.2">
      <c r="Q529" s="454"/>
      <c r="AG529" s="454"/>
    </row>
    <row r="530" spans="17:33" x14ac:dyDescent="0.2">
      <c r="Q530" s="454"/>
      <c r="AG530" s="454"/>
    </row>
    <row r="531" spans="17:33" x14ac:dyDescent="0.2">
      <c r="Q531" s="454"/>
      <c r="AG531" s="454"/>
    </row>
    <row r="532" spans="17:33" x14ac:dyDescent="0.2">
      <c r="Q532" s="454"/>
      <c r="AG532" s="454"/>
    </row>
    <row r="533" spans="17:33" x14ac:dyDescent="0.2">
      <c r="Q533" s="454"/>
      <c r="AG533" s="454"/>
    </row>
    <row r="534" spans="17:33" x14ac:dyDescent="0.2">
      <c r="Q534" s="454"/>
      <c r="AG534" s="454"/>
    </row>
    <row r="535" spans="17:33" x14ac:dyDescent="0.2">
      <c r="AG535" s="454"/>
    </row>
    <row r="536" spans="17:33" x14ac:dyDescent="0.2">
      <c r="AG536" s="454"/>
    </row>
    <row r="537" spans="17:33" x14ac:dyDescent="0.2">
      <c r="AG537" s="454"/>
    </row>
    <row r="538" spans="17:33" x14ac:dyDescent="0.2">
      <c r="AG538" s="454"/>
    </row>
    <row r="539" spans="17:33" x14ac:dyDescent="0.2">
      <c r="AG539" s="454"/>
    </row>
    <row r="540" spans="17:33" x14ac:dyDescent="0.2">
      <c r="AG540" s="454"/>
    </row>
    <row r="541" spans="17:33" x14ac:dyDescent="0.2">
      <c r="AG541" s="454"/>
    </row>
    <row r="542" spans="17:33" x14ac:dyDescent="0.2">
      <c r="AG542" s="454"/>
    </row>
    <row r="543" spans="17:33" x14ac:dyDescent="0.2">
      <c r="AG543" s="454"/>
    </row>
    <row r="544" spans="17:33" x14ac:dyDescent="0.2">
      <c r="AG544" s="454"/>
    </row>
    <row r="545" spans="33:33" x14ac:dyDescent="0.2">
      <c r="AG545" s="454"/>
    </row>
    <row r="546" spans="33:33" x14ac:dyDescent="0.2">
      <c r="AG546" s="454"/>
    </row>
    <row r="547" spans="33:33" x14ac:dyDescent="0.2">
      <c r="AG547" s="454"/>
    </row>
    <row r="548" spans="33:33" x14ac:dyDescent="0.2">
      <c r="AG548" s="454"/>
    </row>
    <row r="549" spans="33:33" x14ac:dyDescent="0.2">
      <c r="AG549" s="454"/>
    </row>
    <row r="550" spans="33:33" x14ac:dyDescent="0.2">
      <c r="AG550" s="454"/>
    </row>
    <row r="551" spans="33:33" x14ac:dyDescent="0.2">
      <c r="AG551" s="454"/>
    </row>
    <row r="552" spans="33:33" x14ac:dyDescent="0.2">
      <c r="AG552" s="454"/>
    </row>
    <row r="553" spans="33:33" x14ac:dyDescent="0.2">
      <c r="AG553" s="454"/>
    </row>
    <row r="554" spans="33:33" x14ac:dyDescent="0.2">
      <c r="AG554" s="454"/>
    </row>
    <row r="555" spans="33:33" x14ac:dyDescent="0.2">
      <c r="AG555" s="454"/>
    </row>
    <row r="556" spans="33:33" x14ac:dyDescent="0.2">
      <c r="AG556" s="454"/>
    </row>
    <row r="557" spans="33:33" x14ac:dyDescent="0.2">
      <c r="AG557" s="454"/>
    </row>
    <row r="558" spans="33:33" x14ac:dyDescent="0.2">
      <c r="AG558" s="454"/>
    </row>
    <row r="559" spans="33:33" x14ac:dyDescent="0.2">
      <c r="AG559" s="454"/>
    </row>
    <row r="560" spans="33:33" x14ac:dyDescent="0.2">
      <c r="AG560" s="454"/>
    </row>
    <row r="561" spans="33:33" x14ac:dyDescent="0.2">
      <c r="AG561" s="454"/>
    </row>
    <row r="562" spans="33:33" x14ac:dyDescent="0.2">
      <c r="AG562" s="454"/>
    </row>
    <row r="563" spans="33:33" x14ac:dyDescent="0.2">
      <c r="AG563" s="454"/>
    </row>
    <row r="564" spans="33:33" x14ac:dyDescent="0.2">
      <c r="AG564" s="454"/>
    </row>
    <row r="565" spans="33:33" x14ac:dyDescent="0.2">
      <c r="AG565" s="454"/>
    </row>
    <row r="566" spans="33:33" x14ac:dyDescent="0.2">
      <c r="AG566" s="454"/>
    </row>
    <row r="567" spans="33:33" x14ac:dyDescent="0.2">
      <c r="AG567" s="454"/>
    </row>
    <row r="568" spans="33:33" x14ac:dyDescent="0.2">
      <c r="AG568" s="454"/>
    </row>
    <row r="569" spans="33:33" x14ac:dyDescent="0.2">
      <c r="AG569" s="454"/>
    </row>
    <row r="570" spans="33:33" x14ac:dyDescent="0.2">
      <c r="AG570" s="454"/>
    </row>
    <row r="571" spans="33:33" x14ac:dyDescent="0.2">
      <c r="AG571" s="454"/>
    </row>
    <row r="572" spans="33:33" x14ac:dyDescent="0.2">
      <c r="AG572" s="454"/>
    </row>
    <row r="573" spans="33:33" x14ac:dyDescent="0.2">
      <c r="AG573" s="454"/>
    </row>
    <row r="574" spans="33:33" x14ac:dyDescent="0.2">
      <c r="AG574" s="454"/>
    </row>
    <row r="575" spans="33:33" x14ac:dyDescent="0.2">
      <c r="AG575" s="454"/>
    </row>
    <row r="576" spans="33:33" x14ac:dyDescent="0.2">
      <c r="AG576" s="454"/>
    </row>
    <row r="577" spans="33:33" x14ac:dyDescent="0.2">
      <c r="AG577" s="454"/>
    </row>
    <row r="578" spans="33:33" x14ac:dyDescent="0.2">
      <c r="AG578" s="454"/>
    </row>
    <row r="579" spans="33:33" x14ac:dyDescent="0.2">
      <c r="AG579" s="454"/>
    </row>
    <row r="580" spans="33:33" x14ac:dyDescent="0.2">
      <c r="AG580" s="454"/>
    </row>
    <row r="581" spans="33:33" x14ac:dyDescent="0.2">
      <c r="AG581" s="454"/>
    </row>
    <row r="582" spans="33:33" x14ac:dyDescent="0.2">
      <c r="AG582" s="454"/>
    </row>
    <row r="583" spans="33:33" x14ac:dyDescent="0.2">
      <c r="AG583" s="454"/>
    </row>
    <row r="584" spans="33:33" x14ac:dyDescent="0.2">
      <c r="AG584" s="454"/>
    </row>
    <row r="585" spans="33:33" x14ac:dyDescent="0.2">
      <c r="AG585" s="454"/>
    </row>
    <row r="586" spans="33:33" x14ac:dyDescent="0.2">
      <c r="AG586" s="454"/>
    </row>
    <row r="587" spans="33:33" x14ac:dyDescent="0.2">
      <c r="AG587" s="454"/>
    </row>
    <row r="588" spans="33:33" x14ac:dyDescent="0.2">
      <c r="AG588" s="454"/>
    </row>
    <row r="589" spans="33:33" x14ac:dyDescent="0.2">
      <c r="AG589" s="454"/>
    </row>
    <row r="590" spans="33:33" x14ac:dyDescent="0.2">
      <c r="AG590" s="454"/>
    </row>
    <row r="591" spans="33:33" x14ac:dyDescent="0.2">
      <c r="AG591" s="454"/>
    </row>
    <row r="592" spans="33:33" x14ac:dyDescent="0.2">
      <c r="AG592" s="454"/>
    </row>
    <row r="593" spans="33:33" x14ac:dyDescent="0.2">
      <c r="AG593" s="454"/>
    </row>
    <row r="594" spans="33:33" x14ac:dyDescent="0.2">
      <c r="AG594" s="454"/>
    </row>
    <row r="595" spans="33:33" x14ac:dyDescent="0.2">
      <c r="AG595" s="454"/>
    </row>
    <row r="596" spans="33:33" x14ac:dyDescent="0.2">
      <c r="AG596" s="454"/>
    </row>
    <row r="597" spans="33:33" x14ac:dyDescent="0.2">
      <c r="AG597" s="454"/>
    </row>
    <row r="598" spans="33:33" x14ac:dyDescent="0.2">
      <c r="AG598" s="454"/>
    </row>
    <row r="599" spans="33:33" x14ac:dyDescent="0.2">
      <c r="AG599" s="454"/>
    </row>
    <row r="600" spans="33:33" x14ac:dyDescent="0.2">
      <c r="AG600" s="454"/>
    </row>
    <row r="601" spans="33:33" x14ac:dyDescent="0.2">
      <c r="AG601" s="454"/>
    </row>
    <row r="602" spans="33:33" x14ac:dyDescent="0.2">
      <c r="AG602" s="454"/>
    </row>
    <row r="603" spans="33:33" x14ac:dyDescent="0.2">
      <c r="AG603" s="454"/>
    </row>
    <row r="604" spans="33:33" x14ac:dyDescent="0.2">
      <c r="AG604" s="454"/>
    </row>
    <row r="605" spans="33:33" x14ac:dyDescent="0.2">
      <c r="AG605" s="454"/>
    </row>
    <row r="606" spans="33:33" x14ac:dyDescent="0.2">
      <c r="AG606" s="454"/>
    </row>
    <row r="607" spans="33:33" x14ac:dyDescent="0.2">
      <c r="AG607" s="454"/>
    </row>
    <row r="608" spans="33:33" x14ac:dyDescent="0.2">
      <c r="AG608" s="454"/>
    </row>
    <row r="609" spans="33:33" x14ac:dyDescent="0.2">
      <c r="AG609" s="454"/>
    </row>
    <row r="610" spans="33:33" x14ac:dyDescent="0.2">
      <c r="AG610" s="454"/>
    </row>
    <row r="611" spans="33:33" x14ac:dyDescent="0.2">
      <c r="AG611" s="454"/>
    </row>
    <row r="612" spans="33:33" x14ac:dyDescent="0.2">
      <c r="AG612" s="454"/>
    </row>
    <row r="613" spans="33:33" x14ac:dyDescent="0.2">
      <c r="AG613" s="454"/>
    </row>
    <row r="614" spans="33:33" x14ac:dyDescent="0.2">
      <c r="AG614" s="454"/>
    </row>
    <row r="615" spans="33:33" x14ac:dyDescent="0.2">
      <c r="AG615" s="454"/>
    </row>
    <row r="616" spans="33:33" x14ac:dyDescent="0.2">
      <c r="AG616" s="454"/>
    </row>
    <row r="617" spans="33:33" x14ac:dyDescent="0.2">
      <c r="AG617" s="454"/>
    </row>
    <row r="618" spans="33:33" x14ac:dyDescent="0.2">
      <c r="AG618" s="454"/>
    </row>
    <row r="619" spans="33:33" x14ac:dyDescent="0.2">
      <c r="AG619" s="454"/>
    </row>
    <row r="620" spans="33:33" x14ac:dyDescent="0.2">
      <c r="AG620" s="454"/>
    </row>
    <row r="621" spans="33:33" x14ac:dyDescent="0.2">
      <c r="AG621" s="454"/>
    </row>
    <row r="622" spans="33:33" x14ac:dyDescent="0.2">
      <c r="AG622" s="454"/>
    </row>
    <row r="623" spans="33:33" x14ac:dyDescent="0.2">
      <c r="AG623" s="454"/>
    </row>
    <row r="624" spans="33:33" x14ac:dyDescent="0.2">
      <c r="AG624" s="454"/>
    </row>
    <row r="625" spans="33:33" x14ac:dyDescent="0.2">
      <c r="AG625" s="454"/>
    </row>
    <row r="626" spans="33:33" x14ac:dyDescent="0.2">
      <c r="AG626" s="454"/>
    </row>
    <row r="627" spans="33:33" x14ac:dyDescent="0.2">
      <c r="AG627" s="454"/>
    </row>
    <row r="628" spans="33:33" x14ac:dyDescent="0.2">
      <c r="AG628" s="454"/>
    </row>
    <row r="629" spans="33:33" x14ac:dyDescent="0.2">
      <c r="AG629" s="454"/>
    </row>
    <row r="630" spans="33:33" x14ac:dyDescent="0.2">
      <c r="AG630" s="454"/>
    </row>
    <row r="631" spans="33:33" x14ac:dyDescent="0.2">
      <c r="AG631" s="454"/>
    </row>
    <row r="632" spans="33:33" x14ac:dyDescent="0.2">
      <c r="AG632" s="454"/>
    </row>
    <row r="633" spans="33:33" x14ac:dyDescent="0.2">
      <c r="AG633" s="454"/>
    </row>
    <row r="634" spans="33:33" x14ac:dyDescent="0.2">
      <c r="AG634" s="454"/>
    </row>
    <row r="635" spans="33:33" x14ac:dyDescent="0.2">
      <c r="AG635" s="454"/>
    </row>
    <row r="636" spans="33:33" x14ac:dyDescent="0.2">
      <c r="AG636" s="454"/>
    </row>
    <row r="637" spans="33:33" x14ac:dyDescent="0.2">
      <c r="AG637" s="454"/>
    </row>
    <row r="638" spans="33:33" x14ac:dyDescent="0.2">
      <c r="AG638" s="454"/>
    </row>
    <row r="639" spans="33:33" x14ac:dyDescent="0.2">
      <c r="AG639" s="454"/>
    </row>
    <row r="640" spans="33:33" x14ac:dyDescent="0.2">
      <c r="AG640" s="454"/>
    </row>
    <row r="641" spans="33:33" x14ac:dyDescent="0.2">
      <c r="AG641" s="454"/>
    </row>
    <row r="642" spans="33:33" x14ac:dyDescent="0.2">
      <c r="AG642" s="454"/>
    </row>
    <row r="643" spans="33:33" x14ac:dyDescent="0.2">
      <c r="AG643" s="454"/>
    </row>
    <row r="644" spans="33:33" x14ac:dyDescent="0.2">
      <c r="AG644" s="454"/>
    </row>
    <row r="645" spans="33:33" x14ac:dyDescent="0.2">
      <c r="AG645" s="454"/>
    </row>
    <row r="646" spans="33:33" x14ac:dyDescent="0.2">
      <c r="AG646" s="454"/>
    </row>
    <row r="647" spans="33:33" x14ac:dyDescent="0.2">
      <c r="AG647" s="454"/>
    </row>
    <row r="648" spans="33:33" x14ac:dyDescent="0.2">
      <c r="AG648" s="454"/>
    </row>
    <row r="649" spans="33:33" x14ac:dyDescent="0.2">
      <c r="AG649" s="454"/>
    </row>
    <row r="650" spans="33:33" x14ac:dyDescent="0.2">
      <c r="AG650" s="454"/>
    </row>
    <row r="651" spans="33:33" x14ac:dyDescent="0.2">
      <c r="AG651" s="454"/>
    </row>
    <row r="652" spans="33:33" x14ac:dyDescent="0.2">
      <c r="AG652" s="454"/>
    </row>
    <row r="653" spans="33:33" x14ac:dyDescent="0.2">
      <c r="AG653" s="454"/>
    </row>
    <row r="654" spans="33:33" x14ac:dyDescent="0.2">
      <c r="AG654" s="454"/>
    </row>
    <row r="655" spans="33:33" x14ac:dyDescent="0.2">
      <c r="AG655" s="454"/>
    </row>
    <row r="656" spans="33:33" x14ac:dyDescent="0.2">
      <c r="AG656" s="454"/>
    </row>
    <row r="657" spans="33:33" x14ac:dyDescent="0.2">
      <c r="AG657" s="454"/>
    </row>
    <row r="658" spans="33:33" x14ac:dyDescent="0.2">
      <c r="AG658" s="454"/>
    </row>
    <row r="659" spans="33:33" x14ac:dyDescent="0.2">
      <c r="AG659" s="454"/>
    </row>
    <row r="660" spans="33:33" x14ac:dyDescent="0.2">
      <c r="AG660" s="454"/>
    </row>
    <row r="661" spans="33:33" x14ac:dyDescent="0.2">
      <c r="AG661" s="454"/>
    </row>
    <row r="662" spans="33:33" x14ac:dyDescent="0.2">
      <c r="AG662" s="454"/>
    </row>
    <row r="663" spans="33:33" x14ac:dyDescent="0.2">
      <c r="AG663" s="454"/>
    </row>
    <row r="664" spans="33:33" x14ac:dyDescent="0.2">
      <c r="AG664" s="454"/>
    </row>
    <row r="665" spans="33:33" x14ac:dyDescent="0.2">
      <c r="AG665" s="454"/>
    </row>
    <row r="666" spans="33:33" x14ac:dyDescent="0.2">
      <c r="AG666" s="454"/>
    </row>
    <row r="667" spans="33:33" x14ac:dyDescent="0.2">
      <c r="AG667" s="454"/>
    </row>
    <row r="668" spans="33:33" x14ac:dyDescent="0.2">
      <c r="AG668" s="454"/>
    </row>
    <row r="669" spans="33:33" x14ac:dyDescent="0.2">
      <c r="AG669" s="454"/>
    </row>
    <row r="670" spans="33:33" x14ac:dyDescent="0.2">
      <c r="AG670" s="454"/>
    </row>
    <row r="671" spans="33:33" x14ac:dyDescent="0.2">
      <c r="AG671" s="454"/>
    </row>
    <row r="672" spans="33:33" x14ac:dyDescent="0.2">
      <c r="AG672" s="454"/>
    </row>
    <row r="673" spans="33:33" x14ac:dyDescent="0.2">
      <c r="AG673" s="454"/>
    </row>
    <row r="674" spans="33:33" x14ac:dyDescent="0.2">
      <c r="AG674" s="454"/>
    </row>
    <row r="675" spans="33:33" x14ac:dyDescent="0.2">
      <c r="AG675" s="454"/>
    </row>
    <row r="676" spans="33:33" x14ac:dyDescent="0.2">
      <c r="AG676" s="454"/>
    </row>
    <row r="677" spans="33:33" x14ac:dyDescent="0.2">
      <c r="AG677" s="454"/>
    </row>
    <row r="678" spans="33:33" x14ac:dyDescent="0.2">
      <c r="AG678" s="454"/>
    </row>
    <row r="679" spans="33:33" x14ac:dyDescent="0.2">
      <c r="AG679" s="454"/>
    </row>
    <row r="680" spans="33:33" x14ac:dyDescent="0.2">
      <c r="AG680" s="454"/>
    </row>
    <row r="681" spans="33:33" x14ac:dyDescent="0.2">
      <c r="AG681" s="454"/>
    </row>
    <row r="682" spans="33:33" x14ac:dyDescent="0.2">
      <c r="AG682" s="454"/>
    </row>
    <row r="683" spans="33:33" x14ac:dyDescent="0.2">
      <c r="AG683" s="454"/>
    </row>
    <row r="684" spans="33:33" x14ac:dyDescent="0.2">
      <c r="AG684" s="454"/>
    </row>
    <row r="685" spans="33:33" x14ac:dyDescent="0.2">
      <c r="AG685" s="454"/>
    </row>
    <row r="686" spans="33:33" x14ac:dyDescent="0.2">
      <c r="AG686" s="454"/>
    </row>
    <row r="687" spans="33:33" x14ac:dyDescent="0.2">
      <c r="AG687" s="454"/>
    </row>
    <row r="688" spans="33:33" x14ac:dyDescent="0.2">
      <c r="AG688" s="454"/>
    </row>
    <row r="689" spans="33:33" x14ac:dyDescent="0.2">
      <c r="AG689" s="454"/>
    </row>
    <row r="690" spans="33:33" x14ac:dyDescent="0.2">
      <c r="AG690" s="454"/>
    </row>
    <row r="691" spans="33:33" x14ac:dyDescent="0.2">
      <c r="AG691" s="454"/>
    </row>
    <row r="692" spans="33:33" x14ac:dyDescent="0.2">
      <c r="AG692" s="454"/>
    </row>
    <row r="693" spans="33:33" x14ac:dyDescent="0.2">
      <c r="AG693" s="454"/>
    </row>
    <row r="694" spans="33:33" x14ac:dyDescent="0.2">
      <c r="AG694" s="454"/>
    </row>
    <row r="695" spans="33:33" x14ac:dyDescent="0.2">
      <c r="AG695" s="454"/>
    </row>
    <row r="696" spans="33:33" x14ac:dyDescent="0.2">
      <c r="AG696" s="454"/>
    </row>
    <row r="697" spans="33:33" x14ac:dyDescent="0.2">
      <c r="AG697" s="454"/>
    </row>
    <row r="698" spans="33:33" x14ac:dyDescent="0.2">
      <c r="AG698" s="454"/>
    </row>
    <row r="699" spans="33:33" x14ac:dyDescent="0.2">
      <c r="AG699" s="454"/>
    </row>
    <row r="700" spans="33:33" x14ac:dyDescent="0.2">
      <c r="AG700" s="454"/>
    </row>
    <row r="701" spans="33:33" x14ac:dyDescent="0.2">
      <c r="AG701" s="454"/>
    </row>
    <row r="702" spans="33:33" x14ac:dyDescent="0.2">
      <c r="AG702" s="454"/>
    </row>
    <row r="703" spans="33:33" x14ac:dyDescent="0.2">
      <c r="AG703" s="454"/>
    </row>
    <row r="704" spans="33:33" x14ac:dyDescent="0.2">
      <c r="AG704" s="454"/>
    </row>
    <row r="705" spans="33:33" x14ac:dyDescent="0.2">
      <c r="AG705" s="454"/>
    </row>
    <row r="706" spans="33:33" x14ac:dyDescent="0.2">
      <c r="AG706" s="454"/>
    </row>
    <row r="707" spans="33:33" x14ac:dyDescent="0.2">
      <c r="AG707" s="454"/>
    </row>
    <row r="708" spans="33:33" x14ac:dyDescent="0.2">
      <c r="AG708" s="454"/>
    </row>
    <row r="709" spans="33:33" x14ac:dyDescent="0.2">
      <c r="AG709" s="454"/>
    </row>
    <row r="710" spans="33:33" x14ac:dyDescent="0.2">
      <c r="AG710" s="454"/>
    </row>
    <row r="711" spans="33:33" x14ac:dyDescent="0.2">
      <c r="AG711" s="454"/>
    </row>
    <row r="712" spans="33:33" x14ac:dyDescent="0.2">
      <c r="AG712" s="454"/>
    </row>
    <row r="713" spans="33:33" x14ac:dyDescent="0.2">
      <c r="AG713" s="454"/>
    </row>
    <row r="714" spans="33:33" x14ac:dyDescent="0.2">
      <c r="AG714" s="454"/>
    </row>
    <row r="715" spans="33:33" x14ac:dyDescent="0.2">
      <c r="AG715" s="454"/>
    </row>
    <row r="716" spans="33:33" x14ac:dyDescent="0.2">
      <c r="AG716" s="454"/>
    </row>
    <row r="717" spans="33:33" x14ac:dyDescent="0.2">
      <c r="AG717" s="454"/>
    </row>
    <row r="718" spans="33:33" x14ac:dyDescent="0.2">
      <c r="AG718" s="454"/>
    </row>
    <row r="719" spans="33:33" x14ac:dyDescent="0.2">
      <c r="AG719" s="454"/>
    </row>
    <row r="720" spans="33:33" x14ac:dyDescent="0.2">
      <c r="AG720" s="454"/>
    </row>
    <row r="721" spans="33:33" x14ac:dyDescent="0.2">
      <c r="AG721" s="454"/>
    </row>
    <row r="722" spans="33:33" x14ac:dyDescent="0.2">
      <c r="AG722" s="454"/>
    </row>
    <row r="723" spans="33:33" x14ac:dyDescent="0.2">
      <c r="AG723" s="454"/>
    </row>
    <row r="724" spans="33:33" x14ac:dyDescent="0.2">
      <c r="AG724" s="454"/>
    </row>
    <row r="725" spans="33:33" x14ac:dyDescent="0.2">
      <c r="AG725" s="454"/>
    </row>
    <row r="726" spans="33:33" x14ac:dyDescent="0.2">
      <c r="AG726" s="454"/>
    </row>
    <row r="727" spans="33:33" x14ac:dyDescent="0.2">
      <c r="AG727" s="454"/>
    </row>
    <row r="728" spans="33:33" x14ac:dyDescent="0.2">
      <c r="AG728" s="454"/>
    </row>
    <row r="729" spans="33:33" x14ac:dyDescent="0.2">
      <c r="AG729" s="454"/>
    </row>
    <row r="730" spans="33:33" x14ac:dyDescent="0.2">
      <c r="AG730" s="454"/>
    </row>
    <row r="731" spans="33:33" x14ac:dyDescent="0.2">
      <c r="AG731" s="454"/>
    </row>
    <row r="732" spans="33:33" x14ac:dyDescent="0.2">
      <c r="AG732" s="454"/>
    </row>
    <row r="733" spans="33:33" x14ac:dyDescent="0.2">
      <c r="AG733" s="454"/>
    </row>
    <row r="734" spans="33:33" x14ac:dyDescent="0.2">
      <c r="AG734" s="454"/>
    </row>
    <row r="735" spans="33:33" x14ac:dyDescent="0.2">
      <c r="AG735" s="454"/>
    </row>
    <row r="736" spans="33:33" x14ac:dyDescent="0.2">
      <c r="AG736" s="454"/>
    </row>
    <row r="737" spans="33:33" x14ac:dyDescent="0.2">
      <c r="AG737" s="454"/>
    </row>
    <row r="738" spans="33:33" x14ac:dyDescent="0.2">
      <c r="AG738" s="454"/>
    </row>
    <row r="739" spans="33:33" x14ac:dyDescent="0.2">
      <c r="AG739" s="454"/>
    </row>
    <row r="740" spans="33:33" x14ac:dyDescent="0.2">
      <c r="AG740" s="454"/>
    </row>
    <row r="741" spans="33:33" x14ac:dyDescent="0.2">
      <c r="AG741" s="454"/>
    </row>
    <row r="742" spans="33:33" x14ac:dyDescent="0.2">
      <c r="AG742" s="454"/>
    </row>
    <row r="743" spans="33:33" x14ac:dyDescent="0.2">
      <c r="AG743" s="454"/>
    </row>
    <row r="744" spans="33:33" x14ac:dyDescent="0.2">
      <c r="AG744" s="454"/>
    </row>
    <row r="745" spans="33:33" x14ac:dyDescent="0.2">
      <c r="AG745" s="454"/>
    </row>
    <row r="746" spans="33:33" x14ac:dyDescent="0.2">
      <c r="AG746" s="454"/>
    </row>
    <row r="747" spans="33:33" x14ac:dyDescent="0.2">
      <c r="AG747" s="454"/>
    </row>
    <row r="748" spans="33:33" x14ac:dyDescent="0.2">
      <c r="AG748" s="454"/>
    </row>
    <row r="749" spans="33:33" x14ac:dyDescent="0.2">
      <c r="AG749" s="454"/>
    </row>
    <row r="750" spans="33:33" x14ac:dyDescent="0.2">
      <c r="AG750" s="454"/>
    </row>
    <row r="751" spans="33:33" x14ac:dyDescent="0.2">
      <c r="AG751" s="454"/>
    </row>
    <row r="752" spans="33:33" x14ac:dyDescent="0.2">
      <c r="AG752" s="454"/>
    </row>
    <row r="753" spans="33:33" x14ac:dyDescent="0.2">
      <c r="AG753" s="454"/>
    </row>
    <row r="754" spans="33:33" x14ac:dyDescent="0.2">
      <c r="AG754" s="454"/>
    </row>
    <row r="755" spans="33:33" x14ac:dyDescent="0.2">
      <c r="AG755" s="454"/>
    </row>
    <row r="756" spans="33:33" x14ac:dyDescent="0.2">
      <c r="AG756" s="454"/>
    </row>
    <row r="757" spans="33:33" x14ac:dyDescent="0.2">
      <c r="AG757" s="454"/>
    </row>
    <row r="758" spans="33:33" x14ac:dyDescent="0.2">
      <c r="AG758" s="454"/>
    </row>
    <row r="759" spans="33:33" x14ac:dyDescent="0.2">
      <c r="AG759" s="454"/>
    </row>
    <row r="760" spans="33:33" x14ac:dyDescent="0.2">
      <c r="AG760" s="454"/>
    </row>
    <row r="761" spans="33:33" x14ac:dyDescent="0.2">
      <c r="AG761" s="454"/>
    </row>
    <row r="762" spans="33:33" x14ac:dyDescent="0.2">
      <c r="AG762" s="454"/>
    </row>
    <row r="763" spans="33:33" x14ac:dyDescent="0.2">
      <c r="AG763" s="454"/>
    </row>
    <row r="764" spans="33:33" x14ac:dyDescent="0.2">
      <c r="AG764" s="454"/>
    </row>
    <row r="765" spans="33:33" x14ac:dyDescent="0.2">
      <c r="AG765" s="454"/>
    </row>
    <row r="766" spans="33:33" x14ac:dyDescent="0.2">
      <c r="AG766" s="454"/>
    </row>
    <row r="767" spans="33:33" x14ac:dyDescent="0.2">
      <c r="AG767" s="454"/>
    </row>
    <row r="768" spans="33:33" x14ac:dyDescent="0.2">
      <c r="AG768" s="454"/>
    </row>
    <row r="769" spans="33:33" x14ac:dyDescent="0.2">
      <c r="AG769" s="454"/>
    </row>
    <row r="770" spans="33:33" x14ac:dyDescent="0.2">
      <c r="AG770" s="454"/>
    </row>
    <row r="771" spans="33:33" x14ac:dyDescent="0.2">
      <c r="AG771" s="454"/>
    </row>
    <row r="772" spans="33:33" x14ac:dyDescent="0.2">
      <c r="AG772" s="454"/>
    </row>
    <row r="773" spans="33:33" x14ac:dyDescent="0.2">
      <c r="AG773" s="454"/>
    </row>
    <row r="774" spans="33:33" x14ac:dyDescent="0.2">
      <c r="AG774" s="454"/>
    </row>
    <row r="775" spans="33:33" x14ac:dyDescent="0.2">
      <c r="AG775" s="454"/>
    </row>
    <row r="776" spans="33:33" x14ac:dyDescent="0.2">
      <c r="AG776" s="454"/>
    </row>
    <row r="777" spans="33:33" x14ac:dyDescent="0.2">
      <c r="AG777" s="454"/>
    </row>
    <row r="778" spans="33:33" x14ac:dyDescent="0.2">
      <c r="AG778" s="454"/>
    </row>
    <row r="779" spans="33:33" x14ac:dyDescent="0.2">
      <c r="AG779" s="454"/>
    </row>
    <row r="780" spans="33:33" x14ac:dyDescent="0.2">
      <c r="AG780" s="454"/>
    </row>
    <row r="781" spans="33:33" x14ac:dyDescent="0.2">
      <c r="AG781" s="454"/>
    </row>
    <row r="782" spans="33:33" x14ac:dyDescent="0.2">
      <c r="AG782" s="454"/>
    </row>
    <row r="783" spans="33:33" x14ac:dyDescent="0.2">
      <c r="AG783" s="454"/>
    </row>
    <row r="784" spans="33:33" x14ac:dyDescent="0.2">
      <c r="AG784" s="454"/>
    </row>
    <row r="785" spans="33:33" x14ac:dyDescent="0.2">
      <c r="AG785" s="454"/>
    </row>
    <row r="786" spans="33:33" x14ac:dyDescent="0.2">
      <c r="AG786" s="454"/>
    </row>
    <row r="787" spans="33:33" x14ac:dyDescent="0.2">
      <c r="AG787" s="454"/>
    </row>
    <row r="788" spans="33:33" x14ac:dyDescent="0.2">
      <c r="AG788" s="454"/>
    </row>
    <row r="789" spans="33:33" x14ac:dyDescent="0.2">
      <c r="AG789" s="454"/>
    </row>
    <row r="790" spans="33:33" x14ac:dyDescent="0.2">
      <c r="AG790" s="454"/>
    </row>
    <row r="791" spans="33:33" x14ac:dyDescent="0.2">
      <c r="AG791" s="454"/>
    </row>
    <row r="792" spans="33:33" x14ac:dyDescent="0.2">
      <c r="AG792" s="454"/>
    </row>
    <row r="793" spans="33:33" x14ac:dyDescent="0.2">
      <c r="AG793" s="454"/>
    </row>
    <row r="794" spans="33:33" x14ac:dyDescent="0.2">
      <c r="AG794" s="454"/>
    </row>
    <row r="795" spans="33:33" x14ac:dyDescent="0.2">
      <c r="AG795" s="454"/>
    </row>
    <row r="796" spans="33:33" x14ac:dyDescent="0.2">
      <c r="AG796" s="454"/>
    </row>
    <row r="797" spans="33:33" x14ac:dyDescent="0.2">
      <c r="AG797" s="454"/>
    </row>
    <row r="798" spans="33:33" x14ac:dyDescent="0.2">
      <c r="AG798" s="454"/>
    </row>
    <row r="799" spans="33:33" x14ac:dyDescent="0.2">
      <c r="AG799" s="454"/>
    </row>
    <row r="800" spans="33:33" x14ac:dyDescent="0.2">
      <c r="AG800" s="454"/>
    </row>
    <row r="801" spans="33:33" x14ac:dyDescent="0.2">
      <c r="AG801" s="454"/>
    </row>
    <row r="802" spans="33:33" x14ac:dyDescent="0.2">
      <c r="AG802" s="454"/>
    </row>
    <row r="803" spans="33:33" x14ac:dyDescent="0.2">
      <c r="AG803" s="454"/>
    </row>
    <row r="804" spans="33:33" x14ac:dyDescent="0.2">
      <c r="AG804" s="454"/>
    </row>
    <row r="805" spans="33:33" x14ac:dyDescent="0.2">
      <c r="AG805" s="454"/>
    </row>
    <row r="806" spans="33:33" x14ac:dyDescent="0.2">
      <c r="AG806" s="454"/>
    </row>
    <row r="807" spans="33:33" x14ac:dyDescent="0.2">
      <c r="AG807" s="454"/>
    </row>
    <row r="808" spans="33:33" x14ac:dyDescent="0.2">
      <c r="AG808" s="454"/>
    </row>
    <row r="809" spans="33:33" x14ac:dyDescent="0.2">
      <c r="AG809" s="454"/>
    </row>
    <row r="810" spans="33:33" x14ac:dyDescent="0.2">
      <c r="AG810" s="454"/>
    </row>
    <row r="811" spans="33:33" x14ac:dyDescent="0.2">
      <c r="AG811" s="454"/>
    </row>
    <row r="812" spans="33:33" x14ac:dyDescent="0.2">
      <c r="AG812" s="454"/>
    </row>
    <row r="813" spans="33:33" x14ac:dyDescent="0.2">
      <c r="AG813" s="454"/>
    </row>
    <row r="814" spans="33:33" x14ac:dyDescent="0.2">
      <c r="AG814" s="454"/>
    </row>
    <row r="815" spans="33:33" x14ac:dyDescent="0.2">
      <c r="AG815" s="454"/>
    </row>
    <row r="816" spans="33:33" x14ac:dyDescent="0.2">
      <c r="AG816" s="454"/>
    </row>
    <row r="817" spans="33:33" x14ac:dyDescent="0.2">
      <c r="AG817" s="454"/>
    </row>
    <row r="818" spans="33:33" x14ac:dyDescent="0.2">
      <c r="AG818" s="454"/>
    </row>
    <row r="819" spans="33:33" x14ac:dyDescent="0.2">
      <c r="AG819" s="454"/>
    </row>
    <row r="820" spans="33:33" x14ac:dyDescent="0.2">
      <c r="AG820" s="454"/>
    </row>
    <row r="821" spans="33:33" x14ac:dyDescent="0.2">
      <c r="AG821" s="454"/>
    </row>
    <row r="822" spans="33:33" x14ac:dyDescent="0.2">
      <c r="AG822" s="454"/>
    </row>
    <row r="823" spans="33:33" x14ac:dyDescent="0.2">
      <c r="AG823" s="454"/>
    </row>
    <row r="824" spans="33:33" x14ac:dyDescent="0.2">
      <c r="AG824" s="454"/>
    </row>
    <row r="825" spans="33:33" x14ac:dyDescent="0.2">
      <c r="AG825" s="454"/>
    </row>
    <row r="826" spans="33:33" x14ac:dyDescent="0.2">
      <c r="AG826" s="454"/>
    </row>
    <row r="827" spans="33:33" x14ac:dyDescent="0.2">
      <c r="AG827" s="454"/>
    </row>
    <row r="828" spans="33:33" x14ac:dyDescent="0.2">
      <c r="AG828" s="454"/>
    </row>
    <row r="829" spans="33:33" x14ac:dyDescent="0.2">
      <c r="AG829" s="454"/>
    </row>
    <row r="830" spans="33:33" x14ac:dyDescent="0.2">
      <c r="AG830" s="454"/>
    </row>
    <row r="831" spans="33:33" x14ac:dyDescent="0.2">
      <c r="AG831" s="454"/>
    </row>
    <row r="832" spans="33:33" x14ac:dyDescent="0.2">
      <c r="AG832" s="454"/>
    </row>
    <row r="833" spans="33:33" x14ac:dyDescent="0.2">
      <c r="AG833" s="454"/>
    </row>
    <row r="834" spans="33:33" x14ac:dyDescent="0.2">
      <c r="AG834" s="454"/>
    </row>
    <row r="835" spans="33:33" x14ac:dyDescent="0.2">
      <c r="AG835" s="454"/>
    </row>
    <row r="836" spans="33:33" x14ac:dyDescent="0.2">
      <c r="AG836" s="454"/>
    </row>
    <row r="837" spans="33:33" x14ac:dyDescent="0.2">
      <c r="AG837" s="454"/>
    </row>
    <row r="838" spans="33:33" x14ac:dyDescent="0.2">
      <c r="AG838" s="454"/>
    </row>
    <row r="839" spans="33:33" x14ac:dyDescent="0.2">
      <c r="AG839" s="454"/>
    </row>
    <row r="840" spans="33:33" x14ac:dyDescent="0.2">
      <c r="AG840" s="454"/>
    </row>
    <row r="841" spans="33:33" x14ac:dyDescent="0.2">
      <c r="AG841" s="454"/>
    </row>
    <row r="842" spans="33:33" x14ac:dyDescent="0.2">
      <c r="AG842" s="454"/>
    </row>
    <row r="843" spans="33:33" x14ac:dyDescent="0.2">
      <c r="AG843" s="454"/>
    </row>
    <row r="844" spans="33:33" x14ac:dyDescent="0.2">
      <c r="AG844" s="454"/>
    </row>
    <row r="845" spans="33:33" x14ac:dyDescent="0.2">
      <c r="AG845" s="454"/>
    </row>
    <row r="846" spans="33:33" x14ac:dyDescent="0.2">
      <c r="AG846" s="454"/>
    </row>
    <row r="847" spans="33:33" x14ac:dyDescent="0.2">
      <c r="AG847" s="454"/>
    </row>
    <row r="848" spans="33:33" x14ac:dyDescent="0.2">
      <c r="AG848" s="454"/>
    </row>
    <row r="849" spans="33:33" x14ac:dyDescent="0.2">
      <c r="AG849" s="454"/>
    </row>
    <row r="850" spans="33:33" x14ac:dyDescent="0.2">
      <c r="AG850" s="454"/>
    </row>
    <row r="851" spans="33:33" x14ac:dyDescent="0.2">
      <c r="AG851" s="454"/>
    </row>
    <row r="852" spans="33:33" x14ac:dyDescent="0.2">
      <c r="AG852" s="454"/>
    </row>
    <row r="853" spans="33:33" x14ac:dyDescent="0.2">
      <c r="AG853" s="454"/>
    </row>
    <row r="854" spans="33:33" x14ac:dyDescent="0.2">
      <c r="AG854" s="454"/>
    </row>
    <row r="855" spans="33:33" x14ac:dyDescent="0.2">
      <c r="AG855" s="454"/>
    </row>
    <row r="856" spans="33:33" x14ac:dyDescent="0.2">
      <c r="AG856" s="454"/>
    </row>
    <row r="857" spans="33:33" x14ac:dyDescent="0.2">
      <c r="AG857" s="454"/>
    </row>
    <row r="858" spans="33:33" x14ac:dyDescent="0.2">
      <c r="AG858" s="454"/>
    </row>
    <row r="859" spans="33:33" x14ac:dyDescent="0.2">
      <c r="AG859" s="454"/>
    </row>
    <row r="860" spans="33:33" x14ac:dyDescent="0.2">
      <c r="AG860" s="454"/>
    </row>
    <row r="861" spans="33:33" x14ac:dyDescent="0.2">
      <c r="AG861" s="454"/>
    </row>
    <row r="862" spans="33:33" x14ac:dyDescent="0.2">
      <c r="AG862" s="454"/>
    </row>
    <row r="863" spans="33:33" x14ac:dyDescent="0.2">
      <c r="AG863" s="454"/>
    </row>
    <row r="864" spans="33:33" x14ac:dyDescent="0.2">
      <c r="AG864" s="454"/>
    </row>
    <row r="865" spans="33:33" x14ac:dyDescent="0.2">
      <c r="AG865" s="454"/>
    </row>
    <row r="866" spans="33:33" x14ac:dyDescent="0.2">
      <c r="AG866" s="454"/>
    </row>
    <row r="867" spans="33:33" x14ac:dyDescent="0.2">
      <c r="AG867" s="454"/>
    </row>
    <row r="868" spans="33:33" x14ac:dyDescent="0.2">
      <c r="AG868" s="454"/>
    </row>
    <row r="869" spans="33:33" x14ac:dyDescent="0.2">
      <c r="AG869" s="454"/>
    </row>
    <row r="870" spans="33:33" x14ac:dyDescent="0.2">
      <c r="AG870" s="454"/>
    </row>
    <row r="871" spans="33:33" x14ac:dyDescent="0.2">
      <c r="AG871" s="454"/>
    </row>
    <row r="872" spans="33:33" x14ac:dyDescent="0.2">
      <c r="AG872" s="454"/>
    </row>
    <row r="873" spans="33:33" x14ac:dyDescent="0.2">
      <c r="AG873" s="454"/>
    </row>
    <row r="874" spans="33:33" x14ac:dyDescent="0.2">
      <c r="AG874" s="454"/>
    </row>
    <row r="875" spans="33:33" x14ac:dyDescent="0.2">
      <c r="AG875" s="454"/>
    </row>
    <row r="876" spans="33:33" x14ac:dyDescent="0.2">
      <c r="AG876" s="454"/>
    </row>
    <row r="877" spans="33:33" x14ac:dyDescent="0.2">
      <c r="AG877" s="454"/>
    </row>
    <row r="878" spans="33:33" x14ac:dyDescent="0.2">
      <c r="AG878" s="454"/>
    </row>
    <row r="879" spans="33:33" x14ac:dyDescent="0.2">
      <c r="AG879" s="454"/>
    </row>
    <row r="880" spans="33:33" x14ac:dyDescent="0.2">
      <c r="AG880" s="454"/>
    </row>
    <row r="881" spans="33:33" x14ac:dyDescent="0.2">
      <c r="AG881" s="454"/>
    </row>
    <row r="882" spans="33:33" x14ac:dyDescent="0.2">
      <c r="AG882" s="454"/>
    </row>
    <row r="883" spans="33:33" x14ac:dyDescent="0.2">
      <c r="AG883" s="454"/>
    </row>
    <row r="884" spans="33:33" x14ac:dyDescent="0.2">
      <c r="AG884" s="454"/>
    </row>
    <row r="885" spans="33:33" x14ac:dyDescent="0.2">
      <c r="AG885" s="454"/>
    </row>
    <row r="886" spans="33:33" x14ac:dyDescent="0.2">
      <c r="AG886" s="454"/>
    </row>
    <row r="887" spans="33:33" x14ac:dyDescent="0.2">
      <c r="AG887" s="454"/>
    </row>
    <row r="888" spans="33:33" x14ac:dyDescent="0.2">
      <c r="AG888" s="454"/>
    </row>
    <row r="889" spans="33:33" x14ac:dyDescent="0.2">
      <c r="AG889" s="454"/>
    </row>
    <row r="890" spans="33:33" x14ac:dyDescent="0.2">
      <c r="AG890" s="454"/>
    </row>
    <row r="891" spans="33:33" x14ac:dyDescent="0.2">
      <c r="AG891" s="454"/>
    </row>
    <row r="892" spans="33:33" x14ac:dyDescent="0.2">
      <c r="AG892" s="454"/>
    </row>
    <row r="893" spans="33:33" x14ac:dyDescent="0.2">
      <c r="AG893" s="454"/>
    </row>
    <row r="894" spans="33:33" x14ac:dyDescent="0.2">
      <c r="AG894" s="454"/>
    </row>
    <row r="895" spans="33:33" x14ac:dyDescent="0.2">
      <c r="AG895" s="454"/>
    </row>
    <row r="896" spans="33:33" x14ac:dyDescent="0.2">
      <c r="AG896" s="454"/>
    </row>
    <row r="897" spans="33:33" x14ac:dyDescent="0.2">
      <c r="AG897" s="454"/>
    </row>
    <row r="898" spans="33:33" x14ac:dyDescent="0.2">
      <c r="AG898" s="454"/>
    </row>
    <row r="899" spans="33:33" x14ac:dyDescent="0.2">
      <c r="AG899" s="454"/>
    </row>
    <row r="900" spans="33:33" x14ac:dyDescent="0.2">
      <c r="AG900" s="454"/>
    </row>
    <row r="901" spans="33:33" x14ac:dyDescent="0.2">
      <c r="AG901" s="454"/>
    </row>
    <row r="902" spans="33:33" x14ac:dyDescent="0.2">
      <c r="AG902" s="454"/>
    </row>
    <row r="903" spans="33:33" x14ac:dyDescent="0.2">
      <c r="AG903" s="454"/>
    </row>
    <row r="904" spans="33:33" x14ac:dyDescent="0.2">
      <c r="AG904" s="454"/>
    </row>
    <row r="905" spans="33:33" x14ac:dyDescent="0.2">
      <c r="AG905" s="454"/>
    </row>
    <row r="906" spans="33:33" x14ac:dyDescent="0.2">
      <c r="AG906" s="454"/>
    </row>
    <row r="907" spans="33:33" x14ac:dyDescent="0.2">
      <c r="AG907" s="454"/>
    </row>
    <row r="908" spans="33:33" x14ac:dyDescent="0.2">
      <c r="AG908" s="454"/>
    </row>
    <row r="909" spans="33:33" x14ac:dyDescent="0.2">
      <c r="AG909" s="454"/>
    </row>
    <row r="910" spans="33:33" x14ac:dyDescent="0.2">
      <c r="AG910" s="454"/>
    </row>
    <row r="911" spans="33:33" x14ac:dyDescent="0.2">
      <c r="AG911" s="454"/>
    </row>
    <row r="912" spans="33:33" x14ac:dyDescent="0.2">
      <c r="AG912" s="454"/>
    </row>
    <row r="913" spans="33:33" x14ac:dyDescent="0.2">
      <c r="AG913" s="454"/>
    </row>
    <row r="914" spans="33:33" x14ac:dyDescent="0.2">
      <c r="AG914" s="454"/>
    </row>
    <row r="915" spans="33:33" x14ac:dyDescent="0.2">
      <c r="AG915" s="454"/>
    </row>
    <row r="916" spans="33:33" x14ac:dyDescent="0.2">
      <c r="AG916" s="454"/>
    </row>
    <row r="917" spans="33:33" x14ac:dyDescent="0.2">
      <c r="AG917" s="454"/>
    </row>
    <row r="918" spans="33:33" x14ac:dyDescent="0.2">
      <c r="AG918" s="454"/>
    </row>
    <row r="919" spans="33:33" x14ac:dyDescent="0.2">
      <c r="AG919" s="454"/>
    </row>
    <row r="920" spans="33:33" x14ac:dyDescent="0.2">
      <c r="AG920" s="454"/>
    </row>
    <row r="921" spans="33:33" x14ac:dyDescent="0.2">
      <c r="AG921" s="454"/>
    </row>
    <row r="922" spans="33:33" x14ac:dyDescent="0.2">
      <c r="AG922" s="454"/>
    </row>
    <row r="923" spans="33:33" x14ac:dyDescent="0.2">
      <c r="AG923" s="454"/>
    </row>
    <row r="924" spans="33:33" x14ac:dyDescent="0.2">
      <c r="AG924" s="454"/>
    </row>
    <row r="925" spans="33:33" x14ac:dyDescent="0.2">
      <c r="AG925" s="454"/>
    </row>
    <row r="926" spans="33:33" x14ac:dyDescent="0.2">
      <c r="AG926" s="454"/>
    </row>
    <row r="927" spans="33:33" x14ac:dyDescent="0.2">
      <c r="AG927" s="454"/>
    </row>
  </sheetData>
  <sheetProtection algorithmName="SHA-512" hashValue="Ha41eg0u7i81EpAKvflIHRpNiqXZ7bHN14HB1S863vaSkGJeDkcKbmZNvse2JLSkcsjkqQ728wlAotdJpz3Ikg==" saltValue="3YtUhXUrtqEZ+YWf99ZFbg=="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116</v>
      </c>
    </row>
    <row r="2" spans="3:8" x14ac:dyDescent="0.2">
      <c r="E2" s="72" t="s">
        <v>117</v>
      </c>
    </row>
    <row r="3" spans="3:8" x14ac:dyDescent="0.2">
      <c r="E3" s="72" t="s">
        <v>118</v>
      </c>
    </row>
    <row r="6" spans="3:8" ht="26.25" x14ac:dyDescent="0.4">
      <c r="E6" s="78" t="s">
        <v>119</v>
      </c>
    </row>
    <row r="8" spans="3:8" ht="20.25" x14ac:dyDescent="0.3">
      <c r="C8" s="83"/>
      <c r="D8" s="75"/>
      <c r="E8" s="75"/>
    </row>
    <row r="9" spans="3:8" ht="15.75" x14ac:dyDescent="0.25">
      <c r="C9" s="76" t="s">
        <v>41</v>
      </c>
      <c r="D9" s="77" t="str">
        <f>Main!D5</f>
        <v>CHROME PLUS INT'L - WICHITA</v>
      </c>
    </row>
    <row r="10" spans="3:8" ht="15.75" x14ac:dyDescent="0.25">
      <c r="C10" s="76" t="s">
        <v>120</v>
      </c>
      <c r="D10" s="563">
        <f>Main!D3</f>
        <v>0</v>
      </c>
      <c r="E10" s="563"/>
      <c r="F10" s="563"/>
    </row>
    <row r="11" spans="3:8" ht="15.75" x14ac:dyDescent="0.25">
      <c r="C11" s="76" t="s">
        <v>229</v>
      </c>
      <c r="D11" s="79" t="str">
        <f>Main!D6</f>
        <v>DESPATCH RS4HD Temperature Uniformity Survey, 10 points</v>
      </c>
    </row>
    <row r="14" spans="3:8" ht="15.75" x14ac:dyDescent="0.25">
      <c r="C14" s="81" t="s">
        <v>121</v>
      </c>
      <c r="E14" s="79"/>
      <c r="F14" s="80" t="s">
        <v>122</v>
      </c>
      <c r="G14" s="79"/>
      <c r="H14" s="79"/>
    </row>
    <row r="15" spans="3:8" ht="15.75" customHeight="1" x14ac:dyDescent="0.2">
      <c r="C15" s="130"/>
      <c r="D15" s="74"/>
      <c r="E15" s="562" t="s">
        <v>370</v>
      </c>
      <c r="F15" s="562"/>
      <c r="G15" s="562"/>
      <c r="H15" s="562"/>
    </row>
    <row r="16" spans="3:8" ht="15" x14ac:dyDescent="0.2">
      <c r="C16" s="130"/>
      <c r="D16" s="73"/>
      <c r="E16" s="288" t="s">
        <v>124</v>
      </c>
      <c r="F16" s="288"/>
      <c r="G16" s="288"/>
      <c r="H16" s="288"/>
    </row>
    <row r="17" spans="3:8" ht="15" x14ac:dyDescent="0.2">
      <c r="C17" s="130"/>
      <c r="D17" s="73"/>
      <c r="E17" s="561" t="s">
        <v>125</v>
      </c>
      <c r="F17" s="561"/>
      <c r="G17" s="561"/>
      <c r="H17" s="561"/>
    </row>
    <row r="18" spans="3:8" ht="15" x14ac:dyDescent="0.2">
      <c r="C18" s="130"/>
      <c r="D18" s="73"/>
      <c r="E18" s="561" t="s">
        <v>6</v>
      </c>
      <c r="F18" s="561"/>
      <c r="G18" s="561"/>
      <c r="H18" s="561"/>
    </row>
    <row r="19" spans="3:8" ht="15" x14ac:dyDescent="0.2">
      <c r="C19" s="130"/>
      <c r="D19" s="73"/>
      <c r="E19" s="561" t="s">
        <v>130</v>
      </c>
      <c r="F19" s="561"/>
      <c r="G19" s="561"/>
      <c r="H19" s="561"/>
    </row>
    <row r="20" spans="3:8" ht="15" x14ac:dyDescent="0.2">
      <c r="C20" s="130"/>
      <c r="D20" s="73"/>
      <c r="E20" s="561" t="s">
        <v>127</v>
      </c>
      <c r="F20" s="561"/>
      <c r="G20" s="561"/>
      <c r="H20" s="561"/>
    </row>
    <row r="21" spans="3:8" ht="15" x14ac:dyDescent="0.2">
      <c r="C21" s="130"/>
      <c r="D21" s="73"/>
      <c r="E21" s="561" t="s">
        <v>128</v>
      </c>
      <c r="F21" s="561"/>
      <c r="G21" s="561"/>
      <c r="H21" s="561"/>
    </row>
    <row r="22" spans="3:8" ht="15" x14ac:dyDescent="0.2">
      <c r="C22" s="130"/>
      <c r="D22" s="73"/>
      <c r="E22" s="561" t="s">
        <v>106</v>
      </c>
      <c r="F22" s="561"/>
      <c r="G22" s="561"/>
      <c r="H22" s="561"/>
    </row>
    <row r="23" spans="3:8" ht="15" x14ac:dyDescent="0.2">
      <c r="C23" s="130"/>
      <c r="D23" s="73"/>
      <c r="E23" s="561" t="s">
        <v>129</v>
      </c>
      <c r="F23" s="561"/>
      <c r="G23" s="561"/>
      <c r="H23" s="561"/>
    </row>
    <row r="24" spans="3:8" ht="15" x14ac:dyDescent="0.2">
      <c r="C24" s="82"/>
      <c r="D24" s="73"/>
      <c r="E24" s="561" t="s">
        <v>148</v>
      </c>
      <c r="F24" s="561"/>
      <c r="G24" s="561"/>
      <c r="H24" s="561"/>
    </row>
    <row r="25" spans="3:8" ht="15" x14ac:dyDescent="0.2">
      <c r="C25" s="82"/>
      <c r="D25" s="73"/>
      <c r="E25" s="561"/>
      <c r="F25" s="561"/>
      <c r="G25" s="561"/>
      <c r="H25" s="561"/>
    </row>
    <row r="26" spans="3:8" ht="15" x14ac:dyDescent="0.2">
      <c r="C26" s="82"/>
      <c r="D26" s="73"/>
      <c r="E26" s="561"/>
      <c r="F26" s="561"/>
      <c r="G26" s="561"/>
      <c r="H26" s="561"/>
    </row>
    <row r="27" spans="3:8" ht="15" x14ac:dyDescent="0.2">
      <c r="C27" s="82"/>
      <c r="D27" s="73"/>
      <c r="E27" s="561"/>
      <c r="F27" s="561"/>
      <c r="G27" s="561"/>
      <c r="H27" s="561"/>
    </row>
    <row r="28" spans="3:8" ht="15" x14ac:dyDescent="0.2">
      <c r="C28" s="82"/>
      <c r="D28" s="73"/>
      <c r="E28" s="561"/>
      <c r="F28" s="561"/>
      <c r="G28" s="561"/>
      <c r="H28" s="561"/>
    </row>
    <row r="29" spans="3:8" ht="15" x14ac:dyDescent="0.2">
      <c r="C29" s="82"/>
      <c r="D29" s="73"/>
      <c r="E29" s="561"/>
      <c r="F29" s="561"/>
      <c r="G29" s="561"/>
      <c r="H29" s="561"/>
    </row>
    <row r="30" spans="3:8" ht="15" x14ac:dyDescent="0.2">
      <c r="C30" s="82"/>
      <c r="D30" s="73"/>
      <c r="E30" s="561"/>
      <c r="F30" s="561"/>
      <c r="G30" s="561"/>
      <c r="H30" s="561"/>
    </row>
    <row r="31" spans="3:8" ht="15" x14ac:dyDescent="0.2">
      <c r="C31" s="248" t="s">
        <v>371</v>
      </c>
      <c r="E31" s="561"/>
      <c r="F31" s="561"/>
      <c r="G31" s="561"/>
      <c r="H31" s="561"/>
    </row>
    <row r="32" spans="3:8" ht="15" x14ac:dyDescent="0.2">
      <c r="C32" s="82"/>
      <c r="D32" s="73"/>
      <c r="E32" s="561"/>
      <c r="F32" s="561"/>
      <c r="G32" s="561"/>
      <c r="H32" s="561"/>
    </row>
    <row r="33" spans="3:8" ht="15" x14ac:dyDescent="0.2">
      <c r="C33" s="82"/>
      <c r="D33" s="73"/>
      <c r="E33" s="561"/>
      <c r="F33" s="561"/>
      <c r="G33" s="561"/>
      <c r="H33" s="561"/>
    </row>
    <row r="34" spans="3:8" ht="15" x14ac:dyDescent="0.2">
      <c r="C34" s="82"/>
      <c r="D34" s="73"/>
      <c r="E34" s="561"/>
      <c r="F34" s="561"/>
      <c r="G34" s="561"/>
      <c r="H34" s="561"/>
    </row>
    <row r="35" spans="3:8" ht="15" x14ac:dyDescent="0.2">
      <c r="C35" s="82"/>
      <c r="D35" s="73"/>
      <c r="E35" s="561"/>
      <c r="F35" s="561"/>
      <c r="G35" s="561"/>
      <c r="H35" s="561"/>
    </row>
    <row r="36" spans="3:8" ht="15" x14ac:dyDescent="0.2">
      <c r="C36" s="73"/>
      <c r="D36" s="73"/>
      <c r="E36" s="561"/>
      <c r="F36" s="561"/>
      <c r="G36" s="561"/>
      <c r="H36" s="561"/>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Ij4RR2KxNgXbD+Bnd5Tu1qzCfixpDkW+PKden/QmUaUfWH0KRVAZuVPIh9TxhZF6H7KFsWHUauJXbf8LD1iCgA==" saltValue="ArabhtOXXkx6sJrxIPetgA=="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topLeftCell="A7" zoomScale="70" zoomScaleNormal="100" zoomScaleSheetLayoutView="70" workbookViewId="0">
      <selection activeCell="L33" sqref="L33"/>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83" t="s">
        <v>116</v>
      </c>
      <c r="E1" s="583"/>
      <c r="F1" s="583"/>
      <c r="G1" s="583"/>
      <c r="H1" s="583"/>
      <c r="I1" s="583"/>
      <c r="J1" s="583"/>
      <c r="K1" s="583"/>
      <c r="L1" s="583"/>
      <c r="M1" s="583"/>
    </row>
    <row r="2" spans="1:18" ht="23.25" customHeight="1" x14ac:dyDescent="0.3">
      <c r="C2" s="230"/>
      <c r="D2" s="230" t="s">
        <v>319</v>
      </c>
      <c r="E2" s="230"/>
      <c r="F2" s="230"/>
      <c r="G2" s="230"/>
      <c r="H2" s="230"/>
      <c r="I2" s="230"/>
      <c r="J2" s="230"/>
      <c r="K2" s="230"/>
      <c r="L2" s="230"/>
      <c r="M2" s="230"/>
    </row>
    <row r="3" spans="1:18" ht="23.25" x14ac:dyDescent="0.35">
      <c r="C3" s="584"/>
      <c r="D3" s="584"/>
      <c r="E3" s="584"/>
      <c r="F3" s="584"/>
      <c r="G3" s="584"/>
      <c r="H3" s="584"/>
      <c r="I3" s="584"/>
      <c r="J3" s="584"/>
      <c r="K3" s="584"/>
      <c r="L3" s="584"/>
      <c r="M3" s="584"/>
    </row>
    <row r="4" spans="1:18" ht="23.25" x14ac:dyDescent="0.35">
      <c r="C4" s="214"/>
      <c r="D4" s="214"/>
      <c r="E4" s="214"/>
      <c r="F4" s="214"/>
      <c r="G4" s="214"/>
      <c r="H4" s="214"/>
      <c r="I4" s="214"/>
      <c r="J4" s="214"/>
      <c r="K4" s="214"/>
      <c r="L4" s="214"/>
      <c r="M4" s="214"/>
    </row>
    <row r="5" spans="1:18" ht="23.25" x14ac:dyDescent="0.35">
      <c r="C5" s="580" t="s">
        <v>6</v>
      </c>
      <c r="D5" s="580"/>
      <c r="E5" s="580"/>
      <c r="F5" s="580"/>
      <c r="G5" s="580"/>
      <c r="H5" s="580"/>
      <c r="I5" s="580"/>
      <c r="J5" s="580"/>
      <c r="K5" s="580"/>
      <c r="L5" s="580"/>
      <c r="M5" s="580"/>
    </row>
    <row r="6" spans="1:18" ht="23.25" x14ac:dyDescent="0.35">
      <c r="C6" s="215"/>
      <c r="D6" s="215"/>
      <c r="E6" s="600" t="str">
        <f>IFERROR(CONCATENATE("Report Number: ", WorkItemNumber),"")</f>
        <v/>
      </c>
      <c r="F6" s="600"/>
      <c r="G6" s="600"/>
      <c r="H6" s="600"/>
      <c r="I6" s="600"/>
      <c r="J6" s="600"/>
      <c r="K6" s="600"/>
      <c r="L6" s="215"/>
      <c r="M6" s="215"/>
    </row>
    <row r="7" spans="1:18" ht="18.75" customHeight="1" x14ac:dyDescent="0.3">
      <c r="G7" s="581"/>
      <c r="H7" s="581"/>
      <c r="I7" s="192"/>
      <c r="R7" t="str">
        <f>CONCATENATE("Page ",Main!L9," of ",Main!L10)</f>
        <v xml:space="preserve">Page  of </v>
      </c>
    </row>
    <row r="8" spans="1:18" ht="18" customHeight="1" x14ac:dyDescent="0.25">
      <c r="G8" s="593"/>
      <c r="H8" s="593"/>
      <c r="J8" s="79"/>
      <c r="K8" s="216" t="s">
        <v>316</v>
      </c>
      <c r="L8" s="604" t="str">
        <f>FormNumber</f>
        <v>40100 Revision C 12-26-19</v>
      </c>
      <c r="M8" s="604"/>
      <c r="N8" s="604"/>
      <c r="O8" s="604"/>
    </row>
    <row r="9" spans="1:18" ht="18" customHeight="1" x14ac:dyDescent="0.25">
      <c r="A9" s="216" t="s">
        <v>273</v>
      </c>
      <c r="B9" s="33" t="str">
        <f>Main!D5</f>
        <v>CHROME PLUS INT'L - WICHITA</v>
      </c>
      <c r="J9" s="79"/>
      <c r="K9" s="216" t="s">
        <v>317</v>
      </c>
      <c r="L9" s="595" t="str">
        <f>"JGI WP4100, "&amp;CalMethod</f>
        <v>JGI WP4100, AMS 2750H</v>
      </c>
      <c r="M9" s="595"/>
      <c r="N9" s="595"/>
      <c r="O9" s="595"/>
    </row>
    <row r="10" spans="1:18" ht="18" customHeight="1" x14ac:dyDescent="0.25">
      <c r="A10" s="87"/>
      <c r="B10" s="211" t="str" cm="1">
        <f t="array" ref="B10">IFZERO('Customer Table'!R2,"")</f>
        <v>3939 W 29Th St S</v>
      </c>
      <c r="J10" s="79"/>
      <c r="K10" s="216"/>
      <c r="L10" s="595"/>
      <c r="M10" s="595"/>
      <c r="N10" s="595"/>
      <c r="O10" s="595"/>
    </row>
    <row r="11" spans="1:18" ht="18" customHeight="1" x14ac:dyDescent="0.25">
      <c r="A11" s="87"/>
      <c r="B11" s="211" t="str" cm="1">
        <f t="array" ref="B11">IFZERO('Customer Table'!S2,"")</f>
        <v/>
      </c>
      <c r="J11" s="79"/>
      <c r="K11" s="216" t="s">
        <v>318</v>
      </c>
      <c r="L11" s="604" t="str">
        <f>TolSource</f>
        <v>SPECIFICATION</v>
      </c>
      <c r="M11" s="604"/>
      <c r="N11" s="604"/>
      <c r="O11" s="604"/>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274</v>
      </c>
      <c r="B14" s="218" t="str">
        <f>Item</f>
        <v>OVEN NO. 10</v>
      </c>
      <c r="C14" s="219"/>
      <c r="D14" s="219"/>
      <c r="E14" s="219"/>
      <c r="F14" s="193"/>
      <c r="G14" s="207" t="s">
        <v>279</v>
      </c>
      <c r="H14" s="218" t="str">
        <f>Ranges</f>
        <v>100°F/600°F</v>
      </c>
      <c r="I14" s="193"/>
      <c r="J14" s="193"/>
      <c r="K14" s="193"/>
      <c r="L14" s="193"/>
      <c r="M14" s="207" t="s">
        <v>284</v>
      </c>
      <c r="N14" s="218" t="str">
        <f>Main!D7</f>
        <v>Jeff Hall</v>
      </c>
      <c r="O14" s="194"/>
    </row>
    <row r="15" spans="1:18" ht="18" customHeight="1" x14ac:dyDescent="0.25">
      <c r="A15" s="222" t="s">
        <v>275</v>
      </c>
      <c r="B15" s="220" t="str">
        <f>ModelNumber</f>
        <v>DESPATCH RS4HD</v>
      </c>
      <c r="C15" s="211"/>
      <c r="D15" s="211"/>
      <c r="E15" s="211"/>
      <c r="G15" s="216" t="s">
        <v>280</v>
      </c>
      <c r="H15" s="220" t="str">
        <f>Tolerances</f>
        <v>±10.0°F</v>
      </c>
      <c r="M15" s="216" t="s">
        <v>285</v>
      </c>
      <c r="N15" s="224">
        <f>Main!D3</f>
        <v>0</v>
      </c>
      <c r="O15" s="195"/>
    </row>
    <row r="16" spans="1:18" ht="18" customHeight="1" x14ac:dyDescent="0.25">
      <c r="A16" s="222" t="s">
        <v>276</v>
      </c>
      <c r="B16" s="596">
        <f>SerialNumber</f>
        <v>70773</v>
      </c>
      <c r="C16" s="596"/>
      <c r="D16" s="596"/>
      <c r="E16" s="596"/>
      <c r="G16" s="216" t="s">
        <v>281</v>
      </c>
      <c r="H16" s="220" t="str">
        <f>HeatingMethod</f>
        <v>GAS PROPORTIONAL</v>
      </c>
      <c r="M16" s="216" t="s">
        <v>286</v>
      </c>
      <c r="N16" s="224">
        <f>IF(CalInterval="N/A", "N/A", EDATE(N15, CHOOSE(MATCH(CalInterval, {"M","2 Mo","Q","4 Mo","6 Mo","A","2Yr","3Yr"}, 0), 1, 2, 3, 4, 6, 12, 24, 36)))</f>
        <v>31</v>
      </c>
      <c r="O16" s="195"/>
    </row>
    <row r="17" spans="1:19" ht="18" customHeight="1" x14ac:dyDescent="0.25">
      <c r="A17" s="222" t="s">
        <v>277</v>
      </c>
      <c r="B17" s="245" t="str">
        <f>UnitNumber</f>
        <v>W-CPI-3049</v>
      </c>
      <c r="C17" s="211"/>
      <c r="D17" s="211"/>
      <c r="E17" s="211"/>
      <c r="G17" s="216" t="s">
        <v>282</v>
      </c>
      <c r="H17" s="220" t="str">
        <f>WorkingZoneSize</f>
        <v>48" X 66" X 66"</v>
      </c>
      <c r="M17" s="216" t="str">
        <f>IF(Main!K13="","","PO:")</f>
        <v/>
      </c>
      <c r="N17" s="220" t="str">
        <f>IF(Main!K13="","",Main!K13)</f>
        <v/>
      </c>
      <c r="O17" s="195"/>
    </row>
    <row r="18" spans="1:19" ht="18" customHeight="1" x14ac:dyDescent="0.25">
      <c r="A18" s="222" t="s">
        <v>278</v>
      </c>
      <c r="B18" s="587" t="str">
        <f>Class</f>
        <v>2D per AMS 2750H</v>
      </c>
      <c r="C18" s="587"/>
      <c r="D18" s="587"/>
      <c r="E18" s="587"/>
      <c r="G18" s="216" t="s">
        <v>283</v>
      </c>
      <c r="H18" s="220">
        <f>CubicFeet</f>
        <v>121</v>
      </c>
      <c r="M18" s="216" t="s">
        <v>287</v>
      </c>
      <c r="N18" s="220" t="str">
        <f>Main!G18</f>
        <v>ACCEPTED</v>
      </c>
      <c r="O18" s="195"/>
    </row>
    <row r="19" spans="1:19" ht="18" customHeight="1" x14ac:dyDescent="0.25">
      <c r="A19" s="206"/>
      <c r="B19" s="588"/>
      <c r="C19" s="588"/>
      <c r="D19" s="588"/>
      <c r="E19" s="588"/>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288</v>
      </c>
      <c r="B21" s="597" t="str">
        <f>Controller</f>
        <v>Barber-Colman 7SD</v>
      </c>
      <c r="C21" s="597"/>
      <c r="D21" s="597"/>
      <c r="E21" s="597"/>
      <c r="F21" s="207" t="s">
        <v>290</v>
      </c>
      <c r="G21" s="597">
        <f>ContSN</f>
        <v>5.25</v>
      </c>
      <c r="H21" s="597"/>
      <c r="I21" s="597"/>
      <c r="J21" s="207" t="s">
        <v>291</v>
      </c>
      <c r="K21" s="219" t="str">
        <f>ContTol</f>
        <v>±2.0°F</v>
      </c>
      <c r="L21" s="193"/>
      <c r="M21" s="207" t="s">
        <v>292</v>
      </c>
      <c r="N21" s="232" t="str">
        <f>Main!G27</f>
        <v>Cal by Customer</v>
      </c>
      <c r="O21" s="194"/>
    </row>
    <row r="22" spans="1:19" ht="18" customHeight="1" x14ac:dyDescent="0.25">
      <c r="A22" s="225" t="s">
        <v>289</v>
      </c>
      <c r="B22" s="598" t="str">
        <f>_xlnm.Recorder</f>
        <v>Eurotherm Chessel 6100A</v>
      </c>
      <c r="C22" s="598"/>
      <c r="D22" s="598"/>
      <c r="E22" s="598"/>
      <c r="F22" s="208" t="s">
        <v>290</v>
      </c>
      <c r="G22" s="598">
        <f>RecSN</f>
        <v>5256764</v>
      </c>
      <c r="H22" s="598"/>
      <c r="I22" s="598"/>
      <c r="J22" s="208" t="s">
        <v>291</v>
      </c>
      <c r="K22" s="231" t="str">
        <f>RecTol</f>
        <v>±2.0°F</v>
      </c>
      <c r="L22" s="196"/>
      <c r="M22" s="208" t="s">
        <v>292</v>
      </c>
      <c r="N22" s="233" t="str">
        <f>Main!G28</f>
        <v>Cal by Customer</v>
      </c>
      <c r="O22" s="197"/>
    </row>
    <row r="23" spans="1:19" ht="8.1" customHeight="1" x14ac:dyDescent="0.25">
      <c r="A23" s="79"/>
      <c r="B23" s="211"/>
      <c r="C23" s="211"/>
      <c r="D23" s="211"/>
      <c r="E23" s="200"/>
    </row>
    <row r="24" spans="1:19" ht="18" customHeight="1" x14ac:dyDescent="0.25">
      <c r="A24" s="221" t="s">
        <v>293</v>
      </c>
      <c r="B24" s="227">
        <f>NominalTemp</f>
        <v>0</v>
      </c>
      <c r="C24" s="219"/>
      <c r="D24" s="219"/>
      <c r="E24" s="201"/>
      <c r="F24" s="193"/>
      <c r="G24" s="207" t="s">
        <v>296</v>
      </c>
      <c r="H24" s="209">
        <f>Main!D26</f>
        <v>0</v>
      </c>
      <c r="I24" s="193"/>
      <c r="J24" s="193"/>
      <c r="K24" s="193"/>
      <c r="L24" s="205"/>
      <c r="M24" s="207" t="s">
        <v>299</v>
      </c>
      <c r="N24" s="219" t="e">
        <f>TEXT(Survey!#REF!,"0.0") &amp; Unit &amp; " / " &amp; TEXT(Survey!#REF!,"0.0") &amp; Unit</f>
        <v>#REF!</v>
      </c>
      <c r="O24" s="194"/>
    </row>
    <row r="25" spans="1:19" ht="18" customHeight="1" x14ac:dyDescent="0.25">
      <c r="A25" s="222" t="s">
        <v>294</v>
      </c>
      <c r="B25" s="228">
        <f>Main!D15</f>
        <v>0</v>
      </c>
      <c r="C25" s="211"/>
      <c r="D25" s="211"/>
      <c r="E25" s="200"/>
      <c r="G25" s="216" t="s">
        <v>297</v>
      </c>
      <c r="H25" s="210" t="str">
        <f>Main!E29</f>
        <v/>
      </c>
      <c r="L25" s="79"/>
      <c r="M25" s="216" t="s">
        <v>300</v>
      </c>
      <c r="N25" s="211" t="str">
        <f>IF(Main!H15=TRUE,Main!G17,"VERIFY LOAD!!!")</f>
        <v>Empty Rack</v>
      </c>
      <c r="O25" s="195"/>
      <c r="R25" s="137"/>
      <c r="S25" s="73"/>
    </row>
    <row r="26" spans="1:19" ht="18" customHeight="1" x14ac:dyDescent="0.25">
      <c r="A26" s="222" t="s">
        <v>295</v>
      </c>
      <c r="B26" s="211" t="s">
        <v>265</v>
      </c>
      <c r="C26" s="211"/>
      <c r="D26" s="211"/>
      <c r="E26" s="200"/>
      <c r="G26" s="216" t="s">
        <v>298</v>
      </c>
      <c r="H26" s="211" t="str">
        <f>Main!I19</f>
        <v>N/A</v>
      </c>
      <c r="L26" s="79"/>
      <c r="M26" s="216" t="str">
        <f>"Uncertainty @ k="&amp;IFERROR(ROUND(k,1),2)&amp;":"</f>
        <v>Uncertainty @ k=2:</v>
      </c>
      <c r="N26" s="211" t="e">
        <f>TEXT(Survey!K9,"0.0") &amp; Unit</f>
        <v>#NUM!</v>
      </c>
      <c r="O26" s="195"/>
    </row>
    <row r="27" spans="1:19" ht="18" customHeight="1" x14ac:dyDescent="0.2">
      <c r="A27" s="226"/>
      <c r="B27" s="196"/>
      <c r="C27" s="594" t="s">
        <v>301</v>
      </c>
      <c r="D27" s="594"/>
      <c r="E27" s="594"/>
      <c r="F27" s="594"/>
      <c r="G27" s="594"/>
      <c r="H27" s="594"/>
      <c r="I27" s="594"/>
      <c r="J27" s="594"/>
      <c r="K27" s="594"/>
      <c r="L27" s="594"/>
      <c r="M27" s="594"/>
      <c r="N27" s="196"/>
      <c r="O27" s="197"/>
    </row>
    <row r="28" spans="1:19" ht="8.1" customHeight="1" x14ac:dyDescent="0.2"/>
    <row r="29" spans="1:19" ht="18" customHeight="1" x14ac:dyDescent="0.2">
      <c r="A29" s="590" t="s">
        <v>271</v>
      </c>
      <c r="B29" s="591"/>
      <c r="C29" s="592"/>
      <c r="D29" s="590" t="s">
        <v>302</v>
      </c>
      <c r="E29" s="591"/>
      <c r="F29" s="591"/>
      <c r="G29" s="592"/>
      <c r="H29" s="590" t="s">
        <v>272</v>
      </c>
      <c r="I29" s="591"/>
      <c r="J29" s="591"/>
      <c r="K29" s="592"/>
      <c r="L29" s="590" t="s">
        <v>255</v>
      </c>
      <c r="M29" s="591"/>
      <c r="N29" s="591"/>
      <c r="O29" s="592"/>
    </row>
    <row r="30" spans="1:19" ht="18" customHeight="1" x14ac:dyDescent="0.2">
      <c r="A30" s="212"/>
      <c r="B30" s="202" t="s">
        <v>959</v>
      </c>
      <c r="C30" s="213"/>
      <c r="D30" s="573" t="str">
        <f>CONCATENATE(Main!D22,Unit," / ",Main!D23,"% RH")</f>
        <v>°F / % RH</v>
      </c>
      <c r="E30" s="574"/>
      <c r="F30" s="574"/>
      <c r="G30" s="575"/>
      <c r="H30" s="573" t="str">
        <f>OvenLocation</f>
        <v>PRODUCTION - Tested on Site</v>
      </c>
      <c r="I30" s="574"/>
      <c r="J30" s="574"/>
      <c r="K30" s="575"/>
      <c r="L30" s="573" t="str">
        <f>Condition</f>
        <v>Used</v>
      </c>
      <c r="M30" s="574"/>
      <c r="N30" s="574"/>
      <c r="O30" s="575"/>
    </row>
    <row r="31" spans="1:19" ht="18" customHeight="1" x14ac:dyDescent="0.2"/>
    <row r="32" spans="1:19" ht="18" customHeight="1" x14ac:dyDescent="0.25">
      <c r="A32" s="235" t="s">
        <v>303</v>
      </c>
      <c r="B32" s="582" t="s">
        <v>304</v>
      </c>
      <c r="C32" s="582"/>
      <c r="D32" s="235" t="s">
        <v>267</v>
      </c>
      <c r="E32" s="235" t="s">
        <v>266</v>
      </c>
      <c r="F32" s="235" t="s">
        <v>305</v>
      </c>
      <c r="G32" s="79"/>
      <c r="H32" s="79"/>
      <c r="I32" s="235" t="s">
        <v>303</v>
      </c>
      <c r="J32" s="582" t="s">
        <v>304</v>
      </c>
      <c r="K32" s="582"/>
      <c r="L32" s="235" t="s">
        <v>267</v>
      </c>
      <c r="M32" s="235" t="s">
        <v>266</v>
      </c>
      <c r="N32" s="235" t="s">
        <v>305</v>
      </c>
    </row>
    <row r="33" spans="1:14" ht="18" customHeight="1" x14ac:dyDescent="0.2">
      <c r="A33" s="236" t="str">
        <f>IF(B33="","",1)</f>
        <v/>
      </c>
      <c r="B33" s="581" t="str">
        <f>IF(Main!O5="","",Main!O5)</f>
        <v/>
      </c>
      <c r="C33" s="581"/>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81" t="str">
        <f>IF(Main!O25="","",Main!O25)</f>
        <v/>
      </c>
      <c r="K33" s="581"/>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81" t="str">
        <f>IF(Main!O6="","",Main!O6)</f>
        <v/>
      </c>
      <c r="C34" s="581"/>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81" t="str">
        <f>IF(Main!O26="","",Main!O26)</f>
        <v/>
      </c>
      <c r="K34" s="581"/>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81" t="str">
        <f>IF(Main!O7="","",Main!O7)</f>
        <v/>
      </c>
      <c r="C35" s="581"/>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81" t="str">
        <f>IF(Main!O27="","",Main!O27)</f>
        <v/>
      </c>
      <c r="K35" s="581"/>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81" t="str">
        <f>IF(Main!O8="","",Main!O8)</f>
        <v/>
      </c>
      <c r="C36" s="581"/>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81" t="str">
        <f>IF(Main!O28="","",Main!O28)</f>
        <v/>
      </c>
      <c r="K36" s="581"/>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81" t="str">
        <f>IF(Main!O9="","",Main!O9)</f>
        <v/>
      </c>
      <c r="C37" s="581"/>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81" t="str">
        <f>IF(Main!O29="","",Main!O29)</f>
        <v/>
      </c>
      <c r="K37" s="581"/>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81" t="str">
        <f>IF(Main!O10="","",Main!O10)</f>
        <v/>
      </c>
      <c r="C38" s="581"/>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81" t="str">
        <f>IF(Main!O30="","",Main!O30)</f>
        <v/>
      </c>
      <c r="K38" s="581"/>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81" t="str">
        <f>IF(Main!O11="","",Main!O11)</f>
        <v/>
      </c>
      <c r="C39" s="581"/>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81" t="str">
        <f>IF(Main!O31="","",Main!O31)</f>
        <v/>
      </c>
      <c r="K39" s="581"/>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81" t="str">
        <f>IF(Main!O12="","",Main!O12)</f>
        <v/>
      </c>
      <c r="C40" s="581"/>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81" t="str">
        <f>IF(Main!O32="","",Main!O32)</f>
        <v/>
      </c>
      <c r="K40" s="581"/>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81" t="str">
        <f>IF(Main!O13="","",Main!O13)</f>
        <v/>
      </c>
      <c r="C41" s="581"/>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81" t="str">
        <f>IF(Main!O33="","",Main!O33)</f>
        <v/>
      </c>
      <c r="K41" s="581"/>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81" t="str">
        <f>IF(Main!O14="","",Main!O14)</f>
        <v/>
      </c>
      <c r="C42" s="581"/>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81" t="str">
        <f>IF(Main!O34="","",Main!O34)</f>
        <v/>
      </c>
      <c r="K42" s="581"/>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81" t="str">
        <f>IF(Main!O15="","",Main!O15)</f>
        <v/>
      </c>
      <c r="C43" s="581"/>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81" t="str">
        <f>IF(Main!O35="","",Main!O35)</f>
        <v/>
      </c>
      <c r="K43" s="581"/>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81" t="str">
        <f>IF(Main!O16="","",Main!O16)</f>
        <v/>
      </c>
      <c r="C44" s="581"/>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81" t="str">
        <f>IF(Main!O36="","",Main!O36)</f>
        <v/>
      </c>
      <c r="K44" s="581"/>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81" t="str">
        <f>IF(Main!O17="","",Main!O17)</f>
        <v/>
      </c>
      <c r="C45" s="581"/>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81" t="str">
        <f>IF(Main!O37="","",Main!O37)</f>
        <v/>
      </c>
      <c r="K45" s="581"/>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81" t="str">
        <f>IF(Main!O18="","",Main!O18)</f>
        <v/>
      </c>
      <c r="C46" s="581"/>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81" t="str">
        <f>IF(Main!O38="","",Main!O38)</f>
        <v/>
      </c>
      <c r="K46" s="581"/>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81" t="str">
        <f>IF(Main!O19="","",Main!O19)</f>
        <v/>
      </c>
      <c r="C47" s="581"/>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81" t="str">
        <f>IF(Main!O39="","",Main!O39)</f>
        <v/>
      </c>
      <c r="K47" s="581"/>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81" t="str">
        <f>IF(Main!O20="","",Main!O20)</f>
        <v/>
      </c>
      <c r="C48" s="581"/>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81" t="str">
        <f>IF(Main!O40="","",Main!O40)</f>
        <v/>
      </c>
      <c r="K48" s="581"/>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81" t="str">
        <f>IF(Main!O21="","",Main!O21)</f>
        <v/>
      </c>
      <c r="C49" s="581"/>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81" t="str">
        <f>IF(Main!O41="","",Main!O41)</f>
        <v/>
      </c>
      <c r="K49" s="581"/>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81" t="str">
        <f>IF(Main!O22="","",Main!O22)</f>
        <v/>
      </c>
      <c r="C50" s="581"/>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81" t="str">
        <f>IF(Main!O42="","",Main!O42)</f>
        <v/>
      </c>
      <c r="K50" s="581"/>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81" t="str">
        <f>IF(Main!O23="","",Main!O23)</f>
        <v/>
      </c>
      <c r="C51" s="581"/>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81" t="str">
        <f>IF(Main!O43="","",Main!O43)</f>
        <v/>
      </c>
      <c r="K51" s="581"/>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81" t="str">
        <f>IF(Main!O24="","",Main!O24)</f>
        <v/>
      </c>
      <c r="C52" s="581"/>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81" t="str">
        <f>IF(Main!O44="","",Main!O44)</f>
        <v/>
      </c>
      <c r="K52" s="581"/>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86" t="s">
        <v>306</v>
      </c>
      <c r="C53" s="586"/>
      <c r="D53" s="586"/>
      <c r="E53" s="586"/>
      <c r="F53" s="586"/>
      <c r="G53" s="586"/>
      <c r="H53" s="586"/>
      <c r="I53" s="586"/>
      <c r="J53" s="586"/>
      <c r="K53" s="586"/>
      <c r="L53" s="586"/>
      <c r="M53" s="586"/>
      <c r="N53" s="586"/>
    </row>
    <row r="54" spans="1:21" ht="18" customHeight="1" x14ac:dyDescent="0.25">
      <c r="A54" s="238" t="s">
        <v>307</v>
      </c>
      <c r="B54" s="595" t="str">
        <f>CONCATENATE(Main!G23,"  ",FurnaceSpecificComments,Main!V24)</f>
        <v xml:space="preserve">Found in tolerance.  No adjustment required.  </v>
      </c>
      <c r="C54" s="595"/>
      <c r="D54" s="595"/>
      <c r="E54" s="595"/>
      <c r="F54" s="595"/>
      <c r="G54" s="595"/>
      <c r="H54" s="595"/>
      <c r="I54" s="595"/>
      <c r="J54" s="595"/>
      <c r="K54" s="595"/>
      <c r="L54" s="595"/>
      <c r="M54" s="595"/>
      <c r="N54" s="595"/>
      <c r="O54" s="595"/>
    </row>
    <row r="55" spans="1:21" ht="18" customHeight="1" x14ac:dyDescent="0.25">
      <c r="A55" s="76"/>
      <c r="B55" s="595"/>
      <c r="C55" s="595"/>
      <c r="D55" s="595"/>
      <c r="E55" s="595"/>
      <c r="F55" s="595"/>
      <c r="G55" s="595"/>
      <c r="H55" s="595"/>
      <c r="I55" s="595"/>
      <c r="J55" s="595"/>
      <c r="K55" s="595"/>
      <c r="L55" s="595"/>
      <c r="M55" s="595"/>
      <c r="N55" s="595"/>
      <c r="O55" s="595"/>
    </row>
    <row r="56" spans="1:21" ht="18" customHeight="1" x14ac:dyDescent="0.25">
      <c r="A56" s="76"/>
      <c r="B56" s="595"/>
      <c r="C56" s="595"/>
      <c r="D56" s="595"/>
      <c r="E56" s="595"/>
      <c r="F56" s="595"/>
      <c r="G56" s="595"/>
      <c r="H56" s="595"/>
      <c r="I56" s="595"/>
      <c r="J56" s="595"/>
      <c r="K56" s="595"/>
      <c r="L56" s="595"/>
      <c r="M56" s="595"/>
      <c r="N56" s="595"/>
      <c r="O56" s="595"/>
    </row>
    <row r="57" spans="1:21" ht="18" customHeight="1" x14ac:dyDescent="0.25">
      <c r="A57" s="76"/>
      <c r="B57" s="595"/>
      <c r="C57" s="595"/>
      <c r="D57" s="595"/>
      <c r="E57" s="595"/>
      <c r="F57" s="595"/>
      <c r="G57" s="595"/>
      <c r="H57" s="595"/>
      <c r="I57" s="595"/>
      <c r="J57" s="595"/>
      <c r="K57" s="595"/>
      <c r="L57" s="595"/>
      <c r="M57" s="595"/>
      <c r="N57" s="595"/>
      <c r="O57" s="595"/>
    </row>
    <row r="58" spans="1:21" ht="18" customHeight="1" x14ac:dyDescent="0.25">
      <c r="A58" s="76"/>
      <c r="B58" s="595"/>
      <c r="C58" s="595"/>
      <c r="D58" s="595"/>
      <c r="E58" s="595"/>
      <c r="F58" s="595"/>
      <c r="G58" s="595"/>
      <c r="H58" s="595"/>
      <c r="I58" s="595"/>
      <c r="J58" s="595"/>
      <c r="K58" s="595"/>
      <c r="L58" s="595"/>
      <c r="M58" s="595"/>
      <c r="N58" s="595"/>
      <c r="O58" s="595"/>
    </row>
    <row r="59" spans="1:21" ht="18" customHeight="1" x14ac:dyDescent="0.25">
      <c r="A59" s="76"/>
      <c r="B59" s="595"/>
      <c r="C59" s="595"/>
      <c r="D59" s="595"/>
      <c r="E59" s="595"/>
      <c r="F59" s="595"/>
      <c r="G59" s="595"/>
      <c r="H59" s="595"/>
      <c r="I59" s="595"/>
      <c r="J59" s="595"/>
      <c r="K59" s="595"/>
      <c r="L59" s="595"/>
      <c r="M59" s="595"/>
      <c r="N59" s="595"/>
      <c r="O59" s="595"/>
    </row>
    <row r="60" spans="1:21" ht="18" customHeight="1" x14ac:dyDescent="0.2">
      <c r="A60" s="585" t="s">
        <v>315</v>
      </c>
      <c r="B60" s="585"/>
      <c r="C60" s="585"/>
      <c r="D60" s="585"/>
      <c r="E60" s="585"/>
      <c r="F60" s="585"/>
      <c r="G60" s="585"/>
      <c r="H60" s="585"/>
      <c r="I60" s="585"/>
      <c r="J60" s="585"/>
      <c r="K60" s="585"/>
      <c r="L60" s="585"/>
      <c r="M60" s="585"/>
      <c r="N60" s="585"/>
      <c r="O60" s="585"/>
    </row>
    <row r="61" spans="1:21" ht="18" customHeight="1" x14ac:dyDescent="0.2">
      <c r="A61" s="589" t="s">
        <v>308</v>
      </c>
      <c r="B61" s="589"/>
      <c r="C61" s="589"/>
      <c r="D61" s="589"/>
      <c r="E61" s="589"/>
      <c r="F61" s="603" t="s">
        <v>309</v>
      </c>
      <c r="G61" s="603"/>
      <c r="H61" s="603"/>
      <c r="I61" s="603" t="s">
        <v>310</v>
      </c>
      <c r="J61" s="603"/>
      <c r="K61" s="603" t="s">
        <v>311</v>
      </c>
      <c r="L61" s="603"/>
      <c r="M61" s="603" t="s">
        <v>312</v>
      </c>
      <c r="N61" s="603"/>
      <c r="O61" s="603"/>
      <c r="R61" s="37" t="s">
        <v>852</v>
      </c>
      <c r="T61" s="37" t="s">
        <v>853</v>
      </c>
      <c r="U61" s="37" t="s">
        <v>68</v>
      </c>
    </row>
    <row r="62" spans="1:21" ht="18" customHeight="1" x14ac:dyDescent="0.2">
      <c r="A62" s="570" t="str">
        <f>IF(F62="","",CONCATENATE(T62," - ",R62))</f>
        <v/>
      </c>
      <c r="B62" s="571"/>
      <c r="C62" s="571"/>
      <c r="D62" s="571"/>
      <c r="E62" s="572"/>
      <c r="F62" s="570" t="str" cm="1">
        <f t="array" ref="F62">IFERROR(
  _xlfn.XLOOKUP(
    Main!D9,
    _xlfn._xlws.FILTER(AssetPool[AssetTag], AssetPool[RootCategoryName]= "DAQ Modules"),
    _xlfn._xlws.FILTER(AssetPool[SerialNumber], AssetPool[RootCategoryName]= "DAQ Modules")
  ),
  ""
)</f>
        <v/>
      </c>
      <c r="G62" s="571"/>
      <c r="H62" s="572"/>
      <c r="I62" s="601" t="str">
        <f>IF(F62="","",Main!D12)</f>
        <v/>
      </c>
      <c r="J62" s="602"/>
      <c r="K62" s="601" t="str">
        <f>IF(F62="","",Main!D13)</f>
        <v/>
      </c>
      <c r="L62" s="602"/>
      <c r="M62" s="567" t="str">
        <f>IF(F62="","",Main!D14)</f>
        <v/>
      </c>
      <c r="N62" s="568"/>
      <c r="O62" s="569"/>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64" t="str">
        <f>IF(Q63="","",CONCATENATE("Type """,U63,""" Thermocouple"))</f>
        <v/>
      </c>
      <c r="B63" s="565"/>
      <c r="C63" s="565"/>
      <c r="D63" s="565"/>
      <c r="E63" s="566"/>
      <c r="F63" s="564" t="str">
        <f>IF(Main!D48="","",Main!D48)</f>
        <v/>
      </c>
      <c r="G63" s="565"/>
      <c r="H63" s="566"/>
      <c r="I63" s="578" t="str">
        <f>IF(Q63="","",Main!D49)</f>
        <v/>
      </c>
      <c r="J63" s="579"/>
      <c r="K63" s="578" t="str">
        <f>IF(Q63="","",Main!D50)</f>
        <v/>
      </c>
      <c r="L63" s="579"/>
      <c r="M63" s="564" t="str">
        <f>IF(Q63="","",Main!D54)</f>
        <v/>
      </c>
      <c r="N63" s="565"/>
      <c r="O63" s="566"/>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64" t="str">
        <f t="shared" ref="A64:A69" si="0">IF(Q64="","",CONCATENATE("Type """,U64,""" Thermocouple"))</f>
        <v/>
      </c>
      <c r="B64" s="565"/>
      <c r="C64" s="565"/>
      <c r="D64" s="565"/>
      <c r="E64" s="566"/>
      <c r="F64" s="564" t="str">
        <f>IF(Main!E48="","",Main!E48)</f>
        <v/>
      </c>
      <c r="G64" s="565"/>
      <c r="H64" s="566"/>
      <c r="I64" s="578" t="str">
        <f>IF(Q64="","",Main!E49)</f>
        <v/>
      </c>
      <c r="J64" s="579"/>
      <c r="K64" s="578" t="str">
        <f>IF(Q64="","",Main!E50)</f>
        <v/>
      </c>
      <c r="L64" s="579"/>
      <c r="M64" s="564" t="str">
        <f>IF(Q64="","",Main!E54)</f>
        <v/>
      </c>
      <c r="N64" s="565"/>
      <c r="O64" s="566"/>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64" t="str">
        <f t="shared" si="0"/>
        <v/>
      </c>
      <c r="B65" s="565"/>
      <c r="C65" s="565"/>
      <c r="D65" s="565"/>
      <c r="E65" s="566"/>
      <c r="F65" s="564" t="str">
        <f>IF(Main!F48="","",Main!F48)</f>
        <v/>
      </c>
      <c r="G65" s="565"/>
      <c r="H65" s="566"/>
      <c r="I65" s="578" t="str">
        <f>IF(Q65="","",Main!F49)</f>
        <v/>
      </c>
      <c r="J65" s="579"/>
      <c r="K65" s="578" t="str">
        <f>IF(Q65="","",Main!F50)</f>
        <v/>
      </c>
      <c r="L65" s="579"/>
      <c r="M65" s="564" t="str">
        <f>IF(Q65="","",Main!F54)</f>
        <v/>
      </c>
      <c r="N65" s="565"/>
      <c r="O65" s="566"/>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64" t="str">
        <f t="shared" si="0"/>
        <v/>
      </c>
      <c r="B66" s="565"/>
      <c r="C66" s="565"/>
      <c r="D66" s="565"/>
      <c r="E66" s="566"/>
      <c r="F66" s="564" t="str">
        <f>IF(Main!G48="","",Main!G48)</f>
        <v/>
      </c>
      <c r="G66" s="565"/>
      <c r="H66" s="566"/>
      <c r="I66" s="578" t="str">
        <f>IF(Q66="","",Main!G49)</f>
        <v/>
      </c>
      <c r="J66" s="579"/>
      <c r="K66" s="578" t="str">
        <f>IF(Q66="","",Main!G50)</f>
        <v/>
      </c>
      <c r="L66" s="579"/>
      <c r="M66" s="564" t="str">
        <f>IF(Q66="","",Main!G54)</f>
        <v/>
      </c>
      <c r="N66" s="565"/>
      <c r="O66" s="566"/>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64" t="str">
        <f t="shared" si="0"/>
        <v/>
      </c>
      <c r="B67" s="565"/>
      <c r="C67" s="565"/>
      <c r="D67" s="565"/>
      <c r="E67" s="566"/>
      <c r="F67" s="564" t="str">
        <f>IF(Main!H48="","",Main!H48)</f>
        <v/>
      </c>
      <c r="G67" s="565"/>
      <c r="H67" s="566"/>
      <c r="I67" s="578" t="str">
        <f>IF(Q67="","",Main!H49)</f>
        <v/>
      </c>
      <c r="J67" s="579"/>
      <c r="K67" s="578" t="str">
        <f>IF(Q67="","",Main!H50)</f>
        <v/>
      </c>
      <c r="L67" s="579"/>
      <c r="M67" s="564" t="str">
        <f>IF(Q67="","",Main!H54)</f>
        <v/>
      </c>
      <c r="N67" s="565"/>
      <c r="O67" s="566"/>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64" t="str">
        <f t="shared" si="0"/>
        <v/>
      </c>
      <c r="B68" s="565"/>
      <c r="C68" s="565"/>
      <c r="D68" s="565"/>
      <c r="E68" s="566"/>
      <c r="F68" s="564" t="str">
        <f>IF(Main!I48="","",Main!I48)</f>
        <v/>
      </c>
      <c r="G68" s="565"/>
      <c r="H68" s="566"/>
      <c r="I68" s="578" t="str">
        <f>IF(Q68="","",Main!I49)</f>
        <v/>
      </c>
      <c r="J68" s="579"/>
      <c r="K68" s="578" t="str">
        <f>IF(Q68="","",Main!I50)</f>
        <v/>
      </c>
      <c r="L68" s="579"/>
      <c r="M68" s="564" t="str">
        <f>IF(Q68="","",Main!I54)</f>
        <v/>
      </c>
      <c r="N68" s="565"/>
      <c r="O68" s="566"/>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64" t="str">
        <f t="shared" si="0"/>
        <v/>
      </c>
      <c r="B69" s="565"/>
      <c r="C69" s="565"/>
      <c r="D69" s="565"/>
      <c r="E69" s="566"/>
      <c r="F69" s="573" t="str">
        <f>IF(Main!J48="","",Main!J48)</f>
        <v/>
      </c>
      <c r="G69" s="574"/>
      <c r="H69" s="575"/>
      <c r="I69" s="576" t="str">
        <f>IF(Q69="","",Main!J49)</f>
        <v/>
      </c>
      <c r="J69" s="577"/>
      <c r="K69" s="576" t="str">
        <f>IF(Q69="","",Main!J50)</f>
        <v/>
      </c>
      <c r="L69" s="577"/>
      <c r="M69" s="573" t="str">
        <f>IF(Q69="","",Main!J54)</f>
        <v/>
      </c>
      <c r="N69" s="574"/>
      <c r="O69" s="575"/>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99" t="s">
        <v>963</v>
      </c>
      <c r="B71" s="599"/>
      <c r="C71" s="599"/>
      <c r="D71" s="599"/>
      <c r="E71" s="599"/>
      <c r="F71" s="599"/>
      <c r="G71" s="599"/>
      <c r="H71" s="599"/>
      <c r="I71" s="599"/>
      <c r="J71" s="599"/>
      <c r="K71" s="599"/>
      <c r="L71" s="599"/>
      <c r="M71" s="599"/>
      <c r="N71" s="599"/>
      <c r="O71" s="599"/>
    </row>
    <row r="72" spans="1:21" ht="18" customHeight="1" x14ac:dyDescent="0.2">
      <c r="A72" s="599"/>
      <c r="B72" s="599"/>
      <c r="C72" s="599"/>
      <c r="D72" s="599"/>
      <c r="E72" s="599"/>
      <c r="F72" s="599"/>
      <c r="G72" s="599"/>
      <c r="H72" s="599"/>
      <c r="I72" s="599"/>
      <c r="J72" s="599"/>
      <c r="K72" s="599"/>
      <c r="L72" s="599"/>
      <c r="M72" s="599"/>
      <c r="N72" s="599"/>
      <c r="O72" s="599"/>
    </row>
    <row r="73" spans="1:21" ht="18" customHeight="1" x14ac:dyDescent="0.2">
      <c r="A73" s="599"/>
      <c r="B73" s="599"/>
      <c r="C73" s="599"/>
      <c r="D73" s="599"/>
      <c r="E73" s="599"/>
      <c r="F73" s="599"/>
      <c r="G73" s="599"/>
      <c r="H73" s="599"/>
      <c r="I73" s="599"/>
      <c r="J73" s="599"/>
      <c r="K73" s="599"/>
      <c r="L73" s="599"/>
      <c r="M73" s="599"/>
      <c r="N73" s="599"/>
      <c r="O73" s="599"/>
    </row>
    <row r="74" spans="1:21" ht="18" customHeight="1" x14ac:dyDescent="0.2">
      <c r="A74" s="599"/>
      <c r="B74" s="599"/>
      <c r="C74" s="599"/>
      <c r="D74" s="599"/>
      <c r="E74" s="599"/>
      <c r="F74" s="599"/>
      <c r="G74" s="599"/>
      <c r="H74" s="599"/>
      <c r="I74" s="599"/>
      <c r="J74" s="599"/>
      <c r="K74" s="599"/>
      <c r="L74" s="599"/>
      <c r="M74" s="599"/>
      <c r="N74" s="599"/>
      <c r="O74" s="599"/>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313</v>
      </c>
      <c r="N80" s="234" t="s">
        <v>314</v>
      </c>
    </row>
    <row r="81" ht="15" customHeight="1" x14ac:dyDescent="0.2"/>
    <row r="82" ht="15" customHeight="1" x14ac:dyDescent="0.2"/>
  </sheetData>
  <sheetProtection algorithmName="SHA-512" hashValue="TDmyxWdqwgQepRKCYnt+Ho18d5kXM+pPLSXxnHRe09NoU7VIpWLcO7M3EMlOJM+W2quf+mhmdLDSetYqhm7f0w==" saltValue="snvq2husGOspMK00ws9ljQ=="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79"/>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917</v>
      </c>
      <c r="R1" t="s">
        <v>918</v>
      </c>
      <c r="S1" t="s">
        <v>919</v>
      </c>
      <c r="T1" t="s">
        <v>920</v>
      </c>
      <c r="U1" t="s">
        <v>921</v>
      </c>
      <c r="V1" t="s">
        <v>922</v>
      </c>
      <c r="W1" t="s">
        <v>923</v>
      </c>
      <c r="X1" t="s">
        <v>924</v>
      </c>
      <c r="Y1" t="s">
        <v>925</v>
      </c>
      <c r="Z1" t="s">
        <v>926</v>
      </c>
      <c r="AA1" t="s">
        <v>927</v>
      </c>
      <c r="AB1" t="s">
        <v>928</v>
      </c>
      <c r="AC1" t="s">
        <v>929</v>
      </c>
      <c r="AD1" t="s">
        <v>930</v>
      </c>
      <c r="AE1" t="s">
        <v>931</v>
      </c>
    </row>
    <row r="2" spans="1:31" x14ac:dyDescent="0.2">
      <c r="A2"/>
      <c r="B2"/>
      <c r="C2"/>
      <c r="F2"/>
      <c r="G2"/>
      <c r="H2"/>
      <c r="J2"/>
      <c r="K2"/>
      <c r="L2"/>
      <c r="M2"/>
      <c r="N2"/>
      <c r="O2"/>
      <c r="Q2" t="str" cm="1">
        <f t="array" ref="Q2:AE2">_xlfn.XLOOKUP(clientCompanyId,customers_table[company_id],customers_table[])</f>
        <v>CHROME PLUS INT'L - WICHITA</v>
      </c>
      <c r="R2" t="str">
        <v>3939 W 29Th St S</v>
      </c>
      <c r="S2" t="str">
        <v/>
      </c>
      <c r="T2">
        <v>0</v>
      </c>
      <c r="U2">
        <v>0</v>
      </c>
      <c r="V2" t="str">
        <v>CHROME PLUS INTERNATIONAL - WICHITA</v>
      </c>
      <c r="W2" t="str">
        <v>United States</v>
      </c>
      <c r="X2">
        <v>0</v>
      </c>
      <c r="Y2" t="str">
        <v>(316) 944-3602</v>
      </c>
      <c r="Z2">
        <v>0</v>
      </c>
      <c r="AA2">
        <v>0</v>
      </c>
      <c r="AB2" t="str">
        <v>(316) 944-3600</v>
      </c>
      <c r="AC2" t="str">
        <v>Kansas</v>
      </c>
      <c r="AD2" t="str">
        <v>Wichita, KS, 67217</v>
      </c>
      <c r="AE2">
        <v>57283</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H15"/>
      <c r="I15"/>
      <c r="L15"/>
      <c r="M15"/>
      <c r="N15"/>
      <c r="O15"/>
    </row>
    <row r="16" spans="1:31" x14ac:dyDescent="0.2">
      <c r="A16"/>
      <c r="B16"/>
      <c r="C16"/>
      <c r="F16"/>
      <c r="G16"/>
      <c r="M16"/>
      <c r="N16"/>
      <c r="O16"/>
    </row>
    <row r="17" spans="1:15" x14ac:dyDescent="0.2">
      <c r="A17"/>
      <c r="B17"/>
      <c r="C17"/>
      <c r="F17"/>
      <c r="G17"/>
      <c r="L17"/>
      <c r="M17"/>
      <c r="N17"/>
      <c r="O17"/>
    </row>
    <row r="18" spans="1:15" x14ac:dyDescent="0.2">
      <c r="A18"/>
      <c r="B18"/>
      <c r="C18"/>
      <c r="F18"/>
      <c r="G18"/>
      <c r="M18"/>
      <c r="N18"/>
      <c r="O18"/>
    </row>
    <row r="19" spans="1:15" x14ac:dyDescent="0.2">
      <c r="A19"/>
      <c r="B19"/>
      <c r="C19"/>
      <c r="F19"/>
      <c r="G19"/>
      <c r="I19"/>
      <c r="L19"/>
      <c r="M19"/>
      <c r="N19"/>
      <c r="O19"/>
    </row>
    <row r="20" spans="1:15" x14ac:dyDescent="0.2">
      <c r="A20"/>
      <c r="B20"/>
      <c r="C20"/>
      <c r="F20"/>
      <c r="G20"/>
      <c r="I20"/>
      <c r="L20"/>
      <c r="M20"/>
      <c r="N20"/>
      <c r="O20"/>
    </row>
    <row r="21" spans="1:15" x14ac:dyDescent="0.2">
      <c r="A21"/>
      <c r="B21"/>
      <c r="C21"/>
      <c r="F21"/>
      <c r="G21"/>
      <c r="L21"/>
      <c r="M21"/>
      <c r="N21"/>
      <c r="O21"/>
    </row>
    <row r="22" spans="1:15" x14ac:dyDescent="0.2">
      <c r="A22"/>
      <c r="B22"/>
      <c r="C22"/>
      <c r="F22"/>
      <c r="G22"/>
      <c r="M22"/>
      <c r="N22"/>
      <c r="O22"/>
    </row>
    <row r="23" spans="1:15" x14ac:dyDescent="0.2">
      <c r="A23"/>
      <c r="B23"/>
      <c r="C23"/>
      <c r="F23"/>
      <c r="G23"/>
      <c r="I23"/>
      <c r="L23"/>
      <c r="M23"/>
      <c r="N23"/>
      <c r="O23"/>
    </row>
    <row r="24" spans="1:15" x14ac:dyDescent="0.2">
      <c r="A24"/>
      <c r="B24"/>
      <c r="C24"/>
      <c r="F24"/>
      <c r="G24"/>
      <c r="I24"/>
      <c r="L24"/>
      <c r="M24"/>
      <c r="N24"/>
      <c r="O24"/>
    </row>
    <row r="25" spans="1:15" x14ac:dyDescent="0.2">
      <c r="A25"/>
      <c r="B25"/>
      <c r="C25"/>
      <c r="F25"/>
      <c r="G25"/>
      <c r="J25"/>
      <c r="K25"/>
      <c r="L25"/>
      <c r="M25"/>
      <c r="N25"/>
      <c r="O25"/>
    </row>
    <row r="26" spans="1:15" x14ac:dyDescent="0.2">
      <c r="A26"/>
      <c r="B26"/>
      <c r="C26"/>
      <c r="F26"/>
      <c r="G26"/>
      <c r="I26"/>
      <c r="L26"/>
      <c r="M26"/>
      <c r="N26"/>
      <c r="O26"/>
    </row>
    <row r="27" spans="1:15" x14ac:dyDescent="0.2">
      <c r="A27"/>
      <c r="B27"/>
      <c r="C27"/>
      <c r="F27"/>
      <c r="G27"/>
      <c r="L27"/>
      <c r="M27"/>
      <c r="N27"/>
      <c r="O27"/>
    </row>
    <row r="28" spans="1:15" x14ac:dyDescent="0.2">
      <c r="A28"/>
      <c r="B28"/>
      <c r="C28"/>
      <c r="F28"/>
      <c r="G28"/>
      <c r="I28"/>
      <c r="L28"/>
      <c r="M28"/>
      <c r="N28"/>
      <c r="O28"/>
    </row>
    <row r="29" spans="1:15" x14ac:dyDescent="0.2">
      <c r="A29"/>
      <c r="B29"/>
      <c r="C29"/>
      <c r="F29"/>
      <c r="G29"/>
      <c r="I29"/>
      <c r="L29"/>
      <c r="M29"/>
      <c r="N29"/>
      <c r="O29"/>
    </row>
    <row r="30" spans="1:15" x14ac:dyDescent="0.2">
      <c r="A30"/>
      <c r="B30"/>
      <c r="C30"/>
      <c r="F30"/>
      <c r="G30"/>
      <c r="L30"/>
      <c r="N30"/>
      <c r="O30"/>
    </row>
    <row r="31" spans="1:15" x14ac:dyDescent="0.2">
      <c r="A31"/>
      <c r="B31"/>
      <c r="C31"/>
      <c r="F31"/>
      <c r="G31"/>
      <c r="L31"/>
      <c r="M31"/>
      <c r="N31"/>
      <c r="O31"/>
    </row>
    <row r="32" spans="1:15" x14ac:dyDescent="0.2">
      <c r="A32"/>
      <c r="B32"/>
      <c r="C32"/>
      <c r="F32"/>
      <c r="G32"/>
      <c r="H32"/>
      <c r="I32"/>
      <c r="L32"/>
      <c r="M32"/>
      <c r="N32"/>
      <c r="O32"/>
    </row>
    <row r="33" spans="1:15" x14ac:dyDescent="0.2">
      <c r="A33"/>
      <c r="B33"/>
      <c r="C33"/>
      <c r="F33"/>
      <c r="G33"/>
      <c r="L33"/>
      <c r="M33"/>
      <c r="N33"/>
      <c r="O33"/>
    </row>
    <row r="34" spans="1:15" x14ac:dyDescent="0.2">
      <c r="A34"/>
      <c r="B34"/>
      <c r="C34"/>
      <c r="F34"/>
      <c r="G34"/>
      <c r="I34"/>
      <c r="L34"/>
      <c r="M34"/>
      <c r="N34"/>
      <c r="O34"/>
    </row>
    <row r="35" spans="1:15" x14ac:dyDescent="0.2">
      <c r="A35"/>
      <c r="B35"/>
      <c r="C35"/>
      <c r="F35"/>
      <c r="G35"/>
      <c r="H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H42"/>
      <c r="I42"/>
      <c r="L42"/>
      <c r="M42"/>
      <c r="N42"/>
      <c r="O42"/>
    </row>
    <row r="43" spans="1:15" x14ac:dyDescent="0.2">
      <c r="A43"/>
      <c r="B43"/>
      <c r="C43"/>
      <c r="F43"/>
      <c r="G43"/>
      <c r="H43"/>
      <c r="I43"/>
      <c r="L43"/>
      <c r="M43"/>
      <c r="N43"/>
      <c r="O43"/>
    </row>
    <row r="44" spans="1:15" x14ac:dyDescent="0.2">
      <c r="A44"/>
      <c r="B44"/>
      <c r="C44"/>
      <c r="F44"/>
      <c r="G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I47"/>
      <c r="L47"/>
      <c r="M47"/>
      <c r="N47"/>
      <c r="O47"/>
    </row>
    <row r="48" spans="1:15" x14ac:dyDescent="0.2">
      <c r="A48"/>
      <c r="B48"/>
      <c r="C48"/>
      <c r="F48"/>
      <c r="G48"/>
      <c r="H48"/>
      <c r="I48"/>
      <c r="L48"/>
      <c r="M48"/>
      <c r="N48"/>
      <c r="O48"/>
    </row>
    <row r="49" spans="1:15" x14ac:dyDescent="0.2">
      <c r="A49"/>
      <c r="B49"/>
      <c r="C49"/>
      <c r="F49"/>
      <c r="G49"/>
      <c r="L49"/>
      <c r="M49"/>
      <c r="N49"/>
      <c r="O49"/>
    </row>
    <row r="50" spans="1:15" x14ac:dyDescent="0.2">
      <c r="A50"/>
      <c r="B50"/>
      <c r="C50"/>
      <c r="F50"/>
      <c r="G50"/>
      <c r="I50"/>
      <c r="L50"/>
      <c r="M50"/>
      <c r="N50"/>
      <c r="O50"/>
    </row>
    <row r="51" spans="1:15" x14ac:dyDescent="0.2">
      <c r="A51"/>
      <c r="B51"/>
      <c r="C51"/>
      <c r="F51"/>
      <c r="G51"/>
      <c r="H51"/>
      <c r="I51"/>
      <c r="L51"/>
      <c r="M51"/>
      <c r="N51"/>
      <c r="O51"/>
    </row>
    <row r="52" spans="1:15" x14ac:dyDescent="0.2">
      <c r="A52"/>
      <c r="B52"/>
      <c r="C52"/>
      <c r="F52"/>
      <c r="G52"/>
      <c r="L52"/>
      <c r="M52"/>
      <c r="N52"/>
      <c r="O52"/>
    </row>
    <row r="53" spans="1:15" x14ac:dyDescent="0.2">
      <c r="A53"/>
      <c r="B53"/>
      <c r="C53"/>
      <c r="F53"/>
      <c r="G53"/>
      <c r="H53"/>
      <c r="J53"/>
      <c r="K53"/>
      <c r="L53"/>
      <c r="M53"/>
      <c r="N53"/>
      <c r="O53"/>
    </row>
    <row r="54" spans="1:15" x14ac:dyDescent="0.2">
      <c r="A54"/>
      <c r="B54"/>
      <c r="C54"/>
      <c r="F54"/>
      <c r="G54"/>
      <c r="H54"/>
      <c r="I54"/>
      <c r="L54"/>
      <c r="M54"/>
      <c r="N54"/>
      <c r="O54"/>
    </row>
    <row r="55" spans="1:15" x14ac:dyDescent="0.2">
      <c r="A55"/>
      <c r="B55"/>
      <c r="C55"/>
      <c r="F55"/>
      <c r="G55"/>
      <c r="L55"/>
      <c r="M55"/>
      <c r="N55"/>
      <c r="O55"/>
    </row>
    <row r="56" spans="1:15" x14ac:dyDescent="0.2">
      <c r="A56"/>
      <c r="B56"/>
      <c r="C56"/>
      <c r="F56"/>
      <c r="G56"/>
      <c r="L56"/>
      <c r="M56"/>
      <c r="N56"/>
      <c r="O56"/>
    </row>
    <row r="57" spans="1:15" x14ac:dyDescent="0.2">
      <c r="A57"/>
      <c r="B57"/>
      <c r="C57"/>
      <c r="F57"/>
      <c r="G57"/>
      <c r="I57"/>
      <c r="L57"/>
      <c r="M57"/>
      <c r="N57"/>
      <c r="O57"/>
    </row>
    <row r="58" spans="1:15" x14ac:dyDescent="0.2">
      <c r="A58"/>
      <c r="B58"/>
      <c r="C58"/>
      <c r="F58"/>
      <c r="G58"/>
      <c r="H58"/>
      <c r="I58"/>
      <c r="L58"/>
      <c r="N58"/>
      <c r="O58"/>
    </row>
    <row r="59" spans="1:15" x14ac:dyDescent="0.2">
      <c r="A59"/>
      <c r="B59"/>
      <c r="C59"/>
      <c r="F59"/>
      <c r="G59"/>
      <c r="M59"/>
      <c r="N59"/>
      <c r="O59"/>
    </row>
    <row r="60" spans="1:15" x14ac:dyDescent="0.2">
      <c r="A60"/>
      <c r="B60"/>
      <c r="C60"/>
      <c r="F60"/>
      <c r="G60"/>
      <c r="I60"/>
      <c r="L60"/>
      <c r="M60"/>
      <c r="N60"/>
      <c r="O60"/>
    </row>
    <row r="61" spans="1:15" x14ac:dyDescent="0.2">
      <c r="A61"/>
      <c r="B61"/>
      <c r="C61"/>
      <c r="F61"/>
      <c r="G61"/>
      <c r="H61"/>
      <c r="I61"/>
      <c r="L61"/>
      <c r="N61"/>
      <c r="O61"/>
    </row>
    <row r="62" spans="1:15" x14ac:dyDescent="0.2">
      <c r="A62"/>
      <c r="B62"/>
      <c r="C62"/>
      <c r="F62"/>
      <c r="G62"/>
      <c r="I62"/>
      <c r="L62"/>
      <c r="M62"/>
      <c r="N62"/>
      <c r="O62"/>
    </row>
    <row r="63" spans="1:15" x14ac:dyDescent="0.2">
      <c r="A63"/>
      <c r="B63"/>
      <c r="C63"/>
      <c r="F63"/>
      <c r="G63"/>
      <c r="I63"/>
      <c r="L63"/>
      <c r="N63"/>
      <c r="O63"/>
    </row>
    <row r="64" spans="1:15" x14ac:dyDescent="0.2">
      <c r="A64"/>
      <c r="B64"/>
      <c r="C64"/>
      <c r="F64"/>
      <c r="G64"/>
      <c r="I64"/>
      <c r="L64"/>
      <c r="M64"/>
      <c r="N64"/>
      <c r="O64"/>
    </row>
    <row r="65" spans="1:15" x14ac:dyDescent="0.2">
      <c r="A65"/>
      <c r="B65"/>
      <c r="C65"/>
      <c r="F65"/>
      <c r="G65"/>
      <c r="H65"/>
      <c r="I65"/>
      <c r="L65"/>
      <c r="M65"/>
      <c r="N65"/>
      <c r="O65"/>
    </row>
    <row r="66" spans="1:15" x14ac:dyDescent="0.2">
      <c r="A66"/>
      <c r="B66"/>
      <c r="C66"/>
      <c r="F66"/>
      <c r="G66"/>
      <c r="H66"/>
      <c r="I66"/>
      <c r="L66"/>
      <c r="N66"/>
      <c r="O66"/>
    </row>
    <row r="67" spans="1:15" x14ac:dyDescent="0.2">
      <c r="A67"/>
      <c r="B67"/>
      <c r="C67"/>
      <c r="F67"/>
      <c r="G67"/>
      <c r="I67"/>
      <c r="L67"/>
      <c r="M67"/>
      <c r="N67"/>
      <c r="O67"/>
    </row>
    <row r="68" spans="1:15" x14ac:dyDescent="0.2">
      <c r="A68"/>
      <c r="B68"/>
      <c r="C68"/>
      <c r="F68"/>
      <c r="G68"/>
      <c r="I68"/>
      <c r="L68"/>
      <c r="M68"/>
      <c r="N68"/>
      <c r="O68"/>
    </row>
    <row r="69" spans="1:15" x14ac:dyDescent="0.2">
      <c r="A69"/>
      <c r="B69"/>
      <c r="C69"/>
      <c r="F69"/>
      <c r="G69"/>
      <c r="H69"/>
      <c r="I69"/>
      <c r="L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I79"/>
      <c r="L79"/>
      <c r="M79"/>
      <c r="N79"/>
      <c r="O79"/>
    </row>
    <row r="80" spans="1:15" x14ac:dyDescent="0.2">
      <c r="A80"/>
      <c r="B80"/>
      <c r="C80"/>
      <c r="F80"/>
      <c r="G80"/>
      <c r="M80"/>
      <c r="N80"/>
      <c r="O80"/>
    </row>
    <row r="81" spans="1:15" x14ac:dyDescent="0.2">
      <c r="A81"/>
      <c r="B81"/>
      <c r="C81"/>
      <c r="F81"/>
      <c r="G81"/>
      <c r="I81"/>
      <c r="L81"/>
      <c r="M81"/>
      <c r="N81"/>
      <c r="O81"/>
    </row>
    <row r="82" spans="1:15" x14ac:dyDescent="0.2">
      <c r="A82"/>
      <c r="B82"/>
      <c r="C82"/>
      <c r="F82"/>
      <c r="G82"/>
      <c r="I82"/>
      <c r="L82"/>
      <c r="M82"/>
      <c r="N82"/>
      <c r="O82"/>
    </row>
    <row r="83" spans="1:15" x14ac:dyDescent="0.2">
      <c r="A83"/>
      <c r="B83"/>
      <c r="C83"/>
      <c r="F83"/>
      <c r="G83"/>
      <c r="H83"/>
      <c r="I83"/>
      <c r="L83"/>
      <c r="N83"/>
      <c r="O83"/>
    </row>
    <row r="84" spans="1:15" x14ac:dyDescent="0.2">
      <c r="A84"/>
      <c r="B84"/>
      <c r="C84"/>
      <c r="F84"/>
      <c r="G84"/>
      <c r="H84"/>
      <c r="J84"/>
      <c r="K84"/>
      <c r="L84"/>
      <c r="M84"/>
      <c r="N84"/>
      <c r="O84"/>
    </row>
    <row r="85" spans="1:15" x14ac:dyDescent="0.2">
      <c r="A85"/>
      <c r="B85"/>
      <c r="C85"/>
      <c r="F85"/>
      <c r="G85"/>
      <c r="H85"/>
      <c r="I85"/>
      <c r="L85"/>
      <c r="N85"/>
      <c r="O85"/>
    </row>
    <row r="86" spans="1:15" x14ac:dyDescent="0.2">
      <c r="A86"/>
      <c r="B86"/>
      <c r="C86"/>
      <c r="F86"/>
      <c r="G86"/>
      <c r="I86"/>
      <c r="J86"/>
      <c r="K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L89"/>
      <c r="M89"/>
      <c r="N89"/>
      <c r="O89"/>
    </row>
    <row r="90" spans="1:15" x14ac:dyDescent="0.2">
      <c r="A90"/>
      <c r="B90"/>
      <c r="C90"/>
      <c r="F90"/>
      <c r="G90"/>
      <c r="I90"/>
      <c r="J90"/>
      <c r="K90"/>
      <c r="L90"/>
      <c r="M90"/>
      <c r="N90"/>
      <c r="O90"/>
    </row>
    <row r="91" spans="1:15" x14ac:dyDescent="0.2">
      <c r="A91"/>
      <c r="B91"/>
      <c r="C91"/>
      <c r="F91"/>
      <c r="G91"/>
      <c r="I91"/>
      <c r="L91"/>
      <c r="M91"/>
      <c r="N91"/>
      <c r="O91"/>
    </row>
    <row r="92" spans="1:15" x14ac:dyDescent="0.2">
      <c r="A92"/>
      <c r="B92"/>
      <c r="C92"/>
      <c r="F92"/>
      <c r="G92"/>
      <c r="I92"/>
      <c r="L92"/>
      <c r="M92"/>
      <c r="N92"/>
      <c r="O92"/>
    </row>
    <row r="93" spans="1:15" x14ac:dyDescent="0.2">
      <c r="A93"/>
      <c r="B93"/>
      <c r="C93"/>
      <c r="F93"/>
      <c r="G93"/>
      <c r="L93"/>
      <c r="M93"/>
      <c r="N93"/>
      <c r="O93"/>
    </row>
    <row r="94" spans="1:15" x14ac:dyDescent="0.2">
      <c r="A94"/>
      <c r="B94"/>
      <c r="C94"/>
      <c r="F94"/>
      <c r="G94"/>
      <c r="I94"/>
      <c r="J94"/>
      <c r="L94"/>
      <c r="M94"/>
      <c r="N94"/>
      <c r="O94"/>
    </row>
    <row r="95" spans="1:15" x14ac:dyDescent="0.2">
      <c r="A95"/>
      <c r="B95"/>
      <c r="C95"/>
      <c r="F95"/>
      <c r="G95"/>
      <c r="I95"/>
      <c r="L95"/>
      <c r="M95"/>
      <c r="N95"/>
      <c r="O95"/>
    </row>
    <row r="96" spans="1:15" x14ac:dyDescent="0.2">
      <c r="A96"/>
      <c r="B96"/>
      <c r="C96"/>
      <c r="F96"/>
      <c r="G96"/>
      <c r="H96"/>
      <c r="I96"/>
      <c r="L96"/>
      <c r="M96"/>
      <c r="N96"/>
      <c r="O96"/>
    </row>
    <row r="97" spans="1:15" x14ac:dyDescent="0.2">
      <c r="A97"/>
      <c r="B97"/>
      <c r="C97"/>
      <c r="F97"/>
      <c r="G97"/>
      <c r="I97"/>
      <c r="L97"/>
      <c r="M97"/>
      <c r="N97"/>
      <c r="O97"/>
    </row>
    <row r="98" spans="1:15" x14ac:dyDescent="0.2">
      <c r="A98"/>
      <c r="B98"/>
      <c r="C98"/>
      <c r="F98"/>
      <c r="G98"/>
      <c r="N98"/>
      <c r="O98"/>
    </row>
    <row r="99" spans="1:15" x14ac:dyDescent="0.2">
      <c r="A99"/>
      <c r="B99"/>
      <c r="C99"/>
      <c r="F99"/>
      <c r="G99"/>
      <c r="L99"/>
      <c r="M99"/>
      <c r="N99"/>
      <c r="O99"/>
    </row>
    <row r="100" spans="1:15" x14ac:dyDescent="0.2">
      <c r="A100"/>
      <c r="B100"/>
      <c r="C100"/>
      <c r="F100"/>
      <c r="G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L105"/>
      <c r="M105"/>
      <c r="N105"/>
      <c r="O105"/>
    </row>
    <row r="106" spans="1:15" x14ac:dyDescent="0.2">
      <c r="A106"/>
      <c r="B106"/>
      <c r="C106"/>
      <c r="F106"/>
      <c r="G106"/>
      <c r="L106"/>
      <c r="M106"/>
      <c r="N106"/>
      <c r="O106"/>
    </row>
    <row r="107" spans="1:15" x14ac:dyDescent="0.2">
      <c r="A107"/>
      <c r="B107"/>
      <c r="C107"/>
      <c r="F107"/>
      <c r="G107"/>
      <c r="H107"/>
      <c r="J107"/>
      <c r="K107"/>
      <c r="L107"/>
      <c r="M107"/>
      <c r="N107"/>
      <c r="O107"/>
    </row>
    <row r="108" spans="1:15" x14ac:dyDescent="0.2">
      <c r="A108"/>
      <c r="B108"/>
      <c r="C108"/>
      <c r="F108"/>
      <c r="G108"/>
      <c r="L108"/>
      <c r="M108"/>
      <c r="N108"/>
      <c r="O108"/>
    </row>
    <row r="109" spans="1:15" x14ac:dyDescent="0.2">
      <c r="A109"/>
      <c r="B109"/>
      <c r="C109"/>
      <c r="F109"/>
      <c r="G109"/>
      <c r="I109"/>
      <c r="L109"/>
      <c r="M109"/>
      <c r="N109"/>
      <c r="O109"/>
    </row>
    <row r="110" spans="1:15" x14ac:dyDescent="0.2">
      <c r="A110"/>
      <c r="B110"/>
      <c r="C110"/>
      <c r="F110"/>
      <c r="G110"/>
      <c r="I110"/>
      <c r="L110"/>
      <c r="M110"/>
      <c r="N110"/>
      <c r="O110"/>
    </row>
    <row r="111" spans="1:15" x14ac:dyDescent="0.2">
      <c r="A111"/>
      <c r="B111"/>
      <c r="C111"/>
      <c r="F111"/>
      <c r="G111"/>
      <c r="L111"/>
      <c r="M111"/>
      <c r="N111"/>
      <c r="O111"/>
    </row>
    <row r="112" spans="1:15" x14ac:dyDescent="0.2">
      <c r="A112"/>
      <c r="B112"/>
      <c r="C112"/>
      <c r="F112"/>
      <c r="G112"/>
      <c r="M112"/>
      <c r="N112"/>
      <c r="O112"/>
    </row>
    <row r="113" spans="1:15" x14ac:dyDescent="0.2">
      <c r="A113"/>
      <c r="B113"/>
      <c r="C113"/>
      <c r="F113"/>
      <c r="G113"/>
      <c r="I113"/>
      <c r="L113"/>
      <c r="M113"/>
      <c r="N113"/>
      <c r="O113"/>
    </row>
    <row r="114" spans="1:15" x14ac:dyDescent="0.2">
      <c r="A114"/>
      <c r="B114"/>
      <c r="C114"/>
      <c r="F114"/>
      <c r="G114"/>
      <c r="L114"/>
      <c r="M114"/>
      <c r="N114"/>
      <c r="O114"/>
    </row>
    <row r="115" spans="1:15" x14ac:dyDescent="0.2">
      <c r="A115"/>
      <c r="B115"/>
      <c r="C115"/>
      <c r="F115"/>
      <c r="G115"/>
      <c r="I115"/>
      <c r="L115"/>
      <c r="M115"/>
      <c r="N115"/>
      <c r="O115"/>
    </row>
    <row r="116" spans="1:15" x14ac:dyDescent="0.2">
      <c r="A116"/>
      <c r="B116"/>
      <c r="C116"/>
      <c r="F116"/>
      <c r="G116"/>
      <c r="I116"/>
      <c r="L116"/>
      <c r="M116"/>
      <c r="N116"/>
      <c r="O116"/>
    </row>
    <row r="117" spans="1:15" x14ac:dyDescent="0.2">
      <c r="A117"/>
      <c r="B117"/>
      <c r="C117"/>
      <c r="F117"/>
      <c r="G117"/>
      <c r="L117"/>
      <c r="M117"/>
      <c r="N117"/>
      <c r="O117"/>
    </row>
    <row r="118" spans="1:15" x14ac:dyDescent="0.2">
      <c r="A118"/>
      <c r="B118"/>
      <c r="C118"/>
      <c r="F118"/>
      <c r="G118"/>
      <c r="I118"/>
      <c r="L118"/>
      <c r="M118"/>
      <c r="N118"/>
      <c r="O118"/>
    </row>
    <row r="119" spans="1:15" x14ac:dyDescent="0.2">
      <c r="A119"/>
      <c r="B119"/>
      <c r="C119"/>
      <c r="F119"/>
      <c r="G119"/>
      <c r="H119"/>
      <c r="I119"/>
      <c r="L119"/>
      <c r="N119"/>
      <c r="O119"/>
    </row>
    <row r="120" spans="1:15" x14ac:dyDescent="0.2">
      <c r="A120"/>
      <c r="B120"/>
      <c r="C120"/>
      <c r="F120"/>
      <c r="G120"/>
      <c r="L120"/>
      <c r="M120"/>
      <c r="N120"/>
      <c r="O120"/>
    </row>
    <row r="121" spans="1:15" x14ac:dyDescent="0.2">
      <c r="A121"/>
      <c r="B121"/>
      <c r="C121"/>
      <c r="F121"/>
      <c r="G121"/>
      <c r="L121"/>
      <c r="M121"/>
      <c r="N121"/>
      <c r="O121"/>
    </row>
    <row r="122" spans="1:15" x14ac:dyDescent="0.2">
      <c r="A122"/>
      <c r="B122"/>
      <c r="C122"/>
      <c r="F122"/>
      <c r="G122"/>
      <c r="H122"/>
      <c r="I122"/>
      <c r="L122"/>
      <c r="N122"/>
      <c r="O122"/>
    </row>
    <row r="123" spans="1:15" x14ac:dyDescent="0.2">
      <c r="A123"/>
      <c r="B123"/>
      <c r="C123"/>
      <c r="F123"/>
      <c r="G123"/>
      <c r="H123"/>
      <c r="J123"/>
      <c r="K123"/>
      <c r="L123"/>
      <c r="M123"/>
      <c r="N123"/>
      <c r="O123"/>
    </row>
    <row r="124" spans="1:15" x14ac:dyDescent="0.2">
      <c r="A124"/>
      <c r="B124"/>
      <c r="C124"/>
      <c r="F124"/>
      <c r="G124"/>
      <c r="I124"/>
      <c r="L124"/>
      <c r="M124"/>
      <c r="N124"/>
      <c r="O124"/>
    </row>
    <row r="125" spans="1:15" x14ac:dyDescent="0.2">
      <c r="A125"/>
      <c r="B125"/>
      <c r="C125"/>
      <c r="F125"/>
      <c r="G125"/>
      <c r="H125"/>
      <c r="I125"/>
      <c r="L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H134"/>
      <c r="I134"/>
      <c r="L134"/>
      <c r="M134"/>
      <c r="N134"/>
      <c r="O134"/>
    </row>
    <row r="135" spans="1:15" x14ac:dyDescent="0.2">
      <c r="A135"/>
      <c r="B135"/>
      <c r="C135"/>
      <c r="F135"/>
      <c r="G135"/>
      <c r="M135"/>
      <c r="N135"/>
      <c r="O135"/>
    </row>
    <row r="136" spans="1:15" x14ac:dyDescent="0.2">
      <c r="A136"/>
      <c r="B136"/>
      <c r="C136"/>
      <c r="F136"/>
      <c r="G136"/>
      <c r="L136"/>
      <c r="M136"/>
      <c r="N136"/>
      <c r="O136"/>
    </row>
    <row r="137" spans="1:15" x14ac:dyDescent="0.2">
      <c r="A137"/>
      <c r="B137"/>
      <c r="C137"/>
      <c r="F137"/>
      <c r="G137"/>
      <c r="I137"/>
      <c r="L137"/>
      <c r="M137"/>
      <c r="N137"/>
      <c r="O137"/>
    </row>
    <row r="138" spans="1:15" x14ac:dyDescent="0.2">
      <c r="A138"/>
      <c r="B138"/>
      <c r="C138"/>
      <c r="F138"/>
      <c r="G138"/>
      <c r="I138"/>
      <c r="L138"/>
      <c r="M138"/>
      <c r="N138"/>
      <c r="O138"/>
    </row>
    <row r="139" spans="1:15" x14ac:dyDescent="0.2">
      <c r="A139"/>
      <c r="B139"/>
      <c r="C139"/>
      <c r="F139"/>
      <c r="G139"/>
      <c r="L139"/>
      <c r="M139"/>
      <c r="N139"/>
      <c r="O139"/>
    </row>
    <row r="140" spans="1:15" x14ac:dyDescent="0.2">
      <c r="A140"/>
      <c r="B140"/>
      <c r="C140"/>
      <c r="F140"/>
      <c r="G140"/>
      <c r="J140"/>
      <c r="K140"/>
      <c r="L140"/>
      <c r="M140"/>
      <c r="N140"/>
      <c r="O140"/>
    </row>
    <row r="141" spans="1:15" x14ac:dyDescent="0.2">
      <c r="A141"/>
      <c r="B141"/>
      <c r="C141"/>
      <c r="F141"/>
      <c r="G141"/>
      <c r="H141"/>
      <c r="J141"/>
      <c r="K141"/>
      <c r="L141"/>
      <c r="M141"/>
      <c r="N141"/>
      <c r="O141"/>
    </row>
    <row r="142" spans="1:15" x14ac:dyDescent="0.2">
      <c r="A142"/>
      <c r="B142"/>
      <c r="C142"/>
      <c r="F142"/>
      <c r="G142"/>
      <c r="H142"/>
      <c r="J142"/>
      <c r="K142"/>
      <c r="L142"/>
      <c r="M142"/>
      <c r="N142"/>
      <c r="O142"/>
    </row>
    <row r="143" spans="1:15" x14ac:dyDescent="0.2">
      <c r="A143"/>
      <c r="B143"/>
      <c r="C143"/>
      <c r="F143"/>
      <c r="G143"/>
      <c r="H143"/>
      <c r="J143"/>
      <c r="K143"/>
      <c r="L143"/>
      <c r="M143"/>
      <c r="N143"/>
      <c r="O143"/>
    </row>
    <row r="144" spans="1:15" x14ac:dyDescent="0.2">
      <c r="A144"/>
      <c r="B144"/>
      <c r="C144"/>
      <c r="F144"/>
      <c r="G144"/>
      <c r="L144"/>
      <c r="M144"/>
      <c r="N144"/>
      <c r="O144"/>
    </row>
    <row r="145" spans="1:15" x14ac:dyDescent="0.2">
      <c r="A145"/>
      <c r="B145"/>
      <c r="C145"/>
      <c r="F145"/>
      <c r="G145"/>
      <c r="H145"/>
      <c r="J145"/>
      <c r="K145"/>
      <c r="L145"/>
      <c r="M145"/>
      <c r="N145"/>
      <c r="O145"/>
    </row>
    <row r="146" spans="1:15" x14ac:dyDescent="0.2">
      <c r="A146"/>
      <c r="B146"/>
      <c r="C146"/>
      <c r="F146"/>
      <c r="G146"/>
      <c r="J146"/>
      <c r="K146"/>
      <c r="L146"/>
      <c r="M146"/>
      <c r="N146"/>
      <c r="O146"/>
    </row>
    <row r="147" spans="1:15" x14ac:dyDescent="0.2">
      <c r="A147"/>
      <c r="B147"/>
      <c r="C147"/>
      <c r="F147"/>
      <c r="G147"/>
      <c r="H147"/>
      <c r="J147"/>
      <c r="K147"/>
      <c r="L147"/>
      <c r="M147"/>
      <c r="N147"/>
      <c r="O147"/>
    </row>
    <row r="148" spans="1:15" x14ac:dyDescent="0.2">
      <c r="A148"/>
      <c r="B148"/>
      <c r="C148"/>
      <c r="F148"/>
      <c r="G148"/>
      <c r="L148"/>
      <c r="M148"/>
      <c r="N148"/>
      <c r="O148"/>
    </row>
    <row r="149" spans="1:15" x14ac:dyDescent="0.2">
      <c r="A149"/>
      <c r="B149"/>
      <c r="C149"/>
      <c r="F149"/>
      <c r="G149"/>
      <c r="H149"/>
      <c r="I149"/>
      <c r="L149"/>
      <c r="M149"/>
      <c r="N149"/>
      <c r="O149"/>
    </row>
    <row r="150" spans="1:15" x14ac:dyDescent="0.2">
      <c r="A150"/>
      <c r="B150"/>
      <c r="C150"/>
      <c r="F150"/>
      <c r="G150"/>
      <c r="I150"/>
      <c r="L150"/>
      <c r="M150"/>
      <c r="N150"/>
      <c r="O150"/>
    </row>
    <row r="151" spans="1:15" x14ac:dyDescent="0.2">
      <c r="A151"/>
      <c r="B151"/>
      <c r="C151"/>
      <c r="F151"/>
      <c r="G151"/>
      <c r="H151"/>
      <c r="I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L154"/>
      <c r="M154"/>
      <c r="N154"/>
      <c r="O154"/>
    </row>
    <row r="155" spans="1:15" x14ac:dyDescent="0.2">
      <c r="A155"/>
      <c r="B155"/>
      <c r="C155"/>
      <c r="F155"/>
      <c r="G155"/>
      <c r="I155"/>
      <c r="L155"/>
      <c r="M155"/>
      <c r="N155"/>
      <c r="O155"/>
    </row>
    <row r="156" spans="1:15" x14ac:dyDescent="0.2">
      <c r="A156"/>
      <c r="B156"/>
      <c r="C156"/>
      <c r="F156"/>
      <c r="G156"/>
      <c r="L156"/>
      <c r="M156"/>
      <c r="N156"/>
      <c r="O156"/>
    </row>
    <row r="157" spans="1:15" x14ac:dyDescent="0.2">
      <c r="A157"/>
      <c r="B157"/>
      <c r="C157"/>
      <c r="F157"/>
      <c r="G157"/>
      <c r="L157"/>
      <c r="M157"/>
      <c r="N157"/>
      <c r="O157"/>
    </row>
    <row r="158" spans="1:15" x14ac:dyDescent="0.2">
      <c r="A158"/>
      <c r="B158"/>
      <c r="C158"/>
      <c r="F158"/>
      <c r="G158"/>
      <c r="H158"/>
      <c r="I158"/>
      <c r="L158"/>
      <c r="M158"/>
      <c r="N158"/>
      <c r="O158"/>
    </row>
    <row r="159" spans="1:15" x14ac:dyDescent="0.2">
      <c r="A159"/>
      <c r="B159"/>
      <c r="C159"/>
      <c r="F159"/>
      <c r="G159"/>
      <c r="H159"/>
      <c r="I159"/>
      <c r="L159"/>
      <c r="M159"/>
      <c r="N159"/>
      <c r="O159"/>
    </row>
    <row r="160" spans="1:15" x14ac:dyDescent="0.2">
      <c r="A160"/>
      <c r="B160"/>
      <c r="C160"/>
      <c r="F160"/>
      <c r="G160"/>
      <c r="H160"/>
      <c r="I160"/>
      <c r="L160"/>
      <c r="M160"/>
      <c r="N160"/>
      <c r="O160"/>
    </row>
    <row r="161" spans="1:15" x14ac:dyDescent="0.2">
      <c r="A161"/>
      <c r="B161"/>
      <c r="C161"/>
      <c r="F161"/>
      <c r="G161"/>
      <c r="H161"/>
      <c r="I161"/>
      <c r="L161"/>
      <c r="M161"/>
      <c r="N161"/>
      <c r="O161"/>
    </row>
    <row r="162" spans="1:15" x14ac:dyDescent="0.2">
      <c r="A162"/>
      <c r="B162"/>
      <c r="C162"/>
      <c r="F162"/>
      <c r="G162"/>
      <c r="M162"/>
      <c r="N162"/>
      <c r="O162"/>
    </row>
    <row r="163" spans="1:15" x14ac:dyDescent="0.2">
      <c r="A163"/>
      <c r="B163"/>
      <c r="C163"/>
      <c r="F163"/>
      <c r="G163"/>
      <c r="I163"/>
      <c r="L163"/>
      <c r="M163"/>
      <c r="N163"/>
      <c r="O163"/>
    </row>
    <row r="164" spans="1:15" x14ac:dyDescent="0.2">
      <c r="A164"/>
      <c r="B164"/>
      <c r="C164"/>
      <c r="F164"/>
      <c r="G164"/>
      <c r="H164"/>
      <c r="I164"/>
      <c r="L164"/>
      <c r="N164"/>
      <c r="O164"/>
    </row>
    <row r="165" spans="1:15" x14ac:dyDescent="0.2">
      <c r="A165"/>
      <c r="B165"/>
      <c r="C165"/>
      <c r="F165"/>
      <c r="G165"/>
      <c r="H165"/>
      <c r="I165"/>
      <c r="L165"/>
      <c r="M165"/>
      <c r="N165"/>
      <c r="O165"/>
    </row>
    <row r="166" spans="1:15" x14ac:dyDescent="0.2">
      <c r="A166"/>
      <c r="B166"/>
      <c r="C166"/>
      <c r="F166"/>
      <c r="G166"/>
      <c r="H166"/>
      <c r="J166"/>
      <c r="K166"/>
      <c r="L166"/>
      <c r="M166"/>
      <c r="N166"/>
      <c r="O166"/>
    </row>
    <row r="167" spans="1:15" x14ac:dyDescent="0.2">
      <c r="A167"/>
      <c r="B167"/>
      <c r="C167"/>
      <c r="F167"/>
      <c r="G167"/>
      <c r="H167"/>
      <c r="I167"/>
      <c r="L167"/>
      <c r="M167"/>
      <c r="N167"/>
      <c r="O167"/>
    </row>
    <row r="168" spans="1:15" x14ac:dyDescent="0.2">
      <c r="A168"/>
      <c r="B168"/>
      <c r="C168"/>
      <c r="F168"/>
      <c r="G168"/>
      <c r="I168"/>
      <c r="L168"/>
      <c r="M168"/>
      <c r="N168"/>
      <c r="O168"/>
    </row>
    <row r="169" spans="1:15" x14ac:dyDescent="0.2">
      <c r="A169"/>
      <c r="B169"/>
      <c r="C169"/>
      <c r="F169"/>
      <c r="G169"/>
      <c r="H169"/>
      <c r="I169"/>
      <c r="L169"/>
      <c r="M169"/>
      <c r="N169"/>
      <c r="O169"/>
    </row>
    <row r="170" spans="1:15" x14ac:dyDescent="0.2">
      <c r="A170"/>
      <c r="B170"/>
      <c r="C170"/>
      <c r="F170"/>
      <c r="G170"/>
      <c r="H170"/>
      <c r="I170"/>
      <c r="L170"/>
      <c r="N170"/>
      <c r="O170"/>
    </row>
    <row r="171" spans="1:15" x14ac:dyDescent="0.2">
      <c r="A171"/>
      <c r="B171"/>
      <c r="C171"/>
      <c r="F171"/>
      <c r="G171"/>
      <c r="H171"/>
      <c r="I171"/>
      <c r="L171"/>
      <c r="M171"/>
      <c r="N171"/>
      <c r="O171"/>
    </row>
    <row r="172" spans="1:15" x14ac:dyDescent="0.2">
      <c r="A172"/>
      <c r="B172"/>
      <c r="C172"/>
      <c r="F172"/>
      <c r="G172"/>
      <c r="H172"/>
      <c r="I172"/>
      <c r="L172"/>
      <c r="M172"/>
      <c r="N172"/>
      <c r="O172"/>
    </row>
    <row r="173" spans="1:15" x14ac:dyDescent="0.2">
      <c r="A173"/>
      <c r="B173"/>
      <c r="C173"/>
      <c r="F173"/>
      <c r="G173"/>
      <c r="H173"/>
      <c r="I173"/>
      <c r="L173"/>
      <c r="M173"/>
      <c r="N173"/>
      <c r="O173"/>
    </row>
    <row r="174" spans="1:15" x14ac:dyDescent="0.2">
      <c r="A174"/>
      <c r="B174"/>
      <c r="C174"/>
      <c r="F174"/>
      <c r="G174"/>
      <c r="M174"/>
      <c r="N174"/>
      <c r="O174"/>
    </row>
    <row r="175" spans="1:15" x14ac:dyDescent="0.2">
      <c r="A175"/>
      <c r="B175"/>
      <c r="C175"/>
      <c r="F175"/>
      <c r="G175"/>
      <c r="H175"/>
      <c r="J175"/>
      <c r="K175"/>
      <c r="L175"/>
      <c r="M175"/>
      <c r="N175"/>
      <c r="O175"/>
    </row>
    <row r="176" spans="1:15" x14ac:dyDescent="0.2">
      <c r="A176"/>
      <c r="B176"/>
      <c r="C176"/>
      <c r="F176"/>
      <c r="G176"/>
      <c r="H176"/>
      <c r="J176"/>
      <c r="K176"/>
      <c r="L176"/>
      <c r="M176"/>
      <c r="N176"/>
      <c r="O176"/>
    </row>
    <row r="177" spans="1:15" x14ac:dyDescent="0.2">
      <c r="A177"/>
      <c r="B177"/>
      <c r="C177"/>
      <c r="F177"/>
      <c r="G177"/>
      <c r="L177"/>
      <c r="M177"/>
      <c r="N177"/>
      <c r="O177"/>
    </row>
    <row r="178" spans="1:15" x14ac:dyDescent="0.2">
      <c r="A178"/>
      <c r="B178"/>
      <c r="C178"/>
      <c r="F178"/>
      <c r="G178"/>
      <c r="H178"/>
      <c r="J178"/>
      <c r="K178"/>
      <c r="L178"/>
      <c r="M178"/>
      <c r="N178"/>
      <c r="O178"/>
    </row>
    <row r="179" spans="1:15" x14ac:dyDescent="0.2">
      <c r="A179"/>
      <c r="B179"/>
      <c r="C179"/>
      <c r="F179"/>
      <c r="G179"/>
      <c r="H179"/>
      <c r="I179"/>
      <c r="J179"/>
      <c r="K179"/>
      <c r="L179"/>
      <c r="M179"/>
      <c r="N179"/>
      <c r="O179"/>
    </row>
    <row r="180" spans="1:15" x14ac:dyDescent="0.2">
      <c r="A180"/>
      <c r="B180"/>
      <c r="C180"/>
      <c r="F180"/>
      <c r="G180"/>
      <c r="I180"/>
      <c r="L180"/>
      <c r="M180"/>
      <c r="N180"/>
      <c r="O180"/>
    </row>
    <row r="181" spans="1:15" x14ac:dyDescent="0.2">
      <c r="A181"/>
      <c r="B181"/>
      <c r="C181"/>
      <c r="F181"/>
      <c r="G181"/>
      <c r="H181"/>
      <c r="I181"/>
      <c r="L181"/>
      <c r="M181"/>
      <c r="N181"/>
      <c r="O181"/>
    </row>
    <row r="182" spans="1:15" x14ac:dyDescent="0.2">
      <c r="A182"/>
      <c r="B182"/>
      <c r="C182"/>
      <c r="F182"/>
      <c r="G182"/>
      <c r="H182"/>
      <c r="I182"/>
      <c r="L182"/>
      <c r="M182"/>
      <c r="N182"/>
      <c r="O182"/>
    </row>
    <row r="183" spans="1:15" x14ac:dyDescent="0.2">
      <c r="A183"/>
      <c r="B183"/>
      <c r="C183"/>
      <c r="F183"/>
      <c r="G183"/>
      <c r="I183"/>
      <c r="L183"/>
      <c r="M183"/>
      <c r="N183"/>
      <c r="O183"/>
    </row>
    <row r="184" spans="1:15" x14ac:dyDescent="0.2">
      <c r="A184"/>
      <c r="B184"/>
      <c r="C184"/>
      <c r="F184"/>
      <c r="G184"/>
      <c r="M184"/>
      <c r="N184"/>
      <c r="O184"/>
    </row>
    <row r="185" spans="1:15" x14ac:dyDescent="0.2">
      <c r="A185"/>
      <c r="B185"/>
      <c r="C185"/>
      <c r="F185"/>
      <c r="G185"/>
      <c r="H185"/>
      <c r="I185"/>
      <c r="L185"/>
      <c r="N185"/>
      <c r="O185"/>
    </row>
    <row r="186" spans="1:15" x14ac:dyDescent="0.2">
      <c r="A186"/>
      <c r="B186"/>
      <c r="C186"/>
      <c r="F186"/>
      <c r="G186"/>
      <c r="I186"/>
      <c r="L186"/>
      <c r="M186"/>
      <c r="N186"/>
      <c r="O186"/>
    </row>
    <row r="187" spans="1:15" x14ac:dyDescent="0.2">
      <c r="A187"/>
      <c r="B187"/>
      <c r="C187"/>
      <c r="F187"/>
      <c r="G187"/>
      <c r="H187"/>
      <c r="I187"/>
      <c r="L187"/>
      <c r="M187"/>
      <c r="N187"/>
      <c r="O187"/>
    </row>
    <row r="188" spans="1:15" x14ac:dyDescent="0.2">
      <c r="A188"/>
      <c r="B188"/>
      <c r="C188"/>
      <c r="F188"/>
      <c r="G188"/>
      <c r="H188"/>
      <c r="I188"/>
      <c r="L188"/>
      <c r="M188"/>
      <c r="N188"/>
      <c r="O188"/>
    </row>
    <row r="189" spans="1:15" x14ac:dyDescent="0.2">
      <c r="A189"/>
      <c r="B189"/>
      <c r="C189"/>
      <c r="F189"/>
      <c r="G189"/>
      <c r="L189"/>
      <c r="M189"/>
      <c r="N189"/>
      <c r="O189"/>
    </row>
    <row r="190" spans="1:15" x14ac:dyDescent="0.2">
      <c r="A190"/>
      <c r="B190"/>
      <c r="C190"/>
      <c r="F190"/>
      <c r="G190"/>
      <c r="M190"/>
      <c r="N190"/>
      <c r="O190"/>
    </row>
    <row r="191" spans="1:15" x14ac:dyDescent="0.2">
      <c r="A191"/>
      <c r="B191"/>
      <c r="C191"/>
      <c r="F191"/>
      <c r="G191"/>
      <c r="M191"/>
      <c r="N191"/>
      <c r="O191"/>
    </row>
    <row r="192" spans="1:15" x14ac:dyDescent="0.2">
      <c r="A192"/>
      <c r="B192"/>
      <c r="C192"/>
      <c r="F192"/>
      <c r="G192"/>
      <c r="H192"/>
      <c r="I192"/>
      <c r="L192"/>
      <c r="M192"/>
      <c r="N192"/>
      <c r="O192"/>
    </row>
    <row r="193" spans="1:15" x14ac:dyDescent="0.2">
      <c r="A193"/>
      <c r="B193"/>
      <c r="C193"/>
      <c r="F193"/>
      <c r="G193"/>
      <c r="H193"/>
      <c r="I193"/>
      <c r="L193"/>
      <c r="M193"/>
      <c r="N193"/>
      <c r="O193"/>
    </row>
    <row r="194" spans="1:15" x14ac:dyDescent="0.2">
      <c r="A194"/>
      <c r="B194"/>
      <c r="C194"/>
      <c r="F194"/>
      <c r="G194"/>
      <c r="H194"/>
      <c r="I194"/>
      <c r="L194"/>
      <c r="M194"/>
      <c r="N194"/>
      <c r="O194"/>
    </row>
    <row r="195" spans="1:15" x14ac:dyDescent="0.2">
      <c r="A195"/>
      <c r="B195"/>
      <c r="C195"/>
      <c r="F195"/>
      <c r="G195"/>
      <c r="H195"/>
      <c r="I195"/>
      <c r="L195"/>
      <c r="M195"/>
      <c r="N195"/>
      <c r="O195"/>
    </row>
    <row r="196" spans="1:15" x14ac:dyDescent="0.2">
      <c r="A196"/>
      <c r="B196"/>
      <c r="C196"/>
      <c r="F196"/>
      <c r="G196"/>
      <c r="L196"/>
      <c r="M196"/>
      <c r="N196"/>
      <c r="O196"/>
    </row>
    <row r="197" spans="1:15" x14ac:dyDescent="0.2">
      <c r="A197"/>
      <c r="B197"/>
      <c r="C197"/>
      <c r="F197"/>
      <c r="G197"/>
      <c r="L197"/>
      <c r="M197"/>
      <c r="N197"/>
      <c r="O197"/>
    </row>
    <row r="198" spans="1:15" x14ac:dyDescent="0.2">
      <c r="A198"/>
      <c r="B198"/>
      <c r="C198"/>
      <c r="F198"/>
      <c r="G198"/>
      <c r="H198"/>
      <c r="I198"/>
      <c r="L198"/>
      <c r="M198"/>
      <c r="N198"/>
      <c r="O198"/>
    </row>
    <row r="199" spans="1:15" x14ac:dyDescent="0.2">
      <c r="A199"/>
      <c r="B199"/>
      <c r="C199"/>
      <c r="F199"/>
      <c r="G199"/>
      <c r="I199"/>
      <c r="L199"/>
      <c r="M199"/>
      <c r="N199"/>
      <c r="O199"/>
    </row>
    <row r="200" spans="1:15" x14ac:dyDescent="0.2">
      <c r="A200"/>
      <c r="B200"/>
      <c r="C200"/>
      <c r="F200"/>
      <c r="G200"/>
      <c r="I200"/>
      <c r="L200"/>
      <c r="M200"/>
      <c r="N200"/>
      <c r="O200"/>
    </row>
    <row r="201" spans="1:15" x14ac:dyDescent="0.2">
      <c r="A201"/>
      <c r="B201"/>
      <c r="C201"/>
      <c r="F201"/>
      <c r="G201"/>
      <c r="I201"/>
      <c r="L201"/>
      <c r="M201"/>
      <c r="N201"/>
      <c r="O201"/>
    </row>
    <row r="202" spans="1:15" x14ac:dyDescent="0.2">
      <c r="A202"/>
      <c r="B202"/>
      <c r="C202"/>
      <c r="F202"/>
      <c r="G202"/>
      <c r="L202"/>
      <c r="M202"/>
      <c r="N202"/>
      <c r="O202"/>
    </row>
    <row r="203" spans="1:15" x14ac:dyDescent="0.2">
      <c r="A203"/>
      <c r="B203"/>
      <c r="C203"/>
      <c r="F203"/>
      <c r="G203"/>
      <c r="H203"/>
      <c r="L203"/>
      <c r="M203"/>
      <c r="N203"/>
      <c r="O203"/>
    </row>
    <row r="204" spans="1:15" x14ac:dyDescent="0.2">
      <c r="A204"/>
      <c r="B204"/>
      <c r="C204"/>
      <c r="F204"/>
      <c r="G204"/>
      <c r="H204"/>
      <c r="J204"/>
      <c r="K204"/>
      <c r="L204"/>
      <c r="M204"/>
      <c r="N204"/>
      <c r="O204"/>
    </row>
    <row r="205" spans="1:15" x14ac:dyDescent="0.2">
      <c r="A205"/>
      <c r="B205"/>
      <c r="C205"/>
      <c r="F205"/>
      <c r="G205"/>
      <c r="H205"/>
      <c r="I205"/>
      <c r="L205"/>
      <c r="N205"/>
      <c r="O205"/>
    </row>
    <row r="206" spans="1:15" x14ac:dyDescent="0.2">
      <c r="A206"/>
      <c r="B206"/>
      <c r="C206"/>
      <c r="F206"/>
      <c r="G206"/>
      <c r="L206"/>
      <c r="M206"/>
      <c r="N206"/>
      <c r="O206"/>
    </row>
    <row r="207" spans="1:15" x14ac:dyDescent="0.2">
      <c r="A207"/>
      <c r="B207"/>
      <c r="C207"/>
      <c r="F207"/>
      <c r="G207"/>
      <c r="H207"/>
      <c r="I207"/>
      <c r="L207"/>
      <c r="M207"/>
      <c r="N207"/>
      <c r="O207"/>
    </row>
    <row r="208" spans="1:15" x14ac:dyDescent="0.2">
      <c r="A208"/>
      <c r="B208"/>
      <c r="C208"/>
      <c r="F208"/>
      <c r="G208"/>
      <c r="H208"/>
      <c r="I208"/>
      <c r="L208"/>
      <c r="M208"/>
      <c r="N208"/>
      <c r="O208"/>
    </row>
    <row r="209" spans="1:15" x14ac:dyDescent="0.2">
      <c r="A209"/>
      <c r="B209"/>
      <c r="C209"/>
      <c r="F209"/>
      <c r="G209"/>
      <c r="H209"/>
      <c r="I209"/>
      <c r="L209"/>
      <c r="M209"/>
      <c r="N209"/>
      <c r="O209"/>
    </row>
    <row r="210" spans="1:15" x14ac:dyDescent="0.2">
      <c r="A210"/>
      <c r="B210"/>
      <c r="C210"/>
      <c r="F210"/>
      <c r="G210"/>
      <c r="H210"/>
      <c r="I210"/>
      <c r="L210"/>
      <c r="M210"/>
      <c r="N210"/>
      <c r="O210"/>
    </row>
    <row r="211" spans="1:15" x14ac:dyDescent="0.2">
      <c r="A211"/>
      <c r="B211"/>
      <c r="C211"/>
      <c r="F211"/>
      <c r="G211"/>
      <c r="I211"/>
      <c r="L211"/>
      <c r="M211"/>
      <c r="N211"/>
      <c r="O211"/>
    </row>
    <row r="212" spans="1:15" x14ac:dyDescent="0.2">
      <c r="A212"/>
      <c r="B212"/>
      <c r="C212"/>
      <c r="F212"/>
      <c r="G212"/>
      <c r="I212"/>
      <c r="L212"/>
      <c r="M212"/>
      <c r="N212"/>
      <c r="O212"/>
    </row>
    <row r="213" spans="1:15" x14ac:dyDescent="0.2">
      <c r="A213"/>
      <c r="B213"/>
      <c r="C213"/>
      <c r="F213"/>
      <c r="G213"/>
      <c r="H213"/>
      <c r="I213"/>
      <c r="L213"/>
      <c r="M213"/>
      <c r="N213"/>
      <c r="O213"/>
    </row>
    <row r="214" spans="1:15" x14ac:dyDescent="0.2">
      <c r="A214"/>
      <c r="B214"/>
      <c r="C214"/>
      <c r="F214"/>
      <c r="G214"/>
      <c r="H214"/>
      <c r="I214"/>
      <c r="J214"/>
      <c r="K214"/>
      <c r="L214"/>
      <c r="M214"/>
      <c r="N214"/>
      <c r="O214"/>
    </row>
    <row r="215" spans="1:15" x14ac:dyDescent="0.2">
      <c r="A215"/>
      <c r="B215"/>
      <c r="C215"/>
      <c r="F215"/>
      <c r="G215"/>
      <c r="L215"/>
      <c r="M215"/>
      <c r="N215"/>
      <c r="O215"/>
    </row>
    <row r="216" spans="1:15" x14ac:dyDescent="0.2">
      <c r="A216"/>
      <c r="B216"/>
      <c r="C216"/>
      <c r="F216"/>
      <c r="G216"/>
      <c r="H216"/>
      <c r="I216"/>
      <c r="L216"/>
      <c r="M216"/>
      <c r="N216"/>
      <c r="O216"/>
    </row>
    <row r="217" spans="1:15" x14ac:dyDescent="0.2">
      <c r="A217"/>
      <c r="B217"/>
      <c r="C217"/>
      <c r="F217"/>
      <c r="G217"/>
      <c r="H217"/>
      <c r="I217"/>
      <c r="L217"/>
      <c r="M217"/>
      <c r="N217"/>
      <c r="O217"/>
    </row>
    <row r="218" spans="1:15" x14ac:dyDescent="0.2">
      <c r="A218"/>
      <c r="B218"/>
      <c r="C218"/>
      <c r="F218"/>
      <c r="G218"/>
      <c r="I218"/>
      <c r="L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L221"/>
      <c r="M221"/>
      <c r="N221"/>
      <c r="O221"/>
    </row>
    <row r="222" spans="1:15" x14ac:dyDescent="0.2">
      <c r="A222"/>
      <c r="B222"/>
      <c r="C222"/>
      <c r="F222"/>
      <c r="G222"/>
      <c r="M222"/>
      <c r="N222"/>
      <c r="O222"/>
    </row>
    <row r="223" spans="1:15" x14ac:dyDescent="0.2">
      <c r="A223"/>
      <c r="B223"/>
      <c r="C223"/>
      <c r="F223"/>
      <c r="G223"/>
      <c r="H223"/>
      <c r="I223"/>
      <c r="L223"/>
      <c r="M223"/>
      <c r="N223"/>
      <c r="O223"/>
    </row>
    <row r="224" spans="1:15" x14ac:dyDescent="0.2">
      <c r="A224"/>
      <c r="B224"/>
      <c r="C224"/>
      <c r="F224"/>
      <c r="G224"/>
      <c r="I224"/>
      <c r="L224"/>
      <c r="M224"/>
      <c r="N224"/>
      <c r="O224"/>
    </row>
    <row r="225" spans="1:15" x14ac:dyDescent="0.2">
      <c r="A225"/>
      <c r="B225"/>
      <c r="C225"/>
      <c r="F225"/>
      <c r="G225"/>
      <c r="H225"/>
      <c r="I225"/>
      <c r="L225"/>
      <c r="M225"/>
      <c r="N225"/>
      <c r="O225"/>
    </row>
    <row r="226" spans="1:15" x14ac:dyDescent="0.2">
      <c r="A226"/>
      <c r="B226"/>
      <c r="C226"/>
      <c r="F226"/>
      <c r="G226"/>
      <c r="L226"/>
      <c r="M226"/>
      <c r="N226"/>
      <c r="O226"/>
    </row>
    <row r="227" spans="1:15" x14ac:dyDescent="0.2">
      <c r="A227"/>
      <c r="B227"/>
      <c r="C227"/>
      <c r="F227"/>
      <c r="G227"/>
      <c r="L227"/>
      <c r="M227"/>
      <c r="N227"/>
      <c r="O227"/>
    </row>
    <row r="228" spans="1:15" x14ac:dyDescent="0.2">
      <c r="A228"/>
      <c r="B228"/>
      <c r="C228"/>
      <c r="F228"/>
      <c r="G228"/>
      <c r="I228"/>
      <c r="L228"/>
      <c r="M228"/>
      <c r="N228"/>
      <c r="O228"/>
    </row>
    <row r="229" spans="1:15" x14ac:dyDescent="0.2">
      <c r="A229"/>
      <c r="B229"/>
      <c r="C229"/>
      <c r="F229"/>
      <c r="G229"/>
      <c r="H229"/>
      <c r="I229"/>
      <c r="L229"/>
      <c r="M229"/>
      <c r="N229"/>
      <c r="O229"/>
    </row>
    <row r="230" spans="1:15" x14ac:dyDescent="0.2">
      <c r="A230"/>
      <c r="B230"/>
      <c r="C230"/>
      <c r="F230"/>
      <c r="G230"/>
      <c r="I230"/>
      <c r="L230"/>
      <c r="M230"/>
      <c r="N230"/>
      <c r="O230"/>
    </row>
    <row r="231" spans="1:15" x14ac:dyDescent="0.2">
      <c r="A231"/>
      <c r="B231"/>
      <c r="C231"/>
      <c r="F231"/>
      <c r="G231"/>
      <c r="I231"/>
      <c r="L231"/>
      <c r="M231"/>
      <c r="N231"/>
      <c r="O231"/>
    </row>
    <row r="232" spans="1:15" x14ac:dyDescent="0.2">
      <c r="A232"/>
      <c r="B232"/>
      <c r="C232"/>
      <c r="F232"/>
      <c r="G232"/>
      <c r="I232"/>
      <c r="L232"/>
      <c r="M232"/>
      <c r="N232"/>
      <c r="O232"/>
    </row>
    <row r="233" spans="1:15" x14ac:dyDescent="0.2">
      <c r="A233"/>
      <c r="B233"/>
      <c r="C233"/>
      <c r="F233"/>
      <c r="G233"/>
      <c r="L233"/>
      <c r="M233"/>
      <c r="N233"/>
      <c r="O233"/>
    </row>
    <row r="234" spans="1:15" x14ac:dyDescent="0.2">
      <c r="A234"/>
      <c r="B234"/>
      <c r="C234"/>
      <c r="F234"/>
      <c r="G234"/>
      <c r="H234"/>
      <c r="I234"/>
      <c r="L234"/>
      <c r="M234"/>
      <c r="N234"/>
      <c r="O234"/>
    </row>
    <row r="235" spans="1:15" x14ac:dyDescent="0.2">
      <c r="A235"/>
      <c r="B235"/>
      <c r="C235"/>
      <c r="F235"/>
      <c r="G235"/>
      <c r="H235"/>
      <c r="I235"/>
      <c r="L235"/>
      <c r="M235"/>
      <c r="N235"/>
      <c r="O235"/>
    </row>
    <row r="236" spans="1:15" x14ac:dyDescent="0.2">
      <c r="A236"/>
      <c r="B236"/>
      <c r="C236"/>
      <c r="F236"/>
      <c r="G236"/>
      <c r="H236"/>
      <c r="I236"/>
      <c r="L236"/>
      <c r="M236"/>
      <c r="N236"/>
      <c r="O236"/>
    </row>
    <row r="237" spans="1:15" x14ac:dyDescent="0.2">
      <c r="A237"/>
      <c r="B237"/>
      <c r="C237"/>
      <c r="F237"/>
      <c r="G237"/>
      <c r="L237"/>
      <c r="M237"/>
      <c r="N237"/>
      <c r="O237"/>
    </row>
    <row r="238" spans="1:15" x14ac:dyDescent="0.2">
      <c r="A238"/>
      <c r="B238"/>
      <c r="C238"/>
      <c r="F238"/>
      <c r="G238"/>
      <c r="H238"/>
      <c r="L238"/>
      <c r="M238"/>
      <c r="N238"/>
      <c r="O238"/>
    </row>
    <row r="239" spans="1:15" x14ac:dyDescent="0.2">
      <c r="A239"/>
      <c r="B239"/>
      <c r="C239"/>
      <c r="F239"/>
      <c r="G239"/>
      <c r="I239"/>
      <c r="L239"/>
      <c r="M239"/>
      <c r="N239"/>
      <c r="O239"/>
    </row>
    <row r="240" spans="1:15" x14ac:dyDescent="0.2">
      <c r="A240"/>
      <c r="B240"/>
      <c r="C240"/>
      <c r="F240"/>
      <c r="G240"/>
      <c r="H240"/>
      <c r="I240"/>
      <c r="L240"/>
      <c r="M240"/>
      <c r="N240"/>
      <c r="O240"/>
    </row>
    <row r="241" spans="1:15" x14ac:dyDescent="0.2">
      <c r="A241"/>
      <c r="B241"/>
      <c r="C241"/>
      <c r="F241"/>
      <c r="G241"/>
      <c r="H241"/>
      <c r="J241"/>
      <c r="K241"/>
      <c r="L241"/>
      <c r="M241"/>
      <c r="N241"/>
      <c r="O241"/>
    </row>
    <row r="242" spans="1:15" x14ac:dyDescent="0.2">
      <c r="A242"/>
      <c r="B242"/>
      <c r="C242"/>
      <c r="F242"/>
      <c r="G242"/>
      <c r="H242"/>
      <c r="J242"/>
      <c r="K242"/>
      <c r="L242"/>
      <c r="M242"/>
      <c r="N242"/>
      <c r="O242"/>
    </row>
    <row r="243" spans="1:15" x14ac:dyDescent="0.2">
      <c r="A243"/>
      <c r="B243"/>
      <c r="C243"/>
      <c r="F243"/>
      <c r="G243"/>
      <c r="H243"/>
      <c r="J243"/>
      <c r="K243"/>
      <c r="L243"/>
      <c r="M243"/>
      <c r="N243"/>
      <c r="O243"/>
    </row>
    <row r="244" spans="1:15" x14ac:dyDescent="0.2">
      <c r="A244"/>
      <c r="B244"/>
      <c r="C244"/>
      <c r="F244"/>
      <c r="G244"/>
      <c r="H244"/>
      <c r="J244"/>
      <c r="K244"/>
      <c r="L244"/>
      <c r="M244"/>
      <c r="N244"/>
      <c r="O244"/>
    </row>
    <row r="245" spans="1:15" x14ac:dyDescent="0.2">
      <c r="A245"/>
      <c r="B245"/>
      <c r="C245"/>
      <c r="F245"/>
      <c r="G245"/>
      <c r="J245"/>
      <c r="K245"/>
      <c r="L245"/>
      <c r="M245"/>
      <c r="N245"/>
      <c r="O245"/>
    </row>
    <row r="246" spans="1:15" x14ac:dyDescent="0.2">
      <c r="A246"/>
      <c r="B246"/>
      <c r="C246"/>
      <c r="F246"/>
      <c r="G246"/>
      <c r="M246"/>
      <c r="N246"/>
      <c r="O246"/>
    </row>
    <row r="247" spans="1:15" x14ac:dyDescent="0.2">
      <c r="A247"/>
      <c r="B247"/>
      <c r="C247"/>
      <c r="F247"/>
      <c r="G247"/>
      <c r="H247"/>
      <c r="I247"/>
      <c r="L247"/>
      <c r="M247"/>
      <c r="N247"/>
      <c r="O247"/>
    </row>
    <row r="248" spans="1:15" x14ac:dyDescent="0.2">
      <c r="A248"/>
      <c r="B248"/>
      <c r="C248"/>
      <c r="F248"/>
      <c r="G248"/>
      <c r="L248"/>
      <c r="M248"/>
      <c r="N248"/>
      <c r="O248"/>
    </row>
    <row r="249" spans="1:15" x14ac:dyDescent="0.2">
      <c r="A249"/>
      <c r="B249"/>
      <c r="C249"/>
      <c r="F249"/>
      <c r="G249"/>
      <c r="H249"/>
      <c r="I249"/>
      <c r="L249"/>
      <c r="M249"/>
      <c r="N249"/>
      <c r="O249"/>
    </row>
    <row r="250" spans="1:15" x14ac:dyDescent="0.2">
      <c r="A250"/>
      <c r="B250"/>
      <c r="C250"/>
      <c r="F250"/>
      <c r="G250"/>
      <c r="H250"/>
      <c r="I250"/>
      <c r="L250"/>
      <c r="M250"/>
      <c r="N250"/>
      <c r="O250"/>
    </row>
    <row r="251" spans="1:15" x14ac:dyDescent="0.2">
      <c r="A251"/>
      <c r="B251"/>
      <c r="C251"/>
      <c r="F251"/>
      <c r="G251"/>
      <c r="H251"/>
      <c r="I251"/>
      <c r="L251"/>
      <c r="M251"/>
      <c r="N251"/>
      <c r="O251"/>
    </row>
    <row r="252" spans="1:15" x14ac:dyDescent="0.2">
      <c r="A252"/>
      <c r="B252"/>
      <c r="C252"/>
      <c r="F252"/>
      <c r="G252"/>
      <c r="H252"/>
      <c r="J252"/>
      <c r="K252"/>
      <c r="L252"/>
      <c r="M252"/>
      <c r="N252"/>
      <c r="O252"/>
    </row>
    <row r="253" spans="1:15" x14ac:dyDescent="0.2">
      <c r="A253"/>
      <c r="B253"/>
      <c r="C253"/>
      <c r="F253"/>
      <c r="G253"/>
      <c r="L253"/>
      <c r="M253"/>
      <c r="N253"/>
      <c r="O253"/>
    </row>
    <row r="254" spans="1:15" x14ac:dyDescent="0.2">
      <c r="A254"/>
      <c r="B254"/>
      <c r="C254"/>
      <c r="F254"/>
      <c r="G254"/>
      <c r="I254"/>
      <c r="L254"/>
      <c r="M254"/>
      <c r="N254"/>
      <c r="O254"/>
    </row>
    <row r="255" spans="1:15" x14ac:dyDescent="0.2">
      <c r="A255"/>
      <c r="B255"/>
      <c r="C255"/>
      <c r="F255"/>
      <c r="G255"/>
      <c r="H255"/>
      <c r="I255"/>
      <c r="L255"/>
      <c r="N255"/>
      <c r="O255"/>
    </row>
    <row r="256" spans="1:15" x14ac:dyDescent="0.2">
      <c r="A256"/>
      <c r="B256"/>
      <c r="C256"/>
      <c r="F256"/>
      <c r="G256"/>
      <c r="H256"/>
      <c r="J256"/>
      <c r="K256"/>
      <c r="L256"/>
      <c r="M256"/>
      <c r="N256"/>
      <c r="O256"/>
    </row>
    <row r="257" spans="1:15" x14ac:dyDescent="0.2">
      <c r="A257"/>
      <c r="B257"/>
      <c r="C257"/>
      <c r="F257"/>
      <c r="G257"/>
      <c r="L257"/>
      <c r="M257"/>
      <c r="N257"/>
      <c r="O257"/>
    </row>
    <row r="258" spans="1:15" x14ac:dyDescent="0.2">
      <c r="A258"/>
      <c r="B258"/>
      <c r="C258"/>
      <c r="F258"/>
      <c r="G258"/>
      <c r="H258"/>
      <c r="I258"/>
      <c r="L258"/>
      <c r="M258"/>
      <c r="N258"/>
      <c r="O258"/>
    </row>
    <row r="259" spans="1:15" x14ac:dyDescent="0.2">
      <c r="A259"/>
      <c r="B259"/>
      <c r="C259"/>
      <c r="F259"/>
      <c r="G259"/>
      <c r="I259"/>
      <c r="L259"/>
      <c r="M259"/>
      <c r="N259"/>
      <c r="O259"/>
    </row>
    <row r="260" spans="1:15" x14ac:dyDescent="0.2">
      <c r="A260"/>
      <c r="B260"/>
      <c r="C260"/>
      <c r="F260"/>
      <c r="G260"/>
      <c r="H260"/>
      <c r="J260"/>
      <c r="K260"/>
      <c r="L260"/>
      <c r="M260"/>
      <c r="N260"/>
      <c r="O260"/>
    </row>
    <row r="261" spans="1:15" x14ac:dyDescent="0.2">
      <c r="A261"/>
      <c r="B261"/>
      <c r="C261"/>
      <c r="F261"/>
      <c r="G261"/>
      <c r="J261"/>
      <c r="L261"/>
      <c r="M261"/>
      <c r="N261"/>
      <c r="O261"/>
    </row>
    <row r="262" spans="1:15" x14ac:dyDescent="0.2">
      <c r="A262"/>
      <c r="B262"/>
      <c r="C262"/>
      <c r="F262"/>
      <c r="G262"/>
      <c r="I262"/>
      <c r="L262"/>
      <c r="M262"/>
      <c r="N262"/>
      <c r="O262"/>
    </row>
    <row r="263" spans="1:15" x14ac:dyDescent="0.2">
      <c r="A263"/>
      <c r="B263"/>
      <c r="C263"/>
      <c r="F263"/>
      <c r="G263"/>
      <c r="I263"/>
      <c r="L263"/>
      <c r="M263"/>
      <c r="N263"/>
      <c r="O263"/>
    </row>
    <row r="264" spans="1:15" x14ac:dyDescent="0.2">
      <c r="A264"/>
      <c r="B264"/>
      <c r="C264"/>
      <c r="F264"/>
      <c r="G264"/>
      <c r="L264"/>
      <c r="M264"/>
      <c r="N264"/>
      <c r="O264"/>
    </row>
    <row r="265" spans="1:15" x14ac:dyDescent="0.2">
      <c r="A265"/>
      <c r="B265"/>
      <c r="C265"/>
      <c r="F265"/>
      <c r="G265"/>
      <c r="H265"/>
      <c r="I265"/>
      <c r="L265"/>
      <c r="M265"/>
      <c r="N265"/>
      <c r="O265"/>
    </row>
    <row r="266" spans="1:15" x14ac:dyDescent="0.2">
      <c r="A266"/>
      <c r="B266"/>
      <c r="C266"/>
      <c r="F266"/>
      <c r="G266"/>
      <c r="I266"/>
      <c r="L266"/>
      <c r="M266"/>
      <c r="N266"/>
      <c r="O266"/>
    </row>
    <row r="267" spans="1:15" x14ac:dyDescent="0.2">
      <c r="A267"/>
      <c r="B267"/>
      <c r="C267"/>
      <c r="F267"/>
      <c r="G267"/>
      <c r="L267"/>
      <c r="M267"/>
      <c r="N267"/>
      <c r="O267"/>
    </row>
    <row r="268" spans="1:15" x14ac:dyDescent="0.2">
      <c r="A268"/>
      <c r="B268"/>
      <c r="C268"/>
      <c r="F268"/>
      <c r="G268"/>
      <c r="H268"/>
      <c r="I268"/>
      <c r="L268"/>
      <c r="M268"/>
      <c r="N268"/>
      <c r="O268"/>
    </row>
    <row r="269" spans="1:15" x14ac:dyDescent="0.2">
      <c r="A269"/>
      <c r="B269"/>
      <c r="C269"/>
      <c r="F269"/>
      <c r="G269"/>
      <c r="H269"/>
      <c r="I269"/>
      <c r="L269"/>
      <c r="M269"/>
      <c r="N269"/>
      <c r="O269"/>
    </row>
    <row r="270" spans="1:15" x14ac:dyDescent="0.2">
      <c r="A270"/>
      <c r="B270"/>
      <c r="C270"/>
      <c r="F270"/>
      <c r="G270"/>
      <c r="I270"/>
      <c r="L270"/>
      <c r="M270"/>
      <c r="N270"/>
      <c r="O270"/>
    </row>
    <row r="271" spans="1:15" x14ac:dyDescent="0.2">
      <c r="A271"/>
      <c r="B271"/>
      <c r="C271"/>
      <c r="F271"/>
      <c r="G271"/>
      <c r="I271"/>
      <c r="L271"/>
      <c r="M271"/>
      <c r="N271"/>
      <c r="O271"/>
    </row>
    <row r="272" spans="1:15" x14ac:dyDescent="0.2">
      <c r="A272"/>
      <c r="B272"/>
      <c r="C272"/>
      <c r="F272"/>
      <c r="G272"/>
      <c r="H272"/>
      <c r="I272"/>
      <c r="L272"/>
      <c r="M272"/>
      <c r="N272"/>
      <c r="O272"/>
    </row>
    <row r="273" spans="1:15" x14ac:dyDescent="0.2">
      <c r="A273"/>
      <c r="B273"/>
      <c r="C273"/>
      <c r="F273"/>
      <c r="G273"/>
      <c r="H273"/>
      <c r="I273"/>
      <c r="L273"/>
      <c r="M273"/>
      <c r="N273"/>
      <c r="O273"/>
    </row>
    <row r="274" spans="1:15" x14ac:dyDescent="0.2">
      <c r="A274"/>
      <c r="B274"/>
      <c r="C274"/>
      <c r="F274"/>
      <c r="G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H277"/>
      <c r="I277"/>
      <c r="L277"/>
      <c r="M277"/>
      <c r="N277"/>
      <c r="O277"/>
    </row>
    <row r="278" spans="1:15" x14ac:dyDescent="0.2">
      <c r="A278"/>
      <c r="B278"/>
      <c r="C278"/>
      <c r="F278"/>
      <c r="G278"/>
      <c r="N278"/>
      <c r="O278"/>
    </row>
    <row r="279" spans="1:15" x14ac:dyDescent="0.2">
      <c r="A279"/>
      <c r="B279"/>
      <c r="C279"/>
      <c r="F279"/>
      <c r="G279"/>
      <c r="I279"/>
      <c r="L279"/>
      <c r="M279"/>
      <c r="N279"/>
      <c r="O279"/>
    </row>
    <row r="280" spans="1:15" x14ac:dyDescent="0.2">
      <c r="A280"/>
      <c r="B280"/>
      <c r="C280"/>
      <c r="F280"/>
      <c r="G280"/>
      <c r="H280"/>
      <c r="I280"/>
      <c r="L280"/>
      <c r="M280"/>
      <c r="N280"/>
      <c r="O280"/>
    </row>
    <row r="281" spans="1:15" x14ac:dyDescent="0.2">
      <c r="A281"/>
      <c r="B281"/>
      <c r="C281"/>
      <c r="F281"/>
      <c r="G281"/>
      <c r="H281"/>
      <c r="I281"/>
      <c r="L281"/>
      <c r="M281"/>
      <c r="N281"/>
      <c r="O281"/>
    </row>
    <row r="282" spans="1:15" x14ac:dyDescent="0.2">
      <c r="A282"/>
      <c r="B282"/>
      <c r="C282"/>
      <c r="F282"/>
      <c r="G282"/>
      <c r="I282"/>
      <c r="L282"/>
      <c r="M282"/>
      <c r="N282"/>
      <c r="O282"/>
    </row>
    <row r="283" spans="1:15" x14ac:dyDescent="0.2">
      <c r="A283"/>
      <c r="B283"/>
      <c r="C283"/>
      <c r="F283"/>
      <c r="G283"/>
      <c r="H283"/>
      <c r="I283"/>
      <c r="L283"/>
      <c r="M283"/>
      <c r="N283"/>
      <c r="O283"/>
    </row>
    <row r="284" spans="1:15" x14ac:dyDescent="0.2">
      <c r="A284"/>
      <c r="B284"/>
      <c r="C284"/>
      <c r="F284"/>
      <c r="G284"/>
      <c r="I284"/>
      <c r="L284"/>
      <c r="M284"/>
      <c r="N284"/>
      <c r="O284"/>
    </row>
    <row r="285" spans="1:15" x14ac:dyDescent="0.2">
      <c r="A285"/>
      <c r="B285"/>
      <c r="C285"/>
      <c r="F285"/>
      <c r="G285"/>
      <c r="H285"/>
      <c r="I285"/>
      <c r="L285"/>
      <c r="M285"/>
      <c r="N285"/>
      <c r="O285"/>
    </row>
    <row r="286" spans="1:15" x14ac:dyDescent="0.2">
      <c r="A286"/>
      <c r="B286"/>
      <c r="C286"/>
      <c r="F286"/>
      <c r="G286"/>
      <c r="I286"/>
      <c r="L286"/>
      <c r="M286"/>
      <c r="N286"/>
      <c r="O286"/>
    </row>
    <row r="287" spans="1:15" x14ac:dyDescent="0.2">
      <c r="A287"/>
      <c r="B287"/>
      <c r="C287"/>
      <c r="F287"/>
      <c r="G287"/>
      <c r="I287"/>
      <c r="L287"/>
      <c r="M287"/>
      <c r="N287"/>
      <c r="O287"/>
    </row>
    <row r="288" spans="1:15" x14ac:dyDescent="0.2">
      <c r="A288"/>
      <c r="B288"/>
      <c r="C288"/>
      <c r="F288"/>
      <c r="G288"/>
      <c r="H288"/>
      <c r="I288"/>
      <c r="L288"/>
      <c r="M288"/>
      <c r="N288"/>
      <c r="O288"/>
    </row>
    <row r="289" spans="1:15" x14ac:dyDescent="0.2">
      <c r="A289"/>
      <c r="B289"/>
      <c r="C289"/>
      <c r="F289"/>
      <c r="G289"/>
      <c r="H289"/>
      <c r="I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H292"/>
      <c r="I292"/>
      <c r="L292"/>
      <c r="M292"/>
      <c r="N292"/>
      <c r="O292"/>
    </row>
    <row r="293" spans="1:15" x14ac:dyDescent="0.2">
      <c r="A293"/>
      <c r="B293"/>
      <c r="C293"/>
      <c r="F293"/>
      <c r="G293"/>
      <c r="I293"/>
      <c r="L293"/>
      <c r="M293"/>
      <c r="N293"/>
      <c r="O293"/>
    </row>
    <row r="294" spans="1:15" x14ac:dyDescent="0.2">
      <c r="A294"/>
      <c r="B294"/>
      <c r="C294"/>
      <c r="F294"/>
      <c r="G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N313"/>
      <c r="O313"/>
    </row>
    <row r="314" spans="1:15" x14ac:dyDescent="0.2">
      <c r="A314"/>
      <c r="B314"/>
      <c r="C314"/>
      <c r="F314"/>
      <c r="G314"/>
      <c r="H314"/>
      <c r="I314"/>
      <c r="L314"/>
      <c r="M314"/>
      <c r="N314"/>
      <c r="O314"/>
    </row>
    <row r="315" spans="1:15" x14ac:dyDescent="0.2">
      <c r="A315"/>
      <c r="B315"/>
      <c r="C315"/>
      <c r="F315"/>
      <c r="G315"/>
      <c r="H315"/>
      <c r="I315"/>
      <c r="L315"/>
      <c r="N315"/>
      <c r="O315"/>
    </row>
    <row r="316" spans="1:15" x14ac:dyDescent="0.2">
      <c r="A316"/>
      <c r="B316"/>
      <c r="C316"/>
      <c r="F316"/>
      <c r="G316"/>
      <c r="H316"/>
      <c r="I316"/>
      <c r="L316"/>
      <c r="M316"/>
      <c r="N316"/>
      <c r="O316"/>
    </row>
    <row r="317" spans="1:15" x14ac:dyDescent="0.2">
      <c r="A317"/>
      <c r="B317"/>
      <c r="C317"/>
      <c r="F317"/>
      <c r="G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I333"/>
      <c r="L333"/>
      <c r="M333"/>
      <c r="N333"/>
      <c r="O333"/>
    </row>
    <row r="334" spans="1:15" x14ac:dyDescent="0.2">
      <c r="A334"/>
      <c r="B334"/>
      <c r="C334"/>
      <c r="F334"/>
      <c r="G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H338"/>
      <c r="I338"/>
      <c r="L338"/>
      <c r="N338"/>
      <c r="O338"/>
    </row>
    <row r="339" spans="1:15" x14ac:dyDescent="0.2">
      <c r="A339"/>
      <c r="B339"/>
      <c r="C339"/>
      <c r="F339"/>
      <c r="G339"/>
      <c r="H339"/>
      <c r="I339"/>
      <c r="L339"/>
      <c r="M339"/>
      <c r="N339"/>
      <c r="O339"/>
    </row>
    <row r="340" spans="1:15" x14ac:dyDescent="0.2">
      <c r="A340"/>
      <c r="B340"/>
      <c r="C340"/>
      <c r="F340"/>
      <c r="G340"/>
      <c r="J340"/>
      <c r="K340"/>
      <c r="L340"/>
      <c r="M340"/>
      <c r="N340"/>
      <c r="O340"/>
    </row>
    <row r="341" spans="1:15" x14ac:dyDescent="0.2">
      <c r="A341"/>
      <c r="B341"/>
      <c r="C341"/>
      <c r="F341"/>
      <c r="G341"/>
      <c r="H341"/>
      <c r="J341"/>
      <c r="K341"/>
      <c r="L341"/>
      <c r="M341"/>
      <c r="N341"/>
      <c r="O341"/>
    </row>
    <row r="342" spans="1:15" x14ac:dyDescent="0.2">
      <c r="A342"/>
      <c r="B342"/>
      <c r="C342"/>
      <c r="F342"/>
      <c r="G342"/>
      <c r="M342"/>
      <c r="N342"/>
      <c r="O342"/>
    </row>
    <row r="343" spans="1:15" x14ac:dyDescent="0.2">
      <c r="A343"/>
      <c r="B343"/>
      <c r="C343"/>
      <c r="F343"/>
      <c r="G343"/>
      <c r="H343"/>
      <c r="I343"/>
      <c r="L343"/>
      <c r="M343"/>
      <c r="N343"/>
      <c r="O343"/>
    </row>
    <row r="344" spans="1:15" x14ac:dyDescent="0.2">
      <c r="A344"/>
      <c r="B344"/>
      <c r="C344"/>
      <c r="F344"/>
      <c r="G344"/>
      <c r="I344"/>
      <c r="L344"/>
      <c r="M344"/>
      <c r="N344"/>
      <c r="O344"/>
    </row>
    <row r="345" spans="1:15" x14ac:dyDescent="0.2">
      <c r="A345"/>
      <c r="B345"/>
      <c r="C345"/>
      <c r="F345"/>
      <c r="G345"/>
      <c r="H345"/>
      <c r="I345"/>
      <c r="L345"/>
      <c r="M345"/>
      <c r="N345"/>
      <c r="O345"/>
    </row>
    <row r="346" spans="1:15" x14ac:dyDescent="0.2">
      <c r="A346"/>
      <c r="B346"/>
      <c r="C346"/>
      <c r="F346"/>
      <c r="G346"/>
      <c r="H346"/>
      <c r="J346"/>
      <c r="K346"/>
      <c r="L346"/>
      <c r="M346"/>
      <c r="N346"/>
      <c r="O346"/>
    </row>
    <row r="347" spans="1:15" x14ac:dyDescent="0.2">
      <c r="A347"/>
      <c r="B347"/>
      <c r="C347"/>
      <c r="F347"/>
      <c r="G347"/>
      <c r="M347"/>
      <c r="N347"/>
      <c r="O347"/>
    </row>
    <row r="348" spans="1:15" x14ac:dyDescent="0.2">
      <c r="A348"/>
      <c r="B348"/>
      <c r="C348"/>
      <c r="F348"/>
      <c r="G348"/>
      <c r="L348"/>
      <c r="M348"/>
      <c r="N348"/>
      <c r="O348"/>
    </row>
    <row r="349" spans="1:15" x14ac:dyDescent="0.2">
      <c r="A349"/>
      <c r="B349"/>
      <c r="C349"/>
      <c r="F349"/>
      <c r="G349"/>
      <c r="H349"/>
      <c r="I349"/>
      <c r="J349"/>
      <c r="K349"/>
      <c r="L349"/>
      <c r="M349"/>
      <c r="N349"/>
      <c r="O349"/>
    </row>
    <row r="350" spans="1:15" x14ac:dyDescent="0.2">
      <c r="A350"/>
      <c r="B350"/>
      <c r="C350"/>
      <c r="F350"/>
      <c r="G350"/>
      <c r="H350"/>
      <c r="I350"/>
      <c r="L350"/>
      <c r="M350"/>
      <c r="N350"/>
      <c r="O350"/>
    </row>
    <row r="351" spans="1:15" x14ac:dyDescent="0.2">
      <c r="A351"/>
      <c r="B351"/>
      <c r="C351"/>
      <c r="F351"/>
      <c r="G351"/>
      <c r="H351"/>
      <c r="I351"/>
      <c r="L351"/>
      <c r="M351"/>
      <c r="N351"/>
      <c r="O351"/>
    </row>
    <row r="352" spans="1:15" x14ac:dyDescent="0.2">
      <c r="A352"/>
      <c r="B352"/>
      <c r="C352"/>
      <c r="F352"/>
      <c r="G352"/>
      <c r="H352"/>
      <c r="I352"/>
      <c r="L352"/>
      <c r="M352"/>
      <c r="N352"/>
      <c r="O352"/>
    </row>
    <row r="353" spans="1:15" x14ac:dyDescent="0.2">
      <c r="A353"/>
      <c r="B353"/>
      <c r="C353"/>
      <c r="F353"/>
      <c r="G353"/>
      <c r="I353"/>
      <c r="L353"/>
      <c r="M353"/>
      <c r="N353"/>
      <c r="O353"/>
    </row>
    <row r="354" spans="1:15" x14ac:dyDescent="0.2">
      <c r="A354"/>
      <c r="B354"/>
      <c r="C354"/>
      <c r="F354"/>
      <c r="G354"/>
      <c r="I354"/>
      <c r="L354"/>
      <c r="M354"/>
      <c r="N354"/>
      <c r="O354"/>
    </row>
    <row r="355" spans="1:15" x14ac:dyDescent="0.2">
      <c r="A355"/>
      <c r="B355"/>
      <c r="C355"/>
      <c r="F355"/>
      <c r="G355"/>
      <c r="J355"/>
      <c r="L355"/>
      <c r="M355"/>
      <c r="N355"/>
      <c r="O355"/>
    </row>
    <row r="356" spans="1:15" x14ac:dyDescent="0.2">
      <c r="A356"/>
      <c r="B356"/>
      <c r="C356"/>
      <c r="F356"/>
      <c r="G356"/>
      <c r="H356"/>
      <c r="I356"/>
      <c r="L356"/>
      <c r="M356"/>
      <c r="N356"/>
      <c r="O356"/>
    </row>
    <row r="357" spans="1:15" x14ac:dyDescent="0.2">
      <c r="A357"/>
      <c r="B357"/>
      <c r="C357"/>
      <c r="F357"/>
      <c r="G357"/>
      <c r="I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H361"/>
      <c r="I361"/>
      <c r="L361"/>
      <c r="M361"/>
      <c r="N361"/>
      <c r="O361"/>
    </row>
    <row r="362" spans="1:15" x14ac:dyDescent="0.2">
      <c r="A362"/>
      <c r="B362"/>
      <c r="C362"/>
      <c r="F362"/>
      <c r="G362"/>
      <c r="M362"/>
      <c r="N362"/>
      <c r="O362"/>
    </row>
    <row r="363" spans="1:15" x14ac:dyDescent="0.2">
      <c r="A363"/>
      <c r="B363"/>
      <c r="C363"/>
      <c r="F363"/>
      <c r="G363"/>
      <c r="H363"/>
      <c r="I363"/>
      <c r="L363"/>
      <c r="M363"/>
      <c r="N363"/>
      <c r="O363"/>
    </row>
    <row r="364" spans="1:15" x14ac:dyDescent="0.2">
      <c r="A364"/>
      <c r="B364"/>
      <c r="C364"/>
      <c r="F364"/>
      <c r="G364"/>
      <c r="H364"/>
      <c r="I364"/>
      <c r="L364"/>
      <c r="M364"/>
      <c r="N364"/>
      <c r="O364"/>
    </row>
    <row r="365" spans="1:15" x14ac:dyDescent="0.2">
      <c r="A365"/>
      <c r="B365"/>
      <c r="C365"/>
      <c r="F365"/>
      <c r="G365"/>
      <c r="H365"/>
      <c r="I365"/>
      <c r="L365"/>
      <c r="N365"/>
      <c r="O365"/>
    </row>
    <row r="366" spans="1:15" x14ac:dyDescent="0.2">
      <c r="A366"/>
      <c r="B366"/>
      <c r="C366"/>
      <c r="F366"/>
      <c r="G366"/>
      <c r="H366"/>
      <c r="I366"/>
      <c r="L366"/>
      <c r="M366"/>
      <c r="N366"/>
      <c r="O366"/>
    </row>
    <row r="367" spans="1:15" x14ac:dyDescent="0.2">
      <c r="A367"/>
      <c r="B367"/>
      <c r="C367"/>
      <c r="F367"/>
      <c r="G367"/>
      <c r="L367"/>
      <c r="M367"/>
      <c r="N367"/>
      <c r="O367"/>
    </row>
    <row r="368" spans="1:15" x14ac:dyDescent="0.2">
      <c r="A368"/>
      <c r="B368"/>
      <c r="C368"/>
      <c r="F368"/>
      <c r="G368"/>
      <c r="I368"/>
      <c r="L368"/>
      <c r="M368"/>
      <c r="N368"/>
      <c r="O368"/>
    </row>
    <row r="369" spans="1:15" x14ac:dyDescent="0.2">
      <c r="A369"/>
      <c r="B369"/>
      <c r="C369"/>
      <c r="F369"/>
      <c r="G369"/>
      <c r="H369"/>
      <c r="I369"/>
      <c r="L369"/>
      <c r="N369"/>
      <c r="O369"/>
    </row>
    <row r="370" spans="1:15" x14ac:dyDescent="0.2">
      <c r="A370"/>
      <c r="B370"/>
      <c r="C370"/>
      <c r="F370"/>
      <c r="G370"/>
      <c r="I370"/>
      <c r="L370"/>
      <c r="M370"/>
      <c r="N370"/>
      <c r="O370"/>
    </row>
    <row r="371" spans="1:15" x14ac:dyDescent="0.2">
      <c r="A371"/>
      <c r="B371"/>
      <c r="C371"/>
      <c r="F371"/>
      <c r="G371"/>
      <c r="L371"/>
      <c r="M371"/>
      <c r="N371"/>
      <c r="O371"/>
    </row>
    <row r="372" spans="1:15" x14ac:dyDescent="0.2">
      <c r="A372"/>
      <c r="B372"/>
      <c r="C372"/>
      <c r="F372"/>
      <c r="G372"/>
      <c r="H372"/>
      <c r="I372"/>
      <c r="L372"/>
      <c r="M372"/>
      <c r="N372"/>
      <c r="O372"/>
    </row>
    <row r="373" spans="1:15" x14ac:dyDescent="0.2">
      <c r="A373"/>
      <c r="B373"/>
      <c r="C373"/>
      <c r="F373"/>
      <c r="G373"/>
      <c r="H373"/>
      <c r="I373"/>
      <c r="L373"/>
      <c r="M373"/>
      <c r="N373"/>
      <c r="O373"/>
    </row>
    <row r="374" spans="1:15" x14ac:dyDescent="0.2">
      <c r="A374"/>
      <c r="B374"/>
      <c r="C374"/>
      <c r="F374"/>
      <c r="G374"/>
      <c r="H374"/>
      <c r="I374"/>
      <c r="L374"/>
      <c r="M374"/>
      <c r="N374"/>
      <c r="O374"/>
    </row>
    <row r="375" spans="1:15" x14ac:dyDescent="0.2">
      <c r="A375"/>
      <c r="B375"/>
      <c r="C375"/>
      <c r="F375"/>
      <c r="G375"/>
      <c r="H375"/>
      <c r="J375"/>
      <c r="K375"/>
      <c r="M375"/>
      <c r="N375"/>
      <c r="O375"/>
    </row>
    <row r="376" spans="1:15" x14ac:dyDescent="0.2">
      <c r="A376"/>
      <c r="B376"/>
      <c r="C376"/>
      <c r="F376"/>
      <c r="G376"/>
      <c r="I376"/>
      <c r="L376"/>
      <c r="M376"/>
      <c r="N376"/>
      <c r="O376"/>
    </row>
    <row r="377" spans="1:15" x14ac:dyDescent="0.2">
      <c r="A377"/>
      <c r="B377"/>
      <c r="C377"/>
      <c r="F377"/>
      <c r="G377"/>
      <c r="I377"/>
      <c r="L377"/>
      <c r="M377"/>
      <c r="N377"/>
      <c r="O377"/>
    </row>
    <row r="378" spans="1:15" x14ac:dyDescent="0.2">
      <c r="A378"/>
      <c r="B378"/>
      <c r="C378"/>
      <c r="F378"/>
      <c r="G378"/>
      <c r="L378"/>
      <c r="N378"/>
      <c r="O378"/>
    </row>
    <row r="379" spans="1:15" x14ac:dyDescent="0.2">
      <c r="A379"/>
      <c r="B379"/>
      <c r="C379"/>
      <c r="F379"/>
      <c r="G379"/>
      <c r="H379"/>
      <c r="I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L382"/>
      <c r="M382"/>
      <c r="N382"/>
      <c r="O382"/>
    </row>
    <row r="383" spans="1:15" x14ac:dyDescent="0.2">
      <c r="A383"/>
      <c r="B383"/>
      <c r="C383"/>
      <c r="F383"/>
      <c r="G383"/>
      <c r="J383"/>
      <c r="K383"/>
      <c r="L383"/>
      <c r="M383"/>
      <c r="N383"/>
      <c r="O383"/>
    </row>
    <row r="384" spans="1:15" x14ac:dyDescent="0.2">
      <c r="A384"/>
      <c r="B384"/>
      <c r="C384"/>
      <c r="F384"/>
      <c r="G384"/>
      <c r="I384"/>
      <c r="L384"/>
      <c r="M384"/>
      <c r="N384"/>
      <c r="O384"/>
    </row>
    <row r="385" spans="1:15" x14ac:dyDescent="0.2">
      <c r="A385"/>
      <c r="B385"/>
      <c r="C385"/>
      <c r="F385"/>
      <c r="G385"/>
      <c r="I385"/>
      <c r="L385"/>
      <c r="M385"/>
      <c r="N385"/>
      <c r="O385"/>
    </row>
    <row r="386" spans="1:15" x14ac:dyDescent="0.2">
      <c r="A386"/>
      <c r="B386"/>
      <c r="C386"/>
      <c r="F386"/>
      <c r="G386"/>
      <c r="H386"/>
      <c r="I386"/>
      <c r="L386"/>
      <c r="M386"/>
      <c r="N386"/>
      <c r="O386"/>
    </row>
    <row r="387" spans="1:15" x14ac:dyDescent="0.2">
      <c r="A387"/>
      <c r="B387"/>
      <c r="C387"/>
      <c r="F387"/>
      <c r="G387"/>
      <c r="H387"/>
      <c r="I387"/>
      <c r="L387"/>
      <c r="M387"/>
      <c r="N387"/>
      <c r="O387"/>
    </row>
    <row r="388" spans="1:15" x14ac:dyDescent="0.2">
      <c r="A388"/>
      <c r="B388"/>
      <c r="C388"/>
      <c r="F388"/>
      <c r="G388"/>
      <c r="H388"/>
      <c r="I388"/>
      <c r="L388"/>
      <c r="M388"/>
      <c r="N388"/>
      <c r="O388"/>
    </row>
    <row r="389" spans="1:15" x14ac:dyDescent="0.2">
      <c r="A389"/>
      <c r="B389"/>
      <c r="C389"/>
      <c r="F389"/>
      <c r="G389"/>
      <c r="M389"/>
      <c r="N389"/>
      <c r="O389"/>
    </row>
    <row r="390" spans="1:15" x14ac:dyDescent="0.2">
      <c r="A390"/>
      <c r="B390"/>
      <c r="C390"/>
      <c r="F390"/>
      <c r="G390"/>
      <c r="J390"/>
      <c r="K390"/>
      <c r="L390"/>
      <c r="M390"/>
      <c r="N390"/>
      <c r="O390"/>
    </row>
    <row r="391" spans="1:15" x14ac:dyDescent="0.2">
      <c r="A391"/>
      <c r="B391"/>
      <c r="C391"/>
      <c r="F391"/>
      <c r="G391"/>
      <c r="H391"/>
      <c r="I391"/>
      <c r="L391"/>
      <c r="M391"/>
      <c r="N391"/>
      <c r="O391"/>
    </row>
    <row r="392" spans="1:15" x14ac:dyDescent="0.2">
      <c r="A392"/>
      <c r="B392"/>
      <c r="C392"/>
      <c r="F392"/>
      <c r="G392"/>
      <c r="I392"/>
      <c r="L392"/>
      <c r="M392"/>
      <c r="N392"/>
      <c r="O392"/>
    </row>
    <row r="393" spans="1:15" x14ac:dyDescent="0.2">
      <c r="A393"/>
      <c r="B393"/>
      <c r="C393"/>
      <c r="F393"/>
      <c r="G393"/>
      <c r="H393"/>
      <c r="I393"/>
      <c r="L393"/>
      <c r="M393"/>
      <c r="N393"/>
      <c r="O393"/>
    </row>
    <row r="394" spans="1:15" x14ac:dyDescent="0.2">
      <c r="A394"/>
      <c r="B394"/>
      <c r="C394"/>
      <c r="F394"/>
      <c r="G394"/>
      <c r="I394"/>
      <c r="L394"/>
      <c r="M394"/>
      <c r="N394"/>
      <c r="O394"/>
    </row>
    <row r="395" spans="1:15" x14ac:dyDescent="0.2">
      <c r="A395"/>
      <c r="B395"/>
      <c r="C395"/>
      <c r="F395"/>
      <c r="G395"/>
      <c r="J395"/>
      <c r="K395"/>
      <c r="L395"/>
      <c r="M395"/>
      <c r="N395"/>
      <c r="O395"/>
    </row>
    <row r="396" spans="1:15" x14ac:dyDescent="0.2">
      <c r="A396"/>
      <c r="B396"/>
      <c r="C396"/>
      <c r="F396"/>
      <c r="G396"/>
      <c r="I396"/>
      <c r="L396"/>
      <c r="M396"/>
      <c r="N396"/>
      <c r="O396"/>
    </row>
    <row r="397" spans="1:15" x14ac:dyDescent="0.2">
      <c r="A397"/>
      <c r="B397"/>
      <c r="C397"/>
      <c r="F397"/>
      <c r="G397"/>
      <c r="H397"/>
      <c r="I397"/>
      <c r="L397"/>
      <c r="N397"/>
      <c r="O397"/>
    </row>
    <row r="398" spans="1:15" x14ac:dyDescent="0.2">
      <c r="A398"/>
      <c r="B398"/>
      <c r="C398"/>
      <c r="F398"/>
      <c r="G398"/>
      <c r="H398"/>
      <c r="I398"/>
      <c r="L398"/>
      <c r="M398"/>
      <c r="N398"/>
      <c r="O398"/>
    </row>
    <row r="399" spans="1:15" x14ac:dyDescent="0.2">
      <c r="A399"/>
      <c r="B399"/>
      <c r="C399"/>
      <c r="F399"/>
      <c r="G399"/>
      <c r="H399"/>
      <c r="I399"/>
      <c r="L399"/>
      <c r="M399"/>
      <c r="N399"/>
      <c r="O399"/>
    </row>
    <row r="400" spans="1:15" x14ac:dyDescent="0.2">
      <c r="A400"/>
      <c r="B400"/>
      <c r="C400"/>
      <c r="F400"/>
      <c r="G400"/>
      <c r="L400"/>
      <c r="M400"/>
      <c r="N400"/>
      <c r="O400"/>
    </row>
    <row r="401" spans="1:15" x14ac:dyDescent="0.2">
      <c r="A401"/>
      <c r="B401"/>
      <c r="C401"/>
      <c r="F401"/>
      <c r="G401"/>
      <c r="I401"/>
      <c r="L401"/>
      <c r="M401"/>
      <c r="N401"/>
      <c r="O401"/>
    </row>
    <row r="402" spans="1:15" x14ac:dyDescent="0.2">
      <c r="A402"/>
      <c r="B402"/>
      <c r="C402"/>
      <c r="F402"/>
      <c r="G402"/>
      <c r="H402"/>
      <c r="I402"/>
      <c r="L402"/>
      <c r="M402"/>
      <c r="N402"/>
      <c r="O402"/>
    </row>
    <row r="403" spans="1:15" x14ac:dyDescent="0.2">
      <c r="A403"/>
      <c r="B403"/>
      <c r="C403"/>
      <c r="F403"/>
      <c r="G403"/>
      <c r="M403"/>
      <c r="N403"/>
      <c r="O403"/>
    </row>
    <row r="404" spans="1:15" x14ac:dyDescent="0.2">
      <c r="A404"/>
      <c r="B404"/>
      <c r="C404"/>
      <c r="F404"/>
      <c r="G404"/>
      <c r="H404"/>
      <c r="J404"/>
      <c r="K404"/>
      <c r="L404"/>
      <c r="M404"/>
      <c r="N404"/>
      <c r="O404"/>
    </row>
    <row r="405" spans="1:15" x14ac:dyDescent="0.2">
      <c r="A405"/>
      <c r="B405"/>
      <c r="C405"/>
      <c r="F405"/>
      <c r="G405"/>
      <c r="H405"/>
      <c r="J405"/>
      <c r="K405"/>
      <c r="L405"/>
      <c r="M405"/>
      <c r="N405"/>
      <c r="O405"/>
    </row>
    <row r="406" spans="1:15" x14ac:dyDescent="0.2">
      <c r="A406"/>
      <c r="B406"/>
      <c r="C406"/>
      <c r="F406"/>
      <c r="G406"/>
      <c r="H406"/>
      <c r="L406"/>
      <c r="M406"/>
      <c r="N406"/>
      <c r="O406"/>
    </row>
    <row r="407" spans="1:15" x14ac:dyDescent="0.2">
      <c r="A407"/>
      <c r="B407"/>
      <c r="C407"/>
      <c r="F407"/>
      <c r="G407"/>
      <c r="J407"/>
      <c r="K407"/>
      <c r="L407"/>
      <c r="M407"/>
      <c r="N407"/>
      <c r="O407"/>
    </row>
    <row r="408" spans="1:15" x14ac:dyDescent="0.2">
      <c r="A408"/>
      <c r="B408"/>
      <c r="C408"/>
      <c r="F408"/>
      <c r="G408"/>
      <c r="H408"/>
      <c r="J408"/>
      <c r="K408"/>
      <c r="L408"/>
      <c r="M408"/>
      <c r="N408"/>
      <c r="O408"/>
    </row>
    <row r="409" spans="1:15" x14ac:dyDescent="0.2">
      <c r="A409"/>
      <c r="B409"/>
      <c r="C409"/>
      <c r="G409"/>
      <c r="M409"/>
      <c r="N409"/>
      <c r="O409"/>
    </row>
    <row r="410" spans="1:15" x14ac:dyDescent="0.2">
      <c r="A410"/>
      <c r="B410"/>
      <c r="C410"/>
      <c r="F410"/>
      <c r="G410"/>
      <c r="H410"/>
      <c r="J410"/>
      <c r="K410"/>
      <c r="L410"/>
      <c r="M410"/>
      <c r="N410"/>
      <c r="O410"/>
    </row>
    <row r="411" spans="1:15" x14ac:dyDescent="0.2">
      <c r="A411"/>
      <c r="B411"/>
      <c r="C411"/>
      <c r="F411"/>
      <c r="G411"/>
      <c r="H411"/>
      <c r="K411"/>
      <c r="L411"/>
      <c r="M411"/>
      <c r="N411"/>
      <c r="O411"/>
    </row>
    <row r="412" spans="1:15" x14ac:dyDescent="0.2">
      <c r="A412"/>
      <c r="B412"/>
      <c r="C412"/>
      <c r="F412"/>
      <c r="G412"/>
      <c r="H412"/>
      <c r="I412"/>
      <c r="L412"/>
      <c r="N412"/>
      <c r="O412"/>
    </row>
    <row r="413" spans="1:15" x14ac:dyDescent="0.2">
      <c r="A413"/>
      <c r="B413"/>
      <c r="C413"/>
      <c r="F413"/>
      <c r="G413"/>
      <c r="J413"/>
      <c r="K413"/>
      <c r="L413"/>
      <c r="M413"/>
      <c r="N413"/>
      <c r="O413"/>
    </row>
    <row r="414" spans="1:15" x14ac:dyDescent="0.2">
      <c r="A414"/>
      <c r="B414"/>
      <c r="C414"/>
      <c r="F414"/>
      <c r="G414"/>
      <c r="H414"/>
      <c r="J414"/>
      <c r="K414"/>
      <c r="L414"/>
      <c r="M414"/>
      <c r="N414"/>
      <c r="O414"/>
    </row>
    <row r="415" spans="1:15" x14ac:dyDescent="0.2">
      <c r="A415"/>
      <c r="B415"/>
      <c r="C415"/>
      <c r="F415"/>
      <c r="G415"/>
      <c r="H415"/>
      <c r="J415"/>
      <c r="K415"/>
      <c r="L415"/>
      <c r="M415"/>
      <c r="N415"/>
      <c r="O415"/>
    </row>
    <row r="416" spans="1:15" x14ac:dyDescent="0.2">
      <c r="A416"/>
      <c r="B416"/>
      <c r="C416"/>
      <c r="F416"/>
      <c r="G416"/>
      <c r="H416"/>
      <c r="J416"/>
      <c r="K416"/>
      <c r="L416"/>
      <c r="M416"/>
      <c r="N416"/>
      <c r="O416"/>
    </row>
    <row r="417" spans="1:15" x14ac:dyDescent="0.2">
      <c r="A417"/>
      <c r="B417"/>
      <c r="C417"/>
      <c r="F417"/>
      <c r="G417"/>
      <c r="H417"/>
      <c r="J417"/>
      <c r="K417"/>
      <c r="L417"/>
      <c r="M417"/>
      <c r="N417"/>
      <c r="O417"/>
    </row>
    <row r="418" spans="1:15" x14ac:dyDescent="0.2">
      <c r="A418"/>
      <c r="B418"/>
      <c r="C418"/>
      <c r="F418"/>
      <c r="G418"/>
      <c r="H418"/>
      <c r="J418"/>
      <c r="K418"/>
      <c r="L418"/>
      <c r="M418"/>
      <c r="N418"/>
      <c r="O418"/>
    </row>
    <row r="419" spans="1:15" x14ac:dyDescent="0.2">
      <c r="A419"/>
      <c r="B419"/>
      <c r="C419"/>
      <c r="F419"/>
      <c r="G419"/>
      <c r="H419"/>
      <c r="I419"/>
      <c r="L419"/>
      <c r="M419"/>
      <c r="N419"/>
      <c r="O419"/>
    </row>
    <row r="420" spans="1:15" x14ac:dyDescent="0.2">
      <c r="A420"/>
      <c r="B420"/>
      <c r="C420"/>
      <c r="F420"/>
      <c r="G420"/>
      <c r="H420"/>
      <c r="I420"/>
      <c r="L420"/>
      <c r="M420"/>
      <c r="N420"/>
      <c r="O420"/>
    </row>
    <row r="421" spans="1:15" x14ac:dyDescent="0.2">
      <c r="A421"/>
      <c r="B421"/>
      <c r="C421"/>
      <c r="F421"/>
      <c r="G421"/>
      <c r="L421"/>
      <c r="M421"/>
      <c r="N421"/>
      <c r="O421"/>
    </row>
    <row r="422" spans="1:15" x14ac:dyDescent="0.2">
      <c r="A422"/>
      <c r="B422"/>
      <c r="C422"/>
      <c r="F422"/>
      <c r="G422"/>
      <c r="I422"/>
      <c r="L422"/>
      <c r="M422"/>
      <c r="N422"/>
      <c r="O422"/>
    </row>
    <row r="423" spans="1:15" x14ac:dyDescent="0.2">
      <c r="A423"/>
      <c r="B423"/>
      <c r="C423"/>
      <c r="F423"/>
      <c r="G423"/>
      <c r="H423"/>
      <c r="I423"/>
      <c r="L423"/>
      <c r="N423"/>
      <c r="O423"/>
    </row>
    <row r="424" spans="1:15" x14ac:dyDescent="0.2">
      <c r="A424"/>
      <c r="B424"/>
      <c r="C424"/>
      <c r="F424"/>
      <c r="G424"/>
      <c r="H424"/>
      <c r="I424"/>
      <c r="L424"/>
      <c r="M424"/>
      <c r="N424"/>
      <c r="O424"/>
    </row>
    <row r="425" spans="1:15" x14ac:dyDescent="0.2">
      <c r="A425"/>
      <c r="B425"/>
      <c r="C425"/>
      <c r="F425"/>
      <c r="G425"/>
      <c r="I425"/>
      <c r="L425"/>
      <c r="M425"/>
      <c r="N425"/>
      <c r="O425"/>
    </row>
    <row r="426" spans="1:15" x14ac:dyDescent="0.2">
      <c r="A426"/>
      <c r="B426"/>
      <c r="C426"/>
      <c r="F426"/>
      <c r="G426"/>
      <c r="H426"/>
      <c r="I426"/>
      <c r="L426"/>
      <c r="M426"/>
      <c r="N426"/>
      <c r="O426"/>
    </row>
    <row r="427" spans="1:15" x14ac:dyDescent="0.2">
      <c r="A427"/>
      <c r="B427"/>
      <c r="C427"/>
      <c r="F427"/>
      <c r="G427"/>
      <c r="H427"/>
      <c r="I427"/>
      <c r="L427"/>
      <c r="M427"/>
      <c r="N427"/>
      <c r="O427"/>
    </row>
    <row r="428" spans="1:15" x14ac:dyDescent="0.2">
      <c r="A428"/>
      <c r="B428"/>
      <c r="C428"/>
      <c r="F428"/>
      <c r="G428"/>
      <c r="H428"/>
      <c r="I428"/>
      <c r="L428"/>
      <c r="N428"/>
      <c r="O428"/>
    </row>
    <row r="429" spans="1:15" x14ac:dyDescent="0.2">
      <c r="A429"/>
      <c r="B429"/>
      <c r="C429"/>
      <c r="F429"/>
      <c r="G429"/>
      <c r="H429"/>
      <c r="I429"/>
      <c r="L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H432"/>
      <c r="I432"/>
      <c r="L432"/>
      <c r="M432"/>
      <c r="N432"/>
      <c r="O432"/>
    </row>
    <row r="433" spans="1:15" x14ac:dyDescent="0.2">
      <c r="A433"/>
      <c r="B433"/>
      <c r="C433"/>
      <c r="F433"/>
      <c r="G433"/>
      <c r="H433"/>
      <c r="I433"/>
      <c r="L433"/>
      <c r="M433"/>
      <c r="N433"/>
      <c r="O433"/>
    </row>
    <row r="434" spans="1:15" x14ac:dyDescent="0.2">
      <c r="A434"/>
      <c r="B434"/>
      <c r="C434"/>
      <c r="F434"/>
      <c r="G434"/>
      <c r="H434"/>
      <c r="I434"/>
      <c r="L434"/>
      <c r="M434"/>
      <c r="N434"/>
      <c r="O434"/>
    </row>
    <row r="435" spans="1:15" x14ac:dyDescent="0.2">
      <c r="A435"/>
      <c r="B435"/>
      <c r="C435"/>
      <c r="F435"/>
      <c r="G435"/>
      <c r="H435"/>
      <c r="I435"/>
      <c r="L435"/>
      <c r="M435"/>
      <c r="N435"/>
      <c r="O435"/>
    </row>
    <row r="436" spans="1:15" x14ac:dyDescent="0.2">
      <c r="A436"/>
      <c r="B436"/>
      <c r="C436"/>
      <c r="F436"/>
      <c r="G436"/>
      <c r="H436"/>
      <c r="I436"/>
      <c r="L436"/>
      <c r="N436"/>
      <c r="O436"/>
    </row>
    <row r="437" spans="1:15" x14ac:dyDescent="0.2">
      <c r="A437"/>
      <c r="B437"/>
      <c r="C437"/>
      <c r="F437"/>
      <c r="G437"/>
      <c r="H437"/>
      <c r="I437"/>
      <c r="L437"/>
      <c r="N437"/>
      <c r="O437"/>
    </row>
    <row r="438" spans="1:15" x14ac:dyDescent="0.2">
      <c r="A438"/>
      <c r="B438"/>
      <c r="C438"/>
      <c r="F438"/>
      <c r="G438"/>
      <c r="I438"/>
      <c r="L438"/>
      <c r="M438"/>
      <c r="N438"/>
      <c r="O438"/>
    </row>
    <row r="439" spans="1:15" x14ac:dyDescent="0.2">
      <c r="A439"/>
      <c r="B439"/>
      <c r="C439"/>
      <c r="F439"/>
      <c r="G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H446"/>
      <c r="I446"/>
      <c r="L446"/>
      <c r="N446"/>
      <c r="O446"/>
    </row>
    <row r="447" spans="1:15" x14ac:dyDescent="0.2">
      <c r="A447"/>
      <c r="B447"/>
      <c r="C447"/>
      <c r="F447"/>
      <c r="G447"/>
      <c r="H447"/>
      <c r="I447"/>
      <c r="L447"/>
      <c r="M447"/>
      <c r="N447"/>
      <c r="O447"/>
    </row>
    <row r="448" spans="1:15" x14ac:dyDescent="0.2">
      <c r="A448"/>
      <c r="B448"/>
      <c r="C448"/>
      <c r="F448"/>
      <c r="G448"/>
      <c r="H448"/>
      <c r="I448"/>
      <c r="L448"/>
      <c r="M448"/>
      <c r="N448"/>
      <c r="O448"/>
    </row>
    <row r="449" spans="1:15" x14ac:dyDescent="0.2">
      <c r="A449"/>
      <c r="B449"/>
      <c r="C449"/>
      <c r="F449"/>
      <c r="G449"/>
      <c r="I449"/>
      <c r="L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L452"/>
      <c r="M452"/>
      <c r="N452"/>
      <c r="O452"/>
    </row>
    <row r="453" spans="1:15" x14ac:dyDescent="0.2">
      <c r="A453"/>
      <c r="B453"/>
      <c r="C453"/>
      <c r="F453"/>
      <c r="G453"/>
      <c r="H453"/>
      <c r="I453"/>
      <c r="L453"/>
      <c r="M453"/>
      <c r="N453"/>
      <c r="O453"/>
    </row>
    <row r="454" spans="1:15" x14ac:dyDescent="0.2">
      <c r="A454"/>
      <c r="B454"/>
      <c r="C454"/>
      <c r="F454"/>
      <c r="G454"/>
      <c r="H454"/>
      <c r="I454"/>
      <c r="L454"/>
      <c r="M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I457"/>
      <c r="L457"/>
      <c r="M457"/>
      <c r="N457"/>
      <c r="O457"/>
    </row>
    <row r="458" spans="1:15" x14ac:dyDescent="0.2">
      <c r="A458"/>
      <c r="B458"/>
      <c r="C458"/>
      <c r="F458"/>
      <c r="G458"/>
      <c r="I458"/>
      <c r="L458"/>
      <c r="M458"/>
      <c r="N458"/>
      <c r="O458"/>
    </row>
    <row r="459" spans="1:15" x14ac:dyDescent="0.2">
      <c r="A459"/>
      <c r="B459"/>
      <c r="C459"/>
      <c r="F459"/>
      <c r="G459"/>
      <c r="M459"/>
      <c r="N459"/>
      <c r="O459"/>
    </row>
    <row r="460" spans="1:15" x14ac:dyDescent="0.2">
      <c r="A460"/>
      <c r="B460"/>
      <c r="C460"/>
      <c r="F460"/>
      <c r="G460"/>
      <c r="H460"/>
      <c r="I460"/>
      <c r="L460"/>
      <c r="M460"/>
      <c r="N460"/>
      <c r="O460"/>
    </row>
    <row r="461" spans="1:15" x14ac:dyDescent="0.2">
      <c r="A461"/>
      <c r="B461"/>
      <c r="C461"/>
      <c r="F461"/>
      <c r="G461"/>
      <c r="I461"/>
      <c r="L461"/>
      <c r="M461"/>
      <c r="N461"/>
      <c r="O461"/>
    </row>
    <row r="462" spans="1:15" x14ac:dyDescent="0.2">
      <c r="A462"/>
      <c r="B462"/>
      <c r="C462"/>
      <c r="F462"/>
      <c r="G462"/>
      <c r="M462"/>
      <c r="N462"/>
      <c r="O462"/>
    </row>
    <row r="463" spans="1:15" x14ac:dyDescent="0.2">
      <c r="A463"/>
      <c r="B463"/>
      <c r="C463"/>
      <c r="F463"/>
      <c r="G463"/>
      <c r="H463"/>
      <c r="I463"/>
      <c r="J463"/>
      <c r="K463"/>
      <c r="L463"/>
      <c r="M463"/>
      <c r="N463"/>
      <c r="O463"/>
    </row>
    <row r="464" spans="1:15" x14ac:dyDescent="0.2">
      <c r="A464"/>
      <c r="B464"/>
      <c r="C464"/>
      <c r="F464"/>
      <c r="G464"/>
      <c r="I464"/>
      <c r="L464"/>
      <c r="M464"/>
      <c r="N464"/>
      <c r="O464"/>
    </row>
    <row r="465" spans="1:15" x14ac:dyDescent="0.2">
      <c r="A465"/>
      <c r="B465"/>
      <c r="C465"/>
      <c r="F465"/>
      <c r="G465"/>
      <c r="L465"/>
      <c r="M465"/>
      <c r="N465"/>
      <c r="O465"/>
    </row>
    <row r="466" spans="1:15" x14ac:dyDescent="0.2">
      <c r="A466"/>
      <c r="B466"/>
      <c r="C466"/>
      <c r="F466"/>
      <c r="G466"/>
      <c r="H466"/>
      <c r="I466"/>
      <c r="L466"/>
      <c r="M466"/>
      <c r="N466"/>
      <c r="O466"/>
    </row>
    <row r="467" spans="1:15" x14ac:dyDescent="0.2">
      <c r="A467"/>
      <c r="B467"/>
      <c r="C467"/>
      <c r="F467"/>
      <c r="G467"/>
      <c r="I467"/>
      <c r="L467"/>
      <c r="M467"/>
      <c r="N467"/>
      <c r="O467"/>
    </row>
    <row r="468" spans="1:15" x14ac:dyDescent="0.2">
      <c r="A468"/>
      <c r="B468"/>
      <c r="C468"/>
      <c r="F468"/>
      <c r="G468"/>
      <c r="H468"/>
      <c r="I468"/>
      <c r="L468"/>
      <c r="M468"/>
      <c r="N468"/>
      <c r="O468"/>
    </row>
    <row r="469" spans="1:15" x14ac:dyDescent="0.2">
      <c r="A469"/>
      <c r="B469"/>
      <c r="C469"/>
      <c r="F469"/>
      <c r="G469"/>
      <c r="H469"/>
      <c r="I469"/>
      <c r="L469"/>
      <c r="M469"/>
      <c r="N469"/>
      <c r="O469"/>
    </row>
    <row r="470" spans="1:15" x14ac:dyDescent="0.2">
      <c r="A470"/>
      <c r="B470"/>
      <c r="C470"/>
      <c r="F470"/>
      <c r="G470"/>
      <c r="H470"/>
      <c r="L470"/>
      <c r="M470"/>
      <c r="N470"/>
      <c r="O470"/>
    </row>
    <row r="471" spans="1:15" x14ac:dyDescent="0.2">
      <c r="A471"/>
      <c r="B471"/>
      <c r="C471"/>
      <c r="F471"/>
      <c r="G471"/>
      <c r="H471"/>
      <c r="I471"/>
      <c r="L471"/>
      <c r="M471"/>
      <c r="N471"/>
      <c r="O471"/>
    </row>
    <row r="472" spans="1:15" x14ac:dyDescent="0.2">
      <c r="A472"/>
      <c r="B472"/>
      <c r="C472"/>
      <c r="F472"/>
      <c r="G472"/>
      <c r="H472"/>
      <c r="J472"/>
      <c r="K472"/>
      <c r="L472"/>
      <c r="M472"/>
      <c r="N472"/>
      <c r="O472"/>
    </row>
    <row r="473" spans="1:15" x14ac:dyDescent="0.2">
      <c r="A473"/>
      <c r="B473"/>
      <c r="C473"/>
      <c r="F473"/>
      <c r="G473"/>
      <c r="H473"/>
      <c r="J473"/>
      <c r="K473"/>
      <c r="L473"/>
      <c r="M473"/>
      <c r="N473"/>
      <c r="O473"/>
    </row>
    <row r="474" spans="1:15" x14ac:dyDescent="0.2">
      <c r="A474"/>
      <c r="B474"/>
      <c r="C474"/>
      <c r="F474"/>
      <c r="G474"/>
      <c r="J474"/>
      <c r="K474"/>
      <c r="L474"/>
      <c r="M474"/>
      <c r="N474"/>
      <c r="O474"/>
    </row>
    <row r="475" spans="1:15" x14ac:dyDescent="0.2">
      <c r="A475"/>
      <c r="B475"/>
      <c r="C475"/>
      <c r="F475"/>
      <c r="G475"/>
      <c r="J475"/>
      <c r="K475"/>
      <c r="L475"/>
      <c r="M475"/>
      <c r="N475"/>
      <c r="O475"/>
    </row>
    <row r="476" spans="1:15" x14ac:dyDescent="0.2">
      <c r="A476"/>
      <c r="B476"/>
      <c r="C476"/>
      <c r="F476"/>
      <c r="G476"/>
      <c r="H476"/>
      <c r="I476"/>
      <c r="L476"/>
      <c r="N476"/>
      <c r="O476"/>
    </row>
    <row r="477" spans="1:15" x14ac:dyDescent="0.2">
      <c r="A477"/>
      <c r="B477"/>
      <c r="C477"/>
      <c r="F477"/>
      <c r="G477"/>
      <c r="J477"/>
      <c r="K477"/>
      <c r="L477"/>
      <c r="M477"/>
      <c r="N477"/>
      <c r="O477"/>
    </row>
    <row r="478" spans="1:15" x14ac:dyDescent="0.2">
      <c r="A478"/>
      <c r="B478"/>
      <c r="C478"/>
      <c r="F478"/>
      <c r="G478"/>
      <c r="I478"/>
      <c r="L478"/>
      <c r="M478"/>
      <c r="N478"/>
      <c r="O478"/>
    </row>
    <row r="479" spans="1:15" x14ac:dyDescent="0.2">
      <c r="A479"/>
      <c r="B479"/>
      <c r="C479"/>
      <c r="F479"/>
      <c r="G479"/>
      <c r="H479"/>
      <c r="I479"/>
      <c r="L479"/>
      <c r="M479"/>
      <c r="N479"/>
      <c r="O479"/>
    </row>
    <row r="480" spans="1:15" x14ac:dyDescent="0.2">
      <c r="A480"/>
      <c r="B480"/>
      <c r="C480"/>
      <c r="F480"/>
      <c r="G480"/>
      <c r="L480"/>
      <c r="M480"/>
      <c r="N480"/>
      <c r="O480"/>
    </row>
    <row r="481" spans="1:15" x14ac:dyDescent="0.2">
      <c r="A481"/>
      <c r="B481"/>
      <c r="C481"/>
      <c r="F481"/>
      <c r="G481"/>
      <c r="L481"/>
      <c r="M481"/>
      <c r="N481"/>
      <c r="O481"/>
    </row>
    <row r="482" spans="1:15" x14ac:dyDescent="0.2">
      <c r="A482"/>
      <c r="B482"/>
      <c r="C482"/>
      <c r="F482"/>
      <c r="G482"/>
      <c r="L482"/>
      <c r="M482"/>
      <c r="N482"/>
      <c r="O482"/>
    </row>
    <row r="483" spans="1:15" x14ac:dyDescent="0.2">
      <c r="A483"/>
      <c r="B483"/>
      <c r="C483"/>
      <c r="F483"/>
      <c r="G483"/>
      <c r="L483"/>
      <c r="M483"/>
      <c r="N483"/>
      <c r="O483"/>
    </row>
    <row r="484" spans="1:15" x14ac:dyDescent="0.2">
      <c r="A484"/>
      <c r="B484"/>
      <c r="C484"/>
      <c r="F484"/>
      <c r="G484"/>
      <c r="H484"/>
      <c r="I484"/>
      <c r="L484"/>
      <c r="M484"/>
      <c r="N484"/>
      <c r="O484"/>
    </row>
    <row r="485" spans="1:15" x14ac:dyDescent="0.2">
      <c r="A485"/>
      <c r="B485"/>
      <c r="C485"/>
      <c r="F485"/>
      <c r="G485"/>
      <c r="H485"/>
      <c r="I485"/>
      <c r="L485"/>
      <c r="M485"/>
      <c r="N485"/>
      <c r="O485"/>
    </row>
    <row r="486" spans="1:15" x14ac:dyDescent="0.2">
      <c r="A486"/>
      <c r="B486"/>
      <c r="C486"/>
      <c r="F486"/>
      <c r="G486"/>
      <c r="H486"/>
      <c r="I486"/>
      <c r="L486"/>
      <c r="M486"/>
      <c r="N486"/>
      <c r="O486"/>
    </row>
    <row r="487" spans="1:15" x14ac:dyDescent="0.2">
      <c r="A487"/>
      <c r="B487"/>
      <c r="C487"/>
      <c r="F487"/>
      <c r="G487"/>
      <c r="I487"/>
      <c r="L487"/>
      <c r="M487"/>
      <c r="N487"/>
      <c r="O487"/>
    </row>
    <row r="488" spans="1:15" x14ac:dyDescent="0.2">
      <c r="A488"/>
      <c r="B488"/>
      <c r="C488"/>
      <c r="F488"/>
      <c r="G488"/>
      <c r="I488"/>
      <c r="L488"/>
      <c r="M488"/>
      <c r="N488"/>
      <c r="O488"/>
    </row>
    <row r="489" spans="1:15" x14ac:dyDescent="0.2">
      <c r="A489"/>
      <c r="B489"/>
      <c r="C489"/>
      <c r="F489"/>
      <c r="G489"/>
      <c r="H489"/>
      <c r="I489"/>
      <c r="L489"/>
      <c r="M489"/>
      <c r="N489"/>
      <c r="O489"/>
    </row>
    <row r="490" spans="1:15" x14ac:dyDescent="0.2">
      <c r="A490"/>
      <c r="B490"/>
      <c r="C490"/>
      <c r="F490"/>
      <c r="G490"/>
      <c r="H490"/>
      <c r="I490"/>
      <c r="L490"/>
      <c r="M490"/>
      <c r="N490"/>
      <c r="O490"/>
    </row>
    <row r="491" spans="1:15" x14ac:dyDescent="0.2">
      <c r="A491"/>
      <c r="B491"/>
      <c r="C491"/>
      <c r="F491"/>
      <c r="G491"/>
      <c r="H491"/>
      <c r="I491"/>
      <c r="L491"/>
      <c r="M491"/>
      <c r="N491"/>
      <c r="O491"/>
    </row>
    <row r="492" spans="1:15" x14ac:dyDescent="0.2">
      <c r="A492"/>
      <c r="B492"/>
      <c r="C492"/>
      <c r="F492"/>
      <c r="G492"/>
      <c r="J492"/>
      <c r="L492"/>
      <c r="M492"/>
      <c r="N492"/>
      <c r="O492"/>
    </row>
    <row r="493" spans="1:15" x14ac:dyDescent="0.2">
      <c r="A493"/>
      <c r="B493"/>
      <c r="C493"/>
      <c r="F493"/>
      <c r="G493"/>
      <c r="H493"/>
      <c r="I493"/>
      <c r="L493"/>
      <c r="M493"/>
      <c r="N493"/>
      <c r="O493"/>
    </row>
    <row r="494" spans="1:15" x14ac:dyDescent="0.2">
      <c r="A494"/>
      <c r="B494"/>
      <c r="C494"/>
      <c r="F494"/>
      <c r="G494"/>
      <c r="I494"/>
      <c r="L494"/>
      <c r="M494"/>
      <c r="N494"/>
      <c r="O494"/>
    </row>
    <row r="495" spans="1:15" x14ac:dyDescent="0.2">
      <c r="A495"/>
      <c r="B495"/>
      <c r="C495"/>
      <c r="F495"/>
      <c r="G495"/>
      <c r="I495"/>
      <c r="L495"/>
      <c r="M495"/>
      <c r="N495"/>
      <c r="O495"/>
    </row>
    <row r="496" spans="1:15" x14ac:dyDescent="0.2">
      <c r="A496"/>
      <c r="B496"/>
      <c r="C496"/>
      <c r="F496"/>
      <c r="G496"/>
      <c r="I496"/>
      <c r="L496"/>
      <c r="M496"/>
      <c r="N496"/>
      <c r="O496"/>
    </row>
    <row r="497" spans="1:15" x14ac:dyDescent="0.2">
      <c r="A497"/>
      <c r="B497"/>
      <c r="C497"/>
      <c r="F497"/>
      <c r="G497"/>
      <c r="H497"/>
      <c r="I497"/>
      <c r="L497"/>
      <c r="M497"/>
      <c r="N497"/>
      <c r="O497"/>
    </row>
    <row r="498" spans="1:15" x14ac:dyDescent="0.2">
      <c r="A498"/>
      <c r="B498"/>
      <c r="C498"/>
      <c r="F498"/>
      <c r="G498"/>
      <c r="I498"/>
      <c r="L498"/>
      <c r="M498"/>
      <c r="N498"/>
      <c r="O498"/>
    </row>
    <row r="499" spans="1:15" x14ac:dyDescent="0.2">
      <c r="A499"/>
      <c r="B499"/>
      <c r="C499"/>
      <c r="F499"/>
      <c r="G499"/>
      <c r="L499"/>
      <c r="M499"/>
      <c r="N499"/>
      <c r="O499"/>
    </row>
    <row r="500" spans="1:15" x14ac:dyDescent="0.2">
      <c r="A500"/>
      <c r="B500"/>
      <c r="C500"/>
      <c r="F500"/>
      <c r="G500"/>
      <c r="I500"/>
      <c r="L500"/>
      <c r="M500"/>
      <c r="N500"/>
      <c r="O500"/>
    </row>
    <row r="501" spans="1:15" x14ac:dyDescent="0.2">
      <c r="A501"/>
      <c r="B501"/>
      <c r="C501"/>
      <c r="F501"/>
      <c r="G501"/>
      <c r="H501"/>
      <c r="I501"/>
      <c r="L501"/>
      <c r="M501"/>
      <c r="N501"/>
      <c r="O501"/>
    </row>
    <row r="502" spans="1:15" x14ac:dyDescent="0.2">
      <c r="A502"/>
      <c r="B502"/>
      <c r="C502"/>
      <c r="F502"/>
      <c r="G502"/>
      <c r="I502"/>
      <c r="L502"/>
      <c r="M502"/>
      <c r="N502"/>
      <c r="O502"/>
    </row>
    <row r="503" spans="1:15" x14ac:dyDescent="0.2">
      <c r="A503"/>
      <c r="B503"/>
      <c r="C503"/>
      <c r="F503"/>
      <c r="G503"/>
      <c r="H503"/>
      <c r="J503"/>
      <c r="K503"/>
      <c r="L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H507"/>
      <c r="I507"/>
      <c r="L507"/>
      <c r="M507"/>
      <c r="N507"/>
      <c r="O507"/>
    </row>
    <row r="508" spans="1:15" x14ac:dyDescent="0.2">
      <c r="A508"/>
      <c r="B508"/>
      <c r="C508"/>
      <c r="F508"/>
      <c r="G508"/>
      <c r="H508"/>
      <c r="I508"/>
      <c r="L508"/>
      <c r="M508"/>
      <c r="N508"/>
      <c r="O508"/>
    </row>
    <row r="509" spans="1:15" x14ac:dyDescent="0.2">
      <c r="A509"/>
      <c r="B509"/>
      <c r="C509"/>
      <c r="F509"/>
      <c r="G509"/>
      <c r="H509"/>
      <c r="J509"/>
      <c r="K509"/>
      <c r="L509"/>
      <c r="M509"/>
      <c r="N509"/>
      <c r="O509"/>
    </row>
    <row r="510" spans="1:15" x14ac:dyDescent="0.2">
      <c r="A510"/>
      <c r="B510"/>
      <c r="C510"/>
      <c r="F510"/>
      <c r="G510"/>
      <c r="M510"/>
      <c r="N510"/>
      <c r="O510"/>
    </row>
    <row r="511" spans="1:15" x14ac:dyDescent="0.2">
      <c r="A511"/>
      <c r="B511"/>
      <c r="C511"/>
      <c r="F511"/>
      <c r="G511"/>
      <c r="H511"/>
      <c r="I511"/>
      <c r="L511"/>
      <c r="M511"/>
      <c r="N511"/>
      <c r="O511"/>
    </row>
    <row r="512" spans="1:15" x14ac:dyDescent="0.2">
      <c r="A512"/>
      <c r="B512"/>
      <c r="C512"/>
      <c r="F512"/>
      <c r="G512"/>
      <c r="I512"/>
      <c r="L512"/>
      <c r="M512"/>
      <c r="N512"/>
      <c r="O512"/>
    </row>
    <row r="513" spans="1:15" x14ac:dyDescent="0.2">
      <c r="A513"/>
      <c r="B513"/>
      <c r="C513"/>
      <c r="F513"/>
      <c r="G513"/>
      <c r="H513"/>
      <c r="I513"/>
      <c r="L513"/>
      <c r="M513"/>
      <c r="N513"/>
      <c r="O513"/>
    </row>
    <row r="514" spans="1:15" x14ac:dyDescent="0.2">
      <c r="A514"/>
      <c r="B514"/>
      <c r="C514"/>
      <c r="F514"/>
      <c r="G514"/>
      <c r="H514"/>
      <c r="I514"/>
      <c r="L514"/>
      <c r="M514"/>
      <c r="N514"/>
      <c r="O514"/>
    </row>
    <row r="515" spans="1:15" x14ac:dyDescent="0.2">
      <c r="A515"/>
      <c r="B515"/>
      <c r="C515"/>
      <c r="F515"/>
      <c r="G515"/>
      <c r="I515"/>
      <c r="L515"/>
      <c r="M515"/>
      <c r="N515"/>
      <c r="O515"/>
    </row>
    <row r="516" spans="1:15" x14ac:dyDescent="0.2">
      <c r="A516"/>
      <c r="B516"/>
      <c r="C516"/>
      <c r="F516"/>
      <c r="G516"/>
      <c r="H516"/>
      <c r="J516"/>
      <c r="K516"/>
      <c r="L516"/>
      <c r="M516"/>
      <c r="N516"/>
      <c r="O516"/>
    </row>
    <row r="517" spans="1:15" x14ac:dyDescent="0.2">
      <c r="A517"/>
      <c r="B517"/>
      <c r="C517"/>
      <c r="F517"/>
      <c r="G517"/>
      <c r="H517"/>
      <c r="I517"/>
      <c r="L517"/>
      <c r="M517"/>
      <c r="N517"/>
      <c r="O517"/>
    </row>
    <row r="518" spans="1:15" x14ac:dyDescent="0.2">
      <c r="A518"/>
      <c r="B518"/>
      <c r="C518"/>
      <c r="F518"/>
      <c r="G518"/>
      <c r="H518"/>
      <c r="J518"/>
      <c r="K518"/>
      <c r="L518"/>
      <c r="M518"/>
      <c r="N518"/>
      <c r="O518"/>
    </row>
    <row r="519" spans="1:15" x14ac:dyDescent="0.2">
      <c r="A519"/>
      <c r="B519"/>
      <c r="C519"/>
      <c r="F519"/>
      <c r="G519"/>
      <c r="H519"/>
      <c r="I519"/>
      <c r="L519"/>
      <c r="M519"/>
      <c r="N519"/>
      <c r="O519"/>
    </row>
    <row r="520" spans="1:15" x14ac:dyDescent="0.2">
      <c r="A520"/>
      <c r="B520"/>
      <c r="C520"/>
      <c r="F520"/>
      <c r="G520"/>
      <c r="I520"/>
      <c r="L520"/>
      <c r="M520"/>
      <c r="N520"/>
      <c r="O520"/>
    </row>
    <row r="521" spans="1:15" x14ac:dyDescent="0.2">
      <c r="A521"/>
      <c r="B521"/>
      <c r="C521"/>
      <c r="F521"/>
      <c r="G521"/>
      <c r="I521"/>
      <c r="L521"/>
      <c r="M521"/>
      <c r="N521"/>
      <c r="O521"/>
    </row>
    <row r="522" spans="1:15" x14ac:dyDescent="0.2">
      <c r="A522"/>
      <c r="B522"/>
      <c r="C522"/>
      <c r="F522"/>
      <c r="G522"/>
      <c r="H522"/>
      <c r="I522"/>
      <c r="L522"/>
      <c r="M522"/>
      <c r="N522"/>
      <c r="O522"/>
    </row>
    <row r="523" spans="1:15" x14ac:dyDescent="0.2">
      <c r="A523"/>
      <c r="B523"/>
      <c r="C523"/>
      <c r="F523"/>
      <c r="G523"/>
      <c r="I523"/>
      <c r="L523"/>
      <c r="M523"/>
      <c r="N523"/>
      <c r="O523"/>
    </row>
    <row r="524" spans="1:15" x14ac:dyDescent="0.2">
      <c r="A524"/>
      <c r="B524"/>
      <c r="C524"/>
      <c r="F524"/>
      <c r="G524"/>
      <c r="H524"/>
      <c r="I524"/>
      <c r="L524"/>
      <c r="M524"/>
      <c r="N524"/>
      <c r="O524"/>
    </row>
    <row r="525" spans="1:15" x14ac:dyDescent="0.2">
      <c r="A525"/>
      <c r="B525"/>
      <c r="C525"/>
      <c r="F525"/>
      <c r="G525"/>
      <c r="H525"/>
      <c r="I525"/>
      <c r="L525"/>
      <c r="M525"/>
      <c r="N525"/>
      <c r="O525"/>
    </row>
    <row r="526" spans="1:15" x14ac:dyDescent="0.2">
      <c r="A526"/>
      <c r="B526"/>
      <c r="C526"/>
      <c r="F526"/>
      <c r="G526"/>
      <c r="H526"/>
      <c r="I526"/>
      <c r="L526"/>
      <c r="M526"/>
      <c r="N526"/>
      <c r="O526"/>
    </row>
    <row r="527" spans="1:15" x14ac:dyDescent="0.2">
      <c r="A527"/>
      <c r="B527"/>
      <c r="C527"/>
      <c r="F527"/>
      <c r="G527"/>
      <c r="H527"/>
      <c r="I527"/>
      <c r="L527"/>
      <c r="M527"/>
      <c r="N527"/>
      <c r="O527"/>
    </row>
    <row r="528" spans="1:15" x14ac:dyDescent="0.2">
      <c r="A528"/>
      <c r="B528"/>
      <c r="C528"/>
      <c r="F528"/>
      <c r="G528"/>
      <c r="H528"/>
      <c r="I528"/>
      <c r="L528"/>
      <c r="M528"/>
      <c r="N528"/>
      <c r="O528"/>
    </row>
    <row r="529" spans="1:15" x14ac:dyDescent="0.2">
      <c r="A529"/>
      <c r="B529"/>
      <c r="C529"/>
      <c r="F529"/>
      <c r="G529"/>
      <c r="J529"/>
      <c r="L529"/>
      <c r="M529"/>
      <c r="N529"/>
      <c r="O529"/>
    </row>
    <row r="530" spans="1:15" x14ac:dyDescent="0.2">
      <c r="A530"/>
      <c r="B530"/>
      <c r="C530"/>
      <c r="F530"/>
      <c r="G530"/>
      <c r="H530"/>
      <c r="L530"/>
      <c r="M530"/>
      <c r="N530"/>
      <c r="O530"/>
    </row>
    <row r="531" spans="1:15" x14ac:dyDescent="0.2">
      <c r="A531"/>
      <c r="B531"/>
      <c r="C531"/>
      <c r="F531"/>
      <c r="G531"/>
      <c r="J531"/>
      <c r="K531"/>
      <c r="L531"/>
      <c r="M531"/>
      <c r="N531"/>
      <c r="O531"/>
    </row>
    <row r="532" spans="1:15" x14ac:dyDescent="0.2">
      <c r="A532"/>
      <c r="B532"/>
      <c r="C532"/>
      <c r="F532"/>
      <c r="G532"/>
      <c r="L532"/>
      <c r="M532"/>
      <c r="N532"/>
      <c r="O532"/>
    </row>
    <row r="533" spans="1:15" x14ac:dyDescent="0.2">
      <c r="A533"/>
      <c r="B533"/>
      <c r="C533"/>
      <c r="F533"/>
      <c r="G533"/>
      <c r="H533"/>
      <c r="J533"/>
      <c r="K533"/>
      <c r="L533"/>
      <c r="M533"/>
      <c r="N533"/>
      <c r="O533"/>
    </row>
    <row r="534" spans="1:15" x14ac:dyDescent="0.2">
      <c r="A534"/>
      <c r="B534"/>
      <c r="C534"/>
      <c r="F534"/>
      <c r="G534"/>
      <c r="L534"/>
      <c r="M534"/>
      <c r="N534"/>
      <c r="O534"/>
    </row>
    <row r="535" spans="1:15" x14ac:dyDescent="0.2">
      <c r="A535"/>
      <c r="B535"/>
      <c r="C535"/>
      <c r="F535"/>
      <c r="G535"/>
      <c r="L535"/>
      <c r="M535"/>
      <c r="N535"/>
      <c r="O535"/>
    </row>
    <row r="536" spans="1:15" x14ac:dyDescent="0.2">
      <c r="A536"/>
      <c r="B536"/>
      <c r="C536"/>
      <c r="F536"/>
      <c r="G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L539"/>
      <c r="M539"/>
      <c r="N539"/>
      <c r="O539"/>
    </row>
    <row r="540" spans="1:15" x14ac:dyDescent="0.2">
      <c r="A540"/>
      <c r="B540"/>
      <c r="C540"/>
      <c r="F540"/>
      <c r="G540"/>
      <c r="L540"/>
      <c r="M540"/>
      <c r="N540"/>
      <c r="O540"/>
    </row>
    <row r="541" spans="1:15" x14ac:dyDescent="0.2">
      <c r="A541"/>
      <c r="B541"/>
      <c r="C541"/>
      <c r="F541"/>
      <c r="G541"/>
      <c r="I541"/>
      <c r="L541"/>
      <c r="M541"/>
      <c r="N541"/>
      <c r="O541"/>
    </row>
    <row r="542" spans="1:15" x14ac:dyDescent="0.2">
      <c r="A542"/>
      <c r="B542"/>
      <c r="C542"/>
      <c r="F542"/>
      <c r="G542"/>
      <c r="I542"/>
      <c r="L542"/>
      <c r="M542"/>
      <c r="N542"/>
      <c r="O542"/>
    </row>
    <row r="543" spans="1:15" x14ac:dyDescent="0.2">
      <c r="A543"/>
      <c r="B543"/>
      <c r="C543"/>
      <c r="F543"/>
      <c r="G543"/>
      <c r="I543"/>
      <c r="L543"/>
      <c r="M543"/>
      <c r="N543"/>
      <c r="O543"/>
    </row>
    <row r="544" spans="1:15" x14ac:dyDescent="0.2">
      <c r="A544"/>
      <c r="B544"/>
      <c r="C544"/>
      <c r="F544"/>
      <c r="G544"/>
      <c r="H544"/>
      <c r="I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H547"/>
      <c r="I547"/>
      <c r="L547"/>
      <c r="M547"/>
      <c r="N547"/>
      <c r="O547"/>
    </row>
    <row r="548" spans="1:15" x14ac:dyDescent="0.2">
      <c r="A548"/>
      <c r="B548"/>
      <c r="C548"/>
      <c r="F548"/>
      <c r="G548"/>
      <c r="I548"/>
      <c r="L548"/>
      <c r="M548"/>
      <c r="N548"/>
      <c r="O548"/>
    </row>
    <row r="549" spans="1:15" x14ac:dyDescent="0.2">
      <c r="A549"/>
      <c r="B549"/>
      <c r="C549"/>
      <c r="F549"/>
      <c r="G549"/>
      <c r="H549"/>
      <c r="I549"/>
      <c r="L549"/>
      <c r="M549"/>
      <c r="N549"/>
      <c r="O549"/>
    </row>
    <row r="550" spans="1:15" x14ac:dyDescent="0.2">
      <c r="A550"/>
      <c r="B550"/>
      <c r="C550"/>
      <c r="F550"/>
      <c r="G550"/>
      <c r="H550"/>
      <c r="I550"/>
      <c r="L550"/>
      <c r="M550"/>
      <c r="N550"/>
      <c r="O550"/>
    </row>
    <row r="551" spans="1:15" x14ac:dyDescent="0.2">
      <c r="A551"/>
      <c r="B551"/>
      <c r="C551"/>
      <c r="F551"/>
      <c r="G551"/>
      <c r="M551"/>
      <c r="N551"/>
      <c r="O551"/>
    </row>
    <row r="552" spans="1:15" x14ac:dyDescent="0.2">
      <c r="A552"/>
      <c r="B552"/>
      <c r="C552"/>
      <c r="F552"/>
      <c r="G552"/>
      <c r="H552"/>
      <c r="I552"/>
      <c r="L552"/>
      <c r="M552"/>
      <c r="N552"/>
      <c r="O552"/>
    </row>
    <row r="553" spans="1:15" x14ac:dyDescent="0.2">
      <c r="A553"/>
      <c r="B553"/>
      <c r="C553"/>
      <c r="F553"/>
      <c r="G553"/>
      <c r="I553"/>
      <c r="L553"/>
      <c r="M553"/>
      <c r="N553"/>
      <c r="O553"/>
    </row>
    <row r="554" spans="1:15" x14ac:dyDescent="0.2">
      <c r="A554"/>
      <c r="B554"/>
      <c r="C554"/>
      <c r="F554"/>
      <c r="G554"/>
      <c r="M554"/>
      <c r="N554"/>
      <c r="O554"/>
    </row>
    <row r="555" spans="1:15" x14ac:dyDescent="0.2">
      <c r="A555"/>
      <c r="B555"/>
      <c r="C555"/>
      <c r="F555"/>
      <c r="G555"/>
      <c r="H555"/>
      <c r="I555"/>
      <c r="L555"/>
      <c r="M555"/>
      <c r="N555"/>
      <c r="O555"/>
    </row>
    <row r="556" spans="1:15" x14ac:dyDescent="0.2">
      <c r="A556"/>
      <c r="B556"/>
      <c r="C556"/>
      <c r="F556"/>
      <c r="G556"/>
      <c r="H556"/>
      <c r="I556"/>
      <c r="L556"/>
      <c r="M556"/>
      <c r="N556"/>
      <c r="O556"/>
    </row>
    <row r="557" spans="1:15" x14ac:dyDescent="0.2">
      <c r="A557"/>
      <c r="B557"/>
      <c r="C557"/>
      <c r="F557"/>
      <c r="G557"/>
      <c r="H557"/>
      <c r="I557"/>
      <c r="L557"/>
      <c r="M557"/>
      <c r="N557"/>
      <c r="O557"/>
    </row>
    <row r="558" spans="1:15" x14ac:dyDescent="0.2">
      <c r="A558"/>
      <c r="B558"/>
      <c r="C558"/>
      <c r="F558"/>
      <c r="G558"/>
      <c r="L558"/>
      <c r="M558"/>
      <c r="N558"/>
      <c r="O558"/>
    </row>
    <row r="559" spans="1:15" x14ac:dyDescent="0.2">
      <c r="A559"/>
      <c r="B559"/>
      <c r="C559"/>
      <c r="F559"/>
      <c r="G559"/>
      <c r="H559"/>
      <c r="I559"/>
      <c r="L559"/>
      <c r="M559"/>
      <c r="N559"/>
      <c r="O559"/>
    </row>
    <row r="560" spans="1:15" x14ac:dyDescent="0.2">
      <c r="A560"/>
      <c r="B560"/>
      <c r="C560"/>
      <c r="F560"/>
      <c r="G560"/>
      <c r="I560"/>
      <c r="L560"/>
      <c r="M560"/>
      <c r="N560"/>
      <c r="O560"/>
    </row>
    <row r="561" spans="1:15" x14ac:dyDescent="0.2">
      <c r="A561"/>
      <c r="B561"/>
      <c r="C561"/>
      <c r="F561"/>
      <c r="G561"/>
      <c r="L561"/>
      <c r="M561"/>
      <c r="N561"/>
      <c r="O561"/>
    </row>
    <row r="562" spans="1:15" x14ac:dyDescent="0.2">
      <c r="A562"/>
      <c r="B562"/>
      <c r="C562"/>
      <c r="F562"/>
      <c r="G562"/>
      <c r="I562"/>
      <c r="L562"/>
      <c r="M562"/>
      <c r="N562"/>
      <c r="O562"/>
    </row>
    <row r="563" spans="1:15" x14ac:dyDescent="0.2">
      <c r="A563"/>
      <c r="B563"/>
      <c r="C563"/>
      <c r="F563"/>
      <c r="G563"/>
      <c r="H563"/>
      <c r="I563"/>
      <c r="L563"/>
      <c r="N563"/>
      <c r="O563"/>
    </row>
    <row r="564" spans="1:15" x14ac:dyDescent="0.2">
      <c r="A564"/>
      <c r="B564"/>
      <c r="C564"/>
      <c r="F564"/>
      <c r="G564"/>
      <c r="H564"/>
      <c r="I564"/>
      <c r="L564"/>
      <c r="N564"/>
      <c r="O564"/>
    </row>
    <row r="565" spans="1:15" x14ac:dyDescent="0.2">
      <c r="A565"/>
      <c r="B565"/>
      <c r="C565"/>
      <c r="F565"/>
      <c r="G565"/>
      <c r="M565"/>
      <c r="N565"/>
      <c r="O565"/>
    </row>
    <row r="566" spans="1:15" x14ac:dyDescent="0.2">
      <c r="A566"/>
      <c r="B566"/>
      <c r="C566"/>
      <c r="F566"/>
      <c r="G566"/>
      <c r="I566"/>
      <c r="L566"/>
      <c r="M566"/>
      <c r="N566"/>
      <c r="O566"/>
    </row>
    <row r="567" spans="1:15" x14ac:dyDescent="0.2">
      <c r="A567"/>
      <c r="B567"/>
      <c r="C567"/>
      <c r="F567"/>
      <c r="G567"/>
      <c r="H567"/>
      <c r="I567"/>
      <c r="L567"/>
      <c r="M567"/>
      <c r="N567"/>
      <c r="O567"/>
    </row>
    <row r="568" spans="1:15" x14ac:dyDescent="0.2">
      <c r="A568"/>
      <c r="B568"/>
      <c r="C568"/>
      <c r="F568"/>
      <c r="G568"/>
      <c r="L568"/>
      <c r="M568"/>
      <c r="N568"/>
      <c r="O568"/>
    </row>
    <row r="569" spans="1:15" x14ac:dyDescent="0.2">
      <c r="A569"/>
      <c r="B569"/>
      <c r="C569"/>
      <c r="F569"/>
      <c r="G569"/>
      <c r="H569"/>
      <c r="I569"/>
      <c r="L569"/>
      <c r="M569"/>
      <c r="N569"/>
      <c r="O569"/>
    </row>
    <row r="570" spans="1:15" x14ac:dyDescent="0.2">
      <c r="A570"/>
      <c r="B570"/>
      <c r="C570"/>
      <c r="F570"/>
      <c r="G570"/>
      <c r="J570"/>
      <c r="K570"/>
      <c r="L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H573"/>
      <c r="I573"/>
      <c r="L573"/>
      <c r="M573"/>
      <c r="N573"/>
      <c r="O573"/>
    </row>
    <row r="574" spans="1:15" x14ac:dyDescent="0.2">
      <c r="A574"/>
      <c r="B574"/>
      <c r="C574"/>
      <c r="F574"/>
      <c r="G574"/>
      <c r="J574"/>
      <c r="M574"/>
      <c r="N574"/>
      <c r="O574"/>
    </row>
    <row r="575" spans="1:15" x14ac:dyDescent="0.2">
      <c r="A575"/>
      <c r="B575"/>
      <c r="C575"/>
      <c r="F575"/>
      <c r="G575"/>
      <c r="H575"/>
      <c r="I575"/>
      <c r="L575"/>
      <c r="M575"/>
      <c r="N575"/>
      <c r="O575"/>
    </row>
    <row r="576" spans="1:15" x14ac:dyDescent="0.2">
      <c r="A576"/>
      <c r="B576"/>
      <c r="C576"/>
      <c r="F576"/>
      <c r="G576"/>
      <c r="H576"/>
      <c r="I576"/>
      <c r="L576"/>
      <c r="M576"/>
      <c r="N576"/>
      <c r="O576"/>
    </row>
    <row r="577" spans="1:15" x14ac:dyDescent="0.2">
      <c r="A577"/>
      <c r="B577"/>
      <c r="C577"/>
      <c r="F577"/>
      <c r="G577"/>
      <c r="H577"/>
      <c r="I577"/>
      <c r="L577"/>
      <c r="M577"/>
      <c r="N577"/>
      <c r="O577"/>
    </row>
    <row r="578" spans="1:15" x14ac:dyDescent="0.2">
      <c r="A578"/>
      <c r="B578"/>
      <c r="C578"/>
      <c r="F578"/>
      <c r="G578"/>
      <c r="H578"/>
      <c r="I578"/>
      <c r="L578"/>
      <c r="N578"/>
      <c r="O578"/>
    </row>
    <row r="579" spans="1:15" x14ac:dyDescent="0.2">
      <c r="A579"/>
      <c r="B579"/>
      <c r="C579"/>
      <c r="F579"/>
      <c r="G579"/>
      <c r="H579"/>
      <c r="L579"/>
      <c r="M579"/>
      <c r="N579"/>
      <c r="O579"/>
    </row>
    <row r="580" spans="1:15" x14ac:dyDescent="0.2">
      <c r="A580"/>
      <c r="B580"/>
      <c r="C580"/>
      <c r="F580"/>
      <c r="G580"/>
      <c r="H580"/>
      <c r="I580"/>
      <c r="L580"/>
      <c r="M580"/>
      <c r="N580"/>
      <c r="O580"/>
    </row>
    <row r="581" spans="1:15" x14ac:dyDescent="0.2">
      <c r="A581"/>
      <c r="B581"/>
      <c r="C581"/>
      <c r="F581"/>
      <c r="G581"/>
      <c r="H581"/>
      <c r="I581"/>
      <c r="L581"/>
      <c r="M581"/>
      <c r="N581"/>
      <c r="O581"/>
    </row>
    <row r="582" spans="1:15" x14ac:dyDescent="0.2">
      <c r="A582"/>
      <c r="B582"/>
      <c r="C582"/>
      <c r="F582"/>
      <c r="G582"/>
      <c r="I582"/>
      <c r="L582"/>
      <c r="M582"/>
      <c r="N582"/>
      <c r="O582"/>
    </row>
    <row r="583" spans="1:15" x14ac:dyDescent="0.2">
      <c r="A583"/>
      <c r="B583"/>
      <c r="C583"/>
      <c r="F583"/>
      <c r="G583"/>
      <c r="H583"/>
      <c r="I583"/>
      <c r="L583"/>
      <c r="M583"/>
      <c r="N583"/>
      <c r="O583"/>
    </row>
    <row r="584" spans="1:15" x14ac:dyDescent="0.2">
      <c r="A584"/>
      <c r="B584"/>
      <c r="C584"/>
      <c r="F584"/>
      <c r="G584"/>
      <c r="I584"/>
      <c r="L584"/>
      <c r="M584"/>
      <c r="N584"/>
      <c r="O584"/>
    </row>
    <row r="585" spans="1:15" x14ac:dyDescent="0.2">
      <c r="A585"/>
      <c r="B585"/>
      <c r="C585"/>
      <c r="F585"/>
      <c r="G585"/>
      <c r="H585"/>
      <c r="I585"/>
      <c r="L585"/>
      <c r="M585"/>
      <c r="N585"/>
      <c r="O585"/>
    </row>
    <row r="586" spans="1:15" x14ac:dyDescent="0.2">
      <c r="A586"/>
      <c r="B586"/>
      <c r="C586"/>
      <c r="F586"/>
      <c r="G586"/>
      <c r="H586"/>
      <c r="I586"/>
      <c r="L586"/>
      <c r="M586"/>
      <c r="N586"/>
      <c r="O586"/>
    </row>
    <row r="587" spans="1:15" x14ac:dyDescent="0.2">
      <c r="A587"/>
      <c r="B587"/>
      <c r="C587"/>
      <c r="F587"/>
      <c r="G587"/>
      <c r="H587"/>
      <c r="J587"/>
      <c r="K587"/>
      <c r="L587"/>
      <c r="M587"/>
      <c r="N587"/>
      <c r="O587"/>
    </row>
    <row r="588" spans="1:15" x14ac:dyDescent="0.2">
      <c r="A588"/>
      <c r="B588"/>
      <c r="C588"/>
      <c r="F588"/>
      <c r="G588"/>
      <c r="H588"/>
      <c r="J588"/>
      <c r="K588"/>
      <c r="L588"/>
      <c r="M588"/>
      <c r="N588"/>
      <c r="O588"/>
    </row>
    <row r="589" spans="1:15" x14ac:dyDescent="0.2">
      <c r="A589"/>
      <c r="B589"/>
      <c r="C589"/>
      <c r="F589"/>
      <c r="G589"/>
      <c r="L589"/>
      <c r="M589"/>
      <c r="N589"/>
      <c r="O589"/>
    </row>
    <row r="590" spans="1:15" x14ac:dyDescent="0.2">
      <c r="A590"/>
      <c r="B590"/>
      <c r="C590"/>
      <c r="F590"/>
      <c r="G590"/>
      <c r="J590"/>
      <c r="K590"/>
      <c r="L590"/>
      <c r="M590"/>
      <c r="N590"/>
      <c r="O590"/>
    </row>
    <row r="591" spans="1:15" x14ac:dyDescent="0.2">
      <c r="A591"/>
      <c r="B591"/>
      <c r="C591"/>
      <c r="F591"/>
      <c r="G591"/>
      <c r="H591"/>
      <c r="I591"/>
      <c r="L591"/>
      <c r="M591"/>
      <c r="N591"/>
      <c r="O591"/>
    </row>
    <row r="592" spans="1:15" x14ac:dyDescent="0.2">
      <c r="A592"/>
      <c r="B592"/>
      <c r="C592"/>
      <c r="F592"/>
      <c r="G592"/>
      <c r="I592"/>
      <c r="L592"/>
      <c r="M592"/>
      <c r="N592"/>
      <c r="O592"/>
    </row>
    <row r="593" spans="1:15" x14ac:dyDescent="0.2">
      <c r="A593"/>
      <c r="B593"/>
      <c r="C593"/>
      <c r="F593"/>
      <c r="G593"/>
      <c r="L593"/>
      <c r="M593"/>
      <c r="N593"/>
      <c r="O593"/>
    </row>
    <row r="594" spans="1:15" x14ac:dyDescent="0.2">
      <c r="A594"/>
      <c r="B594"/>
      <c r="C594"/>
      <c r="F594"/>
      <c r="G594"/>
      <c r="J594"/>
      <c r="K594"/>
      <c r="L594"/>
      <c r="M594"/>
      <c r="N594"/>
      <c r="O594"/>
    </row>
    <row r="595" spans="1:15" x14ac:dyDescent="0.2">
      <c r="A595"/>
      <c r="B595"/>
      <c r="C595"/>
      <c r="F595"/>
      <c r="G595"/>
      <c r="H595"/>
      <c r="J595"/>
      <c r="K595"/>
      <c r="L595"/>
      <c r="M595"/>
      <c r="N595"/>
      <c r="O595"/>
    </row>
    <row r="596" spans="1:15" x14ac:dyDescent="0.2">
      <c r="A596"/>
      <c r="B596"/>
      <c r="C596"/>
      <c r="F596"/>
      <c r="G596"/>
      <c r="M596"/>
      <c r="N596"/>
      <c r="O596"/>
    </row>
    <row r="597" spans="1:15" x14ac:dyDescent="0.2">
      <c r="A597"/>
      <c r="B597"/>
      <c r="C597"/>
      <c r="F597"/>
      <c r="G597"/>
      <c r="L597"/>
      <c r="M597"/>
      <c r="N597"/>
      <c r="O597"/>
    </row>
    <row r="598" spans="1:15" x14ac:dyDescent="0.2">
      <c r="A598"/>
      <c r="B598"/>
      <c r="C598"/>
      <c r="F598"/>
      <c r="G598"/>
      <c r="H598"/>
      <c r="I598"/>
      <c r="L598"/>
      <c r="N598"/>
      <c r="O598"/>
    </row>
    <row r="599" spans="1:15" x14ac:dyDescent="0.2">
      <c r="A599"/>
      <c r="B599"/>
      <c r="C599"/>
      <c r="F599"/>
      <c r="G599"/>
      <c r="H599"/>
      <c r="I599"/>
      <c r="L599"/>
      <c r="M599"/>
      <c r="N599"/>
      <c r="O599"/>
    </row>
    <row r="600" spans="1:15" x14ac:dyDescent="0.2">
      <c r="A600"/>
      <c r="B600"/>
      <c r="C600"/>
      <c r="F600"/>
      <c r="G600"/>
      <c r="L600"/>
      <c r="M600"/>
      <c r="N600"/>
      <c r="O600"/>
    </row>
    <row r="601" spans="1:15" x14ac:dyDescent="0.2">
      <c r="A601"/>
      <c r="B601"/>
      <c r="C601"/>
      <c r="F601"/>
      <c r="G601"/>
      <c r="H601"/>
      <c r="I601"/>
      <c r="L601"/>
      <c r="M601"/>
      <c r="N601"/>
      <c r="O601"/>
    </row>
    <row r="602" spans="1:15" x14ac:dyDescent="0.2">
      <c r="A602"/>
      <c r="B602"/>
      <c r="C602"/>
      <c r="F602"/>
      <c r="G602"/>
      <c r="I602"/>
      <c r="L602"/>
      <c r="M602"/>
      <c r="N602"/>
      <c r="O602"/>
    </row>
    <row r="603" spans="1:15" x14ac:dyDescent="0.2">
      <c r="A603"/>
      <c r="B603"/>
      <c r="C603"/>
      <c r="F603"/>
      <c r="G603"/>
      <c r="I603"/>
      <c r="L603"/>
      <c r="M603"/>
      <c r="N603"/>
      <c r="O603"/>
    </row>
    <row r="604" spans="1:15" x14ac:dyDescent="0.2">
      <c r="A604"/>
      <c r="B604"/>
      <c r="C604"/>
      <c r="F604"/>
      <c r="G604"/>
      <c r="H604"/>
      <c r="L604"/>
      <c r="M604"/>
      <c r="N604"/>
      <c r="O604"/>
    </row>
    <row r="605" spans="1:15" x14ac:dyDescent="0.2">
      <c r="A605"/>
      <c r="B605"/>
      <c r="C605"/>
      <c r="F605"/>
      <c r="G605"/>
      <c r="H605"/>
      <c r="I605"/>
      <c r="L605"/>
      <c r="M605"/>
      <c r="N605"/>
      <c r="O605"/>
    </row>
    <row r="606" spans="1:15" x14ac:dyDescent="0.2">
      <c r="A606"/>
      <c r="B606"/>
      <c r="C606"/>
      <c r="F606"/>
      <c r="G606"/>
      <c r="H606"/>
      <c r="I606"/>
      <c r="L606"/>
      <c r="M606"/>
      <c r="N606"/>
      <c r="O606"/>
    </row>
    <row r="607" spans="1:15" x14ac:dyDescent="0.2">
      <c r="A607"/>
      <c r="B607"/>
      <c r="C607"/>
      <c r="F607"/>
      <c r="G607"/>
      <c r="H607"/>
      <c r="I607"/>
      <c r="L607"/>
      <c r="M607"/>
      <c r="N607"/>
      <c r="O607"/>
    </row>
    <row r="608" spans="1:15" x14ac:dyDescent="0.2">
      <c r="A608"/>
      <c r="B608"/>
      <c r="C608"/>
      <c r="F608"/>
      <c r="G608"/>
      <c r="H608"/>
      <c r="I608"/>
      <c r="L608"/>
      <c r="M608"/>
      <c r="N608"/>
      <c r="O608"/>
    </row>
    <row r="609" spans="1:15" x14ac:dyDescent="0.2">
      <c r="A609"/>
      <c r="B609"/>
      <c r="C609"/>
      <c r="F609"/>
      <c r="G609"/>
      <c r="H609"/>
      <c r="I609"/>
      <c r="L609"/>
      <c r="M609"/>
      <c r="N609"/>
      <c r="O609"/>
    </row>
    <row r="610" spans="1:15" x14ac:dyDescent="0.2">
      <c r="A610"/>
      <c r="B610"/>
      <c r="C610"/>
      <c r="F610"/>
      <c r="G610"/>
      <c r="H610"/>
      <c r="I610"/>
      <c r="L610"/>
      <c r="M610"/>
      <c r="N610"/>
      <c r="O610"/>
    </row>
    <row r="611" spans="1:15" x14ac:dyDescent="0.2">
      <c r="A611"/>
      <c r="B611"/>
      <c r="C611"/>
      <c r="F611"/>
      <c r="G611"/>
      <c r="M611"/>
      <c r="N611"/>
      <c r="O611"/>
    </row>
    <row r="612" spans="1:15" x14ac:dyDescent="0.2">
      <c r="A612"/>
      <c r="B612"/>
      <c r="C612"/>
      <c r="F612"/>
      <c r="G612"/>
      <c r="I612"/>
      <c r="L612"/>
      <c r="M612"/>
      <c r="N612"/>
      <c r="O612"/>
    </row>
    <row r="613" spans="1:15" x14ac:dyDescent="0.2">
      <c r="A613"/>
      <c r="B613"/>
      <c r="C613"/>
      <c r="F613"/>
      <c r="G613"/>
      <c r="H613"/>
      <c r="I613"/>
      <c r="L613"/>
      <c r="M613"/>
      <c r="N613"/>
      <c r="O613"/>
    </row>
    <row r="614" spans="1:15" x14ac:dyDescent="0.2">
      <c r="A614"/>
      <c r="B614"/>
      <c r="C614"/>
      <c r="F614"/>
      <c r="G614"/>
      <c r="I614"/>
      <c r="L614"/>
      <c r="M614"/>
      <c r="N614"/>
      <c r="O614"/>
    </row>
    <row r="615" spans="1:15" x14ac:dyDescent="0.2">
      <c r="A615"/>
      <c r="B615"/>
      <c r="C615"/>
      <c r="F615"/>
      <c r="G615"/>
      <c r="H615"/>
      <c r="I615"/>
      <c r="L615"/>
      <c r="M615"/>
      <c r="N615"/>
      <c r="O615"/>
    </row>
    <row r="616" spans="1:15" x14ac:dyDescent="0.2">
      <c r="A616"/>
      <c r="B616"/>
      <c r="C616"/>
      <c r="F616"/>
      <c r="G616"/>
      <c r="I616"/>
      <c r="L616"/>
      <c r="M616"/>
      <c r="N616"/>
      <c r="O616"/>
    </row>
    <row r="617" spans="1:15" x14ac:dyDescent="0.2">
      <c r="A617"/>
      <c r="B617"/>
      <c r="C617"/>
      <c r="F617"/>
      <c r="G617"/>
      <c r="I617"/>
      <c r="L617"/>
      <c r="M617"/>
      <c r="N617"/>
      <c r="O617"/>
    </row>
    <row r="618" spans="1:15" x14ac:dyDescent="0.2">
      <c r="A618"/>
      <c r="B618"/>
      <c r="C618"/>
      <c r="F618"/>
      <c r="G618"/>
      <c r="L618"/>
      <c r="M618"/>
      <c r="N618"/>
      <c r="O618"/>
    </row>
    <row r="619" spans="1:15" x14ac:dyDescent="0.2">
      <c r="A619"/>
      <c r="B619"/>
      <c r="C619"/>
      <c r="F619"/>
      <c r="G619"/>
      <c r="I619"/>
      <c r="L619"/>
      <c r="M619"/>
      <c r="N619"/>
      <c r="O619"/>
    </row>
    <row r="620" spans="1:15" x14ac:dyDescent="0.2">
      <c r="A620"/>
      <c r="B620"/>
      <c r="C620"/>
      <c r="F620"/>
      <c r="G620"/>
      <c r="H620"/>
      <c r="I620"/>
      <c r="L620"/>
      <c r="M620"/>
      <c r="N620"/>
      <c r="O620"/>
    </row>
    <row r="621" spans="1:15" x14ac:dyDescent="0.2">
      <c r="A621"/>
      <c r="B621"/>
      <c r="C621"/>
      <c r="F621"/>
      <c r="G621"/>
      <c r="I621"/>
      <c r="L621"/>
      <c r="M621"/>
      <c r="N621"/>
      <c r="O621"/>
    </row>
    <row r="622" spans="1:15" x14ac:dyDescent="0.2">
      <c r="A622"/>
      <c r="B622"/>
      <c r="C622"/>
      <c r="F622"/>
      <c r="G622"/>
      <c r="I622"/>
      <c r="L622"/>
      <c r="M622"/>
      <c r="N622"/>
      <c r="O622"/>
    </row>
    <row r="623" spans="1:15" x14ac:dyDescent="0.2">
      <c r="A623"/>
      <c r="B623"/>
      <c r="C623"/>
      <c r="F623"/>
      <c r="G623"/>
      <c r="I623"/>
      <c r="L623"/>
      <c r="M623"/>
      <c r="N623"/>
      <c r="O623"/>
    </row>
    <row r="624" spans="1:15" x14ac:dyDescent="0.2">
      <c r="A624"/>
      <c r="B624"/>
      <c r="C624"/>
      <c r="F624"/>
      <c r="G624"/>
      <c r="I624"/>
      <c r="L624"/>
      <c r="M624"/>
      <c r="N624"/>
      <c r="O624"/>
    </row>
    <row r="625" spans="1:15" x14ac:dyDescent="0.2">
      <c r="A625"/>
      <c r="B625"/>
      <c r="C625"/>
      <c r="F625"/>
      <c r="G625"/>
      <c r="I625"/>
      <c r="L625"/>
      <c r="M625"/>
      <c r="N625"/>
      <c r="O625"/>
    </row>
    <row r="626" spans="1:15" x14ac:dyDescent="0.2">
      <c r="A626"/>
      <c r="B626"/>
      <c r="C626"/>
      <c r="F626"/>
      <c r="G626"/>
      <c r="I626"/>
      <c r="L626"/>
      <c r="M626"/>
      <c r="N626"/>
      <c r="O626"/>
    </row>
    <row r="627" spans="1:15" x14ac:dyDescent="0.2">
      <c r="A627"/>
      <c r="B627"/>
      <c r="C627"/>
      <c r="F627"/>
      <c r="G627"/>
      <c r="L627"/>
      <c r="M627"/>
      <c r="N627"/>
      <c r="O627"/>
    </row>
    <row r="628" spans="1:15" x14ac:dyDescent="0.2">
      <c r="A628"/>
      <c r="B628"/>
      <c r="C628"/>
      <c r="F628"/>
      <c r="G628"/>
      <c r="J628"/>
      <c r="K628"/>
      <c r="L628"/>
      <c r="M628"/>
      <c r="N628"/>
      <c r="O628"/>
    </row>
    <row r="629" spans="1:15" x14ac:dyDescent="0.2">
      <c r="A629"/>
      <c r="B629"/>
      <c r="C629"/>
      <c r="F629"/>
      <c r="G629"/>
      <c r="L629"/>
      <c r="M629"/>
      <c r="N629"/>
      <c r="O629"/>
    </row>
    <row r="630" spans="1:15" x14ac:dyDescent="0.2">
      <c r="A630"/>
      <c r="B630"/>
      <c r="C630"/>
      <c r="F630"/>
      <c r="G630"/>
      <c r="H630"/>
      <c r="I630"/>
      <c r="L630"/>
      <c r="M630"/>
      <c r="N630"/>
      <c r="O630"/>
    </row>
    <row r="631" spans="1:15" x14ac:dyDescent="0.2">
      <c r="A631"/>
      <c r="B631"/>
      <c r="C631"/>
      <c r="F631"/>
      <c r="G631"/>
      <c r="M631"/>
      <c r="N631"/>
      <c r="O631"/>
    </row>
    <row r="632" spans="1:15" x14ac:dyDescent="0.2">
      <c r="A632"/>
      <c r="B632"/>
      <c r="C632"/>
      <c r="F632"/>
      <c r="G632"/>
      <c r="I632"/>
      <c r="L632"/>
      <c r="M632"/>
      <c r="N632"/>
      <c r="O632"/>
    </row>
    <row r="633" spans="1:15" x14ac:dyDescent="0.2">
      <c r="A633"/>
      <c r="B633"/>
      <c r="C633"/>
      <c r="F633"/>
      <c r="G633"/>
      <c r="H633"/>
      <c r="I633"/>
      <c r="L633"/>
      <c r="M633"/>
      <c r="N633"/>
      <c r="O633"/>
    </row>
    <row r="634" spans="1:15" x14ac:dyDescent="0.2">
      <c r="A634"/>
      <c r="B634"/>
      <c r="C634"/>
      <c r="F634"/>
      <c r="G634"/>
      <c r="L634"/>
      <c r="M634"/>
      <c r="N634"/>
      <c r="O634"/>
    </row>
    <row r="635" spans="1:15" x14ac:dyDescent="0.2">
      <c r="A635"/>
      <c r="B635"/>
      <c r="C635"/>
      <c r="F635"/>
      <c r="G635"/>
      <c r="H635"/>
      <c r="I635"/>
      <c r="L635"/>
      <c r="M635"/>
      <c r="N635"/>
      <c r="O635"/>
    </row>
    <row r="636" spans="1:15" x14ac:dyDescent="0.2">
      <c r="A636"/>
      <c r="B636"/>
      <c r="C636"/>
      <c r="F636"/>
      <c r="G636"/>
      <c r="H636"/>
      <c r="I636"/>
      <c r="L636"/>
      <c r="M636"/>
      <c r="N636"/>
      <c r="O636"/>
    </row>
    <row r="637" spans="1:15" x14ac:dyDescent="0.2">
      <c r="A637"/>
      <c r="B637"/>
      <c r="C637"/>
      <c r="F637"/>
      <c r="G637"/>
      <c r="I637"/>
      <c r="L637"/>
      <c r="M637"/>
      <c r="N637"/>
      <c r="O637"/>
    </row>
    <row r="638" spans="1:15" x14ac:dyDescent="0.2">
      <c r="A638"/>
      <c r="B638"/>
      <c r="C638"/>
      <c r="F638"/>
      <c r="G638"/>
      <c r="H638"/>
      <c r="I638"/>
      <c r="L638"/>
      <c r="M638"/>
      <c r="N638"/>
      <c r="O638"/>
    </row>
    <row r="639" spans="1:15" x14ac:dyDescent="0.2">
      <c r="A639"/>
      <c r="B639"/>
      <c r="C639"/>
      <c r="F639"/>
      <c r="G639"/>
      <c r="H639"/>
      <c r="I639"/>
      <c r="L639"/>
      <c r="M639"/>
      <c r="N639"/>
      <c r="O639"/>
    </row>
    <row r="640" spans="1:15" x14ac:dyDescent="0.2">
      <c r="A640"/>
      <c r="B640"/>
      <c r="C640"/>
      <c r="F640"/>
      <c r="G640"/>
      <c r="H640"/>
      <c r="J640"/>
      <c r="K640"/>
      <c r="L640"/>
      <c r="M640"/>
      <c r="N640"/>
      <c r="O640"/>
    </row>
    <row r="641" spans="1:15" x14ac:dyDescent="0.2">
      <c r="A641"/>
      <c r="B641"/>
      <c r="C641"/>
      <c r="F641"/>
      <c r="G641"/>
      <c r="H641"/>
      <c r="I641"/>
      <c r="L641"/>
      <c r="M641"/>
      <c r="N641"/>
      <c r="O641"/>
    </row>
    <row r="642" spans="1:15" x14ac:dyDescent="0.2">
      <c r="A642"/>
      <c r="B642"/>
      <c r="C642"/>
      <c r="F642"/>
      <c r="G642"/>
      <c r="H642"/>
      <c r="I642"/>
      <c r="L642"/>
      <c r="M642"/>
      <c r="N642"/>
      <c r="O642"/>
    </row>
    <row r="643" spans="1:15" x14ac:dyDescent="0.2">
      <c r="A643"/>
      <c r="B643"/>
      <c r="C643"/>
      <c r="F643"/>
      <c r="G643"/>
      <c r="I643"/>
      <c r="L643"/>
      <c r="M643"/>
      <c r="N643"/>
      <c r="O643"/>
    </row>
    <row r="644" spans="1:15" x14ac:dyDescent="0.2">
      <c r="A644"/>
      <c r="B644"/>
      <c r="C644"/>
      <c r="F644"/>
      <c r="G644"/>
      <c r="I644"/>
      <c r="L644"/>
      <c r="M644"/>
      <c r="N644"/>
      <c r="O644"/>
    </row>
    <row r="645" spans="1:15" x14ac:dyDescent="0.2">
      <c r="A645"/>
      <c r="B645"/>
      <c r="C645"/>
      <c r="F645"/>
      <c r="G645"/>
      <c r="I645"/>
      <c r="L645"/>
      <c r="M645"/>
      <c r="N645"/>
      <c r="O645"/>
    </row>
    <row r="646" spans="1:15" x14ac:dyDescent="0.2">
      <c r="A646"/>
      <c r="B646"/>
      <c r="C646"/>
      <c r="F646"/>
      <c r="G646"/>
      <c r="H646"/>
      <c r="I646"/>
      <c r="L646"/>
      <c r="N646"/>
      <c r="O646"/>
    </row>
    <row r="647" spans="1:15" x14ac:dyDescent="0.2">
      <c r="A647"/>
      <c r="B647"/>
      <c r="C647"/>
      <c r="F647"/>
      <c r="G647"/>
      <c r="H647"/>
      <c r="I647"/>
      <c r="L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I650"/>
      <c r="L650"/>
      <c r="M650"/>
      <c r="N650"/>
      <c r="O650"/>
    </row>
    <row r="651" spans="1:15" x14ac:dyDescent="0.2">
      <c r="A651"/>
      <c r="B651"/>
      <c r="C651"/>
      <c r="F651"/>
      <c r="G651"/>
      <c r="H651"/>
      <c r="I651"/>
      <c r="L651"/>
      <c r="M651"/>
      <c r="N651"/>
      <c r="O651"/>
    </row>
    <row r="652" spans="1:15" x14ac:dyDescent="0.2">
      <c r="A652"/>
      <c r="B652"/>
      <c r="C652"/>
      <c r="F652"/>
      <c r="G652"/>
      <c r="I652"/>
      <c r="L652"/>
      <c r="M652"/>
      <c r="N652"/>
      <c r="O652"/>
    </row>
    <row r="653" spans="1:15" x14ac:dyDescent="0.2">
      <c r="A653"/>
      <c r="B653"/>
      <c r="C653"/>
      <c r="F653"/>
      <c r="G653"/>
      <c r="M653"/>
      <c r="N653"/>
      <c r="O653"/>
    </row>
    <row r="654" spans="1:15" x14ac:dyDescent="0.2">
      <c r="A654"/>
      <c r="B654"/>
      <c r="C654"/>
      <c r="F654"/>
      <c r="G654"/>
      <c r="H654"/>
      <c r="I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H657"/>
      <c r="I657"/>
      <c r="L657"/>
      <c r="M657"/>
      <c r="N657"/>
      <c r="O657"/>
    </row>
    <row r="658" spans="1:15" x14ac:dyDescent="0.2">
      <c r="A658"/>
      <c r="B658"/>
      <c r="C658"/>
      <c r="F658"/>
      <c r="G658"/>
      <c r="L658"/>
      <c r="M658"/>
      <c r="N658"/>
      <c r="O658"/>
    </row>
    <row r="659" spans="1:15" x14ac:dyDescent="0.2">
      <c r="A659"/>
      <c r="B659"/>
      <c r="C659"/>
      <c r="F659"/>
      <c r="G659"/>
      <c r="H659"/>
      <c r="I659"/>
      <c r="L659"/>
      <c r="M659"/>
      <c r="N659"/>
      <c r="O659"/>
    </row>
    <row r="660" spans="1:15" x14ac:dyDescent="0.2">
      <c r="A660"/>
      <c r="B660"/>
      <c r="C660"/>
      <c r="F660"/>
      <c r="G660"/>
      <c r="H660"/>
      <c r="I660"/>
      <c r="L660"/>
      <c r="M660"/>
      <c r="N660"/>
      <c r="O660"/>
    </row>
    <row r="661" spans="1:15" x14ac:dyDescent="0.2">
      <c r="A661"/>
      <c r="B661"/>
      <c r="C661"/>
      <c r="F661"/>
      <c r="G661"/>
      <c r="H661"/>
      <c r="I661"/>
      <c r="L661"/>
      <c r="N661"/>
      <c r="O661"/>
    </row>
    <row r="662" spans="1:15" x14ac:dyDescent="0.2">
      <c r="A662"/>
      <c r="B662"/>
      <c r="C662"/>
      <c r="F662"/>
      <c r="G662"/>
      <c r="H662"/>
      <c r="I662"/>
      <c r="L662"/>
      <c r="M662"/>
      <c r="N662"/>
      <c r="O662"/>
    </row>
    <row r="663" spans="1:15" x14ac:dyDescent="0.2">
      <c r="A663"/>
      <c r="B663"/>
      <c r="C663"/>
      <c r="F663"/>
      <c r="G663"/>
      <c r="J663"/>
      <c r="K663"/>
      <c r="L663"/>
      <c r="M663"/>
      <c r="N663"/>
      <c r="O663"/>
    </row>
    <row r="664" spans="1:15" x14ac:dyDescent="0.2">
      <c r="A664"/>
      <c r="B664"/>
      <c r="C664"/>
      <c r="F664"/>
      <c r="G664"/>
      <c r="H664"/>
      <c r="I664"/>
      <c r="L664"/>
      <c r="M664"/>
      <c r="N664"/>
      <c r="O664"/>
    </row>
    <row r="665" spans="1:15" x14ac:dyDescent="0.2">
      <c r="A665"/>
      <c r="B665"/>
      <c r="C665"/>
      <c r="F665"/>
      <c r="G665"/>
      <c r="H665"/>
      <c r="I665"/>
      <c r="L665"/>
      <c r="M665"/>
      <c r="N665"/>
      <c r="O665"/>
    </row>
    <row r="666" spans="1:15" x14ac:dyDescent="0.2">
      <c r="A666"/>
      <c r="B666"/>
      <c r="C666"/>
      <c r="F666"/>
      <c r="G666"/>
      <c r="I666"/>
      <c r="L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I670"/>
      <c r="L670"/>
      <c r="M670"/>
      <c r="N670"/>
      <c r="O670"/>
    </row>
    <row r="671" spans="1:15" x14ac:dyDescent="0.2">
      <c r="A671"/>
      <c r="B671"/>
      <c r="C671"/>
      <c r="F671"/>
      <c r="G671"/>
      <c r="H671"/>
      <c r="I671"/>
      <c r="L671"/>
      <c r="M671"/>
      <c r="N671"/>
      <c r="O671"/>
    </row>
    <row r="672" spans="1:15" x14ac:dyDescent="0.2">
      <c r="A672"/>
      <c r="B672"/>
      <c r="C672"/>
      <c r="F672"/>
      <c r="G672"/>
      <c r="L672"/>
      <c r="M672"/>
      <c r="N672"/>
      <c r="O672"/>
    </row>
    <row r="673" spans="1:15" x14ac:dyDescent="0.2">
      <c r="A673"/>
      <c r="B673"/>
      <c r="C673"/>
      <c r="F673"/>
      <c r="G673"/>
      <c r="I673"/>
      <c r="L673"/>
      <c r="M673"/>
      <c r="N673"/>
      <c r="O673"/>
    </row>
    <row r="674" spans="1:15" x14ac:dyDescent="0.2">
      <c r="A674"/>
      <c r="B674"/>
      <c r="C674"/>
      <c r="F674"/>
      <c r="G674"/>
      <c r="H674"/>
      <c r="I674"/>
      <c r="L674"/>
      <c r="M674"/>
      <c r="N674"/>
      <c r="O674"/>
    </row>
    <row r="675" spans="1:15" x14ac:dyDescent="0.2">
      <c r="A675"/>
      <c r="B675"/>
      <c r="C675"/>
      <c r="F675"/>
      <c r="G675"/>
      <c r="H675"/>
      <c r="I675"/>
      <c r="L675"/>
      <c r="N675"/>
      <c r="O675"/>
    </row>
    <row r="676" spans="1:15" x14ac:dyDescent="0.2">
      <c r="A676"/>
      <c r="B676"/>
      <c r="C676"/>
      <c r="F676"/>
      <c r="G676"/>
      <c r="H676"/>
      <c r="I676"/>
      <c r="L676"/>
      <c r="M676"/>
      <c r="N676"/>
      <c r="O676"/>
    </row>
    <row r="677" spans="1:15" x14ac:dyDescent="0.2">
      <c r="A677"/>
      <c r="B677"/>
      <c r="C677"/>
      <c r="F677"/>
      <c r="G677"/>
      <c r="H677"/>
      <c r="J677"/>
      <c r="L677"/>
      <c r="M677"/>
      <c r="N677"/>
      <c r="O677"/>
    </row>
    <row r="678" spans="1:15" x14ac:dyDescent="0.2">
      <c r="A678"/>
      <c r="B678"/>
      <c r="C678"/>
      <c r="F678"/>
      <c r="G678"/>
      <c r="H678"/>
      <c r="I678"/>
      <c r="L678"/>
      <c r="M678"/>
      <c r="N678"/>
      <c r="O678"/>
    </row>
    <row r="679" spans="1:15" x14ac:dyDescent="0.2">
      <c r="A679"/>
      <c r="B679"/>
      <c r="C679"/>
      <c r="F679"/>
      <c r="G679"/>
      <c r="I679"/>
      <c r="L679"/>
      <c r="M679"/>
      <c r="N679"/>
      <c r="O679"/>
    </row>
    <row r="680" spans="1:15" x14ac:dyDescent="0.2">
      <c r="A680"/>
      <c r="B680"/>
      <c r="C680"/>
      <c r="F680"/>
      <c r="G680"/>
      <c r="M680"/>
      <c r="N680"/>
      <c r="O680"/>
    </row>
    <row r="681" spans="1:15" x14ac:dyDescent="0.2">
      <c r="A681"/>
      <c r="B681"/>
      <c r="C681"/>
      <c r="F681"/>
      <c r="G681"/>
      <c r="H681"/>
      <c r="M681"/>
      <c r="N681"/>
      <c r="O681"/>
    </row>
    <row r="682" spans="1:15" x14ac:dyDescent="0.2">
      <c r="A682"/>
      <c r="B682"/>
      <c r="C682"/>
      <c r="F682"/>
      <c r="G682"/>
      <c r="L682"/>
      <c r="M682"/>
      <c r="N682"/>
      <c r="O682"/>
    </row>
    <row r="683" spans="1:15" x14ac:dyDescent="0.2">
      <c r="A683"/>
      <c r="B683"/>
      <c r="C683"/>
      <c r="F683"/>
      <c r="G683"/>
      <c r="H683"/>
      <c r="I683"/>
      <c r="L683"/>
      <c r="M683"/>
      <c r="N683"/>
      <c r="O683"/>
    </row>
    <row r="684" spans="1:15" x14ac:dyDescent="0.2">
      <c r="A684"/>
      <c r="B684"/>
      <c r="C684"/>
      <c r="F684"/>
      <c r="G684"/>
      <c r="H684"/>
      <c r="I684"/>
      <c r="L684"/>
      <c r="M684"/>
      <c r="N684"/>
      <c r="O684"/>
    </row>
    <row r="685" spans="1:15" x14ac:dyDescent="0.2">
      <c r="A685"/>
      <c r="B685"/>
      <c r="C685"/>
      <c r="F685"/>
      <c r="G685"/>
      <c r="M685"/>
      <c r="N685"/>
      <c r="O685"/>
    </row>
    <row r="686" spans="1:15" x14ac:dyDescent="0.2">
      <c r="A686"/>
      <c r="B686"/>
      <c r="C686"/>
      <c r="F686"/>
      <c r="G686"/>
      <c r="H686"/>
      <c r="I686"/>
      <c r="L686"/>
      <c r="M686"/>
      <c r="N686"/>
      <c r="O686"/>
    </row>
    <row r="687" spans="1:15" x14ac:dyDescent="0.2">
      <c r="A687"/>
      <c r="B687"/>
      <c r="C687"/>
      <c r="F687"/>
      <c r="G687"/>
      <c r="L687"/>
      <c r="M687"/>
      <c r="N687"/>
      <c r="O687"/>
    </row>
    <row r="688" spans="1:15" x14ac:dyDescent="0.2">
      <c r="A688"/>
      <c r="B688"/>
      <c r="C688"/>
      <c r="F688"/>
      <c r="G688"/>
      <c r="H688"/>
      <c r="I688"/>
      <c r="L688"/>
      <c r="M688"/>
      <c r="N688"/>
      <c r="O688"/>
    </row>
    <row r="689" spans="1:15" x14ac:dyDescent="0.2">
      <c r="A689"/>
      <c r="B689"/>
      <c r="C689"/>
      <c r="F689"/>
      <c r="G689"/>
      <c r="H689"/>
      <c r="I689"/>
      <c r="L689"/>
      <c r="M689"/>
      <c r="N689"/>
      <c r="O689"/>
    </row>
    <row r="690" spans="1:15" x14ac:dyDescent="0.2">
      <c r="A690"/>
      <c r="B690"/>
      <c r="C690"/>
      <c r="F690"/>
      <c r="G690"/>
      <c r="H690"/>
      <c r="I690"/>
      <c r="L690"/>
      <c r="M690"/>
      <c r="N690"/>
      <c r="O690"/>
    </row>
    <row r="691" spans="1:15" x14ac:dyDescent="0.2">
      <c r="A691"/>
      <c r="B691"/>
      <c r="C691"/>
      <c r="F691"/>
      <c r="G691"/>
      <c r="H691"/>
      <c r="I691"/>
      <c r="L691"/>
      <c r="M691"/>
      <c r="N691"/>
      <c r="O691"/>
    </row>
    <row r="692" spans="1:15" x14ac:dyDescent="0.2">
      <c r="A692"/>
      <c r="B692"/>
      <c r="C692"/>
      <c r="F692"/>
      <c r="G692"/>
      <c r="M692"/>
      <c r="N692"/>
      <c r="O692"/>
    </row>
    <row r="693" spans="1:15" x14ac:dyDescent="0.2">
      <c r="A693"/>
      <c r="B693"/>
      <c r="C693"/>
      <c r="F693"/>
      <c r="G693"/>
      <c r="L693"/>
      <c r="M693"/>
      <c r="N693"/>
      <c r="O693"/>
    </row>
    <row r="694" spans="1:15" x14ac:dyDescent="0.2">
      <c r="A694"/>
      <c r="B694"/>
      <c r="C694"/>
      <c r="F694"/>
      <c r="G694"/>
      <c r="I694"/>
      <c r="L694"/>
      <c r="M694"/>
      <c r="N694"/>
      <c r="O694"/>
    </row>
    <row r="695" spans="1:15" x14ac:dyDescent="0.2">
      <c r="A695"/>
      <c r="B695"/>
      <c r="C695"/>
      <c r="F695"/>
      <c r="G695"/>
      <c r="H695"/>
      <c r="I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H698"/>
      <c r="I698"/>
      <c r="L698"/>
      <c r="M698"/>
      <c r="N698"/>
      <c r="O698"/>
    </row>
    <row r="699" spans="1:15" x14ac:dyDescent="0.2">
      <c r="A699"/>
      <c r="B699"/>
      <c r="C699"/>
      <c r="F699"/>
      <c r="G699"/>
      <c r="H699"/>
      <c r="I699"/>
      <c r="L699"/>
      <c r="N699"/>
      <c r="O699"/>
    </row>
    <row r="700" spans="1:15" x14ac:dyDescent="0.2">
      <c r="A700"/>
      <c r="B700"/>
      <c r="C700"/>
      <c r="F700"/>
      <c r="G700"/>
      <c r="M700"/>
      <c r="N700"/>
      <c r="O700"/>
    </row>
    <row r="701" spans="1:15" x14ac:dyDescent="0.2">
      <c r="A701"/>
      <c r="B701"/>
      <c r="C701"/>
      <c r="F701"/>
      <c r="G701"/>
      <c r="H701"/>
      <c r="I701"/>
      <c r="L701"/>
      <c r="M701"/>
      <c r="N701"/>
      <c r="O701"/>
    </row>
    <row r="702" spans="1:15" x14ac:dyDescent="0.2">
      <c r="A702"/>
      <c r="B702"/>
      <c r="C702"/>
      <c r="F702"/>
      <c r="G702"/>
      <c r="H702"/>
      <c r="I702"/>
      <c r="L702"/>
      <c r="M702"/>
      <c r="N702"/>
      <c r="O702"/>
    </row>
    <row r="703" spans="1:15" x14ac:dyDescent="0.2">
      <c r="A703"/>
      <c r="B703"/>
      <c r="C703"/>
      <c r="F703"/>
      <c r="G703"/>
      <c r="M703"/>
      <c r="N703"/>
      <c r="O703"/>
    </row>
    <row r="704" spans="1:15" x14ac:dyDescent="0.2">
      <c r="A704"/>
      <c r="B704"/>
      <c r="C704"/>
      <c r="F704"/>
      <c r="G704"/>
      <c r="I704"/>
      <c r="L704"/>
      <c r="M704"/>
      <c r="N704"/>
      <c r="O704"/>
    </row>
    <row r="705" spans="1:15" x14ac:dyDescent="0.2">
      <c r="A705"/>
      <c r="B705"/>
      <c r="C705"/>
      <c r="F705"/>
      <c r="G705"/>
      <c r="J705"/>
      <c r="K705"/>
      <c r="L705"/>
      <c r="M705"/>
      <c r="N705"/>
      <c r="O705"/>
    </row>
    <row r="706" spans="1:15" x14ac:dyDescent="0.2">
      <c r="A706"/>
      <c r="B706"/>
      <c r="C706"/>
      <c r="F706"/>
      <c r="G706"/>
      <c r="H706"/>
      <c r="I706"/>
      <c r="L706"/>
      <c r="M706"/>
      <c r="N706"/>
      <c r="O706"/>
    </row>
    <row r="707" spans="1:15" x14ac:dyDescent="0.2">
      <c r="A707"/>
      <c r="B707"/>
      <c r="C707"/>
      <c r="F707"/>
      <c r="G707"/>
      <c r="I707"/>
      <c r="L707"/>
      <c r="M707"/>
      <c r="N707"/>
      <c r="O707"/>
    </row>
    <row r="708" spans="1:15" x14ac:dyDescent="0.2">
      <c r="A708"/>
      <c r="B708"/>
      <c r="C708"/>
      <c r="F708"/>
      <c r="G708"/>
      <c r="L708"/>
      <c r="M708"/>
      <c r="N708"/>
      <c r="O708"/>
    </row>
    <row r="709" spans="1:15" x14ac:dyDescent="0.2">
      <c r="A709"/>
      <c r="B709"/>
      <c r="C709"/>
      <c r="F709"/>
      <c r="G709"/>
      <c r="H709"/>
      <c r="J709"/>
      <c r="K709"/>
      <c r="L709"/>
      <c r="M709"/>
      <c r="N709"/>
      <c r="O709"/>
    </row>
    <row r="710" spans="1:15" x14ac:dyDescent="0.2">
      <c r="A710"/>
      <c r="B710"/>
      <c r="C710"/>
      <c r="F710"/>
      <c r="G710"/>
      <c r="H710"/>
      <c r="J710"/>
      <c r="K710"/>
      <c r="L710"/>
      <c r="M710"/>
      <c r="N710"/>
      <c r="O710"/>
    </row>
    <row r="711" spans="1:15" x14ac:dyDescent="0.2">
      <c r="A711"/>
      <c r="B711"/>
      <c r="C711"/>
      <c r="F711"/>
      <c r="G711"/>
      <c r="H711"/>
      <c r="J711"/>
      <c r="K711"/>
      <c r="L711"/>
      <c r="M711"/>
      <c r="N711"/>
      <c r="O711"/>
    </row>
    <row r="712" spans="1:15" x14ac:dyDescent="0.2">
      <c r="A712"/>
      <c r="B712"/>
      <c r="C712"/>
      <c r="F712"/>
      <c r="G712"/>
      <c r="I712"/>
      <c r="L712"/>
      <c r="M712"/>
      <c r="N712"/>
      <c r="O712"/>
    </row>
    <row r="713" spans="1:15" x14ac:dyDescent="0.2">
      <c r="A713"/>
      <c r="B713"/>
      <c r="C713"/>
      <c r="F713"/>
      <c r="G713"/>
      <c r="I713"/>
      <c r="L713"/>
      <c r="M713"/>
      <c r="N713"/>
      <c r="O713"/>
    </row>
    <row r="714" spans="1:15" x14ac:dyDescent="0.2">
      <c r="A714"/>
      <c r="B714"/>
      <c r="C714"/>
      <c r="F714"/>
      <c r="G714"/>
      <c r="J714"/>
      <c r="K714"/>
      <c r="L714"/>
      <c r="M714"/>
      <c r="N714"/>
      <c r="O714"/>
    </row>
    <row r="715" spans="1:15" x14ac:dyDescent="0.2">
      <c r="A715"/>
      <c r="B715"/>
      <c r="C715"/>
      <c r="F715"/>
      <c r="G715"/>
      <c r="H715"/>
      <c r="I715"/>
      <c r="J715"/>
      <c r="K715"/>
      <c r="L715"/>
      <c r="M715"/>
      <c r="N715"/>
      <c r="O715"/>
    </row>
    <row r="716" spans="1:15" x14ac:dyDescent="0.2">
      <c r="A716"/>
      <c r="B716"/>
      <c r="C716"/>
      <c r="F716"/>
      <c r="G716"/>
      <c r="H716"/>
      <c r="I716"/>
      <c r="L716"/>
      <c r="M716"/>
      <c r="N716"/>
      <c r="O716"/>
    </row>
    <row r="717" spans="1:15" x14ac:dyDescent="0.2">
      <c r="A717"/>
      <c r="B717"/>
      <c r="C717"/>
      <c r="F717"/>
      <c r="G717"/>
      <c r="H717"/>
      <c r="I717"/>
      <c r="J717"/>
      <c r="K717"/>
      <c r="L717"/>
      <c r="M717"/>
      <c r="N717"/>
      <c r="O717"/>
    </row>
    <row r="718" spans="1:15" x14ac:dyDescent="0.2">
      <c r="A718"/>
      <c r="B718"/>
      <c r="C718"/>
      <c r="F718"/>
      <c r="G718"/>
      <c r="I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H721"/>
      <c r="I721"/>
      <c r="L721"/>
      <c r="M721"/>
      <c r="N721"/>
      <c r="O721"/>
    </row>
    <row r="722" spans="1:15" x14ac:dyDescent="0.2">
      <c r="A722"/>
      <c r="B722"/>
      <c r="C722"/>
      <c r="F722"/>
      <c r="G722"/>
      <c r="H722"/>
      <c r="I722"/>
      <c r="L722"/>
      <c r="M722"/>
      <c r="N722"/>
      <c r="O722"/>
    </row>
    <row r="723" spans="1:15" x14ac:dyDescent="0.2">
      <c r="A723"/>
      <c r="B723"/>
      <c r="C723"/>
      <c r="F723"/>
      <c r="G723"/>
      <c r="I723"/>
      <c r="L723"/>
      <c r="M723"/>
      <c r="N723"/>
      <c r="O723"/>
    </row>
    <row r="724" spans="1:15" x14ac:dyDescent="0.2">
      <c r="A724"/>
      <c r="B724"/>
      <c r="C724"/>
      <c r="F724"/>
      <c r="G724"/>
      <c r="H724"/>
      <c r="I724"/>
      <c r="L724"/>
      <c r="M724"/>
      <c r="N724"/>
      <c r="O724"/>
    </row>
    <row r="725" spans="1:15" x14ac:dyDescent="0.2">
      <c r="A725"/>
      <c r="B725"/>
      <c r="C725"/>
      <c r="F725"/>
      <c r="G725"/>
      <c r="H725"/>
      <c r="I725"/>
      <c r="L725"/>
      <c r="M725"/>
      <c r="N725"/>
      <c r="O725"/>
    </row>
    <row r="726" spans="1:15" x14ac:dyDescent="0.2">
      <c r="A726"/>
      <c r="B726"/>
      <c r="C726"/>
      <c r="F726"/>
      <c r="G726"/>
      <c r="H726"/>
      <c r="I726"/>
      <c r="L726"/>
      <c r="M726"/>
      <c r="N726"/>
      <c r="O726"/>
    </row>
    <row r="727" spans="1:15" x14ac:dyDescent="0.2">
      <c r="A727"/>
      <c r="B727"/>
      <c r="C727"/>
      <c r="F727"/>
      <c r="G727"/>
      <c r="L727"/>
      <c r="M727"/>
      <c r="N727"/>
      <c r="O727"/>
    </row>
    <row r="728" spans="1:15" x14ac:dyDescent="0.2">
      <c r="A728"/>
      <c r="B728"/>
      <c r="C728"/>
      <c r="F728"/>
      <c r="G728"/>
      <c r="H728"/>
      <c r="I728"/>
      <c r="L728"/>
      <c r="M728"/>
      <c r="N728"/>
      <c r="O728"/>
    </row>
    <row r="729" spans="1:15" x14ac:dyDescent="0.2">
      <c r="A729"/>
      <c r="B729"/>
      <c r="C729"/>
      <c r="F729"/>
      <c r="G729"/>
      <c r="H729"/>
      <c r="I729"/>
      <c r="L729"/>
      <c r="M729"/>
      <c r="N729"/>
      <c r="O729"/>
    </row>
    <row r="730" spans="1:15" x14ac:dyDescent="0.2">
      <c r="A730"/>
      <c r="B730"/>
      <c r="C730"/>
      <c r="F730"/>
      <c r="G730"/>
      <c r="I730"/>
      <c r="L730"/>
      <c r="M730"/>
      <c r="N730"/>
      <c r="O730"/>
    </row>
    <row r="731" spans="1:15" x14ac:dyDescent="0.2">
      <c r="A731"/>
      <c r="B731"/>
      <c r="C731"/>
      <c r="F731"/>
      <c r="G731"/>
      <c r="H731"/>
      <c r="L731"/>
      <c r="M731"/>
      <c r="N731"/>
      <c r="O731"/>
    </row>
    <row r="732" spans="1:15" x14ac:dyDescent="0.2">
      <c r="A732"/>
      <c r="B732"/>
      <c r="C732"/>
      <c r="F732"/>
      <c r="G732"/>
      <c r="H732"/>
      <c r="J732"/>
      <c r="K732"/>
      <c r="L732"/>
      <c r="M732"/>
      <c r="N732"/>
      <c r="O732"/>
    </row>
    <row r="733" spans="1:15" x14ac:dyDescent="0.2">
      <c r="A733"/>
      <c r="B733"/>
      <c r="C733"/>
      <c r="F733"/>
      <c r="G733"/>
      <c r="H733"/>
      <c r="I733"/>
      <c r="L733"/>
      <c r="M733"/>
      <c r="N733"/>
      <c r="O733"/>
    </row>
    <row r="734" spans="1:15" x14ac:dyDescent="0.2">
      <c r="A734"/>
      <c r="B734"/>
      <c r="C734"/>
      <c r="F734"/>
      <c r="G734"/>
      <c r="J734"/>
      <c r="K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H737"/>
      <c r="I737"/>
      <c r="K737"/>
      <c r="L737"/>
      <c r="M737"/>
      <c r="N737"/>
      <c r="O737"/>
    </row>
    <row r="738" spans="1:15" x14ac:dyDescent="0.2">
      <c r="A738"/>
      <c r="B738"/>
      <c r="C738"/>
      <c r="F738"/>
      <c r="G738"/>
      <c r="L738"/>
      <c r="M738"/>
      <c r="N738"/>
      <c r="O738"/>
    </row>
    <row r="739" spans="1:15" x14ac:dyDescent="0.2">
      <c r="A739"/>
      <c r="B739"/>
      <c r="C739"/>
      <c r="F739"/>
      <c r="G739"/>
      <c r="H739"/>
      <c r="I739"/>
      <c r="L739"/>
      <c r="M739"/>
      <c r="N739"/>
      <c r="O739"/>
    </row>
    <row r="740" spans="1:15" x14ac:dyDescent="0.2">
      <c r="A740"/>
      <c r="B740"/>
      <c r="C740"/>
      <c r="F740"/>
      <c r="G740"/>
      <c r="J740"/>
      <c r="L740"/>
      <c r="M740"/>
      <c r="N740"/>
      <c r="O740"/>
    </row>
    <row r="741" spans="1:15" x14ac:dyDescent="0.2">
      <c r="A741"/>
      <c r="B741"/>
      <c r="C741"/>
      <c r="F741"/>
      <c r="G741"/>
      <c r="H741"/>
      <c r="L741"/>
      <c r="M741"/>
      <c r="N741"/>
      <c r="O741"/>
    </row>
    <row r="742" spans="1:15" x14ac:dyDescent="0.2">
      <c r="A742"/>
      <c r="B742"/>
      <c r="C742"/>
      <c r="F742"/>
      <c r="G742"/>
      <c r="H742"/>
      <c r="I742"/>
      <c r="L742"/>
      <c r="M742"/>
      <c r="N742"/>
      <c r="O742"/>
    </row>
    <row r="743" spans="1:15" x14ac:dyDescent="0.2">
      <c r="A743"/>
      <c r="B743"/>
      <c r="C743"/>
      <c r="F743"/>
      <c r="G743"/>
      <c r="L743"/>
      <c r="M743"/>
      <c r="N743"/>
      <c r="O743"/>
    </row>
    <row r="744" spans="1:15" x14ac:dyDescent="0.2">
      <c r="A744"/>
      <c r="B744"/>
      <c r="C744"/>
      <c r="F744"/>
      <c r="G744"/>
      <c r="J744"/>
      <c r="K744"/>
      <c r="L744"/>
      <c r="M744"/>
      <c r="N744"/>
      <c r="O744"/>
    </row>
    <row r="745" spans="1:15" x14ac:dyDescent="0.2">
      <c r="A745"/>
      <c r="B745"/>
      <c r="C745"/>
      <c r="F745"/>
      <c r="G745"/>
      <c r="H745"/>
      <c r="I745"/>
      <c r="L745"/>
      <c r="M745"/>
      <c r="N745"/>
      <c r="O745"/>
    </row>
    <row r="746" spans="1:15" x14ac:dyDescent="0.2">
      <c r="A746"/>
      <c r="B746"/>
      <c r="C746"/>
      <c r="F746"/>
      <c r="G746"/>
      <c r="M746"/>
      <c r="N746"/>
      <c r="O746"/>
    </row>
    <row r="747" spans="1:15" x14ac:dyDescent="0.2">
      <c r="A747"/>
      <c r="B747"/>
      <c r="C747"/>
      <c r="F747"/>
      <c r="G747"/>
      <c r="H747"/>
      <c r="I747"/>
      <c r="L747"/>
      <c r="M747"/>
      <c r="N747"/>
      <c r="O747"/>
    </row>
    <row r="748" spans="1:15" x14ac:dyDescent="0.2">
      <c r="A748"/>
      <c r="B748"/>
      <c r="C748"/>
      <c r="F748"/>
      <c r="G748"/>
      <c r="I748"/>
      <c r="L748"/>
      <c r="M748"/>
      <c r="N748"/>
      <c r="O748"/>
    </row>
    <row r="749" spans="1:15" x14ac:dyDescent="0.2">
      <c r="A749"/>
      <c r="B749"/>
      <c r="C749"/>
      <c r="F749"/>
      <c r="G749"/>
      <c r="H749"/>
      <c r="I749"/>
      <c r="L749"/>
      <c r="M749"/>
      <c r="N749"/>
      <c r="O749"/>
    </row>
    <row r="750" spans="1:15" x14ac:dyDescent="0.2">
      <c r="A750"/>
      <c r="B750"/>
      <c r="C750"/>
      <c r="F750"/>
      <c r="G750"/>
      <c r="H750"/>
      <c r="I750"/>
      <c r="L750"/>
      <c r="M750"/>
      <c r="N750"/>
      <c r="O750"/>
    </row>
    <row r="751" spans="1:15" x14ac:dyDescent="0.2">
      <c r="A751"/>
      <c r="B751"/>
      <c r="C751"/>
      <c r="F751"/>
      <c r="G751"/>
      <c r="H751"/>
      <c r="I751"/>
      <c r="L751"/>
      <c r="N751"/>
      <c r="O751"/>
    </row>
    <row r="752" spans="1:15" x14ac:dyDescent="0.2">
      <c r="A752"/>
      <c r="B752"/>
      <c r="C752"/>
      <c r="F752"/>
      <c r="G752"/>
      <c r="H752"/>
      <c r="I752"/>
      <c r="L752"/>
      <c r="M752"/>
      <c r="N752"/>
      <c r="O752"/>
    </row>
    <row r="753" spans="1:15" x14ac:dyDescent="0.2">
      <c r="A753"/>
      <c r="B753"/>
      <c r="C753"/>
      <c r="F753"/>
      <c r="G753"/>
      <c r="H753"/>
      <c r="I753"/>
      <c r="L753"/>
      <c r="M753"/>
      <c r="N753"/>
      <c r="O753"/>
    </row>
    <row r="754" spans="1:15" x14ac:dyDescent="0.2">
      <c r="A754"/>
      <c r="B754"/>
      <c r="C754"/>
      <c r="F754"/>
      <c r="G754"/>
      <c r="L754"/>
      <c r="M754"/>
      <c r="N754"/>
      <c r="O754"/>
    </row>
    <row r="755" spans="1:15" x14ac:dyDescent="0.2">
      <c r="A755"/>
      <c r="B755"/>
      <c r="C755"/>
      <c r="F755"/>
      <c r="G755"/>
      <c r="H755"/>
      <c r="I755"/>
      <c r="L755"/>
      <c r="M755"/>
      <c r="N755"/>
      <c r="O755"/>
    </row>
    <row r="756" spans="1:15" x14ac:dyDescent="0.2">
      <c r="A756"/>
      <c r="B756"/>
      <c r="C756"/>
      <c r="F756"/>
      <c r="G756"/>
      <c r="L756"/>
      <c r="M756"/>
      <c r="N756"/>
      <c r="O756"/>
    </row>
    <row r="757" spans="1:15" x14ac:dyDescent="0.2">
      <c r="A757"/>
      <c r="B757"/>
      <c r="C757"/>
      <c r="F757"/>
      <c r="G757"/>
      <c r="H757"/>
      <c r="I757"/>
      <c r="L757"/>
      <c r="M757"/>
      <c r="N757"/>
      <c r="O757"/>
    </row>
    <row r="758" spans="1:15" x14ac:dyDescent="0.2">
      <c r="A758"/>
      <c r="B758"/>
      <c r="C758"/>
      <c r="F758"/>
      <c r="G758"/>
      <c r="H758"/>
      <c r="I758"/>
      <c r="L758"/>
      <c r="M758"/>
      <c r="N758"/>
      <c r="O758"/>
    </row>
    <row r="759" spans="1:15" x14ac:dyDescent="0.2">
      <c r="A759"/>
      <c r="B759"/>
      <c r="C759"/>
      <c r="F759"/>
      <c r="G759"/>
      <c r="L759"/>
      <c r="M759"/>
      <c r="N759"/>
      <c r="O759"/>
    </row>
    <row r="760" spans="1:15" x14ac:dyDescent="0.2">
      <c r="A760"/>
      <c r="B760"/>
      <c r="C760"/>
      <c r="F760"/>
      <c r="G760"/>
      <c r="H760"/>
      <c r="I760"/>
      <c r="L760"/>
      <c r="M760"/>
      <c r="N760"/>
      <c r="O760"/>
    </row>
    <row r="761" spans="1:15" x14ac:dyDescent="0.2">
      <c r="A761"/>
      <c r="B761"/>
      <c r="C761"/>
      <c r="F761"/>
      <c r="G761"/>
      <c r="H761"/>
      <c r="I761"/>
      <c r="L761"/>
      <c r="M761"/>
      <c r="N761"/>
      <c r="O761"/>
    </row>
    <row r="762" spans="1:15" x14ac:dyDescent="0.2">
      <c r="A762"/>
      <c r="B762"/>
      <c r="C762"/>
      <c r="F762"/>
      <c r="G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H766"/>
      <c r="J766"/>
      <c r="K766"/>
      <c r="L766"/>
      <c r="M766"/>
      <c r="N766"/>
      <c r="O766"/>
    </row>
    <row r="767" spans="1:15" x14ac:dyDescent="0.2">
      <c r="A767"/>
      <c r="B767"/>
      <c r="C767"/>
      <c r="F767"/>
      <c r="G767"/>
      <c r="H767"/>
      <c r="L767"/>
      <c r="M767"/>
      <c r="N767"/>
      <c r="O767"/>
    </row>
    <row r="768" spans="1:15" x14ac:dyDescent="0.2">
      <c r="A768"/>
      <c r="B768"/>
      <c r="C768"/>
      <c r="F768"/>
      <c r="G768"/>
      <c r="H768"/>
      <c r="I768"/>
      <c r="L768"/>
      <c r="M768"/>
      <c r="N768"/>
      <c r="O768"/>
    </row>
    <row r="769" spans="1:15" x14ac:dyDescent="0.2">
      <c r="A769"/>
      <c r="B769"/>
      <c r="C769"/>
      <c r="F769"/>
      <c r="G769"/>
      <c r="I769"/>
      <c r="L769"/>
      <c r="M769"/>
      <c r="N769"/>
      <c r="O769"/>
    </row>
    <row r="770" spans="1:15" x14ac:dyDescent="0.2">
      <c r="A770"/>
      <c r="B770"/>
      <c r="C770"/>
      <c r="F770"/>
      <c r="G770"/>
      <c r="H770"/>
      <c r="J770"/>
      <c r="K770"/>
      <c r="L770"/>
      <c r="M770"/>
      <c r="N770"/>
      <c r="O770"/>
    </row>
    <row r="771" spans="1:15" x14ac:dyDescent="0.2">
      <c r="A771"/>
      <c r="B771"/>
      <c r="C771"/>
      <c r="F771"/>
      <c r="G771"/>
      <c r="H771"/>
      <c r="I771"/>
      <c r="L771"/>
      <c r="M771"/>
      <c r="N771"/>
      <c r="O771"/>
    </row>
    <row r="772" spans="1:15" x14ac:dyDescent="0.2">
      <c r="A772"/>
      <c r="B772"/>
      <c r="C772"/>
      <c r="F772"/>
      <c r="G772"/>
      <c r="H772"/>
      <c r="I772"/>
      <c r="L772"/>
      <c r="M772"/>
      <c r="N772"/>
      <c r="O772"/>
    </row>
    <row r="773" spans="1:15" x14ac:dyDescent="0.2">
      <c r="A773"/>
      <c r="B773"/>
      <c r="C773"/>
      <c r="F773"/>
      <c r="G773"/>
      <c r="H773"/>
      <c r="I773"/>
      <c r="L773"/>
      <c r="M773"/>
      <c r="N773"/>
      <c r="O773"/>
    </row>
    <row r="774" spans="1:15" x14ac:dyDescent="0.2">
      <c r="A774"/>
      <c r="B774"/>
      <c r="C774"/>
      <c r="F774"/>
      <c r="G774"/>
      <c r="H774"/>
      <c r="I774"/>
      <c r="L774"/>
      <c r="M774"/>
      <c r="N774"/>
      <c r="O774"/>
    </row>
    <row r="775" spans="1:15" x14ac:dyDescent="0.2">
      <c r="A775"/>
      <c r="B775"/>
      <c r="C775"/>
      <c r="F775"/>
      <c r="G775"/>
      <c r="M775"/>
      <c r="N775"/>
      <c r="O775"/>
    </row>
    <row r="776" spans="1:15" x14ac:dyDescent="0.2">
      <c r="A776"/>
      <c r="B776"/>
      <c r="C776"/>
      <c r="F776"/>
      <c r="G776"/>
      <c r="I776"/>
      <c r="L776"/>
      <c r="M776"/>
      <c r="N776"/>
      <c r="O776"/>
    </row>
    <row r="777" spans="1:15" x14ac:dyDescent="0.2">
      <c r="A777"/>
      <c r="B777"/>
      <c r="C777"/>
      <c r="F777"/>
      <c r="G777"/>
      <c r="H777"/>
      <c r="I777"/>
      <c r="L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L780"/>
      <c r="M780"/>
      <c r="N780"/>
      <c r="O780"/>
    </row>
    <row r="781" spans="1:15" x14ac:dyDescent="0.2">
      <c r="A781"/>
      <c r="B781"/>
      <c r="C781"/>
      <c r="F781"/>
      <c r="G781"/>
      <c r="L781"/>
      <c r="M781"/>
      <c r="N781"/>
      <c r="O781"/>
    </row>
    <row r="782" spans="1:15" x14ac:dyDescent="0.2">
      <c r="A782"/>
      <c r="B782"/>
      <c r="C782"/>
      <c r="F782"/>
      <c r="G782"/>
      <c r="H782"/>
      <c r="J782"/>
      <c r="K782"/>
      <c r="L782"/>
      <c r="M782"/>
      <c r="N782"/>
      <c r="O782"/>
    </row>
    <row r="783" spans="1:15" x14ac:dyDescent="0.2">
      <c r="A783"/>
      <c r="B783"/>
      <c r="C783"/>
      <c r="F783"/>
      <c r="G783"/>
      <c r="H783"/>
      <c r="I783"/>
      <c r="L783"/>
      <c r="M783"/>
      <c r="N783"/>
      <c r="O783"/>
    </row>
    <row r="784" spans="1:15" x14ac:dyDescent="0.2">
      <c r="A784"/>
      <c r="B784"/>
      <c r="C784"/>
      <c r="F784"/>
      <c r="G784"/>
      <c r="L784"/>
      <c r="M784"/>
      <c r="N784"/>
      <c r="O784"/>
    </row>
    <row r="785" spans="1:15" x14ac:dyDescent="0.2">
      <c r="A785"/>
      <c r="B785"/>
      <c r="C785"/>
      <c r="F785"/>
      <c r="G785"/>
      <c r="M785"/>
      <c r="N785"/>
      <c r="O785"/>
    </row>
    <row r="786" spans="1:15" x14ac:dyDescent="0.2">
      <c r="A786"/>
      <c r="B786"/>
      <c r="C786"/>
      <c r="F786"/>
      <c r="G786"/>
      <c r="H786"/>
      <c r="I786"/>
      <c r="L786"/>
      <c r="N786"/>
      <c r="O786"/>
    </row>
    <row r="787" spans="1:15" x14ac:dyDescent="0.2">
      <c r="A787"/>
      <c r="B787"/>
      <c r="C787"/>
      <c r="F787"/>
      <c r="G787"/>
      <c r="H787"/>
      <c r="J787"/>
      <c r="K787"/>
      <c r="L787"/>
      <c r="M787"/>
      <c r="N787"/>
      <c r="O787"/>
    </row>
    <row r="788" spans="1:15" x14ac:dyDescent="0.2">
      <c r="A788"/>
      <c r="B788"/>
      <c r="C788"/>
      <c r="F788"/>
      <c r="G788"/>
      <c r="H788"/>
      <c r="J788"/>
      <c r="K788"/>
      <c r="L788"/>
      <c r="M788"/>
      <c r="N788"/>
      <c r="O788"/>
    </row>
    <row r="789" spans="1:15" x14ac:dyDescent="0.2">
      <c r="A789"/>
      <c r="B789"/>
      <c r="C789"/>
      <c r="F789"/>
      <c r="G789"/>
      <c r="H789"/>
      <c r="J789"/>
      <c r="K789"/>
      <c r="L789"/>
      <c r="M789"/>
      <c r="N789"/>
      <c r="O789"/>
    </row>
    <row r="790" spans="1:15" x14ac:dyDescent="0.2">
      <c r="A790"/>
      <c r="B790"/>
      <c r="C790"/>
      <c r="F790"/>
      <c r="G790"/>
      <c r="J790"/>
      <c r="K790"/>
      <c r="L790"/>
      <c r="M790"/>
      <c r="N790"/>
      <c r="O790"/>
    </row>
    <row r="791" spans="1:15" x14ac:dyDescent="0.2">
      <c r="A791"/>
      <c r="B791"/>
      <c r="C791"/>
      <c r="F791"/>
      <c r="G791"/>
      <c r="H791"/>
      <c r="J791"/>
      <c r="K791"/>
      <c r="L791"/>
      <c r="M791"/>
      <c r="N791"/>
      <c r="O791"/>
    </row>
    <row r="792" spans="1:15" x14ac:dyDescent="0.2">
      <c r="A792"/>
      <c r="B792"/>
      <c r="C792"/>
      <c r="F792"/>
      <c r="G792"/>
      <c r="H792"/>
      <c r="I792"/>
      <c r="L792"/>
      <c r="M792"/>
      <c r="N792"/>
      <c r="O792"/>
    </row>
    <row r="793" spans="1:15" x14ac:dyDescent="0.2">
      <c r="A793"/>
      <c r="B793"/>
      <c r="C793"/>
      <c r="F793"/>
      <c r="G793"/>
      <c r="H793"/>
      <c r="J793"/>
      <c r="K793"/>
      <c r="L793"/>
      <c r="M793"/>
      <c r="N793"/>
      <c r="O793"/>
    </row>
    <row r="794" spans="1:15" x14ac:dyDescent="0.2">
      <c r="A794"/>
      <c r="B794"/>
      <c r="C794"/>
      <c r="F794"/>
      <c r="G794"/>
      <c r="H794"/>
      <c r="I794"/>
      <c r="L794"/>
      <c r="M794"/>
      <c r="N794"/>
      <c r="O794"/>
    </row>
    <row r="795" spans="1:15" x14ac:dyDescent="0.2">
      <c r="A795"/>
      <c r="B795"/>
      <c r="C795"/>
      <c r="F795"/>
      <c r="G795"/>
      <c r="L795"/>
      <c r="M795"/>
      <c r="N795"/>
      <c r="O795"/>
    </row>
    <row r="796" spans="1:15" x14ac:dyDescent="0.2">
      <c r="A796"/>
      <c r="B796"/>
      <c r="C796"/>
      <c r="F796"/>
      <c r="G796"/>
      <c r="L796"/>
      <c r="M796"/>
      <c r="N796"/>
      <c r="O796"/>
    </row>
    <row r="797" spans="1:15" x14ac:dyDescent="0.2">
      <c r="A797"/>
      <c r="B797"/>
      <c r="C797"/>
      <c r="F797"/>
      <c r="G797"/>
      <c r="I797"/>
      <c r="L797"/>
      <c r="M797"/>
      <c r="N797"/>
      <c r="O797"/>
    </row>
    <row r="798" spans="1:15" x14ac:dyDescent="0.2">
      <c r="A798"/>
      <c r="B798"/>
      <c r="C798"/>
      <c r="F798"/>
      <c r="G798"/>
      <c r="H798"/>
      <c r="I798"/>
      <c r="L798"/>
      <c r="M798"/>
      <c r="N798"/>
      <c r="O798"/>
    </row>
    <row r="799" spans="1:15" x14ac:dyDescent="0.2">
      <c r="A799"/>
      <c r="B799"/>
      <c r="C799"/>
      <c r="F799"/>
      <c r="G799"/>
      <c r="H799"/>
      <c r="I799"/>
      <c r="L799"/>
      <c r="N799"/>
      <c r="O799"/>
    </row>
    <row r="800" spans="1:15" x14ac:dyDescent="0.2">
      <c r="A800"/>
      <c r="B800"/>
      <c r="C800"/>
      <c r="F800"/>
      <c r="G800"/>
      <c r="H800"/>
      <c r="L800"/>
      <c r="M800"/>
      <c r="N800"/>
      <c r="O800"/>
    </row>
    <row r="801" spans="1:15" x14ac:dyDescent="0.2">
      <c r="A801"/>
      <c r="B801"/>
      <c r="C801"/>
      <c r="F801"/>
      <c r="G801"/>
      <c r="L801"/>
      <c r="M801"/>
      <c r="N801"/>
      <c r="O801"/>
    </row>
    <row r="802" spans="1:15" x14ac:dyDescent="0.2">
      <c r="A802"/>
      <c r="B802"/>
      <c r="C802"/>
      <c r="F802"/>
      <c r="G802"/>
      <c r="I802"/>
      <c r="L802"/>
      <c r="M802"/>
      <c r="N802"/>
      <c r="O802"/>
    </row>
    <row r="803" spans="1:15" x14ac:dyDescent="0.2">
      <c r="A803"/>
      <c r="B803"/>
      <c r="C803"/>
      <c r="F803"/>
      <c r="G803"/>
      <c r="L803"/>
      <c r="M803"/>
      <c r="N803"/>
      <c r="O803"/>
    </row>
    <row r="804" spans="1:15" x14ac:dyDescent="0.2">
      <c r="A804"/>
      <c r="B804"/>
      <c r="C804"/>
      <c r="F804"/>
      <c r="G804"/>
      <c r="H804"/>
      <c r="I804"/>
      <c r="J804"/>
      <c r="K804"/>
      <c r="L804"/>
      <c r="M804"/>
      <c r="N804"/>
      <c r="O804"/>
    </row>
    <row r="805" spans="1:15" x14ac:dyDescent="0.2">
      <c r="A805"/>
      <c r="B805"/>
      <c r="C805"/>
      <c r="F805"/>
      <c r="G805"/>
      <c r="J805"/>
      <c r="M805"/>
      <c r="N805"/>
      <c r="O805"/>
    </row>
    <row r="806" spans="1:15" x14ac:dyDescent="0.2">
      <c r="A806"/>
      <c r="B806"/>
      <c r="C806"/>
      <c r="F806"/>
      <c r="G806"/>
      <c r="I806"/>
      <c r="L806"/>
      <c r="M806"/>
      <c r="N806"/>
      <c r="O806"/>
    </row>
    <row r="807" spans="1:15" x14ac:dyDescent="0.2">
      <c r="A807"/>
      <c r="B807"/>
      <c r="C807"/>
      <c r="F807"/>
      <c r="G807"/>
      <c r="H807"/>
      <c r="J807"/>
      <c r="K807"/>
      <c r="L807"/>
      <c r="M807"/>
      <c r="N807"/>
      <c r="O807"/>
    </row>
    <row r="808" spans="1:15" x14ac:dyDescent="0.2">
      <c r="A808"/>
      <c r="B808"/>
      <c r="C808"/>
      <c r="F808"/>
      <c r="G808"/>
      <c r="L808"/>
      <c r="M808"/>
      <c r="N808"/>
      <c r="O808"/>
    </row>
    <row r="809" spans="1:15" x14ac:dyDescent="0.2">
      <c r="A809"/>
      <c r="B809"/>
      <c r="C809"/>
      <c r="F809"/>
      <c r="G809"/>
      <c r="L809"/>
      <c r="M809"/>
      <c r="N809"/>
      <c r="O809"/>
    </row>
    <row r="810" spans="1:15" x14ac:dyDescent="0.2">
      <c r="A810"/>
      <c r="B810"/>
      <c r="C810"/>
      <c r="F810"/>
      <c r="G810"/>
      <c r="J810"/>
      <c r="K810"/>
      <c r="L810"/>
      <c r="M810"/>
      <c r="N810"/>
      <c r="O810"/>
    </row>
    <row r="811" spans="1:15" x14ac:dyDescent="0.2">
      <c r="A811"/>
      <c r="B811"/>
      <c r="C811"/>
      <c r="F811"/>
      <c r="G811"/>
      <c r="H811"/>
      <c r="I811"/>
      <c r="L811"/>
      <c r="M811"/>
      <c r="N811"/>
      <c r="O811"/>
    </row>
    <row r="812" spans="1:15" x14ac:dyDescent="0.2">
      <c r="A812"/>
      <c r="B812"/>
      <c r="C812"/>
      <c r="F812"/>
      <c r="G812"/>
      <c r="H812"/>
      <c r="I812"/>
      <c r="L812"/>
      <c r="M812"/>
      <c r="N812"/>
      <c r="O812"/>
    </row>
    <row r="813" spans="1:15" x14ac:dyDescent="0.2">
      <c r="A813"/>
      <c r="B813"/>
      <c r="C813"/>
      <c r="F813"/>
      <c r="G813"/>
      <c r="L813"/>
      <c r="M813"/>
      <c r="N813"/>
      <c r="O813"/>
    </row>
    <row r="814" spans="1:15" x14ac:dyDescent="0.2">
      <c r="A814"/>
      <c r="B814"/>
      <c r="C814"/>
      <c r="F814"/>
      <c r="G814"/>
      <c r="L814"/>
      <c r="M814"/>
      <c r="N814"/>
      <c r="O814"/>
    </row>
    <row r="815" spans="1:15" x14ac:dyDescent="0.2">
      <c r="A815"/>
      <c r="B815"/>
      <c r="C815"/>
      <c r="F815"/>
      <c r="G815"/>
      <c r="H815"/>
      <c r="I815"/>
      <c r="L815"/>
      <c r="M815"/>
      <c r="N815"/>
      <c r="O815"/>
    </row>
    <row r="816" spans="1:15" x14ac:dyDescent="0.2">
      <c r="A816"/>
      <c r="B816"/>
      <c r="C816"/>
      <c r="F816"/>
      <c r="G816"/>
      <c r="L816"/>
      <c r="M816"/>
      <c r="N816"/>
      <c r="O816"/>
    </row>
    <row r="817" spans="1:15" x14ac:dyDescent="0.2">
      <c r="A817"/>
      <c r="B817"/>
      <c r="C817"/>
      <c r="F817"/>
      <c r="G817"/>
      <c r="H817"/>
      <c r="J817"/>
      <c r="K817"/>
      <c r="L817"/>
      <c r="M817"/>
      <c r="N817"/>
      <c r="O817"/>
    </row>
    <row r="818" spans="1:15" x14ac:dyDescent="0.2">
      <c r="A818"/>
      <c r="B818"/>
      <c r="C818"/>
      <c r="F818"/>
      <c r="G818"/>
      <c r="H818"/>
      <c r="I818"/>
      <c r="L818"/>
      <c r="M818"/>
      <c r="N818"/>
      <c r="O818"/>
    </row>
    <row r="819" spans="1:15" x14ac:dyDescent="0.2">
      <c r="A819"/>
      <c r="B819"/>
      <c r="C819"/>
      <c r="F819"/>
      <c r="G819"/>
      <c r="I819"/>
      <c r="L819"/>
      <c r="M819"/>
      <c r="N819"/>
      <c r="O819"/>
    </row>
    <row r="820" spans="1:15" x14ac:dyDescent="0.2">
      <c r="A820"/>
      <c r="B820"/>
      <c r="C820"/>
      <c r="F820"/>
      <c r="G820"/>
      <c r="H820"/>
      <c r="I820"/>
      <c r="L820"/>
      <c r="M820"/>
      <c r="N820"/>
      <c r="O820"/>
    </row>
    <row r="821" spans="1:15" x14ac:dyDescent="0.2">
      <c r="A821"/>
      <c r="B821"/>
      <c r="C821"/>
      <c r="F821"/>
      <c r="G821"/>
      <c r="H821"/>
      <c r="I821"/>
      <c r="L821"/>
      <c r="M821"/>
      <c r="N821"/>
      <c r="O821"/>
    </row>
    <row r="822" spans="1:15" x14ac:dyDescent="0.2">
      <c r="A822"/>
      <c r="B822"/>
      <c r="C822"/>
      <c r="F822"/>
      <c r="G822"/>
      <c r="L822"/>
      <c r="M822"/>
      <c r="N822"/>
      <c r="O822"/>
    </row>
    <row r="823" spans="1:15" x14ac:dyDescent="0.2">
      <c r="A823"/>
      <c r="B823"/>
      <c r="C823"/>
      <c r="F823"/>
      <c r="G823"/>
      <c r="H823"/>
      <c r="I823"/>
      <c r="L823"/>
      <c r="M823"/>
      <c r="N823"/>
      <c r="O823"/>
    </row>
    <row r="824" spans="1:15" x14ac:dyDescent="0.2">
      <c r="A824"/>
      <c r="B824"/>
      <c r="C824"/>
      <c r="F824"/>
      <c r="G824"/>
      <c r="J824"/>
      <c r="K824"/>
      <c r="L824"/>
      <c r="M824"/>
      <c r="N824"/>
      <c r="O824"/>
    </row>
    <row r="825" spans="1:15" x14ac:dyDescent="0.2">
      <c r="A825"/>
      <c r="B825"/>
      <c r="C825"/>
      <c r="F825"/>
      <c r="G825"/>
      <c r="L825"/>
      <c r="M825"/>
      <c r="N825"/>
      <c r="O825"/>
    </row>
    <row r="826" spans="1:15" x14ac:dyDescent="0.2">
      <c r="A826"/>
      <c r="B826"/>
      <c r="C826"/>
      <c r="F826"/>
      <c r="G826"/>
      <c r="M826"/>
      <c r="N826"/>
      <c r="O826"/>
    </row>
    <row r="827" spans="1:15" x14ac:dyDescent="0.2">
      <c r="A827"/>
      <c r="B827"/>
      <c r="C827"/>
      <c r="F827"/>
      <c r="G827"/>
      <c r="H827"/>
      <c r="I827"/>
      <c r="L827"/>
      <c r="M827"/>
      <c r="N827"/>
      <c r="O827"/>
    </row>
    <row r="828" spans="1:15" x14ac:dyDescent="0.2">
      <c r="A828"/>
      <c r="B828"/>
      <c r="C828"/>
      <c r="F828"/>
      <c r="G828"/>
      <c r="H828"/>
      <c r="L828"/>
      <c r="M828"/>
      <c r="N828"/>
      <c r="O828"/>
    </row>
    <row r="829" spans="1:15" x14ac:dyDescent="0.2">
      <c r="A829"/>
      <c r="B829"/>
      <c r="C829"/>
      <c r="F829"/>
      <c r="G829"/>
      <c r="H829"/>
      <c r="I829"/>
      <c r="L829"/>
      <c r="M829"/>
      <c r="N829"/>
      <c r="O829"/>
    </row>
    <row r="830" spans="1:15" x14ac:dyDescent="0.2">
      <c r="A830"/>
      <c r="B830"/>
      <c r="C830"/>
      <c r="F830"/>
      <c r="G830"/>
      <c r="H830"/>
      <c r="I830"/>
      <c r="L830"/>
      <c r="M830"/>
      <c r="N830"/>
      <c r="O830"/>
    </row>
    <row r="831" spans="1:15" x14ac:dyDescent="0.2">
      <c r="A831"/>
      <c r="B831"/>
      <c r="C831"/>
      <c r="F831"/>
      <c r="G831"/>
      <c r="L831"/>
      <c r="M831"/>
      <c r="N831"/>
      <c r="O831"/>
    </row>
    <row r="832" spans="1:15" x14ac:dyDescent="0.2">
      <c r="A832"/>
      <c r="B832"/>
      <c r="C832"/>
      <c r="F832"/>
      <c r="G832"/>
      <c r="I832"/>
      <c r="L832"/>
      <c r="M832"/>
      <c r="N832"/>
      <c r="O832"/>
    </row>
    <row r="833" spans="1:15" x14ac:dyDescent="0.2">
      <c r="A833"/>
      <c r="B833"/>
      <c r="C833"/>
      <c r="F833"/>
      <c r="G833"/>
      <c r="H833"/>
      <c r="I833"/>
      <c r="L833"/>
      <c r="N833"/>
      <c r="O833"/>
    </row>
    <row r="834" spans="1:15" x14ac:dyDescent="0.2">
      <c r="A834"/>
      <c r="B834"/>
      <c r="C834"/>
      <c r="F834"/>
      <c r="G834"/>
      <c r="I834"/>
      <c r="L834"/>
      <c r="M834"/>
      <c r="N834"/>
      <c r="O834"/>
    </row>
    <row r="835" spans="1:15" x14ac:dyDescent="0.2">
      <c r="A835"/>
      <c r="B835"/>
      <c r="C835"/>
      <c r="F835"/>
      <c r="G835"/>
      <c r="H835"/>
      <c r="L835"/>
      <c r="M835"/>
      <c r="N835"/>
      <c r="O835"/>
    </row>
    <row r="836" spans="1:15" x14ac:dyDescent="0.2">
      <c r="A836"/>
      <c r="B836"/>
      <c r="C836"/>
      <c r="F836"/>
      <c r="G836"/>
      <c r="H836"/>
      <c r="I836"/>
      <c r="L836"/>
      <c r="M836"/>
      <c r="N836"/>
      <c r="O836"/>
    </row>
    <row r="837" spans="1:15" x14ac:dyDescent="0.2">
      <c r="A837"/>
      <c r="B837"/>
      <c r="C837"/>
      <c r="F837"/>
      <c r="G837"/>
      <c r="H837"/>
      <c r="I837"/>
      <c r="L837"/>
      <c r="M837"/>
      <c r="N837"/>
      <c r="O837"/>
    </row>
    <row r="838" spans="1:15" x14ac:dyDescent="0.2">
      <c r="A838"/>
      <c r="B838"/>
      <c r="C838"/>
      <c r="F838"/>
      <c r="G838"/>
      <c r="H838"/>
      <c r="I838"/>
      <c r="L838"/>
      <c r="M838"/>
      <c r="N838"/>
      <c r="O838"/>
    </row>
    <row r="839" spans="1:15" x14ac:dyDescent="0.2">
      <c r="A839"/>
      <c r="B839"/>
      <c r="C839"/>
      <c r="F839"/>
      <c r="G839"/>
      <c r="M839"/>
      <c r="N839"/>
      <c r="O839"/>
    </row>
    <row r="840" spans="1:15" x14ac:dyDescent="0.2">
      <c r="A840"/>
      <c r="B840"/>
      <c r="C840"/>
      <c r="F840"/>
      <c r="G840"/>
      <c r="H840"/>
      <c r="M840"/>
      <c r="N840"/>
      <c r="O840"/>
    </row>
    <row r="841" spans="1:15" x14ac:dyDescent="0.2">
      <c r="A841"/>
      <c r="B841"/>
      <c r="C841"/>
      <c r="F841"/>
      <c r="G841"/>
      <c r="I841"/>
      <c r="L841"/>
      <c r="M841"/>
      <c r="N841"/>
      <c r="O841"/>
    </row>
    <row r="842" spans="1:15" x14ac:dyDescent="0.2">
      <c r="A842"/>
      <c r="B842"/>
      <c r="C842"/>
      <c r="F842"/>
      <c r="G842"/>
      <c r="M842"/>
      <c r="N842"/>
      <c r="O842"/>
    </row>
    <row r="843" spans="1:15" x14ac:dyDescent="0.2">
      <c r="A843"/>
      <c r="B843"/>
      <c r="C843"/>
      <c r="F843"/>
      <c r="G843"/>
      <c r="H843"/>
      <c r="I843"/>
      <c r="L843"/>
      <c r="M843"/>
      <c r="N843"/>
      <c r="O843"/>
    </row>
    <row r="844" spans="1:15" x14ac:dyDescent="0.2">
      <c r="A844"/>
      <c r="B844"/>
      <c r="C844"/>
      <c r="F844"/>
      <c r="G844"/>
      <c r="H844"/>
      <c r="I844"/>
      <c r="L844"/>
      <c r="M844"/>
      <c r="N844"/>
      <c r="O844"/>
    </row>
    <row r="845" spans="1:15" x14ac:dyDescent="0.2">
      <c r="A845"/>
      <c r="B845"/>
      <c r="C845"/>
      <c r="F845"/>
      <c r="G845"/>
      <c r="M845"/>
      <c r="N845"/>
      <c r="O845"/>
    </row>
    <row r="846" spans="1:15" x14ac:dyDescent="0.2">
      <c r="A846"/>
      <c r="B846"/>
      <c r="C846"/>
      <c r="F846"/>
      <c r="G846"/>
      <c r="L846"/>
      <c r="M846"/>
      <c r="N846"/>
      <c r="O846"/>
    </row>
    <row r="847" spans="1:15" x14ac:dyDescent="0.2">
      <c r="A847"/>
      <c r="B847"/>
      <c r="C847"/>
      <c r="F847"/>
      <c r="G847"/>
      <c r="H847"/>
      <c r="I847"/>
      <c r="L847"/>
      <c r="M847"/>
      <c r="N847"/>
      <c r="O847"/>
    </row>
    <row r="848" spans="1:15" x14ac:dyDescent="0.2">
      <c r="A848"/>
      <c r="B848"/>
      <c r="C848"/>
      <c r="F848"/>
      <c r="G848"/>
      <c r="L848"/>
      <c r="M848"/>
      <c r="N848"/>
      <c r="O848"/>
    </row>
    <row r="849" spans="1:15" x14ac:dyDescent="0.2">
      <c r="A849"/>
      <c r="B849"/>
      <c r="C849"/>
      <c r="F849"/>
      <c r="G849"/>
      <c r="L849"/>
      <c r="M849"/>
      <c r="N849"/>
      <c r="O849"/>
    </row>
    <row r="850" spans="1:15" x14ac:dyDescent="0.2">
      <c r="A850"/>
      <c r="B850"/>
      <c r="C850"/>
      <c r="F850"/>
      <c r="G850"/>
      <c r="H850"/>
      <c r="I850"/>
      <c r="J850"/>
      <c r="K850"/>
      <c r="L850"/>
      <c r="M850"/>
      <c r="N850"/>
      <c r="O850"/>
    </row>
    <row r="851" spans="1:15" x14ac:dyDescent="0.2">
      <c r="A851"/>
      <c r="B851"/>
      <c r="C851"/>
      <c r="F851"/>
      <c r="G851"/>
      <c r="I851"/>
      <c r="L851"/>
      <c r="M851"/>
      <c r="N851"/>
      <c r="O851"/>
    </row>
    <row r="852" spans="1:15" x14ac:dyDescent="0.2">
      <c r="A852"/>
      <c r="B852"/>
      <c r="C852"/>
      <c r="F852"/>
      <c r="G852"/>
      <c r="H852"/>
      <c r="I852"/>
      <c r="L852"/>
      <c r="M852"/>
      <c r="N852"/>
      <c r="O852"/>
    </row>
    <row r="853" spans="1:15" x14ac:dyDescent="0.2">
      <c r="A853"/>
      <c r="B853"/>
      <c r="C853"/>
      <c r="F853"/>
      <c r="G853"/>
      <c r="I853"/>
      <c r="L853"/>
      <c r="M853"/>
      <c r="N853"/>
      <c r="O853"/>
    </row>
    <row r="854" spans="1:15" x14ac:dyDescent="0.2">
      <c r="A854"/>
      <c r="B854"/>
      <c r="C854"/>
      <c r="F854"/>
      <c r="G854"/>
      <c r="H854"/>
      <c r="I854"/>
      <c r="L854"/>
      <c r="M854"/>
      <c r="N854"/>
      <c r="O854"/>
    </row>
    <row r="855" spans="1:15" x14ac:dyDescent="0.2">
      <c r="A855"/>
      <c r="B855"/>
      <c r="C855"/>
      <c r="F855"/>
      <c r="G855"/>
      <c r="L855"/>
      <c r="M855"/>
      <c r="N855"/>
      <c r="O855"/>
    </row>
    <row r="856" spans="1:15" x14ac:dyDescent="0.2">
      <c r="A856"/>
      <c r="B856"/>
      <c r="C856"/>
      <c r="F856"/>
      <c r="G856"/>
      <c r="J856"/>
      <c r="K856"/>
      <c r="L856"/>
      <c r="M856"/>
      <c r="N856"/>
      <c r="O856"/>
    </row>
    <row r="857" spans="1:15" x14ac:dyDescent="0.2">
      <c r="A857"/>
      <c r="B857"/>
      <c r="C857"/>
      <c r="F857"/>
      <c r="G857"/>
      <c r="I857"/>
      <c r="L857"/>
      <c r="M857"/>
      <c r="N857"/>
      <c r="O857"/>
    </row>
    <row r="858" spans="1:15" x14ac:dyDescent="0.2">
      <c r="A858"/>
      <c r="B858"/>
      <c r="C858"/>
      <c r="F858"/>
      <c r="G858"/>
      <c r="H858"/>
      <c r="I858"/>
      <c r="L858"/>
      <c r="N858"/>
      <c r="O858"/>
    </row>
    <row r="859" spans="1:15" x14ac:dyDescent="0.2">
      <c r="A859"/>
      <c r="B859"/>
      <c r="C859"/>
      <c r="F859"/>
      <c r="G859"/>
      <c r="H859"/>
      <c r="I859"/>
      <c r="L859"/>
      <c r="M859"/>
      <c r="N859"/>
      <c r="O859"/>
    </row>
    <row r="860" spans="1:15" x14ac:dyDescent="0.2">
      <c r="A860"/>
      <c r="B860"/>
      <c r="C860"/>
      <c r="F860"/>
      <c r="G860"/>
      <c r="J860"/>
      <c r="K860"/>
      <c r="L860"/>
      <c r="M860"/>
      <c r="N860"/>
      <c r="O860"/>
    </row>
    <row r="861" spans="1:15" x14ac:dyDescent="0.2">
      <c r="A861"/>
      <c r="B861"/>
      <c r="C861"/>
      <c r="F861"/>
      <c r="G861"/>
      <c r="H861"/>
      <c r="I861"/>
      <c r="L861"/>
      <c r="M861"/>
      <c r="N861"/>
      <c r="O861"/>
    </row>
    <row r="862" spans="1:15" x14ac:dyDescent="0.2">
      <c r="A862"/>
      <c r="B862"/>
      <c r="C862"/>
      <c r="F862"/>
      <c r="G862"/>
      <c r="H862"/>
      <c r="I862"/>
      <c r="L862"/>
      <c r="M862"/>
      <c r="N862"/>
      <c r="O862"/>
    </row>
    <row r="863" spans="1:15" x14ac:dyDescent="0.2">
      <c r="A863"/>
      <c r="B863"/>
      <c r="C863"/>
      <c r="F863"/>
      <c r="G863"/>
      <c r="L863"/>
      <c r="M863"/>
      <c r="N863"/>
      <c r="O863"/>
    </row>
    <row r="864" spans="1:15" x14ac:dyDescent="0.2">
      <c r="A864"/>
      <c r="B864"/>
      <c r="C864"/>
      <c r="F864"/>
      <c r="G864"/>
      <c r="L864"/>
      <c r="M864"/>
      <c r="N864"/>
      <c r="O864"/>
    </row>
    <row r="865" spans="1:15" x14ac:dyDescent="0.2">
      <c r="A865"/>
      <c r="B865"/>
      <c r="C865"/>
      <c r="F865"/>
      <c r="G865"/>
      <c r="H865"/>
      <c r="J865"/>
      <c r="K865"/>
      <c r="L865"/>
      <c r="M865"/>
      <c r="N865"/>
      <c r="O865"/>
    </row>
    <row r="866" spans="1:15" x14ac:dyDescent="0.2">
      <c r="A866"/>
      <c r="B866"/>
      <c r="C866"/>
      <c r="F866"/>
      <c r="G866"/>
      <c r="J866"/>
      <c r="K866"/>
      <c r="L866"/>
      <c r="M866"/>
      <c r="N866"/>
      <c r="O866"/>
    </row>
    <row r="867" spans="1:15" x14ac:dyDescent="0.2">
      <c r="A867"/>
      <c r="B867"/>
      <c r="C867"/>
      <c r="F867"/>
      <c r="G867"/>
      <c r="H867"/>
      <c r="J867"/>
      <c r="K867"/>
      <c r="L867"/>
      <c r="M867"/>
      <c r="N867"/>
      <c r="O867"/>
    </row>
    <row r="868" spans="1:15" x14ac:dyDescent="0.2">
      <c r="A868"/>
      <c r="B868"/>
      <c r="C868"/>
      <c r="F868"/>
      <c r="G868"/>
      <c r="H868"/>
      <c r="J868"/>
      <c r="K868"/>
      <c r="L868"/>
      <c r="M868"/>
      <c r="N868"/>
      <c r="O868"/>
    </row>
    <row r="869" spans="1:15" x14ac:dyDescent="0.2">
      <c r="A869"/>
      <c r="B869"/>
      <c r="C869"/>
      <c r="F869"/>
      <c r="G869"/>
      <c r="J869"/>
      <c r="K869"/>
      <c r="L869"/>
      <c r="M869"/>
      <c r="N869"/>
      <c r="O869"/>
    </row>
    <row r="870" spans="1:15" x14ac:dyDescent="0.2">
      <c r="A870"/>
      <c r="B870"/>
      <c r="C870"/>
      <c r="F870"/>
      <c r="G870"/>
      <c r="H870"/>
      <c r="J870"/>
      <c r="K870"/>
      <c r="L870"/>
      <c r="M870"/>
      <c r="N870"/>
      <c r="O870"/>
    </row>
    <row r="871" spans="1:15" x14ac:dyDescent="0.2">
      <c r="A871"/>
      <c r="B871"/>
      <c r="C871"/>
      <c r="F871"/>
      <c r="G871"/>
      <c r="H871"/>
      <c r="I871"/>
      <c r="L871"/>
      <c r="N871"/>
      <c r="O871"/>
    </row>
    <row r="872" spans="1:15" x14ac:dyDescent="0.2">
      <c r="A872"/>
      <c r="B872"/>
      <c r="C872"/>
      <c r="F872"/>
      <c r="G872"/>
      <c r="I872"/>
      <c r="L872"/>
      <c r="M872"/>
      <c r="N872"/>
      <c r="O872"/>
    </row>
    <row r="873" spans="1:15" x14ac:dyDescent="0.2">
      <c r="A873"/>
      <c r="B873"/>
      <c r="C873"/>
      <c r="F873"/>
      <c r="G873"/>
      <c r="L873"/>
      <c r="M873"/>
      <c r="N873"/>
      <c r="O873"/>
    </row>
    <row r="874" spans="1:15" x14ac:dyDescent="0.2">
      <c r="A874"/>
      <c r="B874"/>
      <c r="C874"/>
      <c r="F874"/>
      <c r="G874"/>
      <c r="H874"/>
      <c r="J874"/>
      <c r="K874"/>
      <c r="L874"/>
      <c r="M874"/>
      <c r="N874"/>
      <c r="O874"/>
    </row>
    <row r="875" spans="1:15" x14ac:dyDescent="0.2">
      <c r="A875"/>
      <c r="B875"/>
      <c r="C875"/>
      <c r="F875"/>
      <c r="G875"/>
      <c r="H875"/>
      <c r="I875"/>
      <c r="L875"/>
      <c r="M875"/>
      <c r="N875"/>
      <c r="O875"/>
    </row>
    <row r="876" spans="1:15" x14ac:dyDescent="0.2">
      <c r="A876"/>
      <c r="B876"/>
      <c r="C876"/>
      <c r="F876"/>
      <c r="G876"/>
      <c r="H876"/>
      <c r="I876"/>
      <c r="L876"/>
      <c r="N876"/>
      <c r="O876"/>
    </row>
    <row r="877" spans="1:15" x14ac:dyDescent="0.2">
      <c r="A877"/>
      <c r="B877"/>
      <c r="C877"/>
      <c r="F877"/>
      <c r="G877"/>
      <c r="L877"/>
      <c r="M877"/>
      <c r="N877"/>
      <c r="O877"/>
    </row>
    <row r="878" spans="1:15" x14ac:dyDescent="0.2">
      <c r="A878"/>
      <c r="B878"/>
      <c r="C878"/>
      <c r="F878"/>
      <c r="G878"/>
      <c r="H878"/>
      <c r="I878"/>
      <c r="L878"/>
      <c r="M878"/>
      <c r="N878"/>
      <c r="O878"/>
    </row>
    <row r="879" spans="1:15" x14ac:dyDescent="0.2">
      <c r="A879"/>
      <c r="B879"/>
      <c r="C879"/>
      <c r="F879"/>
      <c r="G879"/>
      <c r="H879"/>
      <c r="I879"/>
      <c r="L879"/>
      <c r="M879"/>
      <c r="N879"/>
      <c r="O879"/>
    </row>
    <row r="880" spans="1:15" x14ac:dyDescent="0.2">
      <c r="A880"/>
      <c r="B880"/>
      <c r="C880"/>
      <c r="F880"/>
      <c r="G880"/>
      <c r="H880"/>
      <c r="I880"/>
      <c r="L880"/>
      <c r="M880"/>
      <c r="N880"/>
      <c r="O880"/>
    </row>
    <row r="881" spans="1:15" x14ac:dyDescent="0.2">
      <c r="A881"/>
      <c r="B881"/>
      <c r="C881"/>
      <c r="F881"/>
      <c r="G881"/>
      <c r="I881"/>
      <c r="L881"/>
      <c r="M881"/>
      <c r="N881"/>
      <c r="O881"/>
    </row>
    <row r="882" spans="1:15" x14ac:dyDescent="0.2">
      <c r="A882"/>
      <c r="B882"/>
      <c r="C882"/>
      <c r="F882"/>
      <c r="G882"/>
      <c r="L882"/>
      <c r="M882"/>
      <c r="N882"/>
      <c r="O882"/>
    </row>
    <row r="883" spans="1:15" x14ac:dyDescent="0.2">
      <c r="A883"/>
      <c r="B883"/>
      <c r="C883"/>
      <c r="F883"/>
      <c r="G883"/>
      <c r="H883"/>
      <c r="J883"/>
      <c r="K883"/>
      <c r="L883"/>
      <c r="M883"/>
      <c r="N883"/>
      <c r="O883"/>
    </row>
    <row r="884" spans="1:15" x14ac:dyDescent="0.2">
      <c r="A884"/>
      <c r="B884"/>
      <c r="C884"/>
      <c r="F884"/>
      <c r="G884"/>
      <c r="I884"/>
      <c r="L884"/>
      <c r="M884"/>
      <c r="N884"/>
      <c r="O884"/>
    </row>
    <row r="885" spans="1:15" x14ac:dyDescent="0.2">
      <c r="A885"/>
      <c r="B885"/>
      <c r="C885"/>
      <c r="F885"/>
      <c r="G885"/>
      <c r="I885"/>
      <c r="L885"/>
      <c r="M885"/>
      <c r="N885"/>
      <c r="O885"/>
    </row>
    <row r="886" spans="1:15" x14ac:dyDescent="0.2">
      <c r="A886"/>
      <c r="B886"/>
      <c r="C886"/>
      <c r="F886"/>
      <c r="G886"/>
      <c r="M886"/>
      <c r="N886"/>
      <c r="O886"/>
    </row>
    <row r="887" spans="1:15" x14ac:dyDescent="0.2">
      <c r="A887"/>
      <c r="B887"/>
      <c r="C887"/>
      <c r="F887"/>
      <c r="G887"/>
      <c r="I887"/>
      <c r="L887"/>
      <c r="M887"/>
      <c r="N887"/>
      <c r="O887"/>
    </row>
    <row r="888" spans="1:15" x14ac:dyDescent="0.2">
      <c r="A888"/>
      <c r="B888"/>
      <c r="C888"/>
      <c r="F888"/>
      <c r="G888"/>
      <c r="I888"/>
      <c r="L888"/>
      <c r="M888"/>
      <c r="N888"/>
      <c r="O888"/>
    </row>
    <row r="889" spans="1:15" x14ac:dyDescent="0.2">
      <c r="A889"/>
      <c r="B889"/>
      <c r="C889"/>
      <c r="F889"/>
      <c r="G889"/>
      <c r="I889"/>
      <c r="L889"/>
      <c r="M889"/>
      <c r="N889"/>
      <c r="O889"/>
    </row>
    <row r="890" spans="1:15" x14ac:dyDescent="0.2">
      <c r="A890"/>
      <c r="B890"/>
      <c r="C890"/>
      <c r="F890"/>
      <c r="G890"/>
      <c r="I890"/>
      <c r="L890"/>
      <c r="M890"/>
      <c r="N890"/>
      <c r="O890"/>
    </row>
    <row r="891" spans="1:15" x14ac:dyDescent="0.2">
      <c r="A891"/>
      <c r="B891"/>
      <c r="C891"/>
      <c r="F891"/>
      <c r="G891"/>
      <c r="H891"/>
      <c r="I891"/>
      <c r="L891"/>
      <c r="M891"/>
      <c r="N891"/>
      <c r="O891"/>
    </row>
    <row r="892" spans="1:15" x14ac:dyDescent="0.2">
      <c r="A892"/>
      <c r="B892"/>
      <c r="C892"/>
      <c r="F892"/>
      <c r="G892"/>
      <c r="H892"/>
      <c r="I892"/>
      <c r="L892"/>
      <c r="M892"/>
      <c r="N892"/>
      <c r="O892"/>
    </row>
    <row r="893" spans="1:15" x14ac:dyDescent="0.2">
      <c r="A893"/>
      <c r="B893"/>
      <c r="C893"/>
      <c r="F893"/>
      <c r="G893"/>
      <c r="H893"/>
      <c r="I893"/>
      <c r="L893"/>
      <c r="M893"/>
      <c r="N893"/>
      <c r="O893"/>
    </row>
    <row r="894" spans="1:15" x14ac:dyDescent="0.2">
      <c r="A894"/>
      <c r="B894"/>
      <c r="C894"/>
      <c r="F894"/>
      <c r="G894"/>
      <c r="L894"/>
      <c r="M894"/>
      <c r="N894"/>
      <c r="O894"/>
    </row>
    <row r="895" spans="1:15" x14ac:dyDescent="0.2">
      <c r="A895"/>
      <c r="B895"/>
      <c r="C895"/>
      <c r="F895"/>
      <c r="G895"/>
      <c r="H895"/>
      <c r="I895"/>
      <c r="L895"/>
      <c r="M895"/>
      <c r="N895"/>
      <c r="O895"/>
    </row>
    <row r="896" spans="1:15" x14ac:dyDescent="0.2">
      <c r="A896"/>
      <c r="B896"/>
      <c r="C896"/>
      <c r="F896"/>
      <c r="G896"/>
      <c r="H896"/>
      <c r="I896"/>
      <c r="L896"/>
      <c r="M896"/>
      <c r="N896"/>
      <c r="O896"/>
    </row>
    <row r="897" spans="1:15" x14ac:dyDescent="0.2">
      <c r="A897"/>
      <c r="B897"/>
      <c r="C897"/>
      <c r="F897"/>
      <c r="G897"/>
      <c r="L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M900"/>
      <c r="N900"/>
      <c r="O900"/>
    </row>
    <row r="901" spans="1:15" x14ac:dyDescent="0.2">
      <c r="A901"/>
      <c r="B901"/>
      <c r="C901"/>
      <c r="F901"/>
      <c r="G901"/>
      <c r="H901"/>
      <c r="I901"/>
      <c r="L901"/>
      <c r="M901"/>
      <c r="N901"/>
      <c r="O901"/>
    </row>
    <row r="902" spans="1:15" x14ac:dyDescent="0.2">
      <c r="A902"/>
      <c r="B902"/>
      <c r="C902"/>
      <c r="F902"/>
      <c r="G902"/>
      <c r="H902"/>
      <c r="I902"/>
      <c r="L902"/>
      <c r="M902"/>
      <c r="N902"/>
      <c r="O902"/>
    </row>
    <row r="903" spans="1:15" x14ac:dyDescent="0.2">
      <c r="A903"/>
      <c r="B903"/>
      <c r="C903"/>
      <c r="F903"/>
      <c r="G903"/>
      <c r="H903"/>
      <c r="L903"/>
      <c r="M903"/>
      <c r="N903"/>
      <c r="O903"/>
    </row>
    <row r="904" spans="1:15" x14ac:dyDescent="0.2">
      <c r="A904"/>
      <c r="B904"/>
      <c r="C904"/>
      <c r="F904"/>
      <c r="G904"/>
      <c r="I904"/>
      <c r="J904"/>
      <c r="K904"/>
      <c r="L904"/>
      <c r="M904"/>
      <c r="N904"/>
      <c r="O904"/>
    </row>
    <row r="905" spans="1:15" x14ac:dyDescent="0.2">
      <c r="A905"/>
      <c r="B905"/>
      <c r="C905"/>
      <c r="F905"/>
      <c r="G905"/>
      <c r="I905"/>
      <c r="L905"/>
      <c r="M905"/>
      <c r="N905"/>
      <c r="O905"/>
    </row>
    <row r="906" spans="1:15" x14ac:dyDescent="0.2">
      <c r="A906"/>
      <c r="B906"/>
      <c r="C906"/>
      <c r="F906"/>
      <c r="G906"/>
      <c r="I906"/>
      <c r="L906"/>
      <c r="M906"/>
      <c r="N906"/>
      <c r="O906"/>
    </row>
    <row r="907" spans="1:15" x14ac:dyDescent="0.2">
      <c r="A907"/>
      <c r="B907"/>
      <c r="C907"/>
      <c r="F907"/>
      <c r="G907"/>
      <c r="I907"/>
      <c r="L907"/>
      <c r="M907"/>
      <c r="N907"/>
      <c r="O907"/>
    </row>
    <row r="908" spans="1:15" x14ac:dyDescent="0.2">
      <c r="A908"/>
      <c r="B908"/>
      <c r="C908"/>
      <c r="F908"/>
      <c r="G908"/>
      <c r="H908"/>
      <c r="I908"/>
      <c r="L908"/>
      <c r="M908"/>
      <c r="N908"/>
      <c r="O908"/>
    </row>
    <row r="909" spans="1:15" x14ac:dyDescent="0.2">
      <c r="A909"/>
      <c r="B909"/>
      <c r="C909"/>
      <c r="F909"/>
      <c r="G909"/>
      <c r="H909"/>
      <c r="I909"/>
      <c r="L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I912"/>
      <c r="L912"/>
      <c r="M912"/>
      <c r="N912"/>
      <c r="O912"/>
    </row>
    <row r="913" spans="1:15" x14ac:dyDescent="0.2">
      <c r="A913"/>
      <c r="B913"/>
      <c r="C913"/>
      <c r="F913"/>
      <c r="G913"/>
      <c r="I913"/>
      <c r="L913"/>
      <c r="M913"/>
      <c r="N913"/>
      <c r="O913"/>
    </row>
    <row r="914" spans="1:15" x14ac:dyDescent="0.2">
      <c r="A914"/>
      <c r="B914"/>
      <c r="C914"/>
      <c r="F914"/>
      <c r="G914"/>
      <c r="H914"/>
      <c r="I914"/>
      <c r="L914"/>
      <c r="M914"/>
      <c r="N914"/>
      <c r="O914"/>
    </row>
    <row r="915" spans="1:15" x14ac:dyDescent="0.2">
      <c r="A915"/>
      <c r="B915"/>
      <c r="C915"/>
      <c r="F915"/>
      <c r="G915"/>
      <c r="H915"/>
      <c r="I915"/>
      <c r="L915"/>
      <c r="M915"/>
      <c r="N915"/>
      <c r="O915"/>
    </row>
    <row r="916" spans="1:15" x14ac:dyDescent="0.2">
      <c r="A916"/>
      <c r="B916"/>
      <c r="C916"/>
      <c r="F916"/>
      <c r="G916"/>
      <c r="I916"/>
      <c r="L916"/>
      <c r="M916"/>
      <c r="N916"/>
      <c r="O916"/>
    </row>
    <row r="917" spans="1:15" x14ac:dyDescent="0.2">
      <c r="A917"/>
      <c r="B917"/>
      <c r="C917"/>
      <c r="F917"/>
      <c r="G917"/>
      <c r="J917"/>
      <c r="K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I920"/>
      <c r="L920"/>
      <c r="M920"/>
      <c r="N920"/>
      <c r="O920"/>
    </row>
    <row r="921" spans="1:15" x14ac:dyDescent="0.2">
      <c r="A921"/>
      <c r="B921"/>
      <c r="C921"/>
      <c r="F921"/>
      <c r="G921"/>
      <c r="H921"/>
      <c r="I921"/>
      <c r="L921"/>
      <c r="M921"/>
      <c r="N921"/>
      <c r="O921"/>
    </row>
    <row r="922" spans="1:15" x14ac:dyDescent="0.2">
      <c r="A922"/>
      <c r="B922"/>
      <c r="C922"/>
      <c r="F922"/>
      <c r="G922"/>
      <c r="I922"/>
      <c r="L922"/>
      <c r="M922"/>
      <c r="N922"/>
      <c r="O922"/>
    </row>
    <row r="923" spans="1:15" x14ac:dyDescent="0.2">
      <c r="A923"/>
      <c r="B923"/>
      <c r="C923"/>
      <c r="F923"/>
      <c r="G923"/>
      <c r="H923"/>
      <c r="I923"/>
      <c r="L923"/>
      <c r="M923"/>
      <c r="N923"/>
      <c r="O923"/>
    </row>
    <row r="924" spans="1:15" x14ac:dyDescent="0.2">
      <c r="A924"/>
      <c r="B924"/>
      <c r="C924"/>
      <c r="F924"/>
      <c r="G924"/>
      <c r="H924"/>
      <c r="I924"/>
      <c r="L924"/>
      <c r="M924"/>
      <c r="N924"/>
      <c r="O924"/>
    </row>
    <row r="925" spans="1:15" x14ac:dyDescent="0.2">
      <c r="A925"/>
      <c r="B925"/>
      <c r="C925"/>
      <c r="F925"/>
      <c r="G925"/>
      <c r="J925"/>
      <c r="K925"/>
      <c r="L925"/>
      <c r="M925"/>
      <c r="N925"/>
      <c r="O925"/>
    </row>
    <row r="926" spans="1:15" x14ac:dyDescent="0.2">
      <c r="A926"/>
      <c r="B926"/>
      <c r="C926"/>
      <c r="F926"/>
      <c r="G926"/>
      <c r="H926"/>
      <c r="J926"/>
      <c r="K926"/>
      <c r="L926"/>
      <c r="M926"/>
      <c r="N926"/>
      <c r="O926"/>
    </row>
    <row r="927" spans="1:15" x14ac:dyDescent="0.2">
      <c r="A927"/>
      <c r="B927"/>
      <c r="C927"/>
      <c r="F927"/>
      <c r="G927"/>
      <c r="J927"/>
      <c r="K927"/>
      <c r="L927"/>
      <c r="M927"/>
      <c r="N927"/>
      <c r="O927"/>
    </row>
    <row r="928" spans="1:15" x14ac:dyDescent="0.2">
      <c r="A928"/>
      <c r="B928"/>
      <c r="C928"/>
      <c r="F928"/>
      <c r="G928"/>
      <c r="H928"/>
      <c r="J928"/>
      <c r="K928"/>
      <c r="L928"/>
      <c r="M928"/>
      <c r="N928"/>
      <c r="O928"/>
    </row>
    <row r="929" spans="1:15" x14ac:dyDescent="0.2">
      <c r="A929"/>
      <c r="B929"/>
      <c r="C929"/>
      <c r="F929"/>
      <c r="G929"/>
      <c r="L929"/>
      <c r="M929"/>
      <c r="N929"/>
      <c r="O929"/>
    </row>
    <row r="930" spans="1:15" x14ac:dyDescent="0.2">
      <c r="A930"/>
      <c r="B930"/>
      <c r="C930"/>
      <c r="F930"/>
      <c r="G930"/>
      <c r="H930"/>
      <c r="J930"/>
      <c r="K930"/>
      <c r="L930"/>
      <c r="M930"/>
      <c r="N930"/>
      <c r="O930"/>
    </row>
    <row r="931" spans="1:15" x14ac:dyDescent="0.2">
      <c r="A931"/>
      <c r="B931"/>
      <c r="C931"/>
      <c r="F931"/>
      <c r="G931"/>
      <c r="H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H934"/>
      <c r="I934"/>
      <c r="L934"/>
      <c r="M934"/>
      <c r="N934"/>
      <c r="O934"/>
    </row>
    <row r="935" spans="1:15" x14ac:dyDescent="0.2">
      <c r="A935"/>
      <c r="B935"/>
      <c r="C935"/>
      <c r="F935"/>
      <c r="G935"/>
      <c r="H935"/>
      <c r="J935"/>
      <c r="K935"/>
      <c r="L935"/>
      <c r="M935"/>
      <c r="N935"/>
      <c r="O935"/>
    </row>
    <row r="936" spans="1:15" x14ac:dyDescent="0.2">
      <c r="A936"/>
      <c r="B936"/>
      <c r="C936"/>
      <c r="F936"/>
      <c r="G936"/>
      <c r="H936"/>
      <c r="I936"/>
      <c r="L936"/>
      <c r="N936"/>
      <c r="O936"/>
    </row>
    <row r="937" spans="1:15" x14ac:dyDescent="0.2">
      <c r="A937"/>
      <c r="B937"/>
      <c r="C937"/>
      <c r="F937"/>
      <c r="G937"/>
      <c r="H937"/>
      <c r="I937"/>
      <c r="L937"/>
      <c r="M937"/>
      <c r="N937"/>
      <c r="O937"/>
    </row>
    <row r="938" spans="1:15" x14ac:dyDescent="0.2">
      <c r="A938"/>
      <c r="B938"/>
      <c r="C938"/>
      <c r="F938"/>
      <c r="G938"/>
      <c r="H938"/>
      <c r="I938"/>
      <c r="L938"/>
      <c r="M938"/>
      <c r="N938"/>
      <c r="O938"/>
    </row>
    <row r="939" spans="1:15" x14ac:dyDescent="0.2">
      <c r="A939"/>
      <c r="B939"/>
      <c r="C939"/>
      <c r="F939"/>
      <c r="G939"/>
      <c r="L939"/>
      <c r="M939"/>
      <c r="N939"/>
      <c r="O939"/>
    </row>
    <row r="940" spans="1:15" x14ac:dyDescent="0.2">
      <c r="A940"/>
      <c r="B940"/>
      <c r="C940"/>
      <c r="F940"/>
      <c r="G940"/>
      <c r="I940"/>
      <c r="L940"/>
      <c r="M940"/>
      <c r="N940"/>
      <c r="O940"/>
    </row>
    <row r="941" spans="1:15" x14ac:dyDescent="0.2">
      <c r="A941"/>
      <c r="B941"/>
      <c r="C941"/>
      <c r="F941"/>
      <c r="G941"/>
      <c r="H941"/>
      <c r="I941"/>
      <c r="L941"/>
      <c r="M941"/>
      <c r="N941"/>
      <c r="O941"/>
    </row>
    <row r="942" spans="1:15" x14ac:dyDescent="0.2">
      <c r="A942"/>
      <c r="B942"/>
      <c r="C942"/>
      <c r="F942"/>
      <c r="G942"/>
      <c r="L942"/>
      <c r="M942"/>
      <c r="N942"/>
      <c r="O942"/>
    </row>
    <row r="943" spans="1:15" x14ac:dyDescent="0.2">
      <c r="A943"/>
      <c r="B943"/>
      <c r="C943"/>
      <c r="F943"/>
      <c r="G943"/>
      <c r="I943"/>
      <c r="L943"/>
      <c r="M943"/>
      <c r="N943"/>
      <c r="O943"/>
    </row>
    <row r="944" spans="1:15" x14ac:dyDescent="0.2">
      <c r="A944"/>
      <c r="B944"/>
      <c r="C944"/>
      <c r="F944"/>
      <c r="G944"/>
      <c r="I944"/>
      <c r="L944"/>
      <c r="M944"/>
      <c r="N944"/>
      <c r="O944"/>
    </row>
    <row r="945" spans="1:15" x14ac:dyDescent="0.2">
      <c r="A945"/>
      <c r="B945"/>
      <c r="C945"/>
      <c r="F945"/>
      <c r="G945"/>
      <c r="H945"/>
      <c r="I945"/>
      <c r="L945"/>
      <c r="M945"/>
      <c r="N945"/>
      <c r="O945"/>
    </row>
    <row r="946" spans="1:15" x14ac:dyDescent="0.2">
      <c r="A946"/>
      <c r="B946"/>
      <c r="C946"/>
      <c r="F946"/>
      <c r="G946"/>
      <c r="H946"/>
      <c r="I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I949"/>
      <c r="L949"/>
      <c r="M949"/>
      <c r="N949"/>
      <c r="O949"/>
    </row>
    <row r="950" spans="1:15" x14ac:dyDescent="0.2">
      <c r="A950"/>
      <c r="B950"/>
      <c r="C950"/>
      <c r="F950"/>
      <c r="G950"/>
      <c r="H950"/>
      <c r="I950"/>
      <c r="L950"/>
      <c r="M950"/>
      <c r="N950"/>
      <c r="O950"/>
    </row>
    <row r="951" spans="1:15" x14ac:dyDescent="0.2">
      <c r="A951"/>
      <c r="B951"/>
      <c r="C951"/>
      <c r="F951"/>
      <c r="G951"/>
      <c r="H951"/>
      <c r="I951"/>
      <c r="L951"/>
      <c r="M951"/>
      <c r="N951"/>
      <c r="O951"/>
    </row>
    <row r="952" spans="1:15" x14ac:dyDescent="0.2">
      <c r="A952"/>
      <c r="B952"/>
      <c r="C952"/>
      <c r="F952"/>
      <c r="G952"/>
      <c r="H952"/>
      <c r="I952"/>
      <c r="L952"/>
      <c r="M952"/>
      <c r="N952"/>
      <c r="O952"/>
    </row>
    <row r="953" spans="1:15" x14ac:dyDescent="0.2">
      <c r="A953"/>
      <c r="B953"/>
      <c r="C953"/>
      <c r="F953"/>
      <c r="G953"/>
      <c r="I953"/>
      <c r="L953"/>
      <c r="M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J959"/>
      <c r="K959"/>
      <c r="L959"/>
      <c r="M959"/>
      <c r="N959"/>
      <c r="O959"/>
    </row>
    <row r="960" spans="1:15" x14ac:dyDescent="0.2">
      <c r="A960"/>
      <c r="B960"/>
      <c r="C960"/>
      <c r="F960"/>
      <c r="G960"/>
      <c r="H960"/>
      <c r="I960"/>
      <c r="L960"/>
      <c r="M960"/>
      <c r="N960"/>
      <c r="O960"/>
    </row>
    <row r="961" spans="1:15" x14ac:dyDescent="0.2">
      <c r="A961"/>
      <c r="B961"/>
      <c r="C961"/>
      <c r="F961"/>
      <c r="G961"/>
      <c r="H961"/>
      <c r="I961"/>
      <c r="L961"/>
      <c r="M961"/>
      <c r="N961"/>
      <c r="O961"/>
    </row>
    <row r="962" spans="1:15" x14ac:dyDescent="0.2">
      <c r="A962"/>
      <c r="B962"/>
      <c r="C962"/>
      <c r="F962"/>
      <c r="G962"/>
      <c r="H962"/>
      <c r="I962"/>
      <c r="L962"/>
      <c r="M962"/>
      <c r="N962"/>
      <c r="O962"/>
    </row>
    <row r="963" spans="1:15" x14ac:dyDescent="0.2">
      <c r="A963"/>
      <c r="B963"/>
      <c r="C963"/>
      <c r="F963"/>
      <c r="G963"/>
      <c r="I963"/>
      <c r="L963"/>
      <c r="M963"/>
      <c r="N963"/>
      <c r="O963"/>
    </row>
    <row r="964" spans="1:15" x14ac:dyDescent="0.2">
      <c r="A964"/>
      <c r="B964"/>
      <c r="C964"/>
      <c r="F964"/>
      <c r="G964"/>
      <c r="H964"/>
      <c r="I964"/>
      <c r="L964"/>
      <c r="M964"/>
      <c r="N964"/>
      <c r="O964"/>
    </row>
    <row r="965" spans="1:15" x14ac:dyDescent="0.2">
      <c r="A965"/>
      <c r="B965"/>
      <c r="C965"/>
      <c r="F965"/>
      <c r="G965"/>
      <c r="H965"/>
      <c r="J965"/>
      <c r="K965"/>
      <c r="L965"/>
      <c r="M965"/>
      <c r="N965"/>
      <c r="O965"/>
    </row>
    <row r="966" spans="1:15" x14ac:dyDescent="0.2">
      <c r="A966"/>
      <c r="B966"/>
      <c r="C966"/>
      <c r="F966"/>
      <c r="G966"/>
      <c r="L966"/>
      <c r="M966"/>
      <c r="N966"/>
      <c r="O966"/>
    </row>
    <row r="967" spans="1:15" x14ac:dyDescent="0.2">
      <c r="A967"/>
      <c r="B967"/>
      <c r="C967"/>
      <c r="F967"/>
      <c r="G967"/>
      <c r="H967"/>
      <c r="I967"/>
      <c r="L967"/>
      <c r="M967"/>
      <c r="N967"/>
      <c r="O967"/>
    </row>
    <row r="968" spans="1:15" x14ac:dyDescent="0.2">
      <c r="A968"/>
      <c r="B968"/>
      <c r="C968"/>
      <c r="F968"/>
      <c r="G968"/>
      <c r="I968"/>
      <c r="L968"/>
      <c r="M968"/>
      <c r="N968"/>
      <c r="O968"/>
    </row>
    <row r="969" spans="1:15" x14ac:dyDescent="0.2">
      <c r="A969"/>
      <c r="B969"/>
      <c r="C969"/>
      <c r="F969"/>
      <c r="G969"/>
      <c r="I969"/>
      <c r="L969"/>
      <c r="M969"/>
      <c r="N969"/>
      <c r="O969"/>
    </row>
    <row r="970" spans="1:15" x14ac:dyDescent="0.2">
      <c r="A970"/>
      <c r="B970"/>
      <c r="C970"/>
      <c r="F970"/>
      <c r="G970"/>
      <c r="I970"/>
      <c r="L970"/>
      <c r="M970"/>
      <c r="N970"/>
      <c r="O970"/>
    </row>
    <row r="971" spans="1:15" x14ac:dyDescent="0.2">
      <c r="A971"/>
      <c r="B971"/>
      <c r="C971"/>
      <c r="F971"/>
      <c r="G971"/>
      <c r="I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H974"/>
      <c r="J974"/>
      <c r="K974"/>
      <c r="L974"/>
      <c r="M974"/>
      <c r="N974"/>
      <c r="O974"/>
    </row>
    <row r="975" spans="1:15" x14ac:dyDescent="0.2">
      <c r="A975"/>
      <c r="B975"/>
      <c r="C975"/>
      <c r="F975"/>
      <c r="G975"/>
      <c r="H975"/>
      <c r="J975"/>
      <c r="K975"/>
      <c r="L975"/>
      <c r="M975"/>
      <c r="N975"/>
      <c r="O975"/>
    </row>
    <row r="976" spans="1:15" x14ac:dyDescent="0.2">
      <c r="A976"/>
      <c r="B976"/>
      <c r="C976"/>
      <c r="F976"/>
      <c r="G976"/>
      <c r="H976"/>
      <c r="I976"/>
      <c r="L976"/>
      <c r="M976"/>
      <c r="N976"/>
      <c r="O976"/>
    </row>
    <row r="977" spans="1:15" x14ac:dyDescent="0.2">
      <c r="A977"/>
      <c r="B977"/>
      <c r="C977"/>
      <c r="F977"/>
      <c r="G977"/>
      <c r="H977"/>
      <c r="I977"/>
      <c r="L977"/>
      <c r="M977"/>
      <c r="N977"/>
      <c r="O977"/>
    </row>
    <row r="978" spans="1:15" x14ac:dyDescent="0.2">
      <c r="A978"/>
      <c r="B978"/>
      <c r="C978"/>
      <c r="F978"/>
      <c r="G978"/>
      <c r="H978"/>
      <c r="I978"/>
      <c r="L978"/>
      <c r="M978"/>
      <c r="N978"/>
      <c r="O978"/>
    </row>
    <row r="979" spans="1:15" x14ac:dyDescent="0.2">
      <c r="A979"/>
      <c r="B979"/>
      <c r="C979"/>
      <c r="F979"/>
      <c r="G979"/>
      <c r="L979"/>
      <c r="M979"/>
      <c r="N979"/>
      <c r="O979"/>
    </row>
    <row r="980" spans="1:15" x14ac:dyDescent="0.2">
      <c r="A980"/>
      <c r="B980"/>
      <c r="C980"/>
      <c r="F980"/>
      <c r="G980"/>
      <c r="L980"/>
      <c r="M980"/>
      <c r="N980"/>
      <c r="O980"/>
    </row>
    <row r="981" spans="1:15" x14ac:dyDescent="0.2">
      <c r="A981"/>
      <c r="B981"/>
      <c r="C981"/>
      <c r="F981"/>
      <c r="G981"/>
      <c r="H981"/>
      <c r="I981"/>
      <c r="L981"/>
      <c r="M981"/>
      <c r="N981"/>
      <c r="O981"/>
    </row>
    <row r="982" spans="1:15" x14ac:dyDescent="0.2">
      <c r="A982"/>
      <c r="B982"/>
      <c r="C982"/>
      <c r="F982"/>
      <c r="G982"/>
      <c r="I982"/>
      <c r="L982"/>
      <c r="M982"/>
      <c r="N982"/>
      <c r="O982"/>
    </row>
    <row r="983" spans="1:15" x14ac:dyDescent="0.2">
      <c r="A983"/>
      <c r="B983"/>
      <c r="C983"/>
      <c r="F983"/>
      <c r="G983"/>
      <c r="H983"/>
      <c r="I983"/>
      <c r="L983"/>
      <c r="M983"/>
      <c r="N983"/>
      <c r="O983"/>
    </row>
    <row r="984" spans="1:15" x14ac:dyDescent="0.2">
      <c r="A984"/>
      <c r="B984"/>
      <c r="C984"/>
      <c r="F984"/>
      <c r="G984"/>
      <c r="I984"/>
      <c r="L984"/>
      <c r="M984"/>
      <c r="N984"/>
      <c r="O984"/>
    </row>
    <row r="985" spans="1:15" x14ac:dyDescent="0.2">
      <c r="A985"/>
      <c r="B985"/>
      <c r="C985"/>
      <c r="F985"/>
      <c r="G985"/>
      <c r="I985"/>
      <c r="L985"/>
      <c r="M985"/>
      <c r="N985"/>
      <c r="O985"/>
    </row>
    <row r="986" spans="1:15" x14ac:dyDescent="0.2">
      <c r="A986"/>
      <c r="B986"/>
      <c r="C986"/>
      <c r="F986"/>
      <c r="G986"/>
      <c r="I986"/>
      <c r="L986"/>
      <c r="M986"/>
      <c r="N986"/>
      <c r="O986"/>
    </row>
    <row r="987" spans="1:15" x14ac:dyDescent="0.2">
      <c r="A987"/>
      <c r="B987"/>
      <c r="C987"/>
      <c r="F987"/>
      <c r="G987"/>
      <c r="L987"/>
      <c r="M987"/>
      <c r="N987"/>
      <c r="O987"/>
    </row>
    <row r="988" spans="1:15" x14ac:dyDescent="0.2">
      <c r="A988"/>
      <c r="B988"/>
      <c r="C988"/>
      <c r="F988"/>
      <c r="G988"/>
      <c r="H988"/>
      <c r="I988"/>
      <c r="L988"/>
      <c r="M988"/>
      <c r="N988"/>
      <c r="O988"/>
    </row>
    <row r="989" spans="1:15" x14ac:dyDescent="0.2">
      <c r="A989"/>
      <c r="B989"/>
      <c r="C989"/>
      <c r="F989"/>
      <c r="G989"/>
      <c r="I989"/>
      <c r="L989"/>
      <c r="M989"/>
      <c r="N989"/>
      <c r="O989"/>
    </row>
    <row r="990" spans="1:15" x14ac:dyDescent="0.2">
      <c r="A990"/>
      <c r="B990"/>
      <c r="C990"/>
      <c r="F990"/>
      <c r="G990"/>
      <c r="M990"/>
      <c r="N990"/>
      <c r="O990"/>
    </row>
    <row r="991" spans="1:15" x14ac:dyDescent="0.2">
      <c r="A991"/>
      <c r="B991"/>
      <c r="C991"/>
      <c r="F991"/>
      <c r="G991"/>
      <c r="M991"/>
      <c r="N991"/>
      <c r="O991"/>
    </row>
    <row r="992" spans="1:15" x14ac:dyDescent="0.2">
      <c r="A992"/>
      <c r="B992"/>
      <c r="C992"/>
      <c r="F992"/>
      <c r="G992"/>
      <c r="H992"/>
      <c r="I992"/>
      <c r="L992"/>
      <c r="M992"/>
      <c r="N992"/>
      <c r="O992"/>
    </row>
    <row r="993" spans="1:15" x14ac:dyDescent="0.2">
      <c r="A993"/>
      <c r="B993"/>
      <c r="C993"/>
      <c r="F993"/>
      <c r="G993"/>
      <c r="H993"/>
      <c r="I993"/>
      <c r="L993"/>
      <c r="M993"/>
      <c r="N993"/>
      <c r="O993"/>
    </row>
    <row r="994" spans="1:15" x14ac:dyDescent="0.2">
      <c r="A994"/>
      <c r="B994"/>
      <c r="C994"/>
      <c r="F994"/>
      <c r="G994"/>
      <c r="H994"/>
      <c r="I994"/>
      <c r="L994"/>
      <c r="M994"/>
      <c r="N994"/>
      <c r="O994"/>
    </row>
    <row r="995" spans="1:15" x14ac:dyDescent="0.2">
      <c r="A995"/>
      <c r="B995"/>
      <c r="C995"/>
      <c r="F995"/>
      <c r="G995"/>
      <c r="I995"/>
      <c r="L995"/>
      <c r="M995"/>
      <c r="N995"/>
      <c r="O995"/>
    </row>
    <row r="996" spans="1:15" x14ac:dyDescent="0.2">
      <c r="A996"/>
      <c r="B996"/>
      <c r="C996"/>
      <c r="F996"/>
      <c r="G996"/>
      <c r="I996"/>
      <c r="L996"/>
      <c r="M996"/>
      <c r="N996"/>
      <c r="O996"/>
    </row>
    <row r="997" spans="1:15" x14ac:dyDescent="0.2">
      <c r="A997"/>
      <c r="B997"/>
      <c r="C997"/>
      <c r="F997"/>
      <c r="G997"/>
      <c r="H997"/>
      <c r="I997"/>
      <c r="L997"/>
      <c r="M997"/>
      <c r="N997"/>
      <c r="O997"/>
    </row>
    <row r="998" spans="1:15" x14ac:dyDescent="0.2">
      <c r="A998"/>
      <c r="B998"/>
      <c r="C998"/>
      <c r="F998"/>
      <c r="G998"/>
      <c r="L998"/>
      <c r="M998"/>
      <c r="N998"/>
      <c r="O998"/>
    </row>
    <row r="999" spans="1:15" x14ac:dyDescent="0.2">
      <c r="A999"/>
      <c r="B999"/>
      <c r="C999"/>
      <c r="F999"/>
      <c r="G999"/>
      <c r="J999"/>
      <c r="K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I1002"/>
      <c r="L1002"/>
      <c r="M1002"/>
      <c r="N1002"/>
      <c r="O1002"/>
    </row>
    <row r="1003" spans="1:15" x14ac:dyDescent="0.2">
      <c r="A1003"/>
      <c r="B1003"/>
      <c r="C1003"/>
      <c r="F1003"/>
      <c r="G1003"/>
      <c r="H1003"/>
      <c r="I1003"/>
      <c r="L1003"/>
      <c r="M1003"/>
      <c r="N1003"/>
      <c r="O1003"/>
    </row>
    <row r="1004" spans="1:15" x14ac:dyDescent="0.2">
      <c r="A1004"/>
      <c r="B1004"/>
      <c r="C1004"/>
      <c r="F1004"/>
      <c r="G1004"/>
      <c r="H1004"/>
      <c r="I1004"/>
      <c r="L1004"/>
      <c r="M1004"/>
      <c r="N1004"/>
      <c r="O1004"/>
    </row>
    <row r="1005" spans="1:15" x14ac:dyDescent="0.2">
      <c r="A1005"/>
      <c r="B1005"/>
      <c r="C1005"/>
      <c r="F1005"/>
      <c r="G1005"/>
      <c r="H1005"/>
      <c r="I1005"/>
      <c r="L1005"/>
      <c r="M1005"/>
      <c r="N1005"/>
      <c r="O1005"/>
    </row>
    <row r="1006" spans="1:15" x14ac:dyDescent="0.2">
      <c r="A1006"/>
      <c r="B1006"/>
      <c r="C1006"/>
      <c r="F1006"/>
      <c r="G1006"/>
      <c r="H1006"/>
      <c r="I1006"/>
      <c r="L1006"/>
      <c r="M1006"/>
      <c r="N1006"/>
      <c r="O1006"/>
    </row>
    <row r="1007" spans="1:15" x14ac:dyDescent="0.2">
      <c r="A1007"/>
      <c r="B1007"/>
      <c r="C1007"/>
      <c r="F1007"/>
      <c r="G1007"/>
      <c r="L1007"/>
      <c r="M1007"/>
      <c r="N1007"/>
      <c r="O1007"/>
    </row>
    <row r="1008" spans="1:15" x14ac:dyDescent="0.2">
      <c r="A1008"/>
      <c r="B1008"/>
      <c r="C1008"/>
      <c r="F1008"/>
      <c r="G1008"/>
      <c r="H1008"/>
      <c r="I1008"/>
      <c r="L1008"/>
      <c r="M1008"/>
      <c r="N1008"/>
      <c r="O1008"/>
    </row>
    <row r="1009" spans="1:15" x14ac:dyDescent="0.2">
      <c r="A1009"/>
      <c r="B1009"/>
      <c r="C1009"/>
      <c r="F1009"/>
      <c r="G1009"/>
      <c r="L1009"/>
      <c r="M1009"/>
      <c r="N1009"/>
      <c r="O1009"/>
    </row>
    <row r="1010" spans="1:15" x14ac:dyDescent="0.2">
      <c r="A1010"/>
      <c r="B1010"/>
      <c r="C1010"/>
      <c r="F1010"/>
      <c r="G1010"/>
      <c r="H1010"/>
      <c r="I1010"/>
      <c r="L1010"/>
      <c r="M1010"/>
      <c r="N1010"/>
      <c r="O1010"/>
    </row>
    <row r="1011" spans="1:15" x14ac:dyDescent="0.2">
      <c r="A1011"/>
      <c r="B1011"/>
      <c r="C1011"/>
      <c r="F1011"/>
      <c r="G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H1015"/>
      <c r="I1015"/>
      <c r="L1015"/>
      <c r="M1015"/>
      <c r="N1015"/>
      <c r="O1015"/>
    </row>
    <row r="1016" spans="1:15" x14ac:dyDescent="0.2">
      <c r="A1016"/>
      <c r="B1016"/>
      <c r="C1016"/>
      <c r="F1016"/>
      <c r="G1016"/>
      <c r="H1016"/>
      <c r="I1016"/>
      <c r="L1016"/>
      <c r="M1016"/>
      <c r="N1016"/>
      <c r="O1016"/>
    </row>
    <row r="1017" spans="1:15" x14ac:dyDescent="0.2">
      <c r="A1017"/>
      <c r="B1017"/>
      <c r="C1017"/>
      <c r="F1017"/>
      <c r="G1017"/>
      <c r="H1017"/>
      <c r="I1017"/>
      <c r="L1017"/>
      <c r="M1017"/>
      <c r="N1017"/>
      <c r="O1017"/>
    </row>
    <row r="1018" spans="1:15" x14ac:dyDescent="0.2">
      <c r="A1018"/>
      <c r="B1018"/>
      <c r="C1018"/>
      <c r="F1018"/>
      <c r="G1018"/>
      <c r="I1018"/>
      <c r="L1018"/>
      <c r="M1018"/>
      <c r="N1018"/>
      <c r="O1018"/>
    </row>
    <row r="1019" spans="1:15" x14ac:dyDescent="0.2">
      <c r="A1019"/>
      <c r="B1019"/>
      <c r="C1019"/>
      <c r="F1019"/>
      <c r="G1019"/>
      <c r="I1019"/>
      <c r="L1019"/>
      <c r="M1019"/>
      <c r="N1019"/>
      <c r="O1019"/>
    </row>
    <row r="1020" spans="1:15" x14ac:dyDescent="0.2">
      <c r="A1020"/>
      <c r="B1020"/>
      <c r="C1020"/>
      <c r="F1020"/>
      <c r="G1020"/>
      <c r="I1020"/>
      <c r="J1020"/>
      <c r="K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L1023"/>
      <c r="M1023"/>
      <c r="N1023"/>
      <c r="O1023"/>
    </row>
    <row r="1024" spans="1:15" x14ac:dyDescent="0.2">
      <c r="A1024"/>
      <c r="B1024"/>
      <c r="C1024"/>
      <c r="F1024"/>
      <c r="G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L1029"/>
      <c r="M1029"/>
      <c r="N1029"/>
      <c r="O1029"/>
    </row>
    <row r="1030" spans="1:15" x14ac:dyDescent="0.2">
      <c r="A1030"/>
      <c r="B1030"/>
      <c r="C1030"/>
      <c r="F1030"/>
      <c r="G1030"/>
      <c r="H1030"/>
      <c r="I1030"/>
      <c r="L1030"/>
      <c r="M1030"/>
      <c r="N1030"/>
      <c r="O1030"/>
    </row>
    <row r="1031" spans="1:15" x14ac:dyDescent="0.2">
      <c r="A1031"/>
      <c r="B1031"/>
      <c r="C1031"/>
      <c r="F1031"/>
      <c r="G1031"/>
      <c r="J1031"/>
      <c r="K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I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H1037"/>
      <c r="I1037"/>
      <c r="L1037"/>
      <c r="M1037"/>
      <c r="N1037"/>
      <c r="O1037"/>
    </row>
    <row r="1038" spans="1:15" x14ac:dyDescent="0.2">
      <c r="A1038"/>
      <c r="B1038"/>
      <c r="C1038"/>
      <c r="F1038"/>
      <c r="G1038"/>
      <c r="I1038"/>
      <c r="L1038"/>
      <c r="M1038"/>
      <c r="N1038"/>
      <c r="O1038"/>
    </row>
    <row r="1039" spans="1:15" x14ac:dyDescent="0.2">
      <c r="A1039"/>
      <c r="B1039"/>
      <c r="C1039"/>
      <c r="F1039"/>
      <c r="G1039"/>
      <c r="H1039"/>
      <c r="I1039"/>
      <c r="L1039"/>
      <c r="M1039"/>
      <c r="N1039"/>
      <c r="O1039"/>
    </row>
    <row r="1040" spans="1:15" x14ac:dyDescent="0.2">
      <c r="A1040"/>
      <c r="B1040"/>
      <c r="C1040"/>
      <c r="F1040"/>
      <c r="G1040"/>
      <c r="I1040"/>
      <c r="L1040"/>
      <c r="M1040"/>
      <c r="N1040"/>
      <c r="O1040"/>
    </row>
    <row r="1041" spans="1:15" x14ac:dyDescent="0.2">
      <c r="A1041"/>
      <c r="B1041"/>
      <c r="C1041"/>
      <c r="F1041"/>
      <c r="G1041"/>
      <c r="I1041"/>
      <c r="L1041"/>
      <c r="M1041"/>
      <c r="N1041"/>
      <c r="O1041"/>
    </row>
    <row r="1042" spans="1:15" x14ac:dyDescent="0.2">
      <c r="A1042"/>
      <c r="B1042"/>
      <c r="C1042"/>
      <c r="F1042"/>
      <c r="G1042"/>
      <c r="L1042"/>
      <c r="M1042"/>
      <c r="N1042"/>
      <c r="O1042"/>
    </row>
    <row r="1043" spans="1:15" x14ac:dyDescent="0.2">
      <c r="A1043"/>
      <c r="B1043"/>
      <c r="C1043"/>
      <c r="F1043"/>
      <c r="G1043"/>
      <c r="H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H1046"/>
      <c r="J1046"/>
      <c r="K1046"/>
      <c r="L1046"/>
      <c r="M1046"/>
      <c r="N1046"/>
      <c r="O1046"/>
    </row>
    <row r="1047" spans="1:15" x14ac:dyDescent="0.2">
      <c r="A1047"/>
      <c r="B1047"/>
      <c r="C1047"/>
      <c r="F1047"/>
      <c r="G1047"/>
      <c r="H1047"/>
      <c r="I1047"/>
      <c r="J1047"/>
      <c r="K1047"/>
      <c r="L1047"/>
      <c r="M1047"/>
      <c r="N1047"/>
      <c r="O1047"/>
    </row>
    <row r="1048" spans="1:15" x14ac:dyDescent="0.2">
      <c r="A1048"/>
      <c r="B1048"/>
      <c r="C1048"/>
      <c r="F1048"/>
      <c r="G1048"/>
      <c r="I1048"/>
      <c r="L1048"/>
      <c r="M1048"/>
      <c r="N1048"/>
      <c r="O1048"/>
    </row>
    <row r="1049" spans="1:15" x14ac:dyDescent="0.2">
      <c r="A1049"/>
      <c r="B1049"/>
      <c r="C1049"/>
      <c r="F1049"/>
      <c r="G1049"/>
      <c r="H1049"/>
      <c r="I1049"/>
      <c r="L1049"/>
      <c r="M1049"/>
      <c r="N1049"/>
      <c r="O1049"/>
    </row>
    <row r="1050" spans="1:15" x14ac:dyDescent="0.2">
      <c r="A1050"/>
      <c r="B1050"/>
      <c r="C1050"/>
      <c r="F1050"/>
      <c r="G1050"/>
      <c r="J1050"/>
      <c r="K1050"/>
      <c r="L1050"/>
      <c r="M1050"/>
      <c r="N1050"/>
      <c r="O1050"/>
    </row>
    <row r="1051" spans="1:15" x14ac:dyDescent="0.2">
      <c r="A1051"/>
      <c r="B1051"/>
      <c r="C1051"/>
      <c r="F1051"/>
      <c r="G1051"/>
      <c r="H1051"/>
      <c r="I1051"/>
      <c r="L1051"/>
      <c r="M1051"/>
      <c r="N1051"/>
      <c r="O1051"/>
    </row>
    <row r="1052" spans="1:15" x14ac:dyDescent="0.2">
      <c r="A1052"/>
      <c r="B1052"/>
      <c r="C1052"/>
      <c r="F1052"/>
      <c r="G1052"/>
      <c r="J1052"/>
      <c r="K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H1055"/>
      <c r="J1055"/>
      <c r="K1055"/>
      <c r="L1055"/>
      <c r="M1055"/>
      <c r="N1055"/>
      <c r="O1055"/>
    </row>
    <row r="1056" spans="1:15" x14ac:dyDescent="0.2">
      <c r="A1056"/>
      <c r="B1056"/>
      <c r="C1056"/>
      <c r="F1056"/>
      <c r="G1056"/>
      <c r="H1056"/>
      <c r="J1056"/>
      <c r="K1056"/>
      <c r="L1056"/>
      <c r="M1056"/>
      <c r="N1056"/>
      <c r="O1056"/>
    </row>
    <row r="1057" spans="1:15" x14ac:dyDescent="0.2">
      <c r="A1057"/>
      <c r="B1057"/>
      <c r="C1057"/>
      <c r="F1057"/>
      <c r="G1057"/>
      <c r="H1057"/>
      <c r="I1057"/>
      <c r="L1057"/>
      <c r="N1057"/>
      <c r="O1057"/>
    </row>
    <row r="1058" spans="1:15" x14ac:dyDescent="0.2">
      <c r="A1058"/>
      <c r="B1058"/>
      <c r="C1058"/>
      <c r="F1058"/>
      <c r="G1058"/>
      <c r="H1058"/>
      <c r="J1058"/>
      <c r="K1058"/>
      <c r="L1058"/>
      <c r="M1058"/>
      <c r="N1058"/>
      <c r="O1058"/>
    </row>
    <row r="1059" spans="1:15" x14ac:dyDescent="0.2">
      <c r="A1059"/>
      <c r="B1059"/>
      <c r="C1059"/>
      <c r="F1059"/>
      <c r="G1059"/>
      <c r="H1059"/>
      <c r="L1059"/>
      <c r="M1059"/>
      <c r="N1059"/>
      <c r="O1059"/>
    </row>
    <row r="1060" spans="1:15" x14ac:dyDescent="0.2">
      <c r="A1060"/>
      <c r="B1060"/>
      <c r="C1060"/>
      <c r="F1060"/>
      <c r="G1060"/>
      <c r="H1060"/>
      <c r="J1060"/>
      <c r="K1060"/>
      <c r="L1060"/>
      <c r="M1060"/>
      <c r="N1060"/>
      <c r="O1060"/>
    </row>
    <row r="1061" spans="1:15" x14ac:dyDescent="0.2">
      <c r="A1061"/>
      <c r="B1061"/>
      <c r="C1061"/>
      <c r="F1061"/>
      <c r="G1061"/>
      <c r="H1061"/>
      <c r="J1061"/>
      <c r="K1061"/>
      <c r="L1061"/>
      <c r="M1061"/>
      <c r="N1061"/>
      <c r="O1061"/>
    </row>
    <row r="1062" spans="1:15" x14ac:dyDescent="0.2">
      <c r="A1062"/>
      <c r="B1062"/>
      <c r="C1062"/>
      <c r="F1062"/>
      <c r="G1062"/>
      <c r="H1062"/>
      <c r="I1062"/>
      <c r="L1062"/>
      <c r="M1062"/>
      <c r="N1062"/>
      <c r="O1062"/>
    </row>
    <row r="1063" spans="1:15" x14ac:dyDescent="0.2">
      <c r="A1063"/>
      <c r="B1063"/>
      <c r="C1063"/>
      <c r="F1063"/>
      <c r="G1063"/>
      <c r="H1063"/>
      <c r="J1063"/>
      <c r="K1063"/>
      <c r="L1063"/>
      <c r="M1063"/>
      <c r="N1063"/>
      <c r="O1063"/>
    </row>
    <row r="1064" spans="1:15" x14ac:dyDescent="0.2">
      <c r="A1064"/>
      <c r="B1064"/>
      <c r="C1064"/>
      <c r="G1064"/>
      <c r="J1064"/>
      <c r="K1064"/>
      <c r="L1064"/>
      <c r="M1064"/>
      <c r="N1064"/>
      <c r="O1064"/>
    </row>
    <row r="1065" spans="1:15" x14ac:dyDescent="0.2">
      <c r="A1065"/>
      <c r="B1065"/>
      <c r="C1065"/>
      <c r="F1065"/>
      <c r="G1065"/>
      <c r="H1065"/>
      <c r="I1065"/>
      <c r="L1065"/>
      <c r="N1065"/>
      <c r="O1065"/>
    </row>
    <row r="1066" spans="1:15" x14ac:dyDescent="0.2">
      <c r="A1066"/>
      <c r="B1066"/>
      <c r="C1066"/>
      <c r="F1066"/>
      <c r="G1066"/>
      <c r="L1066"/>
      <c r="M1066"/>
      <c r="N1066"/>
      <c r="O1066"/>
    </row>
    <row r="1067" spans="1:15" x14ac:dyDescent="0.2">
      <c r="A1067"/>
      <c r="B1067"/>
      <c r="C1067"/>
      <c r="F1067"/>
      <c r="G1067"/>
      <c r="J1067"/>
      <c r="K1067"/>
      <c r="L1067"/>
      <c r="M1067"/>
      <c r="N1067"/>
      <c r="O1067"/>
    </row>
    <row r="1068" spans="1:15" x14ac:dyDescent="0.2">
      <c r="A1068"/>
      <c r="B1068"/>
      <c r="C1068"/>
      <c r="F1068"/>
      <c r="G1068"/>
      <c r="H1068"/>
      <c r="I1068"/>
      <c r="L1068"/>
      <c r="M1068"/>
      <c r="N1068"/>
      <c r="O1068"/>
    </row>
    <row r="1069" spans="1:15" x14ac:dyDescent="0.2">
      <c r="A1069"/>
      <c r="B1069"/>
      <c r="C1069"/>
      <c r="F1069"/>
      <c r="G1069"/>
      <c r="H1069"/>
      <c r="I1069"/>
      <c r="L1069"/>
      <c r="M1069"/>
      <c r="N1069"/>
      <c r="O1069"/>
    </row>
    <row r="1070" spans="1:15" x14ac:dyDescent="0.2">
      <c r="A1070"/>
      <c r="B1070"/>
      <c r="C1070"/>
      <c r="F1070"/>
      <c r="G1070"/>
      <c r="L1070"/>
      <c r="M1070"/>
      <c r="N1070"/>
      <c r="O1070"/>
    </row>
    <row r="1071" spans="1:15" x14ac:dyDescent="0.2">
      <c r="A1071"/>
      <c r="B1071"/>
      <c r="C1071"/>
      <c r="F1071"/>
      <c r="G1071"/>
      <c r="I1071"/>
      <c r="L1071"/>
      <c r="M1071"/>
      <c r="N1071"/>
      <c r="O1071"/>
    </row>
    <row r="1072" spans="1:15" x14ac:dyDescent="0.2">
      <c r="A1072"/>
      <c r="B1072"/>
      <c r="C1072"/>
      <c r="F1072"/>
      <c r="G1072"/>
      <c r="H1072"/>
      <c r="I1072"/>
      <c r="L1072"/>
      <c r="M1072"/>
      <c r="N1072"/>
      <c r="O1072"/>
    </row>
    <row r="1073" spans="1:15" x14ac:dyDescent="0.2">
      <c r="A1073"/>
      <c r="B1073"/>
      <c r="C1073"/>
      <c r="F1073"/>
      <c r="G1073"/>
      <c r="H1073"/>
      <c r="I1073"/>
      <c r="L1073"/>
      <c r="M1073"/>
      <c r="N1073"/>
      <c r="O1073"/>
    </row>
    <row r="1074" spans="1:15" x14ac:dyDescent="0.2">
      <c r="A1074"/>
      <c r="B1074"/>
      <c r="C1074"/>
      <c r="F1074"/>
      <c r="G1074"/>
      <c r="M1074"/>
      <c r="N1074"/>
      <c r="O1074"/>
    </row>
    <row r="1075" spans="1:15" x14ac:dyDescent="0.2">
      <c r="A1075"/>
      <c r="B1075"/>
      <c r="C1075"/>
      <c r="F1075"/>
      <c r="G1075"/>
      <c r="M1075"/>
      <c r="N1075"/>
      <c r="O1075"/>
    </row>
    <row r="1076" spans="1:15" x14ac:dyDescent="0.2">
      <c r="A1076"/>
      <c r="B1076"/>
      <c r="C1076"/>
      <c r="F1076"/>
      <c r="G1076"/>
      <c r="N1076"/>
      <c r="O1076"/>
    </row>
    <row r="1077" spans="1:15" x14ac:dyDescent="0.2">
      <c r="A1077"/>
      <c r="B1077"/>
      <c r="C1077"/>
      <c r="F1077"/>
      <c r="G1077"/>
      <c r="H1077"/>
      <c r="I1077"/>
      <c r="L1077"/>
      <c r="M1077"/>
      <c r="N1077"/>
      <c r="O1077"/>
    </row>
    <row r="1078" spans="1:15" x14ac:dyDescent="0.2">
      <c r="A1078"/>
      <c r="B1078"/>
      <c r="C1078"/>
      <c r="F1078"/>
      <c r="G1078"/>
      <c r="L1078"/>
      <c r="M1078"/>
      <c r="N1078"/>
      <c r="O1078"/>
    </row>
    <row r="1079" spans="1:15" x14ac:dyDescent="0.2">
      <c r="A1079"/>
      <c r="B1079"/>
      <c r="C1079"/>
      <c r="F1079"/>
      <c r="G1079"/>
      <c r="H1079"/>
      <c r="I1079"/>
      <c r="L1079"/>
      <c r="M1079"/>
      <c r="N1079"/>
      <c r="O1079"/>
    </row>
    <row r="1080" spans="1:15" x14ac:dyDescent="0.2">
      <c r="A1080"/>
      <c r="B1080"/>
      <c r="C1080"/>
      <c r="F1080"/>
      <c r="G1080"/>
      <c r="H1080"/>
      <c r="I1080"/>
      <c r="L1080"/>
      <c r="N1080"/>
      <c r="O1080"/>
    </row>
    <row r="1081" spans="1:15" x14ac:dyDescent="0.2">
      <c r="A1081"/>
      <c r="B1081"/>
      <c r="C1081"/>
      <c r="F1081"/>
      <c r="G1081"/>
      <c r="I1081"/>
      <c r="L1081"/>
      <c r="M1081"/>
      <c r="N1081"/>
      <c r="O1081"/>
    </row>
    <row r="1082" spans="1:15" x14ac:dyDescent="0.2">
      <c r="A1082"/>
      <c r="B1082"/>
      <c r="C1082"/>
      <c r="F1082"/>
      <c r="G1082"/>
      <c r="H1082"/>
      <c r="I1082"/>
      <c r="L1082"/>
      <c r="M1082"/>
      <c r="N1082"/>
      <c r="O1082"/>
    </row>
    <row r="1083" spans="1:15" x14ac:dyDescent="0.2">
      <c r="A1083"/>
      <c r="B1083"/>
      <c r="C1083"/>
      <c r="F1083"/>
      <c r="G1083"/>
      <c r="H1083"/>
      <c r="I1083"/>
      <c r="L1083"/>
      <c r="M1083"/>
      <c r="N1083"/>
      <c r="O1083"/>
    </row>
    <row r="1084" spans="1:15" x14ac:dyDescent="0.2">
      <c r="A1084"/>
      <c r="B1084"/>
      <c r="C1084"/>
      <c r="F1084"/>
      <c r="G1084"/>
      <c r="I1084"/>
      <c r="L1084"/>
      <c r="M1084"/>
      <c r="N1084"/>
      <c r="O1084"/>
    </row>
    <row r="1085" spans="1:15" x14ac:dyDescent="0.2">
      <c r="A1085"/>
      <c r="B1085"/>
      <c r="C1085"/>
      <c r="F1085"/>
      <c r="G1085"/>
      <c r="I1085"/>
      <c r="L1085"/>
      <c r="M1085"/>
      <c r="N1085"/>
      <c r="O1085"/>
    </row>
    <row r="1086" spans="1:15" x14ac:dyDescent="0.2">
      <c r="A1086"/>
      <c r="B1086"/>
      <c r="C1086"/>
      <c r="F1086"/>
      <c r="G1086"/>
      <c r="L1086"/>
      <c r="M1086"/>
      <c r="N1086"/>
      <c r="O1086"/>
    </row>
    <row r="1087" spans="1:15" x14ac:dyDescent="0.2">
      <c r="A1087"/>
      <c r="B1087"/>
      <c r="C1087"/>
      <c r="F1087"/>
      <c r="G1087"/>
      <c r="H1087"/>
      <c r="I1087"/>
      <c r="L1087"/>
      <c r="M1087"/>
      <c r="N1087"/>
      <c r="O1087"/>
    </row>
    <row r="1088" spans="1:15" x14ac:dyDescent="0.2">
      <c r="A1088"/>
      <c r="B1088"/>
      <c r="C1088"/>
      <c r="F1088"/>
      <c r="G1088"/>
      <c r="L1088"/>
      <c r="M1088"/>
      <c r="N1088"/>
      <c r="O1088"/>
    </row>
    <row r="1089" spans="1:15" x14ac:dyDescent="0.2">
      <c r="A1089"/>
      <c r="B1089"/>
      <c r="C1089"/>
      <c r="F1089"/>
      <c r="G1089"/>
      <c r="H1089"/>
      <c r="I1089"/>
      <c r="L1089"/>
      <c r="M1089"/>
      <c r="N1089"/>
      <c r="O1089"/>
    </row>
    <row r="1090" spans="1:15" x14ac:dyDescent="0.2">
      <c r="A1090"/>
      <c r="B1090"/>
      <c r="C1090"/>
      <c r="F1090"/>
      <c r="G1090"/>
      <c r="M1090"/>
      <c r="N1090"/>
      <c r="O1090"/>
    </row>
    <row r="1091" spans="1:15" x14ac:dyDescent="0.2">
      <c r="A1091"/>
      <c r="B1091"/>
      <c r="C1091"/>
      <c r="F1091"/>
      <c r="G1091"/>
      <c r="H1091"/>
      <c r="I1091"/>
      <c r="L1091"/>
      <c r="M1091"/>
      <c r="N1091"/>
      <c r="O1091"/>
    </row>
    <row r="1092" spans="1:15" x14ac:dyDescent="0.2">
      <c r="A1092"/>
      <c r="B1092"/>
      <c r="C1092"/>
      <c r="F1092"/>
      <c r="G1092"/>
      <c r="H1092"/>
      <c r="I1092"/>
      <c r="L1092"/>
      <c r="M1092"/>
      <c r="N1092"/>
      <c r="O1092"/>
    </row>
    <row r="1093" spans="1:15" x14ac:dyDescent="0.2">
      <c r="A1093"/>
      <c r="B1093"/>
      <c r="C1093"/>
      <c r="F1093"/>
      <c r="G1093"/>
      <c r="H1093"/>
      <c r="I1093"/>
      <c r="L1093"/>
      <c r="M1093"/>
      <c r="N1093"/>
      <c r="O1093"/>
    </row>
    <row r="1094" spans="1:15" x14ac:dyDescent="0.2">
      <c r="A1094"/>
      <c r="B1094"/>
      <c r="C1094"/>
      <c r="F1094"/>
      <c r="G1094"/>
      <c r="H1094"/>
      <c r="I1094"/>
      <c r="L1094"/>
      <c r="M1094"/>
      <c r="N1094"/>
      <c r="O1094"/>
    </row>
    <row r="1095" spans="1:15" x14ac:dyDescent="0.2">
      <c r="A1095"/>
      <c r="B1095"/>
      <c r="C1095"/>
      <c r="F1095"/>
      <c r="G1095"/>
      <c r="H1095"/>
      <c r="J1095"/>
      <c r="K1095"/>
      <c r="L1095"/>
      <c r="M1095"/>
      <c r="N1095"/>
      <c r="O1095"/>
    </row>
    <row r="1096" spans="1:15" x14ac:dyDescent="0.2">
      <c r="A1096"/>
      <c r="B1096"/>
      <c r="C1096"/>
      <c r="F1096"/>
      <c r="G1096"/>
      <c r="H1096"/>
      <c r="J1096"/>
      <c r="K1096"/>
      <c r="L1096"/>
      <c r="M1096"/>
      <c r="N1096"/>
      <c r="O1096"/>
    </row>
    <row r="1097" spans="1:15" x14ac:dyDescent="0.2">
      <c r="A1097"/>
      <c r="B1097"/>
      <c r="C1097"/>
      <c r="F1097"/>
      <c r="G1097"/>
      <c r="H1097"/>
      <c r="J1097"/>
      <c r="K1097"/>
      <c r="L1097"/>
      <c r="M1097"/>
      <c r="N1097"/>
      <c r="O1097"/>
    </row>
    <row r="1098" spans="1:15" x14ac:dyDescent="0.2">
      <c r="A1098"/>
      <c r="B1098"/>
      <c r="C1098"/>
      <c r="F1098"/>
      <c r="G1098"/>
      <c r="H1098"/>
      <c r="L1098"/>
      <c r="M1098"/>
      <c r="N1098"/>
      <c r="O1098"/>
    </row>
    <row r="1099" spans="1:15" x14ac:dyDescent="0.2">
      <c r="A1099"/>
      <c r="B1099"/>
      <c r="C1099"/>
      <c r="F1099"/>
      <c r="G1099"/>
      <c r="I1099"/>
      <c r="L1099"/>
      <c r="M1099"/>
      <c r="N1099"/>
      <c r="O1099"/>
    </row>
    <row r="1100" spans="1:15" x14ac:dyDescent="0.2">
      <c r="A1100"/>
      <c r="B1100"/>
      <c r="C1100"/>
      <c r="F1100"/>
      <c r="G1100"/>
      <c r="I1100"/>
      <c r="L1100"/>
      <c r="M1100"/>
      <c r="N1100"/>
      <c r="O1100"/>
    </row>
    <row r="1101" spans="1:15" x14ac:dyDescent="0.2">
      <c r="A1101"/>
      <c r="B1101"/>
      <c r="C1101"/>
      <c r="F1101"/>
      <c r="G1101"/>
      <c r="M1101"/>
      <c r="N1101"/>
      <c r="O1101"/>
    </row>
    <row r="1102" spans="1:15" x14ac:dyDescent="0.2">
      <c r="A1102"/>
      <c r="B1102"/>
      <c r="C1102"/>
      <c r="F1102"/>
      <c r="G1102"/>
      <c r="H1102"/>
      <c r="I1102"/>
      <c r="L1102"/>
      <c r="M1102"/>
      <c r="N1102"/>
      <c r="O1102"/>
    </row>
    <row r="1103" spans="1:15" x14ac:dyDescent="0.2">
      <c r="A1103"/>
      <c r="B1103"/>
      <c r="C1103"/>
      <c r="F1103"/>
      <c r="G1103"/>
      <c r="J1103"/>
      <c r="K1103"/>
      <c r="L1103"/>
      <c r="M1103"/>
      <c r="N1103"/>
      <c r="O1103"/>
    </row>
    <row r="1104" spans="1:15" x14ac:dyDescent="0.2">
      <c r="A1104"/>
      <c r="B1104"/>
      <c r="C1104"/>
      <c r="F1104"/>
      <c r="G1104"/>
      <c r="H1104"/>
      <c r="I1104"/>
      <c r="L1104"/>
      <c r="M1104"/>
      <c r="N1104"/>
      <c r="O1104"/>
    </row>
    <row r="1105" spans="1:15" x14ac:dyDescent="0.2">
      <c r="A1105"/>
      <c r="B1105"/>
      <c r="C1105"/>
      <c r="F1105"/>
      <c r="G1105"/>
      <c r="H1105"/>
      <c r="I1105"/>
      <c r="L1105"/>
      <c r="N1105"/>
      <c r="O1105"/>
    </row>
    <row r="1106" spans="1:15" x14ac:dyDescent="0.2">
      <c r="A1106"/>
      <c r="B1106"/>
      <c r="C1106"/>
      <c r="F1106"/>
      <c r="G1106"/>
      <c r="H1106"/>
      <c r="J1106"/>
      <c r="K1106"/>
      <c r="L1106"/>
      <c r="M1106"/>
      <c r="N1106"/>
      <c r="O1106"/>
    </row>
    <row r="1107" spans="1:15" x14ac:dyDescent="0.2">
      <c r="A1107"/>
      <c r="B1107"/>
      <c r="C1107"/>
      <c r="F1107"/>
      <c r="G1107"/>
      <c r="H1107"/>
      <c r="I1107"/>
      <c r="L1107"/>
      <c r="M1107"/>
      <c r="N1107"/>
      <c r="O1107"/>
    </row>
    <row r="1108" spans="1:15" x14ac:dyDescent="0.2">
      <c r="A1108"/>
      <c r="B1108"/>
      <c r="C1108"/>
      <c r="F1108"/>
      <c r="G1108"/>
      <c r="I1108"/>
      <c r="L1108"/>
      <c r="M1108"/>
      <c r="N1108"/>
      <c r="O1108"/>
    </row>
    <row r="1109" spans="1:15" x14ac:dyDescent="0.2">
      <c r="A1109"/>
      <c r="B1109"/>
      <c r="C1109"/>
      <c r="F1109"/>
      <c r="G1109"/>
      <c r="H1109"/>
      <c r="I1109"/>
      <c r="L1109"/>
      <c r="M1109"/>
      <c r="N1109"/>
      <c r="O1109"/>
    </row>
    <row r="1110" spans="1:15" x14ac:dyDescent="0.2">
      <c r="A1110"/>
      <c r="B1110"/>
      <c r="C1110"/>
      <c r="F1110"/>
      <c r="G1110"/>
      <c r="L1110"/>
      <c r="M1110"/>
      <c r="N1110"/>
      <c r="O1110"/>
    </row>
    <row r="1111" spans="1:15" x14ac:dyDescent="0.2">
      <c r="A1111"/>
      <c r="B1111"/>
      <c r="C1111"/>
      <c r="F1111"/>
      <c r="G1111"/>
      <c r="L1111"/>
      <c r="M1111"/>
      <c r="N1111"/>
      <c r="O1111"/>
    </row>
    <row r="1112" spans="1:15" x14ac:dyDescent="0.2">
      <c r="A1112"/>
      <c r="B1112"/>
      <c r="C1112"/>
      <c r="F1112"/>
      <c r="G1112"/>
      <c r="L1112"/>
      <c r="M1112"/>
      <c r="N1112"/>
      <c r="O1112"/>
    </row>
    <row r="1113" spans="1:15" x14ac:dyDescent="0.2">
      <c r="A1113"/>
      <c r="B1113"/>
      <c r="C1113"/>
      <c r="F1113"/>
      <c r="G1113"/>
      <c r="I1113"/>
      <c r="L1113"/>
      <c r="M1113"/>
      <c r="N1113"/>
      <c r="O1113"/>
    </row>
    <row r="1114" spans="1:15" x14ac:dyDescent="0.2">
      <c r="A1114"/>
      <c r="B1114"/>
      <c r="C1114"/>
      <c r="F1114"/>
      <c r="G1114"/>
      <c r="I1114"/>
      <c r="L1114"/>
      <c r="M1114"/>
      <c r="N1114"/>
      <c r="O1114"/>
    </row>
    <row r="1115" spans="1:15" x14ac:dyDescent="0.2">
      <c r="A1115"/>
      <c r="B1115"/>
      <c r="C1115"/>
      <c r="F1115"/>
      <c r="G1115"/>
      <c r="I1115"/>
      <c r="L1115"/>
      <c r="M1115"/>
      <c r="N1115"/>
      <c r="O1115"/>
    </row>
    <row r="1116" spans="1:15" x14ac:dyDescent="0.2">
      <c r="A1116"/>
      <c r="B1116"/>
      <c r="C1116"/>
      <c r="F1116"/>
      <c r="G1116"/>
      <c r="H1116"/>
      <c r="I1116"/>
      <c r="L1116"/>
      <c r="M1116"/>
      <c r="N1116"/>
      <c r="O1116"/>
    </row>
    <row r="1117" spans="1:15" x14ac:dyDescent="0.2">
      <c r="A1117"/>
      <c r="B1117"/>
      <c r="C1117"/>
      <c r="F1117"/>
      <c r="G1117"/>
      <c r="I1117"/>
      <c r="L1117"/>
      <c r="M1117"/>
      <c r="N1117"/>
      <c r="O1117"/>
    </row>
    <row r="1118" spans="1:15" x14ac:dyDescent="0.2">
      <c r="A1118"/>
      <c r="B1118"/>
      <c r="C1118"/>
      <c r="F1118"/>
      <c r="G1118"/>
      <c r="H1118"/>
      <c r="L1118"/>
      <c r="M1118"/>
      <c r="N1118"/>
      <c r="O1118"/>
    </row>
    <row r="1119" spans="1:15" x14ac:dyDescent="0.2">
      <c r="A1119"/>
      <c r="B1119"/>
      <c r="C1119"/>
      <c r="F1119"/>
      <c r="G1119"/>
      <c r="N1119"/>
      <c r="O1119"/>
    </row>
    <row r="1120" spans="1:15" x14ac:dyDescent="0.2">
      <c r="A1120"/>
      <c r="B1120"/>
      <c r="C1120"/>
      <c r="F1120"/>
      <c r="G1120"/>
      <c r="I1120"/>
      <c r="L1120"/>
      <c r="M1120"/>
      <c r="N1120"/>
      <c r="O1120"/>
    </row>
    <row r="1121" spans="1:15" x14ac:dyDescent="0.2">
      <c r="A1121"/>
      <c r="B1121"/>
      <c r="C1121"/>
      <c r="F1121"/>
      <c r="G1121"/>
      <c r="L1121"/>
      <c r="M1121"/>
      <c r="N1121"/>
      <c r="O1121"/>
    </row>
    <row r="1122" spans="1:15" x14ac:dyDescent="0.2">
      <c r="A1122"/>
      <c r="B1122"/>
      <c r="C1122"/>
      <c r="F1122"/>
      <c r="G1122"/>
      <c r="I1122"/>
      <c r="L1122"/>
      <c r="M1122"/>
      <c r="N1122"/>
      <c r="O1122"/>
    </row>
    <row r="1123" spans="1:15" x14ac:dyDescent="0.2">
      <c r="A1123"/>
      <c r="B1123"/>
      <c r="C1123"/>
      <c r="F1123"/>
      <c r="G1123"/>
      <c r="H1123"/>
      <c r="I1123"/>
      <c r="L1123"/>
      <c r="M1123"/>
      <c r="N1123"/>
      <c r="O1123"/>
    </row>
    <row r="1124" spans="1:15" x14ac:dyDescent="0.2">
      <c r="A1124"/>
      <c r="B1124"/>
      <c r="C1124"/>
      <c r="F1124"/>
      <c r="G1124"/>
      <c r="H1124"/>
      <c r="J1124"/>
      <c r="K1124"/>
      <c r="L1124"/>
      <c r="M1124"/>
      <c r="N1124"/>
      <c r="O1124"/>
    </row>
    <row r="1125" spans="1:15" x14ac:dyDescent="0.2">
      <c r="A1125"/>
      <c r="B1125"/>
      <c r="C1125"/>
      <c r="F1125"/>
      <c r="G1125"/>
      <c r="I1125"/>
      <c r="L1125"/>
      <c r="M1125"/>
      <c r="N1125"/>
      <c r="O1125"/>
    </row>
    <row r="1126" spans="1:15" x14ac:dyDescent="0.2">
      <c r="A1126"/>
      <c r="B1126"/>
      <c r="C1126"/>
      <c r="F1126"/>
      <c r="G1126"/>
      <c r="J1126"/>
      <c r="K1126"/>
      <c r="L1126"/>
      <c r="M1126"/>
      <c r="N1126"/>
      <c r="O1126"/>
    </row>
    <row r="1127" spans="1:15" x14ac:dyDescent="0.2">
      <c r="A1127"/>
      <c r="B1127"/>
      <c r="C1127"/>
      <c r="F1127"/>
      <c r="G1127"/>
      <c r="I1127"/>
      <c r="L1127"/>
      <c r="M1127"/>
      <c r="N1127"/>
      <c r="O1127"/>
    </row>
    <row r="1128" spans="1:15" x14ac:dyDescent="0.2">
      <c r="A1128"/>
      <c r="B1128"/>
      <c r="C1128"/>
      <c r="F1128"/>
      <c r="G1128"/>
      <c r="I1128"/>
      <c r="L1128"/>
      <c r="M1128"/>
      <c r="N1128"/>
      <c r="O1128"/>
    </row>
    <row r="1129" spans="1:15" x14ac:dyDescent="0.2">
      <c r="A1129"/>
      <c r="B1129"/>
      <c r="C1129"/>
      <c r="F1129"/>
      <c r="G1129"/>
      <c r="M1129"/>
      <c r="N1129"/>
      <c r="O1129"/>
    </row>
    <row r="1130" spans="1:15" x14ac:dyDescent="0.2">
      <c r="A1130"/>
      <c r="B1130"/>
      <c r="C1130"/>
      <c r="F1130"/>
      <c r="G1130"/>
      <c r="H1130"/>
      <c r="L1130"/>
      <c r="M1130"/>
      <c r="N1130"/>
      <c r="O1130"/>
    </row>
    <row r="1131" spans="1:15" x14ac:dyDescent="0.2">
      <c r="A1131"/>
      <c r="B1131"/>
      <c r="C1131"/>
      <c r="F1131"/>
      <c r="G1131"/>
      <c r="I1131"/>
      <c r="L1131"/>
      <c r="M1131"/>
      <c r="N1131"/>
      <c r="O1131"/>
    </row>
    <row r="1132" spans="1:15" x14ac:dyDescent="0.2">
      <c r="A1132"/>
      <c r="B1132"/>
      <c r="C1132"/>
      <c r="F1132"/>
      <c r="G1132"/>
      <c r="H1132"/>
      <c r="I1132"/>
      <c r="L1132"/>
      <c r="M1132"/>
      <c r="N1132"/>
      <c r="O1132"/>
    </row>
    <row r="1133" spans="1:15" x14ac:dyDescent="0.2">
      <c r="A1133"/>
      <c r="B1133"/>
      <c r="C1133"/>
      <c r="F1133"/>
      <c r="G1133"/>
      <c r="H1133"/>
      <c r="I1133"/>
      <c r="L1133"/>
      <c r="M1133"/>
      <c r="N1133"/>
      <c r="O1133"/>
    </row>
    <row r="1134" spans="1:15" x14ac:dyDescent="0.2">
      <c r="A1134"/>
      <c r="B1134"/>
      <c r="C1134"/>
      <c r="F1134"/>
      <c r="G1134"/>
      <c r="H1134"/>
      <c r="J1134"/>
      <c r="K1134"/>
      <c r="L1134"/>
      <c r="M1134"/>
      <c r="N1134"/>
      <c r="O1134"/>
    </row>
    <row r="1135" spans="1:15" x14ac:dyDescent="0.2">
      <c r="A1135"/>
      <c r="B1135"/>
      <c r="C1135"/>
      <c r="F1135"/>
      <c r="G1135"/>
      <c r="L1135"/>
      <c r="M1135"/>
      <c r="N1135"/>
      <c r="O1135"/>
    </row>
    <row r="1136" spans="1:15" x14ac:dyDescent="0.2">
      <c r="A1136"/>
      <c r="B1136"/>
      <c r="C1136"/>
      <c r="F1136"/>
      <c r="G1136"/>
      <c r="H1136"/>
      <c r="L1136"/>
      <c r="M1136"/>
      <c r="N1136"/>
      <c r="O1136"/>
    </row>
    <row r="1137" spans="1:15" x14ac:dyDescent="0.2">
      <c r="A1137"/>
      <c r="B1137"/>
      <c r="C1137"/>
      <c r="F1137"/>
      <c r="G1137"/>
      <c r="J1137"/>
      <c r="K1137"/>
      <c r="L1137"/>
      <c r="M1137"/>
      <c r="N1137"/>
      <c r="O1137"/>
    </row>
    <row r="1138" spans="1:15" x14ac:dyDescent="0.2">
      <c r="A1138"/>
      <c r="B1138"/>
      <c r="C1138"/>
      <c r="F1138"/>
      <c r="G1138"/>
      <c r="L1138"/>
      <c r="M1138"/>
      <c r="N1138"/>
      <c r="O1138"/>
    </row>
    <row r="1139" spans="1:15" x14ac:dyDescent="0.2">
      <c r="A1139"/>
      <c r="B1139"/>
      <c r="C1139"/>
      <c r="F1139"/>
      <c r="G1139"/>
      <c r="L1139"/>
      <c r="M1139"/>
      <c r="N1139"/>
      <c r="O1139"/>
    </row>
    <row r="1140" spans="1:15" x14ac:dyDescent="0.2">
      <c r="A1140"/>
      <c r="B1140"/>
      <c r="C1140"/>
      <c r="F1140"/>
      <c r="G1140"/>
      <c r="H1140"/>
      <c r="L1140"/>
      <c r="M1140"/>
      <c r="N1140"/>
      <c r="O1140"/>
    </row>
    <row r="1141" spans="1:15" x14ac:dyDescent="0.2">
      <c r="A1141"/>
      <c r="B1141"/>
      <c r="C1141"/>
      <c r="F1141"/>
      <c r="G1141"/>
      <c r="H1141"/>
      <c r="I1141"/>
      <c r="L1141"/>
      <c r="M1141"/>
      <c r="N1141"/>
      <c r="O1141"/>
    </row>
    <row r="1142" spans="1:15" x14ac:dyDescent="0.2">
      <c r="A1142"/>
      <c r="B1142"/>
      <c r="C1142"/>
      <c r="F1142"/>
      <c r="G1142"/>
      <c r="L1142"/>
      <c r="M1142"/>
      <c r="N1142"/>
      <c r="O1142"/>
    </row>
    <row r="1143" spans="1:15" x14ac:dyDescent="0.2">
      <c r="A1143"/>
      <c r="B1143"/>
      <c r="C1143"/>
      <c r="F1143"/>
      <c r="G1143"/>
      <c r="L1143"/>
      <c r="M1143"/>
      <c r="N1143"/>
      <c r="O1143"/>
    </row>
    <row r="1144" spans="1:15" x14ac:dyDescent="0.2">
      <c r="A1144"/>
      <c r="B1144"/>
      <c r="C1144"/>
      <c r="F1144"/>
      <c r="G1144"/>
      <c r="H1144"/>
      <c r="I1144"/>
      <c r="L1144"/>
      <c r="M1144"/>
      <c r="N1144"/>
      <c r="O1144"/>
    </row>
    <row r="1145" spans="1:15" x14ac:dyDescent="0.2">
      <c r="A1145"/>
      <c r="B1145"/>
      <c r="C1145"/>
      <c r="F1145"/>
      <c r="G1145"/>
      <c r="J1145"/>
      <c r="K1145"/>
      <c r="L1145"/>
      <c r="M1145"/>
      <c r="N1145"/>
      <c r="O1145"/>
    </row>
    <row r="1146" spans="1:15" x14ac:dyDescent="0.2">
      <c r="A1146"/>
      <c r="B1146"/>
      <c r="C1146"/>
      <c r="F1146"/>
      <c r="G1146"/>
      <c r="I1146"/>
      <c r="L1146"/>
      <c r="M1146"/>
      <c r="N1146"/>
      <c r="O1146"/>
    </row>
    <row r="1147" spans="1:15" x14ac:dyDescent="0.2">
      <c r="A1147"/>
      <c r="B1147"/>
      <c r="C1147"/>
      <c r="F1147"/>
      <c r="G1147"/>
      <c r="H1147"/>
      <c r="I1147"/>
      <c r="L1147"/>
      <c r="M1147"/>
      <c r="N1147"/>
      <c r="O1147"/>
    </row>
    <row r="1148" spans="1:15" x14ac:dyDescent="0.2">
      <c r="A1148"/>
      <c r="B1148"/>
      <c r="C1148"/>
      <c r="F1148"/>
      <c r="G1148"/>
      <c r="H1148"/>
      <c r="J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M1150"/>
      <c r="N1150"/>
      <c r="O1150"/>
    </row>
    <row r="1151" spans="1:15" x14ac:dyDescent="0.2">
      <c r="A1151"/>
      <c r="B1151"/>
      <c r="C1151"/>
      <c r="F1151"/>
      <c r="G1151"/>
      <c r="H1151"/>
      <c r="I1151"/>
      <c r="L1151"/>
      <c r="M1151"/>
      <c r="N1151"/>
      <c r="O1151"/>
    </row>
    <row r="1152" spans="1:15" x14ac:dyDescent="0.2">
      <c r="A1152"/>
      <c r="B1152"/>
      <c r="C1152"/>
      <c r="F1152"/>
      <c r="G1152"/>
      <c r="H1152"/>
      <c r="I1152"/>
      <c r="L1152"/>
      <c r="M1152"/>
      <c r="N1152"/>
      <c r="O1152"/>
    </row>
    <row r="1153" spans="1:15" x14ac:dyDescent="0.2">
      <c r="A1153"/>
      <c r="B1153"/>
      <c r="C1153"/>
      <c r="F1153"/>
      <c r="G1153"/>
      <c r="I1153"/>
      <c r="L1153"/>
      <c r="M1153"/>
      <c r="N1153"/>
      <c r="O1153"/>
    </row>
    <row r="1154" spans="1:15" x14ac:dyDescent="0.2">
      <c r="A1154"/>
      <c r="B1154"/>
      <c r="C1154"/>
      <c r="F1154"/>
      <c r="G1154"/>
      <c r="H1154"/>
      <c r="I1154"/>
      <c r="L1154"/>
      <c r="N1154"/>
      <c r="O1154"/>
    </row>
    <row r="1155" spans="1:15" x14ac:dyDescent="0.2">
      <c r="A1155"/>
      <c r="B1155"/>
      <c r="C1155"/>
      <c r="F1155"/>
      <c r="G1155"/>
      <c r="I1155"/>
      <c r="L1155"/>
      <c r="M1155"/>
      <c r="N1155"/>
      <c r="O1155"/>
    </row>
    <row r="1156" spans="1:15" x14ac:dyDescent="0.2">
      <c r="A1156"/>
      <c r="B1156"/>
      <c r="C1156"/>
      <c r="F1156"/>
      <c r="G1156"/>
      <c r="I1156"/>
      <c r="L1156"/>
      <c r="M1156"/>
      <c r="N1156"/>
      <c r="O1156"/>
    </row>
    <row r="1157" spans="1:15" x14ac:dyDescent="0.2">
      <c r="A1157"/>
      <c r="B1157"/>
      <c r="C1157"/>
      <c r="F1157"/>
      <c r="G1157"/>
      <c r="J1157"/>
      <c r="K1157"/>
      <c r="L1157"/>
      <c r="M1157"/>
      <c r="N1157"/>
      <c r="O1157"/>
    </row>
    <row r="1158" spans="1:15" x14ac:dyDescent="0.2">
      <c r="A1158"/>
      <c r="B1158"/>
      <c r="C1158"/>
      <c r="F1158"/>
      <c r="G1158"/>
      <c r="I1158"/>
      <c r="L1158"/>
      <c r="M1158"/>
      <c r="N1158"/>
      <c r="O1158"/>
    </row>
    <row r="1159" spans="1:15" x14ac:dyDescent="0.2">
      <c r="A1159"/>
      <c r="B1159"/>
      <c r="C1159"/>
      <c r="F1159"/>
      <c r="G1159"/>
      <c r="I1159"/>
      <c r="L1159"/>
      <c r="M1159"/>
      <c r="N1159"/>
      <c r="O1159"/>
    </row>
    <row r="1160" spans="1:15" x14ac:dyDescent="0.2">
      <c r="A1160"/>
      <c r="B1160"/>
      <c r="C1160"/>
      <c r="F1160"/>
      <c r="G1160"/>
      <c r="H1160"/>
      <c r="I1160"/>
      <c r="L1160"/>
      <c r="M1160"/>
      <c r="N1160"/>
      <c r="O1160"/>
    </row>
    <row r="1161" spans="1:15" x14ac:dyDescent="0.2">
      <c r="A1161"/>
      <c r="B1161"/>
      <c r="C1161"/>
      <c r="F1161"/>
      <c r="G1161"/>
      <c r="H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I1164"/>
      <c r="L1164"/>
      <c r="M1164"/>
      <c r="N1164"/>
      <c r="O1164"/>
    </row>
    <row r="1165" spans="1:15" x14ac:dyDescent="0.2">
      <c r="A1165"/>
      <c r="B1165"/>
      <c r="C1165"/>
      <c r="F1165"/>
      <c r="G1165"/>
      <c r="H1165"/>
      <c r="I1165"/>
      <c r="L1165"/>
      <c r="M1165"/>
      <c r="N1165"/>
      <c r="O1165"/>
    </row>
    <row r="1166" spans="1:15" x14ac:dyDescent="0.2">
      <c r="A1166"/>
      <c r="B1166"/>
      <c r="C1166"/>
      <c r="F1166"/>
      <c r="G1166"/>
      <c r="H1166"/>
      <c r="I1166"/>
      <c r="L1166"/>
      <c r="N1166"/>
      <c r="O1166"/>
    </row>
    <row r="1167" spans="1:15" x14ac:dyDescent="0.2">
      <c r="A1167"/>
      <c r="B1167"/>
      <c r="C1167"/>
      <c r="F1167"/>
      <c r="G1167"/>
      <c r="I1167"/>
      <c r="L1167"/>
      <c r="M1167"/>
      <c r="N1167"/>
      <c r="O1167"/>
    </row>
    <row r="1168" spans="1:15" x14ac:dyDescent="0.2">
      <c r="A1168"/>
      <c r="B1168"/>
      <c r="C1168"/>
      <c r="F1168"/>
      <c r="G1168"/>
      <c r="H1168"/>
      <c r="I1168"/>
      <c r="L1168"/>
      <c r="M1168"/>
      <c r="N1168"/>
      <c r="O1168"/>
    </row>
    <row r="1169" spans="1:15" x14ac:dyDescent="0.2">
      <c r="A1169"/>
      <c r="B1169"/>
      <c r="C1169"/>
      <c r="F1169"/>
      <c r="G1169"/>
      <c r="L1169"/>
      <c r="M1169"/>
      <c r="N1169"/>
      <c r="O1169"/>
    </row>
    <row r="1170" spans="1:15" x14ac:dyDescent="0.2">
      <c r="A1170"/>
      <c r="B1170"/>
      <c r="C1170"/>
      <c r="F1170"/>
      <c r="G1170"/>
      <c r="H1170"/>
      <c r="L1170"/>
      <c r="M1170"/>
      <c r="N1170"/>
      <c r="O1170"/>
    </row>
    <row r="1171" spans="1:15" x14ac:dyDescent="0.2">
      <c r="A1171"/>
      <c r="B1171"/>
      <c r="C1171"/>
      <c r="F1171"/>
      <c r="G1171"/>
      <c r="H1171"/>
      <c r="I1171"/>
      <c r="L1171"/>
      <c r="M1171"/>
      <c r="N1171"/>
      <c r="O1171"/>
    </row>
    <row r="1172" spans="1:15" x14ac:dyDescent="0.2">
      <c r="A1172"/>
      <c r="B1172"/>
      <c r="C1172"/>
      <c r="F1172"/>
      <c r="G1172"/>
      <c r="H1172"/>
      <c r="J1172"/>
      <c r="K1172"/>
      <c r="L1172"/>
      <c r="M1172"/>
      <c r="N1172"/>
      <c r="O1172"/>
    </row>
    <row r="1173" spans="1:15" x14ac:dyDescent="0.2">
      <c r="A1173"/>
      <c r="B1173"/>
      <c r="C1173"/>
      <c r="F1173"/>
      <c r="G1173"/>
      <c r="H1173"/>
      <c r="I1173"/>
      <c r="L1173"/>
      <c r="M1173"/>
      <c r="N1173"/>
      <c r="O1173"/>
    </row>
    <row r="1174" spans="1:15" x14ac:dyDescent="0.2">
      <c r="A1174"/>
      <c r="B1174"/>
      <c r="C1174"/>
      <c r="F1174"/>
      <c r="G1174"/>
      <c r="L1174"/>
      <c r="M1174"/>
      <c r="N1174"/>
      <c r="O1174"/>
    </row>
    <row r="1175" spans="1:15" x14ac:dyDescent="0.2">
      <c r="A1175"/>
      <c r="B1175"/>
      <c r="C1175"/>
      <c r="F1175"/>
      <c r="G1175"/>
      <c r="H1175"/>
      <c r="I1175"/>
      <c r="L1175"/>
      <c r="M1175"/>
      <c r="N1175"/>
      <c r="O1175"/>
    </row>
    <row r="1176" spans="1:15" x14ac:dyDescent="0.2">
      <c r="A1176"/>
      <c r="B1176"/>
      <c r="C1176"/>
      <c r="F1176"/>
      <c r="G1176"/>
      <c r="M1176"/>
      <c r="N1176"/>
      <c r="O1176"/>
    </row>
    <row r="1177" spans="1:15" x14ac:dyDescent="0.2">
      <c r="A1177"/>
      <c r="B1177"/>
      <c r="C1177"/>
      <c r="F1177"/>
      <c r="G1177"/>
      <c r="H1177"/>
      <c r="L1177"/>
      <c r="M1177"/>
      <c r="N1177"/>
      <c r="O1177"/>
    </row>
    <row r="1178" spans="1:15" x14ac:dyDescent="0.2">
      <c r="A1178"/>
      <c r="B1178"/>
      <c r="C1178"/>
      <c r="F1178"/>
      <c r="G1178"/>
      <c r="H1178"/>
      <c r="I1178"/>
      <c r="L1178"/>
      <c r="M1178"/>
      <c r="N1178"/>
      <c r="O1178"/>
    </row>
    <row r="1179" spans="1:15" x14ac:dyDescent="0.2">
      <c r="A1179"/>
      <c r="B1179"/>
      <c r="C1179"/>
      <c r="F1179"/>
      <c r="G1179"/>
      <c r="L1179"/>
      <c r="M1179"/>
      <c r="N1179"/>
      <c r="O1179"/>
    </row>
    <row r="1180" spans="1:15" x14ac:dyDescent="0.2">
      <c r="A1180"/>
      <c r="B1180"/>
      <c r="C1180"/>
      <c r="F1180"/>
      <c r="G1180"/>
      <c r="I1180"/>
      <c r="L1180"/>
      <c r="M1180"/>
      <c r="N1180"/>
      <c r="O1180"/>
    </row>
    <row r="1181" spans="1:15" x14ac:dyDescent="0.2">
      <c r="A1181"/>
      <c r="B1181"/>
      <c r="C1181"/>
      <c r="F1181"/>
      <c r="G1181"/>
      <c r="H1181"/>
      <c r="J1181"/>
      <c r="K1181"/>
      <c r="L1181"/>
      <c r="M1181"/>
      <c r="N1181"/>
      <c r="O1181"/>
    </row>
    <row r="1182" spans="1:15" x14ac:dyDescent="0.2">
      <c r="A1182"/>
      <c r="B1182"/>
      <c r="C1182"/>
      <c r="F1182"/>
      <c r="G1182"/>
      <c r="L1182"/>
      <c r="M1182"/>
      <c r="N1182"/>
      <c r="O1182"/>
    </row>
    <row r="1183" spans="1:15" x14ac:dyDescent="0.2">
      <c r="A1183"/>
      <c r="B1183"/>
      <c r="C1183"/>
      <c r="F1183"/>
      <c r="G1183"/>
      <c r="H1183"/>
      <c r="J1183"/>
      <c r="K1183"/>
      <c r="L1183"/>
      <c r="M1183"/>
      <c r="N1183"/>
      <c r="O1183"/>
    </row>
    <row r="1184" spans="1:15" x14ac:dyDescent="0.2">
      <c r="A1184"/>
      <c r="B1184"/>
      <c r="C1184"/>
      <c r="F1184"/>
      <c r="G1184"/>
      <c r="H1184"/>
      <c r="J1184"/>
      <c r="K1184"/>
      <c r="L1184"/>
      <c r="M1184"/>
      <c r="N1184"/>
      <c r="O1184"/>
    </row>
    <row r="1185" spans="1:15" x14ac:dyDescent="0.2">
      <c r="A1185"/>
      <c r="B1185"/>
      <c r="C1185"/>
      <c r="F1185"/>
      <c r="G1185"/>
      <c r="H1185"/>
      <c r="L1185"/>
      <c r="M1185"/>
      <c r="N1185"/>
      <c r="O1185"/>
    </row>
    <row r="1186" spans="1:15" x14ac:dyDescent="0.2">
      <c r="A1186"/>
      <c r="B1186"/>
      <c r="C1186"/>
      <c r="F1186"/>
      <c r="G1186"/>
      <c r="H1186"/>
      <c r="J1186"/>
      <c r="K1186"/>
      <c r="L1186"/>
      <c r="M1186"/>
      <c r="N1186"/>
      <c r="O1186"/>
    </row>
    <row r="1187" spans="1:15" x14ac:dyDescent="0.2">
      <c r="A1187"/>
      <c r="B1187"/>
      <c r="C1187"/>
      <c r="F1187"/>
      <c r="G1187"/>
      <c r="H1187"/>
      <c r="I1187"/>
      <c r="L1187"/>
      <c r="M1187"/>
      <c r="N1187"/>
      <c r="O1187"/>
    </row>
    <row r="1188" spans="1:15" x14ac:dyDescent="0.2">
      <c r="A1188"/>
      <c r="B1188"/>
      <c r="C1188"/>
      <c r="F1188"/>
      <c r="G1188"/>
      <c r="H1188"/>
      <c r="I1188"/>
      <c r="L1188"/>
      <c r="M1188"/>
      <c r="N1188"/>
      <c r="O1188"/>
    </row>
    <row r="1189" spans="1:15" x14ac:dyDescent="0.2">
      <c r="A1189"/>
      <c r="B1189"/>
      <c r="C1189"/>
      <c r="F1189"/>
      <c r="G1189"/>
      <c r="H1189"/>
      <c r="I1189"/>
      <c r="L1189"/>
      <c r="M1189"/>
      <c r="N1189"/>
      <c r="O1189"/>
    </row>
    <row r="1190" spans="1:15" x14ac:dyDescent="0.2">
      <c r="A1190"/>
      <c r="B1190"/>
      <c r="C1190"/>
      <c r="F1190"/>
      <c r="G1190"/>
      <c r="H1190"/>
      <c r="I1190"/>
      <c r="L1190"/>
      <c r="M1190"/>
      <c r="N1190"/>
      <c r="O1190"/>
    </row>
    <row r="1191" spans="1:15" x14ac:dyDescent="0.2">
      <c r="A1191"/>
      <c r="B1191"/>
      <c r="C1191"/>
      <c r="F1191"/>
      <c r="G1191"/>
      <c r="H1191"/>
      <c r="I1191"/>
      <c r="L1191"/>
      <c r="M1191"/>
      <c r="N1191"/>
      <c r="O1191"/>
    </row>
    <row r="1192" spans="1:15" x14ac:dyDescent="0.2">
      <c r="A1192"/>
      <c r="B1192"/>
      <c r="C1192"/>
      <c r="F1192"/>
      <c r="G1192"/>
      <c r="J1192"/>
      <c r="K1192"/>
      <c r="L1192"/>
      <c r="M1192"/>
      <c r="N1192"/>
      <c r="O1192"/>
    </row>
    <row r="1193" spans="1:15" x14ac:dyDescent="0.2">
      <c r="A1193"/>
      <c r="B1193"/>
      <c r="C1193"/>
      <c r="F1193"/>
      <c r="G1193"/>
      <c r="H1193"/>
      <c r="I1193"/>
      <c r="L1193"/>
      <c r="M1193"/>
      <c r="N1193"/>
      <c r="O1193"/>
    </row>
    <row r="1194" spans="1:15" x14ac:dyDescent="0.2">
      <c r="A1194"/>
      <c r="B1194"/>
      <c r="C1194"/>
      <c r="F1194"/>
      <c r="G1194"/>
      <c r="I1194"/>
      <c r="L1194"/>
      <c r="M1194"/>
      <c r="N1194"/>
      <c r="O1194"/>
    </row>
    <row r="1195" spans="1:15" x14ac:dyDescent="0.2">
      <c r="A1195"/>
      <c r="B1195"/>
      <c r="C1195"/>
      <c r="F1195"/>
      <c r="G1195"/>
      <c r="H1195"/>
      <c r="I1195"/>
      <c r="L1195"/>
      <c r="M1195"/>
      <c r="N1195"/>
      <c r="O1195"/>
    </row>
    <row r="1196" spans="1:15" x14ac:dyDescent="0.2">
      <c r="A1196"/>
      <c r="B1196"/>
      <c r="C1196"/>
      <c r="F1196"/>
      <c r="G1196"/>
      <c r="H1196"/>
      <c r="I1196"/>
      <c r="L1196"/>
      <c r="M1196"/>
      <c r="N1196"/>
      <c r="O1196"/>
    </row>
    <row r="1197" spans="1:15" x14ac:dyDescent="0.2">
      <c r="A1197"/>
      <c r="B1197"/>
      <c r="C1197"/>
      <c r="F1197"/>
      <c r="G1197"/>
      <c r="H1197"/>
      <c r="I1197"/>
      <c r="L1197"/>
      <c r="M1197"/>
      <c r="N1197"/>
      <c r="O1197"/>
    </row>
    <row r="1198" spans="1:15" x14ac:dyDescent="0.2">
      <c r="A1198"/>
      <c r="B1198"/>
      <c r="C1198"/>
      <c r="F1198"/>
      <c r="G1198"/>
      <c r="J1198"/>
      <c r="K1198"/>
      <c r="L1198"/>
      <c r="M1198"/>
      <c r="N1198"/>
      <c r="O1198"/>
    </row>
    <row r="1199" spans="1:15" x14ac:dyDescent="0.2">
      <c r="A1199"/>
      <c r="B1199"/>
      <c r="C1199"/>
      <c r="F1199"/>
      <c r="G1199"/>
      <c r="H1199"/>
      <c r="I1199"/>
      <c r="L1199"/>
      <c r="N1199"/>
      <c r="O1199"/>
    </row>
    <row r="1200" spans="1:15" x14ac:dyDescent="0.2">
      <c r="A1200"/>
      <c r="B1200"/>
      <c r="C1200"/>
      <c r="F1200"/>
      <c r="G1200"/>
      <c r="J1200"/>
      <c r="K1200"/>
      <c r="L1200"/>
      <c r="M1200"/>
      <c r="N1200"/>
      <c r="O1200"/>
    </row>
    <row r="1201" spans="1:15" x14ac:dyDescent="0.2">
      <c r="A1201"/>
      <c r="B1201"/>
      <c r="C1201"/>
      <c r="F1201"/>
      <c r="G1201"/>
      <c r="H1201"/>
      <c r="I1201"/>
      <c r="L1201"/>
      <c r="M1201"/>
      <c r="N1201"/>
      <c r="O1201"/>
    </row>
    <row r="1202" spans="1:15" x14ac:dyDescent="0.2">
      <c r="A1202"/>
      <c r="B1202"/>
      <c r="C1202"/>
      <c r="F1202"/>
      <c r="G1202"/>
      <c r="I1202"/>
      <c r="L1202"/>
      <c r="M1202"/>
      <c r="N1202"/>
      <c r="O1202"/>
    </row>
    <row r="1203" spans="1:15" x14ac:dyDescent="0.2">
      <c r="A1203"/>
      <c r="B1203"/>
      <c r="C1203"/>
      <c r="F1203"/>
      <c r="G1203"/>
      <c r="J1203"/>
      <c r="K1203"/>
      <c r="L1203"/>
      <c r="M1203"/>
      <c r="N1203"/>
      <c r="O1203"/>
    </row>
    <row r="1204" spans="1:15" x14ac:dyDescent="0.2">
      <c r="A1204"/>
      <c r="B1204"/>
      <c r="C1204"/>
      <c r="F1204"/>
      <c r="G1204"/>
      <c r="L1204"/>
      <c r="M1204"/>
      <c r="N1204"/>
      <c r="O1204"/>
    </row>
    <row r="1205" spans="1:15" x14ac:dyDescent="0.2">
      <c r="A1205"/>
      <c r="B1205"/>
      <c r="C1205"/>
      <c r="F1205"/>
      <c r="G1205"/>
      <c r="H1205"/>
      <c r="I1205"/>
      <c r="L1205"/>
      <c r="M1205"/>
      <c r="N1205"/>
      <c r="O1205"/>
    </row>
    <row r="1206" spans="1:15" x14ac:dyDescent="0.2">
      <c r="A1206"/>
      <c r="B1206"/>
      <c r="C1206"/>
      <c r="F1206"/>
      <c r="G1206"/>
      <c r="I1206"/>
      <c r="L1206"/>
      <c r="M1206"/>
      <c r="N1206"/>
      <c r="O1206"/>
    </row>
    <row r="1207" spans="1:15" x14ac:dyDescent="0.2">
      <c r="A1207"/>
      <c r="B1207"/>
      <c r="C1207"/>
      <c r="F1207"/>
      <c r="G1207"/>
      <c r="I1207"/>
      <c r="L1207"/>
      <c r="M1207"/>
      <c r="N1207"/>
      <c r="O1207"/>
    </row>
    <row r="1208" spans="1:15" x14ac:dyDescent="0.2">
      <c r="A1208"/>
      <c r="B1208"/>
      <c r="C1208"/>
      <c r="F1208"/>
      <c r="G1208"/>
      <c r="H1208"/>
      <c r="L1208"/>
      <c r="M1208"/>
      <c r="N1208"/>
      <c r="O1208"/>
    </row>
    <row r="1209" spans="1:15" x14ac:dyDescent="0.2">
      <c r="A1209"/>
      <c r="B1209"/>
      <c r="C1209"/>
      <c r="F1209"/>
      <c r="G1209"/>
      <c r="H1209"/>
      <c r="I1209"/>
      <c r="L1209"/>
      <c r="M1209"/>
      <c r="N1209"/>
      <c r="O1209"/>
    </row>
    <row r="1210" spans="1:15" x14ac:dyDescent="0.2">
      <c r="A1210"/>
      <c r="B1210"/>
      <c r="C1210"/>
      <c r="F1210"/>
      <c r="G1210"/>
      <c r="I1210"/>
      <c r="L1210"/>
      <c r="M1210"/>
      <c r="N1210"/>
      <c r="O1210"/>
    </row>
    <row r="1211" spans="1:15" x14ac:dyDescent="0.2">
      <c r="A1211"/>
      <c r="B1211"/>
      <c r="C1211"/>
      <c r="F1211"/>
      <c r="G1211"/>
      <c r="H1211"/>
      <c r="J1211"/>
      <c r="K1211"/>
      <c r="L1211"/>
      <c r="M1211"/>
      <c r="N1211"/>
      <c r="O1211"/>
    </row>
    <row r="1212" spans="1:15" x14ac:dyDescent="0.2">
      <c r="A1212"/>
      <c r="B1212"/>
      <c r="C1212"/>
      <c r="F1212"/>
      <c r="G1212"/>
      <c r="H1212"/>
      <c r="I1212"/>
      <c r="L1212"/>
      <c r="M1212"/>
      <c r="N1212"/>
      <c r="O1212"/>
    </row>
    <row r="1213" spans="1:15" x14ac:dyDescent="0.2">
      <c r="A1213"/>
      <c r="B1213"/>
      <c r="C1213"/>
      <c r="F1213"/>
      <c r="G1213"/>
      <c r="H1213"/>
      <c r="I1213"/>
      <c r="L1213"/>
      <c r="M1213"/>
      <c r="N1213"/>
      <c r="O1213"/>
    </row>
    <row r="1214" spans="1:15" x14ac:dyDescent="0.2">
      <c r="A1214"/>
      <c r="B1214"/>
      <c r="C1214"/>
      <c r="F1214"/>
      <c r="G1214"/>
      <c r="L1214"/>
      <c r="M1214"/>
      <c r="N1214"/>
      <c r="O1214"/>
    </row>
    <row r="1215" spans="1:15" x14ac:dyDescent="0.2">
      <c r="A1215"/>
      <c r="B1215"/>
      <c r="C1215"/>
      <c r="F1215"/>
      <c r="G1215"/>
      <c r="H1215"/>
      <c r="I1215"/>
      <c r="L1215"/>
      <c r="M1215"/>
      <c r="N1215"/>
      <c r="O1215"/>
    </row>
    <row r="1216" spans="1:15" x14ac:dyDescent="0.2">
      <c r="A1216"/>
      <c r="B1216"/>
      <c r="C1216"/>
      <c r="F1216"/>
      <c r="G1216"/>
      <c r="H1216"/>
      <c r="I1216"/>
      <c r="L1216"/>
      <c r="M1216"/>
      <c r="N1216"/>
      <c r="O1216"/>
    </row>
    <row r="1217" spans="1:15" x14ac:dyDescent="0.2">
      <c r="A1217"/>
      <c r="B1217"/>
      <c r="C1217"/>
      <c r="F1217"/>
      <c r="G1217"/>
      <c r="H1217"/>
      <c r="I1217"/>
      <c r="L1217"/>
      <c r="M1217"/>
      <c r="N1217"/>
      <c r="O1217"/>
    </row>
    <row r="1218" spans="1:15" x14ac:dyDescent="0.2">
      <c r="A1218"/>
      <c r="B1218"/>
      <c r="C1218"/>
      <c r="F1218"/>
      <c r="G1218"/>
      <c r="I1218"/>
      <c r="L1218"/>
      <c r="M1218"/>
      <c r="N1218"/>
      <c r="O1218"/>
    </row>
    <row r="1219" spans="1:15" x14ac:dyDescent="0.2">
      <c r="A1219"/>
      <c r="B1219"/>
      <c r="C1219"/>
      <c r="F1219"/>
      <c r="G1219"/>
      <c r="H1219"/>
      <c r="I1219"/>
      <c r="L1219"/>
      <c r="M1219"/>
      <c r="N1219"/>
      <c r="O1219"/>
    </row>
    <row r="1220" spans="1:15" x14ac:dyDescent="0.2">
      <c r="A1220"/>
      <c r="B1220"/>
      <c r="C1220"/>
      <c r="F1220"/>
      <c r="G1220"/>
      <c r="I1220"/>
      <c r="L1220"/>
      <c r="M1220"/>
      <c r="N1220"/>
      <c r="O1220"/>
    </row>
    <row r="1221" spans="1:15" x14ac:dyDescent="0.2">
      <c r="A1221"/>
      <c r="B1221"/>
      <c r="C1221"/>
      <c r="F1221"/>
      <c r="G1221"/>
      <c r="L1221"/>
      <c r="M1221"/>
      <c r="N1221"/>
      <c r="O1221"/>
    </row>
    <row r="1222" spans="1:15" x14ac:dyDescent="0.2">
      <c r="A1222"/>
      <c r="B1222"/>
      <c r="C1222"/>
      <c r="F1222"/>
      <c r="G1222"/>
      <c r="I1222"/>
      <c r="L1222"/>
      <c r="M1222"/>
      <c r="N1222"/>
      <c r="O1222"/>
    </row>
    <row r="1223" spans="1:15" x14ac:dyDescent="0.2">
      <c r="A1223"/>
      <c r="B1223"/>
      <c r="C1223"/>
      <c r="F1223"/>
      <c r="G1223"/>
      <c r="H1223"/>
      <c r="I1223"/>
      <c r="L1223"/>
      <c r="M1223"/>
      <c r="N1223"/>
      <c r="O1223"/>
    </row>
    <row r="1224" spans="1:15" x14ac:dyDescent="0.2">
      <c r="A1224"/>
      <c r="B1224"/>
      <c r="C1224"/>
      <c r="F1224"/>
      <c r="G1224"/>
      <c r="H1224"/>
      <c r="I1224"/>
      <c r="L1224"/>
      <c r="M1224"/>
      <c r="N1224"/>
      <c r="O1224"/>
    </row>
    <row r="1225" spans="1:15" x14ac:dyDescent="0.2">
      <c r="A1225"/>
      <c r="B1225"/>
      <c r="C1225"/>
      <c r="F1225"/>
      <c r="G1225"/>
      <c r="H1225"/>
      <c r="L1225"/>
      <c r="M1225"/>
      <c r="N1225"/>
      <c r="O1225"/>
    </row>
    <row r="1226" spans="1:15" x14ac:dyDescent="0.2">
      <c r="A1226"/>
      <c r="B1226"/>
      <c r="C1226"/>
      <c r="F1226"/>
      <c r="G1226"/>
      <c r="H1226"/>
      <c r="M1226"/>
      <c r="N1226"/>
      <c r="O1226"/>
    </row>
    <row r="1227" spans="1:15" x14ac:dyDescent="0.2">
      <c r="A1227"/>
      <c r="B1227"/>
      <c r="C1227"/>
      <c r="F1227"/>
      <c r="G1227"/>
      <c r="H1227"/>
      <c r="J1227"/>
      <c r="K1227"/>
      <c r="L1227"/>
      <c r="M1227"/>
      <c r="N1227"/>
      <c r="O1227"/>
    </row>
    <row r="1228" spans="1:15" x14ac:dyDescent="0.2">
      <c r="A1228"/>
      <c r="B1228"/>
      <c r="C1228"/>
      <c r="F1228"/>
      <c r="G1228"/>
      <c r="H1228"/>
      <c r="I1228"/>
      <c r="L1228"/>
      <c r="M1228"/>
      <c r="N1228"/>
      <c r="O1228"/>
    </row>
    <row r="1229" spans="1:15" x14ac:dyDescent="0.2">
      <c r="A1229"/>
      <c r="B1229"/>
      <c r="C1229"/>
      <c r="F1229"/>
      <c r="G1229"/>
      <c r="H1229"/>
      <c r="I1229"/>
      <c r="L1229"/>
      <c r="M1229"/>
      <c r="N1229"/>
      <c r="O1229"/>
    </row>
    <row r="1230" spans="1:15" x14ac:dyDescent="0.2">
      <c r="A1230"/>
      <c r="B1230"/>
      <c r="C1230"/>
      <c r="F1230"/>
      <c r="G1230"/>
      <c r="L1230"/>
      <c r="M1230"/>
      <c r="N1230"/>
      <c r="O1230"/>
    </row>
    <row r="1231" spans="1:15" x14ac:dyDescent="0.2">
      <c r="A1231"/>
      <c r="B1231"/>
      <c r="C1231"/>
      <c r="F1231"/>
      <c r="G1231"/>
      <c r="H1231"/>
      <c r="I1231"/>
      <c r="J1231"/>
      <c r="K1231"/>
      <c r="L1231"/>
      <c r="M1231"/>
      <c r="N1231"/>
      <c r="O1231"/>
    </row>
    <row r="1232" spans="1:15" x14ac:dyDescent="0.2">
      <c r="A1232"/>
      <c r="B1232"/>
      <c r="C1232"/>
      <c r="F1232"/>
      <c r="G1232"/>
      <c r="H1232"/>
      <c r="I1232"/>
      <c r="L1232"/>
      <c r="M1232"/>
      <c r="N1232"/>
      <c r="O1232"/>
    </row>
    <row r="1233" spans="1:15" x14ac:dyDescent="0.2">
      <c r="A1233"/>
      <c r="B1233"/>
      <c r="C1233"/>
      <c r="F1233"/>
      <c r="G1233"/>
      <c r="H1233"/>
      <c r="J1233"/>
      <c r="K1233"/>
      <c r="L1233"/>
      <c r="M1233"/>
      <c r="N1233"/>
      <c r="O1233"/>
    </row>
    <row r="1234" spans="1:15" x14ac:dyDescent="0.2">
      <c r="A1234"/>
      <c r="B1234"/>
      <c r="C1234"/>
      <c r="F1234"/>
      <c r="G1234"/>
      <c r="H1234"/>
      <c r="J1234"/>
      <c r="K1234"/>
      <c r="L1234"/>
      <c r="M1234"/>
      <c r="N1234"/>
      <c r="O1234"/>
    </row>
    <row r="1235" spans="1:15" x14ac:dyDescent="0.2">
      <c r="A1235"/>
      <c r="B1235"/>
      <c r="C1235"/>
      <c r="F1235"/>
      <c r="G1235"/>
      <c r="H1235"/>
      <c r="J1235"/>
      <c r="K1235"/>
      <c r="L1235"/>
      <c r="M1235"/>
      <c r="N1235"/>
      <c r="O1235"/>
    </row>
    <row r="1236" spans="1:15" x14ac:dyDescent="0.2">
      <c r="A1236"/>
      <c r="B1236"/>
      <c r="C1236"/>
      <c r="F1236"/>
      <c r="G1236"/>
      <c r="H1236"/>
      <c r="J1236"/>
      <c r="K1236"/>
      <c r="L1236"/>
      <c r="M1236"/>
      <c r="N1236"/>
      <c r="O1236"/>
    </row>
    <row r="1237" spans="1:15" x14ac:dyDescent="0.2">
      <c r="A1237"/>
      <c r="B1237"/>
      <c r="C1237"/>
      <c r="F1237"/>
      <c r="G1237"/>
      <c r="H1237"/>
      <c r="J1237"/>
      <c r="K1237"/>
      <c r="L1237"/>
      <c r="M1237"/>
      <c r="N1237"/>
      <c r="O1237"/>
    </row>
    <row r="1238" spans="1:15" x14ac:dyDescent="0.2">
      <c r="A1238"/>
      <c r="B1238"/>
      <c r="C1238"/>
      <c r="F1238"/>
      <c r="G1238"/>
      <c r="H1238"/>
      <c r="I1238"/>
      <c r="J1238"/>
      <c r="K1238"/>
      <c r="L1238"/>
      <c r="M1238"/>
      <c r="N1238"/>
      <c r="O1238"/>
    </row>
    <row r="1239" spans="1:15" x14ac:dyDescent="0.2">
      <c r="A1239"/>
      <c r="B1239"/>
      <c r="C1239"/>
      <c r="F1239"/>
      <c r="G1239"/>
      <c r="H1239"/>
      <c r="J1239"/>
      <c r="K1239"/>
      <c r="L1239"/>
      <c r="M1239"/>
      <c r="N1239"/>
      <c r="O1239"/>
    </row>
    <row r="1240" spans="1:15" x14ac:dyDescent="0.2">
      <c r="A1240"/>
      <c r="B1240"/>
      <c r="C1240"/>
      <c r="F1240"/>
      <c r="G1240"/>
      <c r="J1240"/>
      <c r="K1240"/>
      <c r="L1240"/>
      <c r="M1240"/>
      <c r="N1240"/>
      <c r="O1240"/>
    </row>
    <row r="1241" spans="1:15" x14ac:dyDescent="0.2">
      <c r="A1241"/>
      <c r="B1241"/>
      <c r="C1241"/>
      <c r="F1241"/>
      <c r="G1241"/>
      <c r="H1241"/>
      <c r="J1241"/>
      <c r="K1241"/>
      <c r="L1241"/>
      <c r="M1241"/>
      <c r="N1241"/>
      <c r="O1241"/>
    </row>
    <row r="1242" spans="1:15" x14ac:dyDescent="0.2">
      <c r="A1242"/>
      <c r="B1242"/>
      <c r="C1242"/>
      <c r="F1242"/>
      <c r="G1242"/>
      <c r="H1242"/>
      <c r="J1242"/>
      <c r="K1242"/>
      <c r="L1242"/>
      <c r="M1242"/>
      <c r="N1242"/>
      <c r="O1242"/>
    </row>
    <row r="1243" spans="1:15" x14ac:dyDescent="0.2">
      <c r="A1243"/>
      <c r="B1243"/>
      <c r="C1243"/>
      <c r="F1243"/>
      <c r="G1243"/>
      <c r="H1243"/>
      <c r="I1243"/>
      <c r="L1243"/>
      <c r="M1243"/>
      <c r="N1243"/>
      <c r="O1243"/>
    </row>
    <row r="1244" spans="1:15" x14ac:dyDescent="0.2">
      <c r="A1244"/>
      <c r="C1244"/>
      <c r="F1244"/>
      <c r="G1244"/>
      <c r="H1244"/>
      <c r="J1244"/>
      <c r="K1244"/>
      <c r="L1244"/>
      <c r="M1244"/>
      <c r="N1244"/>
      <c r="O1244"/>
    </row>
    <row r="1245" spans="1:15" x14ac:dyDescent="0.2">
      <c r="A1245"/>
      <c r="B1245"/>
      <c r="C1245"/>
      <c r="F1245"/>
      <c r="G1245"/>
      <c r="H1245"/>
      <c r="I1245"/>
      <c r="L1245"/>
      <c r="M1245"/>
      <c r="N1245"/>
      <c r="O1245"/>
    </row>
    <row r="1246" spans="1:15" x14ac:dyDescent="0.2">
      <c r="A1246"/>
      <c r="B1246"/>
      <c r="C1246"/>
      <c r="F1246"/>
      <c r="G1246"/>
      <c r="H1246"/>
      <c r="I1246"/>
      <c r="L1246"/>
      <c r="M1246"/>
      <c r="N1246"/>
      <c r="O1246"/>
    </row>
    <row r="1247" spans="1:15" x14ac:dyDescent="0.2">
      <c r="A1247"/>
      <c r="B1247"/>
      <c r="C1247"/>
      <c r="F1247"/>
      <c r="G1247"/>
      <c r="L1247"/>
      <c r="M1247"/>
      <c r="N1247"/>
      <c r="O1247"/>
    </row>
    <row r="1248" spans="1:15" x14ac:dyDescent="0.2">
      <c r="A1248"/>
      <c r="B1248"/>
      <c r="C1248"/>
      <c r="F1248"/>
      <c r="G1248"/>
      <c r="H1248"/>
      <c r="I1248"/>
      <c r="L1248"/>
      <c r="M1248"/>
      <c r="N1248"/>
      <c r="O1248"/>
    </row>
    <row r="1249" spans="1:15" x14ac:dyDescent="0.2">
      <c r="A1249"/>
      <c r="B1249"/>
      <c r="C1249"/>
      <c r="F1249"/>
      <c r="G1249"/>
      <c r="L1249"/>
      <c r="M1249"/>
      <c r="N1249"/>
      <c r="O1249"/>
    </row>
    <row r="1250" spans="1:15" x14ac:dyDescent="0.2">
      <c r="A1250"/>
      <c r="B1250"/>
      <c r="C1250"/>
      <c r="F1250"/>
      <c r="G1250"/>
      <c r="H1250"/>
      <c r="I1250"/>
      <c r="L1250"/>
      <c r="M1250"/>
      <c r="N1250"/>
      <c r="O1250"/>
    </row>
    <row r="1251" spans="1:15" x14ac:dyDescent="0.2">
      <c r="A1251"/>
      <c r="B1251"/>
      <c r="C1251"/>
      <c r="F1251"/>
      <c r="G1251"/>
      <c r="L1251"/>
      <c r="M1251"/>
      <c r="N1251"/>
      <c r="O1251"/>
    </row>
    <row r="1252" spans="1:15" x14ac:dyDescent="0.2">
      <c r="A1252"/>
      <c r="B1252"/>
      <c r="C1252"/>
      <c r="F1252"/>
      <c r="G1252"/>
      <c r="I1252"/>
      <c r="L1252"/>
      <c r="M1252"/>
      <c r="N1252"/>
      <c r="O1252"/>
    </row>
    <row r="1253" spans="1:15" x14ac:dyDescent="0.2">
      <c r="A1253"/>
      <c r="B1253"/>
      <c r="C1253"/>
      <c r="F1253"/>
      <c r="G1253"/>
      <c r="J1253"/>
      <c r="K1253"/>
      <c r="L1253"/>
      <c r="M1253"/>
      <c r="N1253"/>
      <c r="O1253"/>
    </row>
    <row r="1254" spans="1:15" x14ac:dyDescent="0.2">
      <c r="A1254"/>
      <c r="B1254"/>
      <c r="C1254"/>
      <c r="F1254"/>
      <c r="G1254"/>
      <c r="H1254"/>
      <c r="I1254"/>
      <c r="L1254"/>
      <c r="M1254"/>
      <c r="N1254"/>
      <c r="O1254"/>
    </row>
    <row r="1255" spans="1:15" x14ac:dyDescent="0.2">
      <c r="A1255"/>
      <c r="B1255"/>
      <c r="C1255"/>
      <c r="F1255"/>
      <c r="G1255"/>
      <c r="L1255"/>
      <c r="M1255"/>
      <c r="N1255"/>
      <c r="O1255"/>
    </row>
    <row r="1256" spans="1:15" x14ac:dyDescent="0.2">
      <c r="A1256"/>
      <c r="B1256"/>
      <c r="C1256"/>
      <c r="F1256"/>
      <c r="G1256"/>
      <c r="I1256"/>
      <c r="L1256"/>
      <c r="M1256"/>
      <c r="N1256"/>
      <c r="O1256"/>
    </row>
    <row r="1257" spans="1:15" x14ac:dyDescent="0.2">
      <c r="A1257"/>
      <c r="B1257"/>
      <c r="C1257"/>
      <c r="F1257"/>
      <c r="G1257"/>
      <c r="H1257"/>
      <c r="I1257"/>
      <c r="L1257"/>
      <c r="M1257"/>
      <c r="N1257"/>
      <c r="O1257"/>
    </row>
    <row r="1258" spans="1:15" x14ac:dyDescent="0.2">
      <c r="A1258"/>
      <c r="B1258"/>
      <c r="C1258"/>
      <c r="F1258"/>
      <c r="G1258"/>
      <c r="H1258"/>
      <c r="I1258"/>
      <c r="L1258"/>
      <c r="M1258"/>
      <c r="N1258"/>
      <c r="O1258"/>
    </row>
    <row r="1259" spans="1:15" x14ac:dyDescent="0.2">
      <c r="A1259"/>
      <c r="B1259"/>
      <c r="C1259"/>
      <c r="F1259"/>
      <c r="G1259"/>
      <c r="H1259"/>
      <c r="I1259"/>
      <c r="L1259"/>
      <c r="M1259"/>
      <c r="N1259"/>
      <c r="O1259"/>
    </row>
    <row r="1260" spans="1:15" x14ac:dyDescent="0.2">
      <c r="A1260"/>
      <c r="B1260"/>
      <c r="C1260"/>
      <c r="F1260"/>
      <c r="G1260"/>
      <c r="I1260"/>
      <c r="L1260"/>
      <c r="M1260"/>
      <c r="N1260"/>
      <c r="O1260"/>
    </row>
    <row r="1261" spans="1:15" x14ac:dyDescent="0.2">
      <c r="A1261"/>
      <c r="B1261"/>
      <c r="C1261"/>
      <c r="F1261"/>
      <c r="G1261"/>
      <c r="I1261"/>
      <c r="L1261"/>
      <c r="M1261"/>
      <c r="N1261"/>
      <c r="O1261"/>
    </row>
    <row r="1262" spans="1:15" x14ac:dyDescent="0.2">
      <c r="A1262"/>
      <c r="B1262"/>
      <c r="C1262"/>
      <c r="F1262"/>
      <c r="G1262"/>
      <c r="H1262"/>
      <c r="I1262"/>
      <c r="L1262"/>
      <c r="M1262"/>
      <c r="N1262"/>
      <c r="O1262"/>
    </row>
    <row r="1263" spans="1:15" x14ac:dyDescent="0.2">
      <c r="A1263"/>
      <c r="B1263"/>
      <c r="C1263"/>
      <c r="F1263"/>
      <c r="G1263"/>
      <c r="L1263"/>
      <c r="M1263"/>
      <c r="N1263"/>
      <c r="O1263"/>
    </row>
    <row r="1264" spans="1:15" x14ac:dyDescent="0.2">
      <c r="A1264"/>
      <c r="B1264"/>
      <c r="C1264"/>
      <c r="F1264"/>
      <c r="G1264"/>
      <c r="H1264"/>
      <c r="I1264"/>
      <c r="L1264"/>
      <c r="M1264"/>
      <c r="N1264"/>
      <c r="O1264"/>
    </row>
    <row r="1265" spans="1:15" x14ac:dyDescent="0.2">
      <c r="A1265"/>
      <c r="B1265"/>
      <c r="C1265"/>
      <c r="F1265"/>
      <c r="G1265"/>
      <c r="I1265"/>
      <c r="L1265"/>
      <c r="M1265"/>
      <c r="N1265"/>
      <c r="O1265"/>
    </row>
    <row r="1266" spans="1:15" x14ac:dyDescent="0.2">
      <c r="A1266"/>
      <c r="B1266"/>
      <c r="C1266"/>
      <c r="F1266"/>
      <c r="G1266"/>
      <c r="H1266"/>
      <c r="I1266"/>
      <c r="L1266"/>
      <c r="M1266"/>
      <c r="N1266"/>
      <c r="O1266"/>
    </row>
    <row r="1267" spans="1:15" x14ac:dyDescent="0.2">
      <c r="A1267"/>
      <c r="B1267"/>
      <c r="C1267"/>
      <c r="F1267"/>
      <c r="G1267"/>
      <c r="I1267"/>
      <c r="L1267"/>
      <c r="M1267"/>
      <c r="N1267"/>
      <c r="O1267"/>
    </row>
    <row r="1268" spans="1:15" x14ac:dyDescent="0.2">
      <c r="A1268"/>
      <c r="B1268"/>
      <c r="C1268"/>
      <c r="F1268"/>
      <c r="G1268"/>
      <c r="H1268"/>
      <c r="I1268"/>
      <c r="L1268"/>
      <c r="M1268"/>
      <c r="N1268"/>
      <c r="O1268"/>
    </row>
    <row r="1269" spans="1:15" x14ac:dyDescent="0.2">
      <c r="A1269"/>
      <c r="B1269"/>
      <c r="C1269"/>
      <c r="F1269"/>
      <c r="G1269"/>
      <c r="H1269"/>
      <c r="I1269"/>
      <c r="L1269"/>
      <c r="M1269"/>
      <c r="N1269"/>
      <c r="O1269"/>
    </row>
    <row r="1270" spans="1:15" x14ac:dyDescent="0.2">
      <c r="A1270"/>
      <c r="B1270"/>
      <c r="C1270"/>
      <c r="F1270"/>
      <c r="G1270"/>
      <c r="H1270"/>
      <c r="J1270"/>
      <c r="K1270"/>
      <c r="L1270"/>
      <c r="M1270"/>
      <c r="N1270"/>
      <c r="O1270"/>
    </row>
    <row r="1271" spans="1:15" x14ac:dyDescent="0.2">
      <c r="A1271"/>
      <c r="B1271"/>
      <c r="C1271"/>
      <c r="F1271"/>
      <c r="G1271"/>
      <c r="H1271"/>
      <c r="J1271"/>
      <c r="K1271"/>
      <c r="L1271"/>
      <c r="M1271"/>
      <c r="N1271"/>
      <c r="O1271"/>
    </row>
    <row r="1272" spans="1:15" x14ac:dyDescent="0.2">
      <c r="A1272"/>
      <c r="B1272"/>
      <c r="C1272"/>
      <c r="F1272"/>
      <c r="G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J1275"/>
      <c r="K1275"/>
      <c r="L1275"/>
      <c r="M1275"/>
      <c r="N1275"/>
      <c r="O1275"/>
    </row>
    <row r="1276" spans="1:15" x14ac:dyDescent="0.2">
      <c r="A1276"/>
      <c r="B1276"/>
      <c r="C1276"/>
      <c r="F1276"/>
      <c r="G1276"/>
      <c r="H1276"/>
      <c r="I1276"/>
      <c r="L1276"/>
      <c r="M1276"/>
      <c r="N1276"/>
      <c r="O1276"/>
    </row>
    <row r="1277" spans="1:15" x14ac:dyDescent="0.2">
      <c r="A1277"/>
      <c r="B1277"/>
      <c r="C1277"/>
      <c r="F1277"/>
      <c r="G1277"/>
      <c r="H1277"/>
      <c r="I1277"/>
      <c r="L1277"/>
      <c r="M1277"/>
      <c r="N1277"/>
      <c r="O1277"/>
    </row>
    <row r="1278" spans="1:15" x14ac:dyDescent="0.2">
      <c r="A1278"/>
      <c r="B1278"/>
      <c r="C1278"/>
      <c r="F1278"/>
      <c r="G1278"/>
      <c r="J1278"/>
      <c r="K1278"/>
      <c r="L1278"/>
      <c r="M1278"/>
      <c r="N1278"/>
      <c r="O1278"/>
    </row>
    <row r="1279" spans="1:15" x14ac:dyDescent="0.2">
      <c r="A1279"/>
      <c r="B1279"/>
      <c r="C1279"/>
      <c r="F1279"/>
      <c r="G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H1284"/>
      <c r="J1284"/>
      <c r="K1284"/>
      <c r="L1284"/>
      <c r="M1284"/>
      <c r="N1284"/>
      <c r="O1284"/>
    </row>
    <row r="1285" spans="1:15" x14ac:dyDescent="0.2">
      <c r="A1285"/>
      <c r="B1285"/>
      <c r="C1285"/>
      <c r="F1285"/>
      <c r="G1285"/>
      <c r="H1285"/>
      <c r="I1285"/>
      <c r="L1285"/>
      <c r="M1285"/>
      <c r="N1285"/>
      <c r="O1285"/>
    </row>
    <row r="1286" spans="1:15" x14ac:dyDescent="0.2">
      <c r="A1286"/>
      <c r="B1286"/>
      <c r="C1286"/>
      <c r="F1286"/>
      <c r="G1286"/>
      <c r="I1286"/>
      <c r="L1286"/>
      <c r="M1286"/>
      <c r="N1286"/>
      <c r="O1286"/>
    </row>
    <row r="1287" spans="1:15" x14ac:dyDescent="0.2">
      <c r="A1287"/>
      <c r="B1287"/>
      <c r="C1287"/>
      <c r="F1287"/>
      <c r="G1287"/>
      <c r="H1287"/>
      <c r="I1287"/>
      <c r="L1287"/>
      <c r="M1287"/>
      <c r="N1287"/>
      <c r="O1287"/>
    </row>
    <row r="1288" spans="1:15" x14ac:dyDescent="0.2">
      <c r="A1288"/>
      <c r="B1288"/>
      <c r="C1288"/>
      <c r="F1288"/>
      <c r="G1288"/>
      <c r="I1288"/>
      <c r="L1288"/>
      <c r="M1288"/>
      <c r="N1288"/>
      <c r="O1288"/>
    </row>
    <row r="1289" spans="1:15" x14ac:dyDescent="0.2">
      <c r="A1289"/>
      <c r="B1289"/>
      <c r="C1289"/>
      <c r="F1289"/>
      <c r="G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I1292"/>
      <c r="L1292"/>
      <c r="M1292"/>
      <c r="N1292"/>
      <c r="O1292"/>
    </row>
    <row r="1293" spans="1:15" x14ac:dyDescent="0.2">
      <c r="A1293"/>
      <c r="B1293"/>
      <c r="C1293"/>
      <c r="F1293"/>
      <c r="G1293"/>
      <c r="H1293"/>
      <c r="I1293"/>
      <c r="L1293"/>
      <c r="M1293"/>
      <c r="N1293"/>
      <c r="O1293"/>
    </row>
    <row r="1294" spans="1:15" x14ac:dyDescent="0.2">
      <c r="A1294"/>
      <c r="B1294"/>
      <c r="C1294"/>
      <c r="F1294"/>
      <c r="G1294"/>
      <c r="H1294"/>
      <c r="I1294"/>
      <c r="L1294"/>
      <c r="N1294"/>
      <c r="O1294"/>
    </row>
    <row r="1295" spans="1:15" x14ac:dyDescent="0.2">
      <c r="A1295"/>
      <c r="B1295"/>
      <c r="C1295"/>
      <c r="F1295"/>
      <c r="G1295"/>
      <c r="I1295"/>
      <c r="L1295"/>
      <c r="M1295"/>
      <c r="N1295"/>
      <c r="O1295"/>
    </row>
    <row r="1296" spans="1:15" x14ac:dyDescent="0.2">
      <c r="A1296"/>
      <c r="B1296"/>
      <c r="C1296"/>
      <c r="F1296"/>
      <c r="G1296"/>
      <c r="I1296"/>
      <c r="L1296"/>
      <c r="M1296"/>
      <c r="N1296"/>
      <c r="O1296"/>
    </row>
    <row r="1297" spans="1:15" x14ac:dyDescent="0.2">
      <c r="A1297"/>
      <c r="B1297"/>
      <c r="C1297"/>
      <c r="F1297"/>
      <c r="G1297"/>
      <c r="I1297"/>
      <c r="L1297"/>
      <c r="M1297"/>
      <c r="N1297"/>
      <c r="O1297"/>
    </row>
    <row r="1298" spans="1:15" x14ac:dyDescent="0.2">
      <c r="A1298"/>
      <c r="B1298"/>
      <c r="C1298"/>
      <c r="F1298"/>
      <c r="G1298"/>
      <c r="H1298"/>
      <c r="I1298"/>
      <c r="L1298"/>
      <c r="M1298"/>
      <c r="N1298"/>
      <c r="O1298"/>
    </row>
    <row r="1299" spans="1:15" x14ac:dyDescent="0.2">
      <c r="A1299"/>
      <c r="B1299"/>
      <c r="C1299"/>
      <c r="F1299"/>
      <c r="G1299"/>
      <c r="H1299"/>
      <c r="I1299"/>
      <c r="L1299"/>
      <c r="M1299"/>
      <c r="N1299"/>
      <c r="O1299"/>
    </row>
    <row r="1300" spans="1:15" x14ac:dyDescent="0.2">
      <c r="A1300"/>
      <c r="B1300"/>
      <c r="C1300"/>
      <c r="F1300"/>
      <c r="G1300"/>
      <c r="H1300"/>
      <c r="I1300"/>
      <c r="L1300"/>
      <c r="M1300"/>
      <c r="N1300"/>
      <c r="O1300"/>
    </row>
    <row r="1301" spans="1:15" x14ac:dyDescent="0.2">
      <c r="A1301"/>
      <c r="B1301"/>
      <c r="C1301"/>
      <c r="F1301"/>
      <c r="G1301"/>
      <c r="H1301"/>
      <c r="I1301"/>
      <c r="L1301"/>
      <c r="M1301"/>
      <c r="N1301"/>
      <c r="O1301"/>
    </row>
    <row r="1302" spans="1:15" x14ac:dyDescent="0.2">
      <c r="A1302"/>
      <c r="B1302"/>
      <c r="C1302"/>
      <c r="F1302"/>
      <c r="G1302"/>
      <c r="I1302"/>
      <c r="L1302"/>
      <c r="M1302"/>
      <c r="N1302"/>
      <c r="O1302"/>
    </row>
    <row r="1303" spans="1:15" x14ac:dyDescent="0.2">
      <c r="A1303"/>
      <c r="B1303"/>
      <c r="C1303"/>
      <c r="F1303"/>
      <c r="G1303"/>
      <c r="I1303"/>
      <c r="L1303"/>
      <c r="M1303"/>
      <c r="N1303"/>
      <c r="O1303"/>
    </row>
    <row r="1304" spans="1:15" x14ac:dyDescent="0.2">
      <c r="A1304"/>
      <c r="B1304"/>
      <c r="C1304"/>
      <c r="F1304"/>
      <c r="G1304"/>
      <c r="I1304"/>
      <c r="L1304"/>
      <c r="M1304"/>
      <c r="N1304"/>
      <c r="O1304"/>
    </row>
    <row r="1305" spans="1:15" x14ac:dyDescent="0.2">
      <c r="A1305"/>
      <c r="B1305"/>
      <c r="C1305"/>
      <c r="F1305"/>
      <c r="G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H1310"/>
      <c r="J1310"/>
      <c r="K1310"/>
      <c r="L1310"/>
      <c r="M1310"/>
      <c r="N1310"/>
      <c r="O1310"/>
    </row>
    <row r="1311" spans="1:15" x14ac:dyDescent="0.2">
      <c r="A1311"/>
      <c r="B1311"/>
      <c r="C1311"/>
      <c r="F1311"/>
      <c r="G1311"/>
      <c r="L1311"/>
      <c r="M1311"/>
      <c r="N1311"/>
      <c r="O1311"/>
    </row>
    <row r="1312" spans="1:15" x14ac:dyDescent="0.2">
      <c r="A1312"/>
      <c r="B1312"/>
      <c r="C1312"/>
      <c r="F1312"/>
      <c r="G1312"/>
      <c r="L1312"/>
      <c r="M1312"/>
      <c r="N1312"/>
      <c r="O1312"/>
    </row>
    <row r="1313" spans="1:15" x14ac:dyDescent="0.2">
      <c r="A1313"/>
      <c r="B1313"/>
      <c r="C1313"/>
      <c r="F1313"/>
      <c r="G1313"/>
      <c r="H1313"/>
      <c r="J1313"/>
      <c r="K1313"/>
      <c r="L1313"/>
      <c r="M1313"/>
      <c r="N1313"/>
      <c r="O1313"/>
    </row>
    <row r="1314" spans="1:15" x14ac:dyDescent="0.2">
      <c r="A1314"/>
      <c r="B1314"/>
      <c r="C1314"/>
      <c r="F1314"/>
      <c r="G1314"/>
      <c r="J1314"/>
      <c r="K1314"/>
      <c r="L1314"/>
      <c r="M1314"/>
      <c r="N1314"/>
      <c r="O1314"/>
    </row>
    <row r="1315" spans="1:15" x14ac:dyDescent="0.2">
      <c r="A1315"/>
      <c r="B1315"/>
      <c r="C1315"/>
      <c r="F1315"/>
      <c r="G1315"/>
      <c r="H1315"/>
      <c r="I1315"/>
      <c r="L1315"/>
      <c r="N1315"/>
      <c r="O1315"/>
    </row>
    <row r="1316" spans="1:15" x14ac:dyDescent="0.2">
      <c r="A1316"/>
      <c r="B1316"/>
      <c r="C1316"/>
      <c r="F1316"/>
      <c r="G1316"/>
      <c r="I1316"/>
      <c r="L1316"/>
      <c r="M1316"/>
      <c r="N1316"/>
      <c r="O1316"/>
    </row>
    <row r="1317" spans="1:15" x14ac:dyDescent="0.2">
      <c r="A1317"/>
      <c r="B1317"/>
      <c r="C1317"/>
      <c r="F1317"/>
      <c r="G1317"/>
      <c r="L1317"/>
      <c r="M1317"/>
      <c r="N1317"/>
      <c r="O1317"/>
    </row>
    <row r="1318" spans="1:15" x14ac:dyDescent="0.2">
      <c r="A1318"/>
      <c r="B1318"/>
      <c r="C1318"/>
      <c r="F1318"/>
      <c r="G1318"/>
      <c r="H1318"/>
      <c r="I1318"/>
      <c r="L1318"/>
      <c r="M1318"/>
      <c r="N1318"/>
      <c r="O1318"/>
    </row>
    <row r="1319" spans="1:15" x14ac:dyDescent="0.2">
      <c r="A1319"/>
      <c r="B1319"/>
      <c r="C1319"/>
      <c r="F1319"/>
      <c r="G1319"/>
      <c r="L1319"/>
      <c r="M1319"/>
      <c r="N1319"/>
      <c r="O1319"/>
    </row>
    <row r="1320" spans="1:15" x14ac:dyDescent="0.2">
      <c r="A1320"/>
      <c r="B1320"/>
      <c r="C1320"/>
      <c r="F1320"/>
      <c r="G1320"/>
      <c r="L1320"/>
      <c r="M1320"/>
      <c r="N1320"/>
      <c r="O1320"/>
    </row>
    <row r="1321" spans="1:15" x14ac:dyDescent="0.2">
      <c r="A1321"/>
      <c r="B1321"/>
      <c r="C1321"/>
      <c r="F1321"/>
      <c r="G1321"/>
      <c r="I1321"/>
      <c r="L1321"/>
      <c r="M1321"/>
      <c r="N1321"/>
      <c r="O1321"/>
    </row>
    <row r="1322" spans="1:15" x14ac:dyDescent="0.2">
      <c r="A1322"/>
      <c r="B1322"/>
      <c r="C1322"/>
      <c r="F1322"/>
      <c r="G1322"/>
      <c r="H1322"/>
      <c r="I1322"/>
      <c r="L1322"/>
      <c r="M1322"/>
      <c r="N1322"/>
      <c r="O1322"/>
    </row>
    <row r="1323" spans="1:15" x14ac:dyDescent="0.2">
      <c r="A1323"/>
      <c r="B1323"/>
      <c r="C1323"/>
      <c r="F1323"/>
      <c r="G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H1326"/>
      <c r="I1326"/>
      <c r="L1326"/>
      <c r="M1326"/>
      <c r="N1326"/>
      <c r="O1326"/>
    </row>
    <row r="1327" spans="1:15" x14ac:dyDescent="0.2">
      <c r="A1327"/>
      <c r="B1327"/>
      <c r="C1327"/>
      <c r="F1327"/>
      <c r="G1327"/>
      <c r="H1327"/>
      <c r="I1327"/>
      <c r="L1327"/>
      <c r="M1327"/>
      <c r="N1327"/>
      <c r="O1327"/>
    </row>
    <row r="1328" spans="1:15" x14ac:dyDescent="0.2">
      <c r="A1328"/>
      <c r="B1328"/>
      <c r="C1328"/>
      <c r="F1328"/>
      <c r="G1328"/>
      <c r="I1328"/>
      <c r="L1328"/>
      <c r="M1328"/>
      <c r="N1328"/>
      <c r="O1328"/>
    </row>
    <row r="1329" spans="1:15" x14ac:dyDescent="0.2">
      <c r="A1329"/>
      <c r="B1329"/>
      <c r="C1329"/>
      <c r="F1329"/>
      <c r="G1329"/>
      <c r="H1329"/>
      <c r="I1329"/>
      <c r="L1329"/>
      <c r="N1329"/>
      <c r="O1329"/>
    </row>
    <row r="1330" spans="1:15" x14ac:dyDescent="0.2">
      <c r="A1330"/>
      <c r="B1330"/>
      <c r="C1330"/>
      <c r="F1330"/>
      <c r="G1330"/>
      <c r="I1330"/>
      <c r="L1330"/>
      <c r="M1330"/>
      <c r="N1330"/>
      <c r="O1330"/>
    </row>
    <row r="1331" spans="1:15" x14ac:dyDescent="0.2">
      <c r="A1331"/>
      <c r="B1331"/>
      <c r="C1331"/>
      <c r="F1331"/>
      <c r="G1331"/>
      <c r="I1331"/>
      <c r="L1331"/>
      <c r="M1331"/>
      <c r="N1331"/>
      <c r="O1331"/>
    </row>
    <row r="1332" spans="1:15" x14ac:dyDescent="0.2">
      <c r="A1332"/>
      <c r="B1332"/>
      <c r="C1332"/>
      <c r="F1332"/>
      <c r="G1332"/>
      <c r="H1332"/>
      <c r="I1332"/>
      <c r="L1332"/>
      <c r="M1332"/>
      <c r="N1332"/>
      <c r="O1332"/>
    </row>
    <row r="1333" spans="1:15" x14ac:dyDescent="0.2">
      <c r="A1333"/>
      <c r="B1333"/>
      <c r="C1333"/>
      <c r="F1333"/>
      <c r="G1333"/>
      <c r="J1333"/>
      <c r="K1333"/>
      <c r="L1333"/>
      <c r="M1333"/>
      <c r="N1333"/>
      <c r="O1333"/>
    </row>
    <row r="1334" spans="1:15" x14ac:dyDescent="0.2">
      <c r="A1334"/>
      <c r="B1334"/>
      <c r="C1334"/>
      <c r="F1334"/>
      <c r="G1334"/>
      <c r="H1334"/>
      <c r="I1334"/>
      <c r="L1334"/>
      <c r="M1334"/>
      <c r="N1334"/>
      <c r="O1334"/>
    </row>
    <row r="1335" spans="1:15" x14ac:dyDescent="0.2">
      <c r="A1335"/>
      <c r="B1335"/>
      <c r="C1335"/>
      <c r="F1335"/>
      <c r="G1335"/>
      <c r="H1335"/>
      <c r="I1335"/>
      <c r="L1335"/>
      <c r="M1335"/>
      <c r="N1335"/>
      <c r="O1335"/>
    </row>
    <row r="1336" spans="1:15" x14ac:dyDescent="0.2">
      <c r="A1336"/>
      <c r="B1336"/>
      <c r="C1336"/>
      <c r="F1336"/>
      <c r="G1336"/>
      <c r="I1336"/>
      <c r="L1336"/>
      <c r="M1336"/>
      <c r="N1336"/>
      <c r="O1336"/>
    </row>
    <row r="1337" spans="1:15" x14ac:dyDescent="0.2">
      <c r="A1337"/>
      <c r="B1337"/>
      <c r="C1337"/>
      <c r="F1337"/>
      <c r="G1337"/>
      <c r="I1337"/>
      <c r="L1337"/>
      <c r="M1337"/>
      <c r="N1337"/>
      <c r="O1337"/>
    </row>
    <row r="1338" spans="1:15" x14ac:dyDescent="0.2">
      <c r="A1338"/>
      <c r="B1338"/>
      <c r="C1338"/>
      <c r="F1338"/>
      <c r="G1338"/>
      <c r="H1338"/>
      <c r="I1338"/>
      <c r="L1338"/>
      <c r="M1338"/>
      <c r="N1338"/>
      <c r="O1338"/>
    </row>
    <row r="1339" spans="1:15" x14ac:dyDescent="0.2">
      <c r="A1339"/>
      <c r="B1339"/>
      <c r="C1339"/>
      <c r="F1339"/>
      <c r="G1339"/>
      <c r="L1339"/>
      <c r="M1339"/>
      <c r="N1339"/>
      <c r="O1339"/>
    </row>
    <row r="1340" spans="1:15" x14ac:dyDescent="0.2">
      <c r="A1340"/>
      <c r="B1340"/>
      <c r="C1340"/>
      <c r="F1340"/>
      <c r="G1340"/>
      <c r="M1340"/>
      <c r="N1340"/>
      <c r="O1340"/>
    </row>
    <row r="1341" spans="1:15" x14ac:dyDescent="0.2">
      <c r="A1341"/>
      <c r="B1341"/>
      <c r="C1341"/>
      <c r="F1341"/>
      <c r="G1341"/>
      <c r="H1341"/>
      <c r="I1341"/>
      <c r="L1341"/>
      <c r="M1341"/>
      <c r="N1341"/>
      <c r="O1341"/>
    </row>
    <row r="1342" spans="1:15" x14ac:dyDescent="0.2">
      <c r="A1342"/>
      <c r="B1342"/>
      <c r="C1342"/>
      <c r="F1342"/>
      <c r="G1342"/>
      <c r="H1342"/>
      <c r="I1342"/>
      <c r="L1342"/>
      <c r="M1342"/>
      <c r="N1342"/>
      <c r="O1342"/>
    </row>
    <row r="1343" spans="1:15" x14ac:dyDescent="0.2">
      <c r="A1343"/>
      <c r="B1343"/>
      <c r="C1343"/>
      <c r="F1343"/>
      <c r="G1343"/>
      <c r="I1343"/>
      <c r="L1343"/>
      <c r="M1343"/>
      <c r="N1343"/>
      <c r="O1343"/>
    </row>
    <row r="1344" spans="1:15" x14ac:dyDescent="0.2">
      <c r="A1344"/>
      <c r="B1344"/>
      <c r="C1344"/>
      <c r="F1344"/>
      <c r="G1344"/>
      <c r="I1344"/>
      <c r="L1344"/>
      <c r="M1344"/>
      <c r="N1344"/>
      <c r="O1344"/>
    </row>
    <row r="1345" spans="1:15" x14ac:dyDescent="0.2">
      <c r="A1345"/>
      <c r="B1345"/>
      <c r="C1345"/>
      <c r="F1345"/>
      <c r="G1345"/>
      <c r="H1345"/>
      <c r="I1345"/>
      <c r="L1345"/>
      <c r="M1345"/>
      <c r="N1345"/>
      <c r="O1345"/>
    </row>
    <row r="1346" spans="1:15" x14ac:dyDescent="0.2">
      <c r="A1346"/>
      <c r="B1346"/>
      <c r="C1346"/>
      <c r="F1346"/>
      <c r="G1346"/>
      <c r="I1346"/>
      <c r="L1346"/>
      <c r="M1346"/>
      <c r="N1346"/>
      <c r="O1346"/>
    </row>
    <row r="1347" spans="1:15" x14ac:dyDescent="0.2">
      <c r="A1347"/>
      <c r="B1347"/>
      <c r="C1347"/>
      <c r="F1347"/>
      <c r="G1347"/>
      <c r="I1347"/>
      <c r="L1347"/>
      <c r="M1347"/>
      <c r="N1347"/>
      <c r="O1347"/>
    </row>
    <row r="1348" spans="1:15" x14ac:dyDescent="0.2">
      <c r="A1348"/>
      <c r="B1348"/>
      <c r="C1348"/>
      <c r="F1348"/>
      <c r="G1348"/>
      <c r="I1348"/>
      <c r="L1348"/>
      <c r="M1348"/>
      <c r="N1348"/>
      <c r="O1348"/>
    </row>
    <row r="1349" spans="1:15" x14ac:dyDescent="0.2">
      <c r="A1349"/>
      <c r="B1349"/>
      <c r="C1349"/>
      <c r="F1349"/>
      <c r="G1349"/>
      <c r="H1349"/>
      <c r="I1349"/>
      <c r="L1349"/>
      <c r="M1349"/>
      <c r="N1349"/>
      <c r="O1349"/>
    </row>
    <row r="1350" spans="1:15" x14ac:dyDescent="0.2">
      <c r="A1350"/>
      <c r="B1350"/>
      <c r="C1350"/>
      <c r="F1350"/>
      <c r="G1350"/>
      <c r="I1350"/>
      <c r="L1350"/>
      <c r="M1350"/>
      <c r="N1350"/>
      <c r="O1350"/>
    </row>
    <row r="1351" spans="1:15" x14ac:dyDescent="0.2">
      <c r="A1351"/>
      <c r="B1351"/>
      <c r="C1351"/>
      <c r="F1351"/>
      <c r="G1351"/>
      <c r="I1351"/>
      <c r="L1351"/>
      <c r="M1351"/>
      <c r="N1351"/>
      <c r="O1351"/>
    </row>
    <row r="1352" spans="1:15" x14ac:dyDescent="0.2">
      <c r="A1352"/>
      <c r="B1352"/>
      <c r="C1352"/>
      <c r="F1352"/>
      <c r="G1352"/>
      <c r="H1352"/>
      <c r="I1352"/>
      <c r="L1352"/>
      <c r="M1352"/>
      <c r="N1352"/>
      <c r="O1352"/>
    </row>
    <row r="1353" spans="1:15" x14ac:dyDescent="0.2">
      <c r="A1353"/>
      <c r="B1353"/>
      <c r="C1353"/>
      <c r="F1353"/>
      <c r="G1353"/>
      <c r="J1353"/>
      <c r="K1353"/>
      <c r="L1353"/>
      <c r="M1353"/>
      <c r="N1353"/>
      <c r="O1353"/>
    </row>
    <row r="1354" spans="1:15" x14ac:dyDescent="0.2">
      <c r="A1354"/>
      <c r="B1354"/>
      <c r="C1354"/>
      <c r="F1354"/>
      <c r="G1354"/>
      <c r="H1354"/>
      <c r="I1354"/>
      <c r="L1354"/>
      <c r="M1354"/>
      <c r="N1354"/>
      <c r="O1354"/>
    </row>
    <row r="1355" spans="1:15" x14ac:dyDescent="0.2">
      <c r="A1355"/>
      <c r="B1355"/>
      <c r="C1355"/>
      <c r="F1355"/>
      <c r="G1355"/>
      <c r="I1355"/>
      <c r="L1355"/>
      <c r="M1355"/>
      <c r="N1355"/>
      <c r="O1355"/>
    </row>
    <row r="1356" spans="1:15" x14ac:dyDescent="0.2">
      <c r="A1356"/>
      <c r="B1356"/>
      <c r="C1356"/>
      <c r="F1356"/>
      <c r="G1356"/>
      <c r="L1356"/>
      <c r="M1356"/>
      <c r="N1356"/>
      <c r="O1356"/>
    </row>
    <row r="1357" spans="1:15" x14ac:dyDescent="0.2">
      <c r="A1357"/>
      <c r="B1357"/>
      <c r="C1357"/>
      <c r="F1357"/>
      <c r="G1357"/>
      <c r="H1357"/>
      <c r="I1357"/>
      <c r="L1357"/>
      <c r="M1357"/>
      <c r="N1357"/>
      <c r="O1357"/>
    </row>
    <row r="1358" spans="1:15" x14ac:dyDescent="0.2">
      <c r="A1358"/>
      <c r="B1358"/>
      <c r="C1358"/>
      <c r="F1358"/>
      <c r="G1358"/>
      <c r="H1358"/>
      <c r="I1358"/>
      <c r="L1358"/>
      <c r="M1358"/>
      <c r="N1358"/>
      <c r="O1358"/>
    </row>
    <row r="1359" spans="1:15" x14ac:dyDescent="0.2">
      <c r="A1359"/>
      <c r="B1359"/>
      <c r="C1359"/>
      <c r="F1359"/>
      <c r="G1359"/>
      <c r="J1359"/>
      <c r="K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L1362"/>
      <c r="M1362"/>
      <c r="N1362"/>
      <c r="O1362"/>
    </row>
    <row r="1363" spans="1:15" x14ac:dyDescent="0.2">
      <c r="A1363"/>
      <c r="B1363"/>
      <c r="C1363"/>
      <c r="F1363"/>
      <c r="G1363"/>
      <c r="I1363"/>
      <c r="L1363"/>
      <c r="M1363"/>
      <c r="N1363"/>
      <c r="O1363"/>
    </row>
    <row r="1364" spans="1:15" x14ac:dyDescent="0.2">
      <c r="A1364"/>
      <c r="B1364"/>
      <c r="C1364"/>
      <c r="F1364"/>
      <c r="G1364"/>
      <c r="H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L1367"/>
      <c r="M1367"/>
      <c r="N1367"/>
      <c r="O1367"/>
    </row>
    <row r="1368" spans="1:15" x14ac:dyDescent="0.2">
      <c r="A1368"/>
      <c r="B1368"/>
      <c r="C1368"/>
      <c r="F1368"/>
      <c r="G1368"/>
      <c r="H1368"/>
      <c r="J1368"/>
      <c r="K1368"/>
      <c r="L1368"/>
      <c r="M1368"/>
      <c r="N1368"/>
      <c r="O1368"/>
    </row>
    <row r="1369" spans="1:15" x14ac:dyDescent="0.2">
      <c r="A1369"/>
      <c r="B1369"/>
      <c r="C1369"/>
      <c r="F1369"/>
      <c r="G1369"/>
      <c r="H1369"/>
      <c r="I1369"/>
      <c r="L1369"/>
      <c r="M1369"/>
      <c r="N1369"/>
      <c r="O1369"/>
    </row>
    <row r="1370" spans="1:15" x14ac:dyDescent="0.2">
      <c r="A1370"/>
      <c r="B1370"/>
      <c r="C1370"/>
      <c r="F1370"/>
      <c r="G1370"/>
      <c r="H1370"/>
      <c r="I1370"/>
      <c r="L1370"/>
      <c r="M1370"/>
      <c r="N1370"/>
      <c r="O1370"/>
    </row>
    <row r="1371" spans="1:15" x14ac:dyDescent="0.2">
      <c r="A1371"/>
      <c r="B1371"/>
      <c r="C1371"/>
      <c r="F1371"/>
      <c r="G1371"/>
      <c r="I1371"/>
      <c r="L1371"/>
      <c r="M1371"/>
      <c r="N1371"/>
      <c r="O1371"/>
    </row>
    <row r="1372" spans="1:15" x14ac:dyDescent="0.2">
      <c r="A1372"/>
      <c r="B1372"/>
      <c r="C1372"/>
      <c r="F1372"/>
      <c r="G1372"/>
      <c r="L1372"/>
      <c r="M1372"/>
      <c r="N1372"/>
      <c r="O1372"/>
    </row>
    <row r="1373" spans="1:15" x14ac:dyDescent="0.2">
      <c r="A1373"/>
      <c r="B1373"/>
      <c r="C1373"/>
      <c r="F1373"/>
      <c r="G1373"/>
      <c r="H1373"/>
      <c r="I1373"/>
      <c r="L1373"/>
      <c r="M1373"/>
      <c r="N1373"/>
      <c r="O1373"/>
    </row>
    <row r="1374" spans="1:15" x14ac:dyDescent="0.2">
      <c r="A1374"/>
      <c r="B1374"/>
      <c r="C1374"/>
      <c r="F1374"/>
      <c r="G1374"/>
      <c r="L1374"/>
      <c r="M1374"/>
      <c r="N1374"/>
      <c r="O1374"/>
    </row>
    <row r="1375" spans="1:15" x14ac:dyDescent="0.2">
      <c r="A1375"/>
      <c r="B1375"/>
      <c r="C1375"/>
      <c r="F1375"/>
      <c r="G1375"/>
      <c r="H1375"/>
      <c r="J1375"/>
      <c r="K1375"/>
      <c r="L1375"/>
      <c r="N1375"/>
      <c r="O1375"/>
    </row>
    <row r="1376" spans="1:15" x14ac:dyDescent="0.2">
      <c r="A1376"/>
      <c r="B1376"/>
      <c r="C1376"/>
      <c r="F1376"/>
      <c r="G1376"/>
      <c r="L1376"/>
      <c r="M1376"/>
      <c r="N1376"/>
      <c r="O1376"/>
    </row>
    <row r="1377" spans="1:15" x14ac:dyDescent="0.2">
      <c r="A1377"/>
      <c r="B1377"/>
      <c r="C1377"/>
      <c r="F1377"/>
      <c r="G1377"/>
      <c r="H1377"/>
      <c r="I1377"/>
      <c r="L1377"/>
      <c r="M1377"/>
      <c r="N1377"/>
      <c r="O1377"/>
    </row>
    <row r="1378" spans="1:15" x14ac:dyDescent="0.2">
      <c r="A1378"/>
      <c r="B1378"/>
      <c r="C1378"/>
      <c r="F1378"/>
      <c r="G1378"/>
      <c r="H1378"/>
      <c r="I1378"/>
      <c r="L1378"/>
      <c r="M1378"/>
      <c r="N1378"/>
      <c r="O1378"/>
    </row>
    <row r="1379" spans="1:15" x14ac:dyDescent="0.2">
      <c r="A1379"/>
      <c r="B1379"/>
      <c r="C1379"/>
      <c r="F1379"/>
      <c r="G1379"/>
      <c r="L1379"/>
      <c r="M1379"/>
      <c r="N1379"/>
      <c r="O1379"/>
    </row>
    <row r="1380" spans="1:15" x14ac:dyDescent="0.2">
      <c r="A1380"/>
      <c r="B1380"/>
      <c r="C1380"/>
      <c r="F1380"/>
      <c r="G1380"/>
      <c r="L1380"/>
      <c r="M1380"/>
      <c r="N1380"/>
      <c r="O1380"/>
    </row>
    <row r="1381" spans="1:15" x14ac:dyDescent="0.2">
      <c r="A1381"/>
      <c r="B1381"/>
      <c r="C1381"/>
      <c r="F1381"/>
      <c r="G1381"/>
      <c r="J1381"/>
      <c r="K1381"/>
      <c r="L1381"/>
      <c r="M1381"/>
      <c r="N1381"/>
      <c r="O1381"/>
    </row>
    <row r="1382" spans="1:15" x14ac:dyDescent="0.2">
      <c r="A1382"/>
      <c r="B1382"/>
      <c r="C1382"/>
      <c r="F1382"/>
      <c r="G1382"/>
      <c r="H1382"/>
      <c r="I1382"/>
      <c r="L1382"/>
      <c r="M1382"/>
      <c r="N1382"/>
      <c r="O1382"/>
    </row>
    <row r="1383" spans="1:15" x14ac:dyDescent="0.2">
      <c r="A1383"/>
      <c r="B1383"/>
      <c r="C1383"/>
      <c r="F1383"/>
      <c r="G1383"/>
      <c r="I1383"/>
      <c r="L1383"/>
      <c r="M1383"/>
      <c r="N1383"/>
      <c r="O1383"/>
    </row>
    <row r="1384" spans="1:15" x14ac:dyDescent="0.2">
      <c r="A1384"/>
      <c r="B1384"/>
      <c r="C1384"/>
      <c r="F1384"/>
      <c r="G1384"/>
      <c r="I1384"/>
      <c r="L1384"/>
      <c r="M1384"/>
      <c r="N1384"/>
      <c r="O1384"/>
    </row>
    <row r="1385" spans="1:15" x14ac:dyDescent="0.2">
      <c r="A1385"/>
      <c r="B1385"/>
      <c r="C1385"/>
      <c r="F1385"/>
      <c r="G1385"/>
      <c r="H1385"/>
      <c r="I1385"/>
      <c r="L1385"/>
      <c r="M1385"/>
      <c r="N1385"/>
      <c r="O1385"/>
    </row>
    <row r="1386" spans="1:15" x14ac:dyDescent="0.2">
      <c r="A1386"/>
      <c r="B1386"/>
      <c r="C1386"/>
      <c r="F1386"/>
      <c r="G1386"/>
      <c r="H1386"/>
      <c r="I1386"/>
      <c r="L1386"/>
      <c r="M1386"/>
      <c r="N1386"/>
      <c r="O1386"/>
    </row>
    <row r="1387" spans="1:15" x14ac:dyDescent="0.2">
      <c r="A1387"/>
      <c r="B1387"/>
      <c r="C1387"/>
      <c r="F1387"/>
      <c r="G1387"/>
      <c r="I1387"/>
      <c r="L1387"/>
      <c r="M1387"/>
      <c r="N1387"/>
      <c r="O1387"/>
    </row>
    <row r="1388" spans="1:15" x14ac:dyDescent="0.2">
      <c r="A1388"/>
      <c r="B1388"/>
      <c r="C1388"/>
      <c r="F1388"/>
      <c r="G1388"/>
      <c r="H1388"/>
      <c r="L1388"/>
      <c r="M1388"/>
      <c r="N1388"/>
      <c r="O1388"/>
    </row>
    <row r="1389" spans="1:15" x14ac:dyDescent="0.2">
      <c r="A1389"/>
      <c r="B1389"/>
      <c r="C1389"/>
      <c r="F1389"/>
      <c r="G1389"/>
      <c r="H1389"/>
      <c r="I1389"/>
      <c r="L1389"/>
      <c r="M1389"/>
      <c r="N1389"/>
      <c r="O1389"/>
    </row>
    <row r="1390" spans="1:15" x14ac:dyDescent="0.2">
      <c r="A1390"/>
      <c r="B1390"/>
      <c r="C1390"/>
      <c r="F1390"/>
      <c r="G1390"/>
      <c r="H1390"/>
      <c r="M1390"/>
      <c r="N1390"/>
      <c r="O1390"/>
    </row>
    <row r="1391" spans="1:15" x14ac:dyDescent="0.2">
      <c r="A1391"/>
      <c r="B1391"/>
      <c r="C1391"/>
      <c r="F1391"/>
      <c r="G1391"/>
      <c r="L1391"/>
      <c r="M1391"/>
      <c r="N1391"/>
      <c r="O1391"/>
    </row>
    <row r="1392" spans="1:15" x14ac:dyDescent="0.2">
      <c r="A1392"/>
      <c r="B1392"/>
      <c r="C1392"/>
      <c r="F1392"/>
      <c r="G1392"/>
      <c r="H1392"/>
      <c r="I1392"/>
      <c r="L1392"/>
      <c r="M1392"/>
      <c r="N1392"/>
      <c r="O1392"/>
    </row>
    <row r="1393" spans="1:15" x14ac:dyDescent="0.2">
      <c r="A1393"/>
      <c r="B1393"/>
      <c r="C1393"/>
      <c r="F1393"/>
      <c r="G1393"/>
      <c r="H1393"/>
      <c r="I1393"/>
      <c r="L1393"/>
      <c r="M1393"/>
      <c r="N1393"/>
      <c r="O1393"/>
    </row>
    <row r="1394" spans="1:15" x14ac:dyDescent="0.2">
      <c r="A1394"/>
      <c r="B1394"/>
      <c r="C1394"/>
      <c r="F1394"/>
      <c r="G1394"/>
      <c r="H1394"/>
      <c r="I1394"/>
      <c r="L1394"/>
      <c r="M1394"/>
      <c r="N1394"/>
      <c r="O1394"/>
    </row>
    <row r="1395" spans="1:15" x14ac:dyDescent="0.2">
      <c r="A1395"/>
      <c r="B1395"/>
      <c r="C1395"/>
      <c r="F1395"/>
      <c r="G1395"/>
      <c r="I1395"/>
      <c r="L1395"/>
      <c r="M1395"/>
      <c r="N1395"/>
      <c r="O1395"/>
    </row>
    <row r="1396" spans="1:15" x14ac:dyDescent="0.2">
      <c r="A1396"/>
      <c r="B1396"/>
      <c r="C1396"/>
      <c r="F1396"/>
      <c r="G1396"/>
      <c r="H1396"/>
      <c r="L1396"/>
      <c r="M1396"/>
      <c r="N1396"/>
      <c r="O1396"/>
    </row>
    <row r="1397" spans="1:15" x14ac:dyDescent="0.2">
      <c r="A1397"/>
      <c r="B1397"/>
      <c r="C1397"/>
      <c r="F1397"/>
      <c r="G1397"/>
      <c r="H1397"/>
      <c r="I1397"/>
      <c r="L1397"/>
      <c r="M1397"/>
      <c r="N1397"/>
      <c r="O1397"/>
    </row>
    <row r="1398" spans="1:15" x14ac:dyDescent="0.2">
      <c r="A1398"/>
      <c r="B1398"/>
      <c r="C1398"/>
      <c r="F1398"/>
      <c r="G1398"/>
      <c r="H1398"/>
      <c r="I1398"/>
      <c r="L1398"/>
      <c r="M1398"/>
      <c r="N1398"/>
      <c r="O1398"/>
    </row>
    <row r="1399" spans="1:15" x14ac:dyDescent="0.2">
      <c r="A1399"/>
      <c r="B1399"/>
      <c r="C1399"/>
      <c r="F1399"/>
      <c r="G1399"/>
      <c r="H1399"/>
      <c r="I1399"/>
      <c r="L1399"/>
      <c r="M1399"/>
      <c r="N1399"/>
      <c r="O1399"/>
    </row>
    <row r="1400" spans="1:15" x14ac:dyDescent="0.2">
      <c r="A1400"/>
      <c r="B1400"/>
      <c r="C1400"/>
      <c r="F1400"/>
      <c r="G1400"/>
      <c r="H1400"/>
      <c r="I1400"/>
      <c r="L1400"/>
      <c r="M1400"/>
      <c r="N1400"/>
      <c r="O1400"/>
    </row>
    <row r="1401" spans="1:15" x14ac:dyDescent="0.2">
      <c r="A1401"/>
      <c r="B1401"/>
      <c r="C1401"/>
      <c r="F1401"/>
      <c r="G1401"/>
      <c r="L1401"/>
      <c r="M1401"/>
      <c r="N1401"/>
      <c r="O1401"/>
    </row>
    <row r="1402" spans="1:15" x14ac:dyDescent="0.2">
      <c r="A1402"/>
      <c r="B1402"/>
      <c r="C1402"/>
      <c r="F1402"/>
      <c r="G1402"/>
      <c r="I1402"/>
      <c r="L1402"/>
      <c r="M1402"/>
      <c r="N1402"/>
      <c r="O1402"/>
    </row>
    <row r="1403" spans="1:15" x14ac:dyDescent="0.2">
      <c r="A1403"/>
      <c r="B1403"/>
      <c r="C1403"/>
      <c r="F1403"/>
      <c r="G1403"/>
      <c r="H1403"/>
      <c r="I1403"/>
      <c r="L1403"/>
      <c r="M1403"/>
      <c r="N1403"/>
      <c r="O1403"/>
    </row>
    <row r="1404" spans="1:15" x14ac:dyDescent="0.2">
      <c r="A1404"/>
      <c r="B1404"/>
      <c r="C1404"/>
      <c r="F1404"/>
      <c r="G1404"/>
      <c r="H1404"/>
      <c r="I1404"/>
      <c r="L1404"/>
      <c r="M1404"/>
      <c r="N1404"/>
      <c r="O1404"/>
    </row>
    <row r="1405" spans="1:15" x14ac:dyDescent="0.2">
      <c r="A1405"/>
      <c r="B1405"/>
      <c r="C1405"/>
      <c r="F1405"/>
      <c r="G1405"/>
      <c r="H1405"/>
      <c r="I1405"/>
      <c r="L1405"/>
      <c r="M1405"/>
      <c r="N1405"/>
      <c r="O1405"/>
    </row>
    <row r="1406" spans="1:15" x14ac:dyDescent="0.2">
      <c r="A1406"/>
      <c r="B1406"/>
      <c r="C1406"/>
      <c r="F1406"/>
      <c r="G1406"/>
      <c r="L1406"/>
      <c r="M1406"/>
      <c r="N1406"/>
      <c r="O1406"/>
    </row>
    <row r="1407" spans="1:15" x14ac:dyDescent="0.2">
      <c r="A1407"/>
      <c r="B1407"/>
      <c r="C1407"/>
      <c r="F1407"/>
      <c r="G1407"/>
      <c r="L1407"/>
      <c r="M1407"/>
      <c r="N1407"/>
      <c r="O1407"/>
    </row>
    <row r="1408" spans="1:15" x14ac:dyDescent="0.2">
      <c r="A1408"/>
      <c r="B1408"/>
      <c r="C1408"/>
      <c r="F1408"/>
      <c r="G1408"/>
      <c r="J1408"/>
      <c r="K1408"/>
      <c r="L1408"/>
      <c r="M1408"/>
      <c r="N1408"/>
      <c r="O1408"/>
    </row>
    <row r="1409" spans="1:15" x14ac:dyDescent="0.2">
      <c r="A1409"/>
      <c r="B1409"/>
      <c r="C1409"/>
      <c r="F1409"/>
      <c r="G1409"/>
      <c r="L1409"/>
      <c r="M1409"/>
      <c r="N1409"/>
      <c r="O1409"/>
    </row>
    <row r="1410" spans="1:15" x14ac:dyDescent="0.2">
      <c r="A1410"/>
      <c r="B1410"/>
      <c r="C1410"/>
      <c r="F1410"/>
      <c r="G1410"/>
      <c r="I1410"/>
      <c r="L1410"/>
      <c r="M1410"/>
      <c r="N1410"/>
      <c r="O1410"/>
    </row>
    <row r="1411" spans="1:15" x14ac:dyDescent="0.2">
      <c r="A1411"/>
      <c r="B1411"/>
      <c r="C1411"/>
      <c r="F1411"/>
      <c r="G1411"/>
      <c r="H1411"/>
      <c r="I1411"/>
      <c r="L1411"/>
      <c r="M1411"/>
      <c r="N1411"/>
      <c r="O1411"/>
    </row>
    <row r="1412" spans="1:15" x14ac:dyDescent="0.2">
      <c r="A1412"/>
      <c r="B1412"/>
      <c r="C1412"/>
      <c r="F1412"/>
      <c r="G1412"/>
      <c r="L1412"/>
      <c r="M1412"/>
      <c r="N1412"/>
      <c r="O1412"/>
    </row>
    <row r="1413" spans="1:15" x14ac:dyDescent="0.2">
      <c r="A1413"/>
      <c r="B1413"/>
      <c r="C1413"/>
      <c r="F1413"/>
      <c r="G1413"/>
      <c r="I1413"/>
      <c r="L1413"/>
      <c r="M1413"/>
      <c r="N1413"/>
      <c r="O1413"/>
    </row>
    <row r="1414" spans="1:15" x14ac:dyDescent="0.2">
      <c r="A1414"/>
      <c r="B1414"/>
      <c r="C1414"/>
      <c r="F1414"/>
      <c r="G1414"/>
      <c r="H1414"/>
      <c r="J1414"/>
      <c r="K1414"/>
      <c r="L1414"/>
      <c r="M1414"/>
      <c r="N1414"/>
      <c r="O1414"/>
    </row>
    <row r="1415" spans="1:15" x14ac:dyDescent="0.2">
      <c r="A1415"/>
      <c r="B1415"/>
      <c r="C1415"/>
      <c r="F1415"/>
      <c r="G1415"/>
      <c r="H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I1419"/>
      <c r="L1419"/>
      <c r="M1419"/>
      <c r="N1419"/>
      <c r="O1419"/>
    </row>
    <row r="1420" spans="1:15" x14ac:dyDescent="0.2">
      <c r="A1420"/>
      <c r="B1420"/>
      <c r="C1420"/>
      <c r="F1420"/>
      <c r="G1420"/>
      <c r="H1420"/>
      <c r="I1420"/>
      <c r="L1420"/>
      <c r="M1420"/>
      <c r="N1420"/>
      <c r="O1420"/>
    </row>
    <row r="1421" spans="1:15" x14ac:dyDescent="0.2">
      <c r="A1421"/>
      <c r="B1421"/>
      <c r="C1421"/>
      <c r="F1421"/>
      <c r="G1421"/>
      <c r="H1421"/>
      <c r="I1421"/>
      <c r="L1421"/>
      <c r="N1421"/>
      <c r="O1421"/>
    </row>
    <row r="1422" spans="1:15" x14ac:dyDescent="0.2">
      <c r="A1422"/>
      <c r="B1422"/>
      <c r="C1422"/>
      <c r="F1422"/>
      <c r="G1422"/>
      <c r="J1422"/>
      <c r="K1422"/>
      <c r="L1422"/>
      <c r="M1422"/>
      <c r="N1422"/>
      <c r="O1422"/>
    </row>
    <row r="1423" spans="1:15" x14ac:dyDescent="0.2">
      <c r="A1423"/>
      <c r="B1423"/>
      <c r="C1423"/>
      <c r="F1423"/>
      <c r="G1423"/>
      <c r="H1423"/>
      <c r="J1423"/>
      <c r="K1423"/>
      <c r="L1423"/>
      <c r="M1423"/>
      <c r="N1423"/>
      <c r="O1423"/>
    </row>
    <row r="1424" spans="1:15" x14ac:dyDescent="0.2">
      <c r="A1424"/>
      <c r="B1424"/>
      <c r="C1424"/>
      <c r="F1424"/>
      <c r="G1424"/>
      <c r="L1424"/>
      <c r="M1424"/>
      <c r="N1424"/>
      <c r="O1424"/>
    </row>
    <row r="1425" spans="1:15" x14ac:dyDescent="0.2">
      <c r="A1425"/>
      <c r="B1425"/>
      <c r="C1425"/>
      <c r="F1425"/>
      <c r="G1425"/>
      <c r="H1425"/>
      <c r="I1425"/>
      <c r="J1425"/>
      <c r="K1425"/>
      <c r="L1425"/>
      <c r="M1425"/>
      <c r="N1425"/>
      <c r="O1425"/>
    </row>
    <row r="1426" spans="1:15" x14ac:dyDescent="0.2">
      <c r="A1426"/>
      <c r="B1426"/>
      <c r="C1426"/>
      <c r="F1426"/>
      <c r="G1426"/>
      <c r="H1426"/>
      <c r="J1426"/>
      <c r="K1426"/>
      <c r="M1426"/>
      <c r="N1426"/>
      <c r="O1426"/>
    </row>
    <row r="1427" spans="1:15" x14ac:dyDescent="0.2">
      <c r="A1427"/>
      <c r="B1427"/>
      <c r="C1427"/>
      <c r="F1427"/>
      <c r="G1427"/>
      <c r="H1427"/>
      <c r="J1427"/>
      <c r="K1427"/>
      <c r="L1427"/>
      <c r="M1427"/>
      <c r="N1427"/>
      <c r="O1427"/>
    </row>
    <row r="1428" spans="1:15" x14ac:dyDescent="0.2">
      <c r="A1428"/>
      <c r="B1428"/>
      <c r="C1428"/>
      <c r="F1428"/>
      <c r="G1428"/>
      <c r="J1428"/>
      <c r="K1428"/>
      <c r="L1428"/>
      <c r="M1428"/>
      <c r="N1428"/>
      <c r="O1428"/>
    </row>
    <row r="1429" spans="1:15" x14ac:dyDescent="0.2">
      <c r="A1429"/>
      <c r="B1429"/>
      <c r="C1429"/>
      <c r="F1429"/>
      <c r="G1429"/>
      <c r="H1429"/>
      <c r="J1429"/>
      <c r="K1429"/>
      <c r="L1429"/>
      <c r="M1429"/>
      <c r="N1429"/>
      <c r="O1429"/>
    </row>
    <row r="1430" spans="1:15" x14ac:dyDescent="0.2">
      <c r="A1430"/>
      <c r="B1430"/>
      <c r="C1430"/>
      <c r="F1430"/>
      <c r="G1430"/>
      <c r="H1430"/>
      <c r="J1430"/>
      <c r="K1430"/>
      <c r="L1430"/>
      <c r="M1430"/>
      <c r="N1430"/>
      <c r="O1430"/>
    </row>
    <row r="1431" spans="1:15" x14ac:dyDescent="0.2">
      <c r="A1431"/>
      <c r="B1431"/>
      <c r="C1431"/>
      <c r="F1431"/>
      <c r="G1431"/>
      <c r="H1431"/>
      <c r="I1431"/>
      <c r="J1431"/>
      <c r="K1431"/>
      <c r="L1431"/>
      <c r="M1431"/>
      <c r="N1431"/>
      <c r="O1431"/>
    </row>
    <row r="1432" spans="1:15" x14ac:dyDescent="0.2">
      <c r="A1432"/>
      <c r="B1432"/>
      <c r="C1432"/>
      <c r="F1432"/>
      <c r="G1432"/>
      <c r="J1432"/>
      <c r="L1432"/>
      <c r="M1432"/>
      <c r="N1432"/>
      <c r="O1432"/>
    </row>
    <row r="1433" spans="1:15" x14ac:dyDescent="0.2">
      <c r="A1433"/>
      <c r="B1433"/>
      <c r="C1433"/>
      <c r="F1433"/>
      <c r="G1433"/>
      <c r="I1433"/>
      <c r="L1433"/>
      <c r="N1433"/>
      <c r="O1433"/>
    </row>
    <row r="1434" spans="1:15" x14ac:dyDescent="0.2">
      <c r="A1434"/>
      <c r="B1434"/>
      <c r="C1434"/>
      <c r="F1434"/>
      <c r="G1434"/>
      <c r="L1434"/>
      <c r="M1434"/>
      <c r="N1434"/>
      <c r="O1434"/>
    </row>
    <row r="1435" spans="1:15" x14ac:dyDescent="0.2">
      <c r="A1435"/>
      <c r="B1435"/>
      <c r="C1435"/>
      <c r="F1435"/>
      <c r="G1435"/>
      <c r="H1435"/>
      <c r="J1435"/>
      <c r="K1435"/>
      <c r="L1435"/>
      <c r="M1435"/>
      <c r="N1435"/>
      <c r="O1435"/>
    </row>
    <row r="1436" spans="1:15" x14ac:dyDescent="0.2">
      <c r="A1436"/>
      <c r="B1436"/>
      <c r="C1436"/>
      <c r="F1436"/>
      <c r="G1436"/>
      <c r="J1436"/>
      <c r="K1436"/>
      <c r="L1436"/>
      <c r="M1436"/>
      <c r="N1436"/>
      <c r="O1436"/>
    </row>
    <row r="1437" spans="1:15" x14ac:dyDescent="0.2">
      <c r="A1437"/>
      <c r="B1437"/>
      <c r="C1437"/>
      <c r="F1437"/>
      <c r="G1437"/>
      <c r="H1437"/>
      <c r="I1437"/>
      <c r="L1437"/>
      <c r="M1437"/>
      <c r="N1437"/>
      <c r="O1437"/>
    </row>
    <row r="1438" spans="1:15" x14ac:dyDescent="0.2">
      <c r="A1438"/>
      <c r="B1438"/>
      <c r="C1438"/>
      <c r="F1438"/>
      <c r="G1438"/>
      <c r="H1438"/>
      <c r="L1438"/>
      <c r="M1438"/>
      <c r="N1438"/>
      <c r="O1438"/>
    </row>
    <row r="1439" spans="1:15" x14ac:dyDescent="0.2">
      <c r="A1439"/>
      <c r="B1439"/>
      <c r="C1439"/>
      <c r="F1439"/>
      <c r="G1439"/>
      <c r="H1439"/>
      <c r="I1439"/>
      <c r="L1439"/>
      <c r="N1439"/>
      <c r="O1439"/>
    </row>
    <row r="1440" spans="1:15" x14ac:dyDescent="0.2">
      <c r="A1440"/>
      <c r="B1440"/>
      <c r="C1440"/>
      <c r="F1440"/>
      <c r="G1440"/>
      <c r="I1440"/>
      <c r="L1440"/>
      <c r="M1440"/>
      <c r="N1440"/>
      <c r="O1440"/>
    </row>
    <row r="1441" spans="1:15" x14ac:dyDescent="0.2">
      <c r="A1441"/>
      <c r="B1441"/>
      <c r="C1441"/>
      <c r="F1441"/>
      <c r="G1441"/>
      <c r="L1441"/>
      <c r="M1441"/>
      <c r="N1441"/>
      <c r="O1441"/>
    </row>
    <row r="1442" spans="1:15" x14ac:dyDescent="0.2">
      <c r="A1442"/>
      <c r="B1442"/>
      <c r="C1442"/>
      <c r="F1442"/>
      <c r="G1442"/>
      <c r="L1442"/>
      <c r="M1442"/>
      <c r="N1442"/>
      <c r="O1442"/>
    </row>
    <row r="1443" spans="1:15" x14ac:dyDescent="0.2">
      <c r="A1443"/>
      <c r="B1443"/>
      <c r="C1443"/>
      <c r="F1443"/>
      <c r="G1443"/>
      <c r="H1443"/>
      <c r="I1443"/>
      <c r="L1443"/>
      <c r="M1443"/>
      <c r="N1443"/>
      <c r="O1443"/>
    </row>
    <row r="1444" spans="1:15" x14ac:dyDescent="0.2">
      <c r="A1444"/>
      <c r="B1444"/>
      <c r="C1444"/>
      <c r="F1444"/>
      <c r="G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M1446"/>
      <c r="N1446"/>
      <c r="O1446"/>
    </row>
    <row r="1447" spans="1:15" x14ac:dyDescent="0.2">
      <c r="A1447"/>
      <c r="B1447"/>
      <c r="C1447"/>
      <c r="F1447"/>
      <c r="G1447"/>
      <c r="H1447"/>
      <c r="I1447"/>
      <c r="L1447"/>
      <c r="M1447"/>
      <c r="N1447"/>
      <c r="O1447"/>
    </row>
    <row r="1448" spans="1:15" x14ac:dyDescent="0.2">
      <c r="A1448"/>
      <c r="B1448"/>
      <c r="C1448"/>
      <c r="F1448"/>
      <c r="G1448"/>
      <c r="H1448"/>
      <c r="I1448"/>
      <c r="L1448"/>
      <c r="M1448"/>
      <c r="N1448"/>
      <c r="O1448"/>
    </row>
    <row r="1449" spans="1:15" x14ac:dyDescent="0.2">
      <c r="A1449"/>
      <c r="B1449"/>
      <c r="C1449"/>
      <c r="F1449"/>
      <c r="G1449"/>
      <c r="H1449"/>
      <c r="L1449"/>
      <c r="M1449"/>
      <c r="N1449"/>
      <c r="O1449"/>
    </row>
    <row r="1450" spans="1:15" x14ac:dyDescent="0.2">
      <c r="A1450"/>
      <c r="B1450"/>
      <c r="C1450"/>
      <c r="F1450"/>
      <c r="G1450"/>
      <c r="H1450"/>
      <c r="I1450"/>
      <c r="L1450"/>
      <c r="M1450"/>
      <c r="N1450"/>
      <c r="O1450"/>
    </row>
    <row r="1451" spans="1:15" x14ac:dyDescent="0.2">
      <c r="A1451"/>
      <c r="B1451"/>
      <c r="C1451"/>
      <c r="F1451"/>
      <c r="G1451"/>
      <c r="H1451"/>
      <c r="I1451"/>
      <c r="L1451"/>
      <c r="M1451"/>
      <c r="N1451"/>
      <c r="O1451"/>
    </row>
    <row r="1452" spans="1:15" x14ac:dyDescent="0.2">
      <c r="A1452"/>
      <c r="B1452"/>
      <c r="C1452"/>
      <c r="F1452"/>
      <c r="G1452"/>
      <c r="J1452"/>
      <c r="K1452"/>
      <c r="L1452"/>
      <c r="M1452"/>
      <c r="N1452"/>
      <c r="O1452"/>
    </row>
    <row r="1453" spans="1:15" x14ac:dyDescent="0.2">
      <c r="A1453"/>
      <c r="B1453"/>
      <c r="C1453"/>
      <c r="F1453"/>
      <c r="G1453"/>
      <c r="H1453"/>
      <c r="I1453"/>
      <c r="L1453"/>
      <c r="M1453"/>
      <c r="N1453"/>
      <c r="O1453"/>
    </row>
    <row r="1454" spans="1:15" x14ac:dyDescent="0.2">
      <c r="A1454"/>
      <c r="B1454"/>
      <c r="C1454"/>
      <c r="F1454"/>
      <c r="G1454"/>
      <c r="I1454"/>
      <c r="L1454"/>
      <c r="M1454"/>
      <c r="N1454"/>
      <c r="O1454"/>
    </row>
    <row r="1455" spans="1:15" x14ac:dyDescent="0.2">
      <c r="A1455"/>
      <c r="B1455"/>
      <c r="C1455"/>
      <c r="F1455"/>
      <c r="G1455"/>
      <c r="H1455"/>
      <c r="I1455"/>
      <c r="L1455"/>
      <c r="M1455"/>
      <c r="N1455"/>
      <c r="O1455"/>
    </row>
    <row r="1456" spans="1:15" x14ac:dyDescent="0.2">
      <c r="A1456"/>
      <c r="B1456"/>
      <c r="C1456"/>
      <c r="F1456"/>
      <c r="G1456"/>
      <c r="I1456"/>
      <c r="L1456"/>
      <c r="M1456"/>
      <c r="N1456"/>
      <c r="O1456"/>
    </row>
    <row r="1457" spans="1:15" x14ac:dyDescent="0.2">
      <c r="A1457"/>
      <c r="B1457"/>
      <c r="C1457"/>
      <c r="F1457"/>
      <c r="G1457"/>
      <c r="L1457"/>
      <c r="M1457"/>
      <c r="N1457"/>
      <c r="O1457"/>
    </row>
    <row r="1458" spans="1:15" x14ac:dyDescent="0.2">
      <c r="A1458"/>
      <c r="B1458"/>
      <c r="C1458"/>
      <c r="F1458"/>
      <c r="G1458"/>
      <c r="H1458"/>
      <c r="I1458"/>
      <c r="L1458"/>
      <c r="M1458"/>
      <c r="N1458"/>
      <c r="O1458"/>
    </row>
    <row r="1459" spans="1:15" x14ac:dyDescent="0.2">
      <c r="A1459"/>
      <c r="B1459"/>
      <c r="C1459"/>
      <c r="F1459"/>
      <c r="G1459"/>
      <c r="H1459"/>
      <c r="I1459"/>
      <c r="L1459"/>
      <c r="N1459"/>
      <c r="O1459"/>
    </row>
    <row r="1460" spans="1:15" x14ac:dyDescent="0.2">
      <c r="A1460"/>
      <c r="B1460"/>
      <c r="C1460"/>
      <c r="F1460"/>
      <c r="G1460"/>
      <c r="I1460"/>
      <c r="L1460"/>
      <c r="M1460"/>
      <c r="N1460"/>
      <c r="O1460"/>
    </row>
    <row r="1461" spans="1:15" x14ac:dyDescent="0.2">
      <c r="A1461"/>
      <c r="B1461"/>
      <c r="C1461"/>
      <c r="F1461"/>
      <c r="G1461"/>
      <c r="L1461"/>
      <c r="M1461"/>
      <c r="N1461"/>
      <c r="O1461"/>
    </row>
    <row r="1462" spans="1:15" x14ac:dyDescent="0.2">
      <c r="A1462"/>
      <c r="B1462"/>
      <c r="C1462"/>
      <c r="F1462"/>
      <c r="G1462"/>
      <c r="H1462"/>
      <c r="I1462"/>
      <c r="L1462"/>
      <c r="M1462"/>
      <c r="N1462"/>
      <c r="O1462"/>
    </row>
    <row r="1463" spans="1:15" x14ac:dyDescent="0.2">
      <c r="A1463"/>
      <c r="B1463"/>
      <c r="C1463"/>
      <c r="F1463"/>
      <c r="G1463"/>
      <c r="H1463"/>
      <c r="J1463"/>
      <c r="K1463"/>
      <c r="L1463"/>
      <c r="M1463"/>
      <c r="N1463"/>
      <c r="O1463"/>
    </row>
    <row r="1464" spans="1:15" x14ac:dyDescent="0.2">
      <c r="A1464"/>
      <c r="B1464"/>
      <c r="C1464"/>
      <c r="F1464"/>
      <c r="G1464"/>
      <c r="L1464"/>
      <c r="M1464"/>
      <c r="N1464"/>
      <c r="O1464"/>
    </row>
    <row r="1465" spans="1:15" x14ac:dyDescent="0.2">
      <c r="A1465"/>
      <c r="B1465"/>
      <c r="C1465"/>
      <c r="F1465"/>
      <c r="G1465"/>
      <c r="H1465"/>
      <c r="I1465"/>
      <c r="L1465"/>
      <c r="M1465"/>
      <c r="N1465"/>
      <c r="O1465"/>
    </row>
    <row r="1466" spans="1:15" x14ac:dyDescent="0.2">
      <c r="A1466"/>
      <c r="B1466"/>
      <c r="C1466"/>
      <c r="F1466"/>
      <c r="G1466"/>
      <c r="H1466"/>
      <c r="I1466"/>
      <c r="L1466"/>
      <c r="M1466"/>
      <c r="N1466"/>
      <c r="O1466"/>
    </row>
    <row r="1467" spans="1:15" x14ac:dyDescent="0.2">
      <c r="A1467"/>
      <c r="B1467"/>
      <c r="C1467"/>
      <c r="F1467"/>
      <c r="G1467"/>
      <c r="H1467"/>
      <c r="L1467"/>
      <c r="M1467"/>
      <c r="N1467"/>
      <c r="O1467"/>
    </row>
    <row r="1468" spans="1:15" x14ac:dyDescent="0.2">
      <c r="A1468"/>
      <c r="B1468"/>
      <c r="C1468"/>
      <c r="F1468"/>
      <c r="G1468"/>
      <c r="H1468"/>
      <c r="I1468"/>
      <c r="L1468"/>
      <c r="M1468"/>
      <c r="N1468"/>
      <c r="O1468"/>
    </row>
    <row r="1469" spans="1:15" x14ac:dyDescent="0.2">
      <c r="A1469"/>
      <c r="B1469"/>
      <c r="C1469"/>
      <c r="F1469"/>
      <c r="G1469"/>
      <c r="H1469"/>
      <c r="I1469"/>
      <c r="L1469"/>
      <c r="N1469"/>
      <c r="O1469"/>
    </row>
    <row r="1470" spans="1:15" x14ac:dyDescent="0.2">
      <c r="A1470"/>
      <c r="B1470"/>
      <c r="C1470"/>
      <c r="F1470"/>
      <c r="G1470"/>
      <c r="H1470"/>
      <c r="I1470"/>
      <c r="L1470"/>
      <c r="M1470"/>
      <c r="N1470"/>
      <c r="O1470"/>
    </row>
    <row r="1471" spans="1:15" x14ac:dyDescent="0.2">
      <c r="A1471"/>
      <c r="B1471"/>
      <c r="C1471"/>
      <c r="F1471"/>
      <c r="G1471"/>
      <c r="H1471"/>
      <c r="I1471"/>
      <c r="J1471"/>
      <c r="K1471"/>
      <c r="L1471"/>
      <c r="M1471"/>
      <c r="N1471"/>
      <c r="O1471"/>
    </row>
    <row r="1472" spans="1:15" x14ac:dyDescent="0.2">
      <c r="A1472"/>
      <c r="B1472"/>
      <c r="C1472"/>
      <c r="F1472"/>
      <c r="G1472"/>
      <c r="H1472"/>
      <c r="J1472"/>
      <c r="K1472"/>
      <c r="L1472"/>
      <c r="M1472"/>
      <c r="N1472"/>
      <c r="O1472"/>
    </row>
    <row r="1473" spans="1:15" x14ac:dyDescent="0.2">
      <c r="A1473"/>
      <c r="B1473"/>
      <c r="C1473"/>
      <c r="F1473"/>
      <c r="G1473"/>
      <c r="L1473"/>
      <c r="M1473"/>
      <c r="N1473"/>
      <c r="O1473"/>
    </row>
    <row r="1474" spans="1:15" x14ac:dyDescent="0.2">
      <c r="A1474"/>
      <c r="B1474"/>
      <c r="C1474"/>
      <c r="F1474"/>
      <c r="G1474"/>
      <c r="H1474"/>
      <c r="I1474"/>
      <c r="L1474"/>
      <c r="M1474"/>
      <c r="N1474"/>
      <c r="O1474"/>
    </row>
    <row r="1475" spans="1:15" x14ac:dyDescent="0.2">
      <c r="A1475"/>
      <c r="B1475"/>
      <c r="C1475"/>
      <c r="F1475"/>
      <c r="G1475"/>
      <c r="M1475"/>
      <c r="N1475"/>
      <c r="O1475"/>
    </row>
    <row r="1476" spans="1:15" x14ac:dyDescent="0.2">
      <c r="A1476"/>
      <c r="B1476"/>
      <c r="C1476"/>
      <c r="F1476"/>
      <c r="G1476"/>
      <c r="L1476"/>
      <c r="M1476"/>
      <c r="N1476"/>
      <c r="O1476"/>
    </row>
    <row r="1477" spans="1:15" x14ac:dyDescent="0.2">
      <c r="A1477"/>
      <c r="B1477"/>
      <c r="C1477"/>
      <c r="F1477"/>
      <c r="G1477"/>
      <c r="M1477"/>
      <c r="N1477"/>
      <c r="O1477"/>
    </row>
    <row r="1478" spans="1:15" x14ac:dyDescent="0.2">
      <c r="A1478"/>
      <c r="B1478"/>
      <c r="C1478"/>
      <c r="F1478"/>
      <c r="G1478"/>
      <c r="L1478"/>
      <c r="M1478"/>
      <c r="N1478"/>
      <c r="O1478"/>
    </row>
    <row r="1479" spans="1:15" x14ac:dyDescent="0.2">
      <c r="A1479"/>
      <c r="B1479"/>
      <c r="C1479"/>
      <c r="F1479"/>
      <c r="G1479"/>
      <c r="H1479"/>
      <c r="I1479"/>
      <c r="L1479"/>
      <c r="N1479"/>
      <c r="O1479"/>
    </row>
    <row r="1480" spans="1:15" x14ac:dyDescent="0.2">
      <c r="A1480"/>
      <c r="B1480"/>
      <c r="C1480"/>
      <c r="F1480"/>
      <c r="G1480"/>
      <c r="L1480"/>
      <c r="M1480"/>
      <c r="N1480"/>
      <c r="O1480"/>
    </row>
    <row r="1481" spans="1:15" x14ac:dyDescent="0.2">
      <c r="A1481"/>
      <c r="B1481"/>
      <c r="C1481"/>
      <c r="F1481"/>
      <c r="G1481"/>
      <c r="J1481"/>
      <c r="K1481"/>
      <c r="L1481"/>
      <c r="M1481"/>
      <c r="N1481"/>
      <c r="O1481"/>
    </row>
    <row r="1482" spans="1:15" x14ac:dyDescent="0.2">
      <c r="A1482"/>
      <c r="B1482"/>
      <c r="C1482"/>
      <c r="F1482"/>
      <c r="G1482"/>
      <c r="H1482"/>
      <c r="I1482"/>
      <c r="L1482"/>
      <c r="N1482"/>
      <c r="O1482"/>
    </row>
    <row r="1483" spans="1:15" x14ac:dyDescent="0.2">
      <c r="A1483"/>
      <c r="B1483"/>
      <c r="C1483"/>
      <c r="F1483"/>
      <c r="G1483"/>
      <c r="H1483"/>
      <c r="I1483"/>
      <c r="L1483"/>
      <c r="M1483"/>
      <c r="N1483"/>
      <c r="O1483"/>
    </row>
    <row r="1484" spans="1:15" x14ac:dyDescent="0.2">
      <c r="A1484"/>
      <c r="B1484"/>
      <c r="C1484"/>
      <c r="F1484"/>
      <c r="G1484"/>
      <c r="H1484"/>
      <c r="I1484"/>
      <c r="L1484"/>
      <c r="M1484"/>
      <c r="N1484"/>
      <c r="O1484"/>
    </row>
    <row r="1485" spans="1:15" x14ac:dyDescent="0.2">
      <c r="A1485"/>
      <c r="B1485"/>
      <c r="C1485"/>
      <c r="F1485"/>
      <c r="G1485"/>
      <c r="L1485"/>
      <c r="M1485"/>
      <c r="N1485"/>
      <c r="O1485"/>
    </row>
    <row r="1486" spans="1:15" x14ac:dyDescent="0.2">
      <c r="A1486"/>
      <c r="B1486"/>
      <c r="C1486"/>
      <c r="F1486"/>
      <c r="G1486"/>
      <c r="H1486"/>
      <c r="I1486"/>
      <c r="L1486"/>
      <c r="M1486"/>
      <c r="N1486"/>
      <c r="O1486"/>
    </row>
    <row r="1487" spans="1:15" x14ac:dyDescent="0.2">
      <c r="A1487"/>
      <c r="B1487"/>
      <c r="C1487"/>
      <c r="F1487"/>
      <c r="G1487"/>
      <c r="H1487"/>
      <c r="I1487"/>
      <c r="L1487"/>
      <c r="M1487"/>
      <c r="N1487"/>
      <c r="O1487"/>
    </row>
    <row r="1488" spans="1:15" x14ac:dyDescent="0.2">
      <c r="A1488"/>
      <c r="B1488"/>
      <c r="C1488"/>
      <c r="F1488"/>
      <c r="G1488"/>
      <c r="H1488"/>
      <c r="L1488"/>
      <c r="M1488"/>
      <c r="N1488"/>
      <c r="O1488"/>
    </row>
    <row r="1489" spans="1:15" x14ac:dyDescent="0.2">
      <c r="A1489"/>
      <c r="B1489"/>
      <c r="C1489"/>
      <c r="F1489"/>
      <c r="G1489"/>
      <c r="L1489"/>
      <c r="M1489"/>
      <c r="N1489"/>
      <c r="O1489"/>
    </row>
    <row r="1490" spans="1:15" x14ac:dyDescent="0.2">
      <c r="A1490"/>
      <c r="B1490"/>
      <c r="C1490"/>
      <c r="F1490"/>
      <c r="G1490"/>
      <c r="M1490"/>
      <c r="N1490"/>
      <c r="O1490"/>
    </row>
    <row r="1491" spans="1:15" x14ac:dyDescent="0.2">
      <c r="A1491"/>
      <c r="B1491"/>
      <c r="C1491"/>
      <c r="F1491"/>
      <c r="G1491"/>
      <c r="H1491"/>
      <c r="I1491"/>
      <c r="L1491"/>
      <c r="M1491"/>
      <c r="N1491"/>
      <c r="O1491"/>
    </row>
    <row r="1492" spans="1:15" x14ac:dyDescent="0.2">
      <c r="A1492"/>
      <c r="B1492"/>
      <c r="C1492"/>
      <c r="F1492"/>
      <c r="G1492"/>
      <c r="I1492"/>
      <c r="L1492"/>
      <c r="M1492"/>
      <c r="N1492"/>
      <c r="O1492"/>
    </row>
    <row r="1493" spans="1:15" x14ac:dyDescent="0.2">
      <c r="A1493"/>
      <c r="B1493"/>
      <c r="C1493"/>
      <c r="F1493"/>
      <c r="G1493"/>
      <c r="H1493"/>
      <c r="I1493"/>
      <c r="L1493"/>
      <c r="M1493"/>
      <c r="N1493"/>
      <c r="O1493"/>
    </row>
    <row r="1494" spans="1:15" x14ac:dyDescent="0.2">
      <c r="A1494"/>
      <c r="B1494"/>
      <c r="C1494"/>
      <c r="F1494"/>
      <c r="G1494"/>
      <c r="H1494"/>
      <c r="J1494"/>
      <c r="K1494"/>
      <c r="L1494"/>
      <c r="M1494"/>
      <c r="N1494"/>
      <c r="O1494"/>
    </row>
    <row r="1495" spans="1:15" x14ac:dyDescent="0.2">
      <c r="A1495"/>
      <c r="B1495"/>
      <c r="C1495"/>
      <c r="F1495"/>
      <c r="G1495"/>
      <c r="H1495"/>
      <c r="I1495"/>
      <c r="L1495"/>
      <c r="M1495"/>
      <c r="N1495"/>
      <c r="O1495"/>
    </row>
    <row r="1496" spans="1:15" x14ac:dyDescent="0.2">
      <c r="A1496"/>
      <c r="B1496"/>
      <c r="C1496"/>
      <c r="F1496"/>
      <c r="G1496"/>
      <c r="L1496"/>
      <c r="M1496"/>
      <c r="N1496"/>
      <c r="O1496"/>
    </row>
    <row r="1497" spans="1:15" x14ac:dyDescent="0.2">
      <c r="A1497"/>
      <c r="B1497"/>
      <c r="C1497"/>
      <c r="F1497"/>
      <c r="G1497"/>
      <c r="H1497"/>
      <c r="I1497"/>
      <c r="L1497"/>
      <c r="M1497"/>
      <c r="N1497"/>
      <c r="O1497"/>
    </row>
    <row r="1498" spans="1:15" x14ac:dyDescent="0.2">
      <c r="A1498"/>
      <c r="B1498"/>
      <c r="C1498"/>
      <c r="F1498"/>
      <c r="G1498"/>
      <c r="H1498"/>
      <c r="I1498"/>
      <c r="L1498"/>
      <c r="N1498"/>
      <c r="O1498"/>
    </row>
    <row r="1499" spans="1:15" x14ac:dyDescent="0.2">
      <c r="A1499"/>
      <c r="B1499"/>
      <c r="C1499"/>
      <c r="F1499"/>
      <c r="G1499"/>
      <c r="L1499"/>
      <c r="M1499"/>
      <c r="N1499"/>
      <c r="O1499"/>
    </row>
    <row r="1500" spans="1:15" x14ac:dyDescent="0.2">
      <c r="A1500"/>
      <c r="B1500"/>
      <c r="C1500"/>
      <c r="F1500"/>
      <c r="G1500"/>
      <c r="L1500"/>
      <c r="M1500"/>
      <c r="N1500"/>
      <c r="O1500"/>
    </row>
    <row r="1501" spans="1:15" x14ac:dyDescent="0.2">
      <c r="A1501"/>
      <c r="B1501"/>
      <c r="C1501"/>
      <c r="F1501"/>
      <c r="G1501"/>
      <c r="H1501"/>
      <c r="J1501"/>
      <c r="K1501"/>
      <c r="L1501"/>
      <c r="M1501"/>
      <c r="N1501"/>
      <c r="O1501"/>
    </row>
    <row r="1502" spans="1:15" x14ac:dyDescent="0.2">
      <c r="A1502"/>
      <c r="B1502"/>
      <c r="C1502"/>
      <c r="F1502"/>
      <c r="G1502"/>
      <c r="H1502"/>
      <c r="I1502"/>
      <c r="L1502"/>
      <c r="N1502"/>
      <c r="O1502"/>
    </row>
    <row r="1503" spans="1:15" x14ac:dyDescent="0.2">
      <c r="A1503"/>
      <c r="B1503"/>
      <c r="C1503"/>
      <c r="F1503"/>
      <c r="G1503"/>
      <c r="L1503"/>
      <c r="M1503"/>
      <c r="N1503"/>
      <c r="O1503"/>
    </row>
    <row r="1504" spans="1:15" x14ac:dyDescent="0.2">
      <c r="A1504"/>
      <c r="B1504"/>
      <c r="C1504"/>
      <c r="F1504"/>
      <c r="G1504"/>
      <c r="H1504"/>
      <c r="I1504"/>
      <c r="L1504"/>
      <c r="M1504"/>
      <c r="N1504"/>
      <c r="O1504"/>
    </row>
    <row r="1505" spans="1:15" x14ac:dyDescent="0.2">
      <c r="A1505"/>
      <c r="B1505"/>
      <c r="C1505"/>
      <c r="F1505"/>
      <c r="G1505"/>
      <c r="H1505"/>
      <c r="I1505"/>
      <c r="L1505"/>
      <c r="M1505"/>
      <c r="N1505"/>
      <c r="O1505"/>
    </row>
    <row r="1506" spans="1:15" x14ac:dyDescent="0.2">
      <c r="A1506"/>
      <c r="B1506"/>
      <c r="C1506"/>
      <c r="F1506"/>
      <c r="G1506"/>
      <c r="I1506"/>
      <c r="L1506"/>
      <c r="M1506"/>
      <c r="N1506"/>
      <c r="O1506"/>
    </row>
    <row r="1507" spans="1:15" x14ac:dyDescent="0.2">
      <c r="A1507"/>
      <c r="B1507"/>
      <c r="C1507"/>
      <c r="F1507"/>
      <c r="G1507"/>
      <c r="I1507"/>
      <c r="L1507"/>
      <c r="M1507"/>
      <c r="N1507"/>
      <c r="O1507"/>
    </row>
    <row r="1508" spans="1:15" x14ac:dyDescent="0.2">
      <c r="A1508"/>
      <c r="B1508"/>
      <c r="C1508"/>
      <c r="F1508"/>
      <c r="G1508"/>
      <c r="L1508"/>
      <c r="M1508"/>
      <c r="N1508"/>
      <c r="O1508"/>
    </row>
    <row r="1509" spans="1:15" x14ac:dyDescent="0.2">
      <c r="A1509"/>
      <c r="B1509"/>
      <c r="C1509"/>
      <c r="F1509"/>
      <c r="G1509"/>
      <c r="H1509"/>
      <c r="I1509"/>
      <c r="L1509"/>
      <c r="M1509"/>
      <c r="N1509"/>
      <c r="O1509"/>
    </row>
    <row r="1510" spans="1:15" x14ac:dyDescent="0.2">
      <c r="A1510"/>
      <c r="B1510"/>
      <c r="C1510"/>
      <c r="F1510"/>
      <c r="G1510"/>
      <c r="J1510"/>
      <c r="K1510"/>
      <c r="L1510"/>
      <c r="M1510"/>
      <c r="N1510"/>
      <c r="O1510"/>
    </row>
    <row r="1511" spans="1:15" x14ac:dyDescent="0.2">
      <c r="A1511"/>
      <c r="B1511"/>
      <c r="C1511"/>
      <c r="F1511"/>
      <c r="G1511"/>
      <c r="M1511"/>
      <c r="N1511"/>
      <c r="O1511"/>
    </row>
    <row r="1512" spans="1:15" x14ac:dyDescent="0.2">
      <c r="A1512"/>
      <c r="B1512"/>
      <c r="C1512"/>
      <c r="F1512"/>
      <c r="G1512"/>
      <c r="L1512"/>
      <c r="M1512"/>
      <c r="N1512"/>
      <c r="O1512"/>
    </row>
    <row r="1513" spans="1:15" x14ac:dyDescent="0.2">
      <c r="A1513"/>
      <c r="B1513"/>
      <c r="C1513"/>
      <c r="F1513"/>
      <c r="G1513"/>
      <c r="L1513"/>
      <c r="M1513"/>
      <c r="N1513"/>
      <c r="O1513"/>
    </row>
    <row r="1514" spans="1:15" x14ac:dyDescent="0.2">
      <c r="A1514"/>
      <c r="B1514"/>
      <c r="C1514"/>
      <c r="F1514"/>
      <c r="G1514"/>
      <c r="H1514"/>
      <c r="I1514"/>
      <c r="J1514"/>
      <c r="K1514"/>
      <c r="L1514"/>
      <c r="M1514"/>
      <c r="N1514"/>
      <c r="O1514"/>
    </row>
    <row r="1515" spans="1:15" x14ac:dyDescent="0.2">
      <c r="A1515"/>
      <c r="B1515"/>
      <c r="C1515"/>
      <c r="F1515"/>
      <c r="G1515"/>
      <c r="I1515"/>
      <c r="L1515"/>
      <c r="M1515"/>
      <c r="N1515"/>
      <c r="O1515"/>
    </row>
    <row r="1516" spans="1:15" x14ac:dyDescent="0.2">
      <c r="A1516"/>
      <c r="B1516"/>
      <c r="C1516"/>
      <c r="F1516"/>
      <c r="G1516"/>
      <c r="I1516"/>
      <c r="L1516"/>
      <c r="M1516"/>
      <c r="N1516"/>
      <c r="O1516"/>
    </row>
    <row r="1517" spans="1:15" x14ac:dyDescent="0.2">
      <c r="A1517"/>
      <c r="B1517"/>
      <c r="C1517"/>
      <c r="F1517"/>
      <c r="G1517"/>
      <c r="N1517"/>
      <c r="O1517"/>
    </row>
    <row r="1518" spans="1:15" x14ac:dyDescent="0.2">
      <c r="A1518"/>
      <c r="B1518"/>
      <c r="C1518"/>
      <c r="F1518"/>
      <c r="G1518"/>
      <c r="H1518"/>
      <c r="I1518"/>
      <c r="L1518"/>
      <c r="M1518"/>
      <c r="N1518"/>
      <c r="O1518"/>
    </row>
    <row r="1519" spans="1:15" x14ac:dyDescent="0.2">
      <c r="A1519"/>
      <c r="B1519"/>
      <c r="C1519"/>
      <c r="F1519"/>
      <c r="G1519"/>
      <c r="L1519"/>
      <c r="M1519"/>
      <c r="N1519"/>
      <c r="O1519"/>
    </row>
    <row r="1520" spans="1:15" x14ac:dyDescent="0.2">
      <c r="A1520"/>
      <c r="B1520"/>
      <c r="C1520"/>
      <c r="F1520"/>
      <c r="G1520"/>
      <c r="L1520"/>
      <c r="M1520"/>
      <c r="N1520"/>
      <c r="O1520"/>
    </row>
    <row r="1521" spans="1:15" x14ac:dyDescent="0.2">
      <c r="A1521"/>
      <c r="B1521"/>
      <c r="C1521"/>
      <c r="F1521"/>
      <c r="G1521"/>
      <c r="H1521"/>
      <c r="J1521"/>
      <c r="K1521"/>
      <c r="M1521"/>
      <c r="N1521"/>
      <c r="O1521"/>
    </row>
    <row r="1522" spans="1:15" x14ac:dyDescent="0.2">
      <c r="A1522"/>
      <c r="B1522"/>
      <c r="C1522"/>
      <c r="F1522"/>
      <c r="G1522"/>
      <c r="H1522"/>
      <c r="I1522"/>
      <c r="L1522"/>
      <c r="M1522"/>
      <c r="N1522"/>
      <c r="O1522"/>
    </row>
    <row r="1523" spans="1:15" x14ac:dyDescent="0.2">
      <c r="A1523"/>
      <c r="B1523"/>
      <c r="C1523"/>
      <c r="F1523"/>
      <c r="G1523"/>
      <c r="H1523"/>
      <c r="I1523"/>
      <c r="L1523"/>
      <c r="M1523"/>
      <c r="N1523"/>
      <c r="O1523"/>
    </row>
    <row r="1524" spans="1:15" x14ac:dyDescent="0.2">
      <c r="A1524"/>
      <c r="B1524"/>
      <c r="C1524"/>
      <c r="F1524"/>
      <c r="G1524"/>
      <c r="H1524"/>
      <c r="I1524"/>
      <c r="L1524"/>
      <c r="M1524"/>
      <c r="N1524"/>
      <c r="O1524"/>
    </row>
    <row r="1525" spans="1:15" x14ac:dyDescent="0.2">
      <c r="A1525"/>
      <c r="B1525"/>
      <c r="C1525"/>
      <c r="F1525"/>
      <c r="G1525"/>
      <c r="H1525"/>
      <c r="I1525"/>
      <c r="L1525"/>
      <c r="M1525"/>
      <c r="N1525"/>
      <c r="O1525"/>
    </row>
    <row r="1526" spans="1:15" x14ac:dyDescent="0.2">
      <c r="A1526"/>
      <c r="B1526"/>
      <c r="C1526"/>
      <c r="F1526"/>
      <c r="G1526"/>
      <c r="H1526"/>
      <c r="I1526"/>
      <c r="L1526"/>
      <c r="M1526"/>
      <c r="N1526"/>
      <c r="O1526"/>
    </row>
    <row r="1527" spans="1:15" x14ac:dyDescent="0.2">
      <c r="A1527"/>
      <c r="B1527"/>
      <c r="C1527"/>
      <c r="F1527"/>
      <c r="G1527"/>
      <c r="H1527"/>
      <c r="I1527"/>
      <c r="L1527"/>
      <c r="M1527"/>
      <c r="N1527"/>
      <c r="O1527"/>
    </row>
    <row r="1528" spans="1:15" x14ac:dyDescent="0.2">
      <c r="A1528"/>
      <c r="B1528"/>
      <c r="C1528"/>
      <c r="F1528"/>
      <c r="G1528"/>
      <c r="I1528"/>
      <c r="L1528"/>
      <c r="M1528"/>
      <c r="N1528"/>
      <c r="O1528"/>
    </row>
    <row r="1529" spans="1:15" x14ac:dyDescent="0.2">
      <c r="A1529"/>
      <c r="B1529"/>
      <c r="C1529"/>
      <c r="F1529"/>
      <c r="G1529"/>
      <c r="L1529"/>
      <c r="M1529"/>
      <c r="N1529"/>
      <c r="O1529"/>
    </row>
    <row r="1530" spans="1:15" x14ac:dyDescent="0.2">
      <c r="A1530"/>
      <c r="B1530"/>
      <c r="C1530"/>
      <c r="F1530"/>
      <c r="G1530"/>
      <c r="H1530"/>
      <c r="N1530"/>
      <c r="O1530"/>
    </row>
    <row r="1531" spans="1:15" x14ac:dyDescent="0.2">
      <c r="A1531"/>
      <c r="B1531"/>
      <c r="C1531"/>
      <c r="F1531"/>
      <c r="G1531"/>
      <c r="H1531"/>
      <c r="I1531"/>
      <c r="L1531"/>
      <c r="M1531"/>
      <c r="N1531"/>
      <c r="O1531"/>
    </row>
    <row r="1532" spans="1:15" x14ac:dyDescent="0.2">
      <c r="A1532"/>
      <c r="B1532"/>
      <c r="C1532"/>
      <c r="F1532"/>
      <c r="G1532"/>
      <c r="H1532"/>
      <c r="I1532"/>
      <c r="L1532"/>
      <c r="M1532"/>
      <c r="N1532"/>
      <c r="O1532"/>
    </row>
    <row r="1533" spans="1:15" x14ac:dyDescent="0.2">
      <c r="A1533"/>
      <c r="B1533"/>
      <c r="C1533"/>
      <c r="F1533"/>
      <c r="G1533"/>
      <c r="H1533"/>
      <c r="I1533"/>
      <c r="L1533"/>
      <c r="M1533"/>
      <c r="N1533"/>
      <c r="O1533"/>
    </row>
    <row r="1534" spans="1:15" x14ac:dyDescent="0.2">
      <c r="A1534"/>
      <c r="B1534"/>
      <c r="C1534"/>
      <c r="F1534"/>
      <c r="G1534"/>
      <c r="H1534"/>
      <c r="I1534"/>
      <c r="L1534"/>
      <c r="M1534"/>
      <c r="N1534"/>
      <c r="O1534"/>
    </row>
    <row r="1535" spans="1:15" x14ac:dyDescent="0.2">
      <c r="A1535"/>
      <c r="B1535"/>
      <c r="C1535"/>
      <c r="F1535"/>
      <c r="G1535"/>
      <c r="H1535"/>
      <c r="I1535"/>
      <c r="L1535"/>
      <c r="M1535"/>
      <c r="N1535"/>
      <c r="O1535"/>
    </row>
    <row r="1536" spans="1:15" x14ac:dyDescent="0.2">
      <c r="A1536"/>
      <c r="B1536"/>
      <c r="C1536"/>
      <c r="F1536"/>
      <c r="G1536"/>
      <c r="I1536"/>
      <c r="L1536"/>
      <c r="M1536"/>
      <c r="N1536"/>
      <c r="O1536"/>
    </row>
    <row r="1537" spans="1:15" x14ac:dyDescent="0.2">
      <c r="A1537"/>
      <c r="B1537"/>
      <c r="C1537"/>
      <c r="F1537"/>
      <c r="G1537"/>
      <c r="M1537"/>
      <c r="N1537"/>
      <c r="O1537"/>
    </row>
    <row r="1538" spans="1:15" x14ac:dyDescent="0.2">
      <c r="A1538"/>
      <c r="B1538"/>
      <c r="C1538"/>
      <c r="F1538"/>
      <c r="G1538"/>
      <c r="L1538"/>
      <c r="M1538"/>
      <c r="N1538"/>
      <c r="O1538"/>
    </row>
    <row r="1539" spans="1:15" x14ac:dyDescent="0.2">
      <c r="A1539"/>
      <c r="B1539"/>
      <c r="C1539"/>
      <c r="F1539"/>
      <c r="G1539"/>
      <c r="H1539"/>
      <c r="I1539"/>
      <c r="J1539"/>
      <c r="K1539"/>
      <c r="L1539"/>
      <c r="M1539"/>
      <c r="N1539"/>
      <c r="O1539"/>
    </row>
    <row r="1540" spans="1:15" x14ac:dyDescent="0.2">
      <c r="A1540"/>
      <c r="B1540"/>
      <c r="C1540"/>
      <c r="F1540"/>
      <c r="G1540"/>
      <c r="H1540"/>
      <c r="I1540"/>
      <c r="L1540"/>
      <c r="M1540"/>
      <c r="N1540"/>
      <c r="O1540"/>
    </row>
    <row r="1541" spans="1:15" x14ac:dyDescent="0.2">
      <c r="A1541"/>
      <c r="B1541"/>
      <c r="C1541"/>
      <c r="F1541"/>
      <c r="G1541"/>
      <c r="J1541"/>
      <c r="K1541"/>
      <c r="L1541"/>
      <c r="M1541"/>
      <c r="N1541"/>
      <c r="O1541"/>
    </row>
    <row r="1542" spans="1:15" x14ac:dyDescent="0.2">
      <c r="A1542"/>
      <c r="B1542"/>
      <c r="C1542"/>
      <c r="F1542"/>
      <c r="G1542"/>
      <c r="H1542"/>
      <c r="J1542"/>
      <c r="K1542"/>
      <c r="L1542"/>
      <c r="M1542"/>
      <c r="N1542"/>
      <c r="O1542"/>
    </row>
    <row r="1543" spans="1:15" x14ac:dyDescent="0.2">
      <c r="A1543"/>
      <c r="B1543"/>
      <c r="C1543"/>
      <c r="F1543"/>
      <c r="G1543"/>
      <c r="H1543"/>
      <c r="I1543"/>
      <c r="J1543"/>
      <c r="K1543"/>
      <c r="L1543"/>
      <c r="M1543"/>
      <c r="N1543"/>
      <c r="O1543"/>
    </row>
    <row r="1544" spans="1:15" x14ac:dyDescent="0.2">
      <c r="A1544"/>
      <c r="B1544"/>
      <c r="C1544"/>
      <c r="F1544"/>
      <c r="G1544"/>
      <c r="H1544"/>
      <c r="J1544"/>
      <c r="K1544"/>
      <c r="L1544"/>
      <c r="M1544"/>
      <c r="N1544"/>
      <c r="O1544"/>
    </row>
    <row r="1545" spans="1:15" x14ac:dyDescent="0.2">
      <c r="A1545"/>
      <c r="B1545"/>
      <c r="C1545"/>
      <c r="F1545"/>
      <c r="G1545"/>
      <c r="L1545"/>
      <c r="M1545"/>
      <c r="N1545"/>
      <c r="O1545"/>
    </row>
    <row r="1546" spans="1:15" x14ac:dyDescent="0.2">
      <c r="A1546"/>
      <c r="B1546"/>
      <c r="C1546"/>
      <c r="F1546"/>
      <c r="G1546"/>
      <c r="H1546"/>
      <c r="J1546"/>
      <c r="K1546"/>
      <c r="L1546"/>
      <c r="M1546"/>
      <c r="N1546"/>
      <c r="O1546"/>
    </row>
    <row r="1547" spans="1:15" x14ac:dyDescent="0.2">
      <c r="A1547"/>
      <c r="B1547"/>
      <c r="C1547"/>
      <c r="F1547"/>
      <c r="G1547"/>
      <c r="H1547"/>
      <c r="L1547"/>
      <c r="M1547"/>
      <c r="N1547"/>
      <c r="O1547"/>
    </row>
    <row r="1548" spans="1:15" x14ac:dyDescent="0.2">
      <c r="A1548"/>
      <c r="B1548"/>
      <c r="C1548"/>
      <c r="F1548"/>
      <c r="G1548"/>
      <c r="H1548"/>
      <c r="I1548"/>
      <c r="L1548"/>
      <c r="M1548"/>
      <c r="N1548"/>
      <c r="O1548"/>
    </row>
    <row r="1549" spans="1:15" x14ac:dyDescent="0.2">
      <c r="A1549"/>
      <c r="B1549"/>
      <c r="C1549"/>
      <c r="F1549"/>
      <c r="G1549"/>
      <c r="J1549"/>
      <c r="K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I1555"/>
      <c r="L1555"/>
      <c r="M1555"/>
      <c r="N1555"/>
      <c r="O1555"/>
    </row>
    <row r="1556" spans="1:15" x14ac:dyDescent="0.2">
      <c r="A1556"/>
      <c r="B1556"/>
      <c r="C1556"/>
      <c r="F1556"/>
      <c r="G1556"/>
      <c r="I1556"/>
      <c r="L1556"/>
      <c r="M1556"/>
      <c r="N1556"/>
      <c r="O1556"/>
    </row>
    <row r="1557" spans="1:15" x14ac:dyDescent="0.2">
      <c r="A1557"/>
      <c r="B1557"/>
      <c r="C1557"/>
      <c r="F1557"/>
      <c r="G1557"/>
      <c r="H1557"/>
      <c r="I1557"/>
      <c r="L1557"/>
      <c r="M1557"/>
      <c r="N1557"/>
      <c r="O1557"/>
    </row>
    <row r="1558" spans="1:15" x14ac:dyDescent="0.2">
      <c r="A1558"/>
      <c r="B1558"/>
      <c r="C1558"/>
      <c r="F1558"/>
      <c r="G1558"/>
      <c r="H1558"/>
      <c r="I1558"/>
      <c r="L1558"/>
      <c r="M1558"/>
      <c r="N1558"/>
      <c r="O1558"/>
    </row>
    <row r="1559" spans="1:15" x14ac:dyDescent="0.2">
      <c r="A1559"/>
      <c r="B1559"/>
      <c r="C1559"/>
      <c r="F1559"/>
      <c r="G1559"/>
      <c r="H1559"/>
      <c r="I1559"/>
      <c r="L1559"/>
      <c r="M1559"/>
      <c r="N1559"/>
      <c r="O1559"/>
    </row>
    <row r="1560" spans="1:15" x14ac:dyDescent="0.2">
      <c r="A1560"/>
      <c r="B1560"/>
      <c r="C1560"/>
      <c r="F1560"/>
      <c r="G1560"/>
      <c r="I1560"/>
      <c r="L1560"/>
      <c r="M1560"/>
      <c r="N1560"/>
      <c r="O1560"/>
    </row>
    <row r="1561" spans="1:15" x14ac:dyDescent="0.2">
      <c r="A1561"/>
      <c r="B1561"/>
      <c r="C1561"/>
      <c r="F1561"/>
      <c r="G1561"/>
      <c r="I1561"/>
      <c r="L1561"/>
      <c r="M1561"/>
      <c r="N1561"/>
      <c r="O1561"/>
    </row>
    <row r="1562" spans="1:15" x14ac:dyDescent="0.2">
      <c r="A1562"/>
      <c r="B1562"/>
      <c r="C1562"/>
      <c r="F1562"/>
      <c r="G1562"/>
      <c r="H1562"/>
      <c r="I1562"/>
      <c r="L1562"/>
      <c r="M1562"/>
      <c r="N1562"/>
      <c r="O1562"/>
    </row>
    <row r="1563" spans="1:15" x14ac:dyDescent="0.2">
      <c r="A1563"/>
      <c r="B1563"/>
      <c r="C1563"/>
      <c r="F1563"/>
      <c r="G1563"/>
      <c r="J1563"/>
      <c r="K1563"/>
      <c r="L1563"/>
      <c r="M1563"/>
      <c r="N1563"/>
      <c r="O1563"/>
    </row>
    <row r="1564" spans="1:15" x14ac:dyDescent="0.2">
      <c r="A1564"/>
      <c r="B1564"/>
      <c r="C1564"/>
      <c r="F1564"/>
      <c r="G1564"/>
      <c r="H1564"/>
      <c r="I1564"/>
      <c r="L1564"/>
      <c r="M1564"/>
      <c r="N1564"/>
      <c r="O1564"/>
    </row>
    <row r="1565" spans="1:15" x14ac:dyDescent="0.2">
      <c r="A1565"/>
      <c r="B1565"/>
      <c r="C1565"/>
      <c r="F1565"/>
      <c r="G1565"/>
      <c r="L1565"/>
      <c r="M1565"/>
      <c r="N1565"/>
      <c r="O1565"/>
    </row>
    <row r="1566" spans="1:15" x14ac:dyDescent="0.2">
      <c r="A1566"/>
      <c r="B1566"/>
      <c r="C1566"/>
      <c r="F1566"/>
      <c r="G1566"/>
      <c r="H1566"/>
      <c r="I1566"/>
      <c r="L1566"/>
      <c r="M1566"/>
      <c r="N1566"/>
      <c r="O1566"/>
    </row>
    <row r="1567" spans="1:15" x14ac:dyDescent="0.2">
      <c r="A1567"/>
      <c r="B1567"/>
      <c r="C1567"/>
      <c r="F1567"/>
      <c r="G1567"/>
      <c r="H1567"/>
      <c r="J1567"/>
      <c r="K1567"/>
      <c r="L1567"/>
      <c r="M1567"/>
      <c r="N1567"/>
      <c r="O1567"/>
    </row>
    <row r="1568" spans="1:15" x14ac:dyDescent="0.2">
      <c r="A1568"/>
      <c r="B1568"/>
      <c r="C1568"/>
      <c r="F1568"/>
      <c r="G1568"/>
      <c r="H1568"/>
      <c r="I1568"/>
      <c r="L1568"/>
      <c r="M1568"/>
      <c r="N1568"/>
      <c r="O1568"/>
    </row>
    <row r="1569" spans="1:15" x14ac:dyDescent="0.2">
      <c r="A1569"/>
      <c r="B1569"/>
      <c r="C1569"/>
      <c r="F1569"/>
      <c r="G1569"/>
      <c r="H1569"/>
      <c r="J1569"/>
      <c r="K1569"/>
      <c r="L1569"/>
      <c r="M1569"/>
      <c r="N1569"/>
      <c r="O1569"/>
    </row>
    <row r="1570" spans="1:15" x14ac:dyDescent="0.2">
      <c r="A1570"/>
      <c r="B1570"/>
      <c r="C1570"/>
      <c r="F1570"/>
      <c r="G1570"/>
      <c r="J1570"/>
      <c r="K1570"/>
      <c r="L1570"/>
      <c r="M1570"/>
      <c r="N1570"/>
      <c r="O1570"/>
    </row>
    <row r="1571" spans="1:15" x14ac:dyDescent="0.2">
      <c r="A1571"/>
      <c r="B1571"/>
      <c r="C1571"/>
      <c r="F1571"/>
      <c r="G1571"/>
      <c r="J1571"/>
      <c r="K1571"/>
      <c r="L1571"/>
      <c r="M1571"/>
      <c r="N1571"/>
      <c r="O1571"/>
    </row>
    <row r="1572" spans="1:15" x14ac:dyDescent="0.2">
      <c r="A1572"/>
      <c r="B1572"/>
      <c r="C1572"/>
      <c r="F1572"/>
      <c r="G1572"/>
      <c r="H1572"/>
      <c r="J1572"/>
      <c r="K1572"/>
      <c r="L1572"/>
      <c r="M1572"/>
      <c r="N1572"/>
      <c r="O1572"/>
    </row>
    <row r="1573" spans="1:15" x14ac:dyDescent="0.2">
      <c r="A1573"/>
      <c r="B1573"/>
      <c r="C1573"/>
      <c r="F1573"/>
      <c r="G1573"/>
      <c r="H1573"/>
      <c r="J1573"/>
      <c r="K1573"/>
      <c r="L1573"/>
      <c r="M1573"/>
      <c r="N1573"/>
      <c r="O1573"/>
    </row>
    <row r="1574" spans="1:15" x14ac:dyDescent="0.2">
      <c r="A1574"/>
      <c r="B1574"/>
      <c r="C1574"/>
      <c r="F1574"/>
      <c r="G1574"/>
      <c r="H1574"/>
      <c r="I1574"/>
      <c r="L1574"/>
      <c r="M1574"/>
      <c r="N1574"/>
      <c r="O1574"/>
    </row>
    <row r="1575" spans="1:15" x14ac:dyDescent="0.2">
      <c r="A1575"/>
      <c r="B1575"/>
      <c r="C1575"/>
      <c r="F1575"/>
      <c r="G1575"/>
      <c r="I1575"/>
      <c r="L1575"/>
      <c r="M1575"/>
      <c r="N1575"/>
      <c r="O1575"/>
    </row>
    <row r="1576" spans="1:15" x14ac:dyDescent="0.2">
      <c r="A1576"/>
      <c r="B1576"/>
      <c r="C1576"/>
      <c r="F1576"/>
      <c r="G1576"/>
      <c r="H1576"/>
      <c r="I1576"/>
      <c r="L1576"/>
      <c r="N1576"/>
      <c r="O1576"/>
    </row>
    <row r="1577" spans="1:15" x14ac:dyDescent="0.2">
      <c r="A1577"/>
      <c r="B1577"/>
      <c r="C1577"/>
      <c r="F1577"/>
      <c r="G1577"/>
      <c r="H1577"/>
      <c r="I1577"/>
      <c r="L1577"/>
      <c r="M1577"/>
      <c r="N1577"/>
      <c r="O1577"/>
    </row>
    <row r="1578" spans="1:15" x14ac:dyDescent="0.2">
      <c r="A1578"/>
      <c r="B1578"/>
      <c r="C1578"/>
      <c r="F1578"/>
      <c r="G1578"/>
      <c r="H1578"/>
      <c r="I1578"/>
      <c r="L1578"/>
      <c r="N1578"/>
      <c r="O1578"/>
    </row>
    <row r="1579" spans="1:15" x14ac:dyDescent="0.2">
      <c r="A1579"/>
      <c r="B1579"/>
      <c r="C1579"/>
      <c r="F1579"/>
      <c r="G1579"/>
      <c r="I1579"/>
      <c r="L1579"/>
      <c r="M1579"/>
      <c r="N1579"/>
      <c r="O1579"/>
    </row>
    <row r="1580" spans="1:15" x14ac:dyDescent="0.2">
      <c r="A1580"/>
      <c r="B1580"/>
      <c r="C1580"/>
      <c r="F1580"/>
      <c r="G1580"/>
      <c r="H1580"/>
      <c r="I1580"/>
      <c r="L1580"/>
      <c r="M1580"/>
      <c r="N1580"/>
      <c r="O1580"/>
    </row>
    <row r="1581" spans="1:15" x14ac:dyDescent="0.2">
      <c r="A1581"/>
      <c r="B1581"/>
      <c r="C1581"/>
      <c r="F1581"/>
      <c r="G1581"/>
      <c r="I1581"/>
      <c r="L1581"/>
      <c r="M1581"/>
      <c r="N1581"/>
      <c r="O1581"/>
    </row>
    <row r="1582" spans="1:15" x14ac:dyDescent="0.2">
      <c r="A1582"/>
      <c r="B1582"/>
      <c r="C1582"/>
      <c r="F1582"/>
      <c r="G1582"/>
      <c r="I1582"/>
      <c r="L1582"/>
      <c r="M1582"/>
      <c r="N1582"/>
      <c r="O1582"/>
    </row>
    <row r="1583" spans="1:15" x14ac:dyDescent="0.2">
      <c r="A1583"/>
      <c r="B1583"/>
      <c r="C1583"/>
      <c r="F1583"/>
      <c r="G1583"/>
      <c r="I1583"/>
      <c r="L1583"/>
      <c r="M1583"/>
      <c r="N1583"/>
      <c r="O1583"/>
    </row>
    <row r="1584" spans="1:15" x14ac:dyDescent="0.2">
      <c r="A1584"/>
      <c r="B1584"/>
      <c r="C1584"/>
      <c r="F1584"/>
      <c r="G1584"/>
      <c r="H1584"/>
      <c r="I1584"/>
      <c r="L1584"/>
      <c r="M1584"/>
      <c r="N1584"/>
      <c r="O1584"/>
    </row>
    <row r="1585" spans="1:15" x14ac:dyDescent="0.2">
      <c r="A1585"/>
      <c r="B1585"/>
      <c r="C1585"/>
      <c r="F1585"/>
      <c r="G1585"/>
      <c r="L1585"/>
      <c r="M1585"/>
      <c r="N1585"/>
      <c r="O1585"/>
    </row>
    <row r="1586" spans="1:15" x14ac:dyDescent="0.2">
      <c r="A1586"/>
      <c r="B1586"/>
      <c r="C1586"/>
      <c r="F1586"/>
      <c r="G1586"/>
      <c r="H1586"/>
      <c r="I1586"/>
      <c r="L1586"/>
      <c r="M1586"/>
      <c r="N1586"/>
      <c r="O1586"/>
    </row>
    <row r="1587" spans="1:15" x14ac:dyDescent="0.2">
      <c r="A1587"/>
      <c r="B1587"/>
      <c r="C1587"/>
      <c r="F1587"/>
      <c r="G1587"/>
      <c r="J1587"/>
      <c r="K1587"/>
      <c r="L1587"/>
      <c r="M1587"/>
      <c r="N1587"/>
      <c r="O1587"/>
    </row>
    <row r="1588" spans="1:15" x14ac:dyDescent="0.2">
      <c r="A1588"/>
      <c r="B1588"/>
      <c r="C1588"/>
      <c r="F1588"/>
      <c r="G1588"/>
      <c r="I1588"/>
      <c r="L1588"/>
      <c r="M1588"/>
      <c r="N1588"/>
      <c r="O1588"/>
    </row>
    <row r="1589" spans="1:15" x14ac:dyDescent="0.2">
      <c r="A1589"/>
      <c r="B1589"/>
      <c r="C1589"/>
      <c r="F1589"/>
      <c r="G1589"/>
      <c r="H1589"/>
      <c r="I1589"/>
      <c r="L1589"/>
      <c r="N1589"/>
      <c r="O1589"/>
    </row>
    <row r="1590" spans="1:15" x14ac:dyDescent="0.2">
      <c r="A1590"/>
      <c r="B1590"/>
      <c r="C1590"/>
      <c r="F1590"/>
      <c r="G1590"/>
      <c r="M1590"/>
      <c r="N1590"/>
      <c r="O1590"/>
    </row>
    <row r="1591" spans="1:15" x14ac:dyDescent="0.2">
      <c r="A1591"/>
      <c r="B1591"/>
      <c r="C1591"/>
      <c r="F1591"/>
      <c r="G1591"/>
      <c r="M1591"/>
      <c r="N1591"/>
      <c r="O1591"/>
    </row>
    <row r="1592" spans="1:15" x14ac:dyDescent="0.2">
      <c r="A1592"/>
      <c r="B1592"/>
      <c r="C1592"/>
      <c r="F1592"/>
      <c r="G1592"/>
      <c r="H1592"/>
      <c r="I1592"/>
      <c r="L1592"/>
      <c r="N1592"/>
      <c r="O1592"/>
    </row>
    <row r="1593" spans="1:15" x14ac:dyDescent="0.2">
      <c r="A1593"/>
      <c r="B1593"/>
      <c r="C1593"/>
      <c r="F1593"/>
      <c r="G1593"/>
      <c r="H1593"/>
      <c r="I1593"/>
      <c r="L1593"/>
      <c r="M1593"/>
      <c r="N1593"/>
      <c r="O1593"/>
    </row>
    <row r="1594" spans="1:15" x14ac:dyDescent="0.2">
      <c r="A1594"/>
      <c r="B1594"/>
      <c r="C1594"/>
      <c r="F1594"/>
      <c r="G1594"/>
      <c r="H1594"/>
      <c r="I1594"/>
      <c r="L1594"/>
      <c r="M1594"/>
      <c r="N1594"/>
      <c r="O1594"/>
    </row>
    <row r="1595" spans="1:15" x14ac:dyDescent="0.2">
      <c r="A1595"/>
      <c r="B1595"/>
      <c r="C1595"/>
      <c r="F1595"/>
      <c r="G1595"/>
      <c r="I1595"/>
      <c r="L1595"/>
      <c r="M1595"/>
      <c r="N1595"/>
      <c r="O1595"/>
    </row>
    <row r="1596" spans="1:15" x14ac:dyDescent="0.2">
      <c r="A1596"/>
      <c r="B1596"/>
      <c r="C1596"/>
      <c r="F1596"/>
      <c r="G1596"/>
      <c r="H1596"/>
      <c r="I1596"/>
      <c r="L1596"/>
      <c r="M1596"/>
      <c r="N1596"/>
      <c r="O1596"/>
    </row>
    <row r="1597" spans="1:15" x14ac:dyDescent="0.2">
      <c r="A1597"/>
      <c r="B1597"/>
      <c r="C1597"/>
      <c r="F1597"/>
      <c r="G1597"/>
      <c r="H1597"/>
      <c r="I1597"/>
      <c r="L1597"/>
      <c r="M1597"/>
      <c r="N1597"/>
      <c r="O1597"/>
    </row>
    <row r="1598" spans="1:15" x14ac:dyDescent="0.2">
      <c r="A1598"/>
      <c r="B1598"/>
      <c r="C1598"/>
      <c r="F1598"/>
      <c r="G1598"/>
      <c r="I1598"/>
      <c r="L1598"/>
      <c r="M1598"/>
      <c r="N1598"/>
      <c r="O1598"/>
    </row>
    <row r="1599" spans="1:15" x14ac:dyDescent="0.2">
      <c r="A1599"/>
      <c r="B1599"/>
      <c r="C1599"/>
      <c r="F1599"/>
      <c r="G1599"/>
      <c r="I1599"/>
      <c r="L1599"/>
      <c r="M1599"/>
      <c r="N1599"/>
      <c r="O1599"/>
    </row>
    <row r="1600" spans="1:15" x14ac:dyDescent="0.2">
      <c r="A1600"/>
      <c r="B1600"/>
      <c r="C1600"/>
      <c r="F1600"/>
      <c r="G1600"/>
      <c r="I1600"/>
      <c r="L1600"/>
      <c r="M1600"/>
      <c r="N1600"/>
      <c r="O1600"/>
    </row>
    <row r="1601" spans="1:15" x14ac:dyDescent="0.2">
      <c r="A1601"/>
      <c r="B1601"/>
      <c r="C1601"/>
      <c r="F1601"/>
      <c r="G1601"/>
      <c r="H1601"/>
      <c r="J1601"/>
      <c r="L1601"/>
      <c r="M1601"/>
      <c r="N1601"/>
      <c r="O1601"/>
    </row>
    <row r="1602" spans="1:15" x14ac:dyDescent="0.2">
      <c r="A1602"/>
      <c r="B1602"/>
      <c r="C1602"/>
      <c r="F1602"/>
      <c r="G1602"/>
      <c r="L1602"/>
      <c r="M1602"/>
      <c r="N1602"/>
      <c r="O1602"/>
    </row>
    <row r="1603" spans="1:15" x14ac:dyDescent="0.2">
      <c r="A1603"/>
      <c r="B1603"/>
      <c r="C1603"/>
      <c r="F1603"/>
      <c r="G1603"/>
      <c r="H1603"/>
      <c r="J1603"/>
      <c r="K1603"/>
      <c r="L1603"/>
      <c r="M1603"/>
      <c r="N1603"/>
      <c r="O1603"/>
    </row>
    <row r="1604" spans="1:15" x14ac:dyDescent="0.2">
      <c r="A1604"/>
      <c r="B1604"/>
      <c r="C1604"/>
      <c r="F1604"/>
      <c r="G1604"/>
      <c r="H1604"/>
      <c r="I1604"/>
      <c r="L1604"/>
      <c r="M1604"/>
      <c r="N1604"/>
      <c r="O1604"/>
    </row>
    <row r="1605" spans="1:15" x14ac:dyDescent="0.2">
      <c r="A1605"/>
      <c r="B1605"/>
      <c r="C1605"/>
      <c r="F1605"/>
      <c r="G1605"/>
      <c r="H1605"/>
      <c r="I1605"/>
      <c r="L1605"/>
      <c r="M1605"/>
      <c r="N1605"/>
      <c r="O1605"/>
    </row>
    <row r="1606" spans="1:15" x14ac:dyDescent="0.2">
      <c r="A1606"/>
      <c r="B1606"/>
      <c r="C1606"/>
      <c r="F1606"/>
      <c r="G1606"/>
      <c r="H1606"/>
      <c r="I1606"/>
      <c r="L1606"/>
      <c r="M1606"/>
      <c r="N1606"/>
      <c r="O1606"/>
    </row>
    <row r="1607" spans="1:15" x14ac:dyDescent="0.2">
      <c r="A1607"/>
      <c r="B1607"/>
      <c r="C1607"/>
      <c r="F1607"/>
      <c r="G1607"/>
      <c r="H1607"/>
      <c r="I1607"/>
      <c r="L1607"/>
      <c r="M1607"/>
      <c r="N1607"/>
      <c r="O1607"/>
    </row>
    <row r="1608" spans="1:15" x14ac:dyDescent="0.2">
      <c r="A1608"/>
      <c r="B1608"/>
      <c r="C1608"/>
      <c r="F1608"/>
      <c r="G1608"/>
      <c r="I1608"/>
      <c r="L1608"/>
      <c r="M1608"/>
      <c r="N1608"/>
      <c r="O1608"/>
    </row>
    <row r="1609" spans="1:15" x14ac:dyDescent="0.2">
      <c r="A1609"/>
      <c r="B1609"/>
      <c r="C1609"/>
      <c r="F1609"/>
      <c r="G1609"/>
      <c r="H1609"/>
      <c r="I1609"/>
      <c r="L1609"/>
      <c r="M1609"/>
      <c r="N1609"/>
      <c r="O1609"/>
    </row>
    <row r="1610" spans="1:15" x14ac:dyDescent="0.2">
      <c r="A1610"/>
      <c r="B1610"/>
      <c r="C1610"/>
      <c r="F1610"/>
      <c r="G1610"/>
      <c r="I1610"/>
      <c r="L1610"/>
      <c r="M1610"/>
      <c r="N1610"/>
      <c r="O1610"/>
    </row>
    <row r="1611" spans="1:15" x14ac:dyDescent="0.2">
      <c r="A1611"/>
      <c r="B1611"/>
      <c r="C1611"/>
      <c r="F1611"/>
      <c r="G1611"/>
      <c r="H1611"/>
      <c r="J1611"/>
      <c r="K1611"/>
      <c r="L1611"/>
      <c r="M1611"/>
      <c r="N1611"/>
      <c r="O1611"/>
    </row>
    <row r="1612" spans="1:15" x14ac:dyDescent="0.2">
      <c r="A1612"/>
      <c r="B1612"/>
      <c r="C1612"/>
      <c r="F1612"/>
      <c r="G1612"/>
      <c r="I1612"/>
      <c r="L1612"/>
      <c r="M1612"/>
      <c r="N1612"/>
      <c r="O1612"/>
    </row>
    <row r="1613" spans="1:15" x14ac:dyDescent="0.2">
      <c r="A1613"/>
      <c r="B1613"/>
      <c r="C1613"/>
      <c r="F1613"/>
      <c r="G1613"/>
      <c r="J1613"/>
      <c r="K1613"/>
      <c r="L1613"/>
      <c r="M1613"/>
      <c r="N1613"/>
      <c r="O1613"/>
    </row>
    <row r="1614" spans="1:15" x14ac:dyDescent="0.2">
      <c r="A1614"/>
      <c r="B1614"/>
      <c r="C1614"/>
      <c r="F1614"/>
      <c r="G1614"/>
      <c r="L1614"/>
      <c r="M1614"/>
      <c r="N1614"/>
      <c r="O1614"/>
    </row>
    <row r="1615" spans="1:15" x14ac:dyDescent="0.2">
      <c r="A1615"/>
      <c r="B1615"/>
      <c r="C1615"/>
      <c r="F1615"/>
      <c r="G1615"/>
      <c r="H1615"/>
      <c r="I1615"/>
      <c r="L1615"/>
      <c r="N1615"/>
      <c r="O1615"/>
    </row>
    <row r="1616" spans="1:15" x14ac:dyDescent="0.2">
      <c r="A1616"/>
      <c r="B1616"/>
      <c r="C1616"/>
      <c r="F1616"/>
      <c r="G1616"/>
      <c r="I1616"/>
      <c r="L1616"/>
      <c r="M1616"/>
      <c r="N1616"/>
      <c r="O1616"/>
    </row>
    <row r="1617" spans="1:15" x14ac:dyDescent="0.2">
      <c r="A1617"/>
      <c r="B1617"/>
      <c r="C1617"/>
      <c r="F1617"/>
      <c r="G1617"/>
      <c r="I1617"/>
      <c r="L1617"/>
      <c r="M1617"/>
      <c r="N1617"/>
      <c r="O1617"/>
    </row>
    <row r="1618" spans="1:15" x14ac:dyDescent="0.2">
      <c r="A1618"/>
      <c r="B1618"/>
      <c r="C1618"/>
      <c r="F1618"/>
      <c r="G1618"/>
      <c r="H1618"/>
      <c r="I1618"/>
      <c r="L1618"/>
      <c r="N1618"/>
      <c r="O1618"/>
    </row>
    <row r="1619" spans="1:15" x14ac:dyDescent="0.2">
      <c r="A1619"/>
      <c r="B1619"/>
      <c r="C1619"/>
      <c r="F1619"/>
      <c r="G1619"/>
      <c r="H1619"/>
      <c r="I1619"/>
      <c r="L1619"/>
      <c r="M1619"/>
      <c r="N1619"/>
      <c r="O1619"/>
    </row>
    <row r="1620" spans="1:15" x14ac:dyDescent="0.2">
      <c r="A1620"/>
      <c r="B1620"/>
      <c r="C1620"/>
      <c r="F1620"/>
      <c r="G1620"/>
      <c r="I1620"/>
      <c r="L1620"/>
      <c r="M1620"/>
      <c r="N1620"/>
      <c r="O1620"/>
    </row>
    <row r="1621" spans="1:15" x14ac:dyDescent="0.2">
      <c r="A1621"/>
      <c r="B1621"/>
      <c r="C1621"/>
      <c r="F1621"/>
      <c r="G1621"/>
      <c r="J1621"/>
      <c r="K1621"/>
      <c r="M1621"/>
      <c r="N1621"/>
      <c r="O1621"/>
    </row>
    <row r="1622" spans="1:15" x14ac:dyDescent="0.2">
      <c r="A1622"/>
      <c r="B1622"/>
      <c r="C1622"/>
      <c r="F1622"/>
      <c r="G1622"/>
      <c r="H1622"/>
      <c r="I1622"/>
      <c r="L1622"/>
      <c r="M1622"/>
      <c r="N1622"/>
      <c r="O1622"/>
    </row>
    <row r="1623" spans="1:15" x14ac:dyDescent="0.2">
      <c r="A1623"/>
      <c r="B1623"/>
      <c r="C1623"/>
      <c r="F1623"/>
      <c r="G1623"/>
      <c r="I1623"/>
      <c r="L1623"/>
      <c r="M1623"/>
      <c r="N1623"/>
      <c r="O1623"/>
    </row>
    <row r="1624" spans="1:15" x14ac:dyDescent="0.2">
      <c r="A1624"/>
      <c r="B1624"/>
      <c r="C1624"/>
      <c r="F1624"/>
      <c r="G1624"/>
      <c r="I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N1626"/>
      <c r="O1626"/>
    </row>
    <row r="1627" spans="1:15" x14ac:dyDescent="0.2">
      <c r="A1627"/>
      <c r="B1627"/>
      <c r="C1627"/>
      <c r="F1627"/>
      <c r="G1627"/>
      <c r="I1627"/>
      <c r="L1627"/>
      <c r="M1627"/>
      <c r="N1627"/>
      <c r="O1627"/>
    </row>
    <row r="1628" spans="1:15" x14ac:dyDescent="0.2">
      <c r="A1628"/>
      <c r="B1628"/>
      <c r="C1628"/>
      <c r="F1628"/>
      <c r="G1628"/>
      <c r="I1628"/>
      <c r="L1628"/>
      <c r="M1628"/>
      <c r="N1628"/>
      <c r="O1628"/>
    </row>
    <row r="1629" spans="1:15" x14ac:dyDescent="0.2">
      <c r="A1629"/>
      <c r="B1629"/>
      <c r="C1629"/>
      <c r="F1629"/>
      <c r="G1629"/>
      <c r="L1629"/>
      <c r="M1629"/>
      <c r="N1629"/>
      <c r="O1629"/>
    </row>
    <row r="1630" spans="1:15" x14ac:dyDescent="0.2">
      <c r="A1630"/>
      <c r="B1630"/>
      <c r="C1630"/>
      <c r="F1630"/>
      <c r="G1630"/>
      <c r="L1630"/>
      <c r="M1630"/>
      <c r="N1630"/>
      <c r="O1630"/>
    </row>
    <row r="1631" spans="1:15" x14ac:dyDescent="0.2">
      <c r="A1631"/>
      <c r="B1631"/>
      <c r="C1631"/>
      <c r="F1631"/>
      <c r="G1631"/>
      <c r="H1631"/>
      <c r="L1631"/>
      <c r="M1631"/>
      <c r="N1631"/>
      <c r="O1631"/>
    </row>
    <row r="1632" spans="1:15" x14ac:dyDescent="0.2">
      <c r="A1632"/>
      <c r="B1632"/>
      <c r="C1632"/>
      <c r="F1632"/>
      <c r="G1632"/>
      <c r="H1632"/>
      <c r="I1632"/>
      <c r="L1632"/>
      <c r="M1632"/>
      <c r="N1632"/>
      <c r="O1632"/>
    </row>
    <row r="1633" spans="1:15" x14ac:dyDescent="0.2">
      <c r="A1633"/>
      <c r="B1633"/>
      <c r="C1633"/>
      <c r="F1633"/>
      <c r="G1633"/>
      <c r="L1633"/>
      <c r="M1633"/>
      <c r="N1633"/>
      <c r="O1633"/>
    </row>
    <row r="1634" spans="1:15" x14ac:dyDescent="0.2">
      <c r="A1634"/>
      <c r="B1634"/>
      <c r="C1634"/>
      <c r="F1634"/>
      <c r="G1634"/>
      <c r="H1634"/>
      <c r="I1634"/>
      <c r="L1634"/>
      <c r="M1634"/>
      <c r="N1634"/>
      <c r="O1634"/>
    </row>
    <row r="1635" spans="1:15" x14ac:dyDescent="0.2">
      <c r="A1635"/>
      <c r="B1635"/>
      <c r="C1635"/>
      <c r="F1635"/>
      <c r="G1635"/>
      <c r="H1635"/>
      <c r="I1635"/>
      <c r="L1635"/>
      <c r="M1635"/>
      <c r="N1635"/>
      <c r="O1635"/>
    </row>
    <row r="1636" spans="1:15" x14ac:dyDescent="0.2">
      <c r="A1636"/>
      <c r="B1636"/>
      <c r="C1636"/>
      <c r="F1636"/>
      <c r="G1636"/>
      <c r="L1636"/>
      <c r="M1636"/>
      <c r="N1636"/>
      <c r="O1636"/>
    </row>
    <row r="1637" spans="1:15" x14ac:dyDescent="0.2">
      <c r="A1637"/>
      <c r="B1637"/>
      <c r="C1637"/>
      <c r="F1637"/>
      <c r="G1637"/>
      <c r="I1637"/>
      <c r="L1637"/>
      <c r="M1637"/>
      <c r="N1637"/>
      <c r="O1637"/>
    </row>
    <row r="1638" spans="1:15" x14ac:dyDescent="0.2">
      <c r="A1638"/>
      <c r="B1638"/>
      <c r="C1638"/>
      <c r="F1638"/>
      <c r="G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I1641"/>
      <c r="L1641"/>
      <c r="M1641"/>
      <c r="N1641"/>
      <c r="O1641"/>
    </row>
    <row r="1642" spans="1:15" x14ac:dyDescent="0.2">
      <c r="A1642"/>
      <c r="B1642"/>
      <c r="C1642"/>
      <c r="F1642"/>
      <c r="G1642"/>
      <c r="H1642"/>
      <c r="I1642"/>
      <c r="L1642"/>
      <c r="M1642"/>
      <c r="N1642"/>
      <c r="O1642"/>
    </row>
    <row r="1643" spans="1:15" x14ac:dyDescent="0.2">
      <c r="A1643"/>
      <c r="B1643"/>
      <c r="C1643"/>
      <c r="F1643"/>
      <c r="G1643"/>
      <c r="H1643"/>
      <c r="I1643"/>
      <c r="L1643"/>
      <c r="M1643"/>
      <c r="N1643"/>
      <c r="O1643"/>
    </row>
    <row r="1644" spans="1:15" x14ac:dyDescent="0.2">
      <c r="A1644"/>
      <c r="B1644"/>
      <c r="C1644"/>
      <c r="F1644"/>
      <c r="G1644"/>
      <c r="H1644"/>
      <c r="I1644"/>
      <c r="L1644"/>
      <c r="M1644"/>
      <c r="N1644"/>
      <c r="O1644"/>
    </row>
    <row r="1645" spans="1:15" x14ac:dyDescent="0.2">
      <c r="A1645"/>
      <c r="B1645"/>
      <c r="C1645"/>
      <c r="F1645"/>
      <c r="G1645"/>
      <c r="L1645"/>
      <c r="M1645"/>
      <c r="N1645"/>
      <c r="O1645"/>
    </row>
    <row r="1646" spans="1:15" x14ac:dyDescent="0.2">
      <c r="A1646"/>
      <c r="B1646"/>
      <c r="C1646"/>
      <c r="F1646"/>
      <c r="G1646"/>
      <c r="I1646"/>
      <c r="L1646"/>
      <c r="M1646"/>
      <c r="N1646"/>
      <c r="O1646"/>
    </row>
    <row r="1647" spans="1:15" x14ac:dyDescent="0.2">
      <c r="A1647"/>
      <c r="B1647"/>
      <c r="C1647"/>
      <c r="F1647"/>
      <c r="G1647"/>
      <c r="H1647"/>
      <c r="I1647"/>
      <c r="L1647"/>
      <c r="M1647"/>
      <c r="N1647"/>
      <c r="O1647"/>
    </row>
    <row r="1648" spans="1:15" x14ac:dyDescent="0.2">
      <c r="A1648"/>
      <c r="B1648"/>
      <c r="C1648"/>
      <c r="F1648"/>
      <c r="G1648"/>
      <c r="L1648"/>
      <c r="M1648"/>
      <c r="N1648"/>
      <c r="O1648"/>
    </row>
    <row r="1649" spans="1:15" x14ac:dyDescent="0.2">
      <c r="A1649"/>
      <c r="B1649"/>
      <c r="C1649"/>
      <c r="F1649"/>
      <c r="G1649"/>
      <c r="H1649"/>
      <c r="I1649"/>
      <c r="L1649"/>
      <c r="M1649"/>
      <c r="N1649"/>
      <c r="O1649"/>
    </row>
    <row r="1650" spans="1:15" x14ac:dyDescent="0.2">
      <c r="A1650"/>
      <c r="B1650"/>
      <c r="C1650"/>
      <c r="F1650"/>
      <c r="G1650"/>
      <c r="H1650"/>
      <c r="I1650"/>
      <c r="L1650"/>
      <c r="M1650"/>
      <c r="N1650"/>
      <c r="O1650"/>
    </row>
    <row r="1651" spans="1:15" x14ac:dyDescent="0.2">
      <c r="A1651"/>
      <c r="B1651"/>
      <c r="C1651"/>
      <c r="F1651"/>
      <c r="G1651"/>
      <c r="H1651"/>
      <c r="I1651"/>
      <c r="L1651"/>
      <c r="M1651"/>
      <c r="N1651"/>
      <c r="O1651"/>
    </row>
    <row r="1652" spans="1:15" x14ac:dyDescent="0.2">
      <c r="A1652"/>
      <c r="B1652"/>
      <c r="C1652"/>
      <c r="F1652"/>
      <c r="G1652"/>
      <c r="H1652"/>
      <c r="I1652"/>
      <c r="L1652"/>
      <c r="M1652"/>
      <c r="N1652"/>
      <c r="O1652"/>
    </row>
    <row r="1653" spans="1:15" x14ac:dyDescent="0.2">
      <c r="A1653"/>
      <c r="B1653"/>
      <c r="C1653"/>
      <c r="F1653"/>
      <c r="G1653"/>
      <c r="H1653"/>
      <c r="I1653"/>
      <c r="L1653"/>
      <c r="M1653"/>
      <c r="N1653"/>
      <c r="O1653"/>
    </row>
    <row r="1654" spans="1:15" x14ac:dyDescent="0.2">
      <c r="A1654"/>
      <c r="B1654"/>
      <c r="C1654"/>
      <c r="F1654"/>
      <c r="G1654"/>
      <c r="H1654"/>
      <c r="I1654"/>
      <c r="L1654"/>
      <c r="M1654"/>
      <c r="N1654"/>
      <c r="O1654"/>
    </row>
    <row r="1655" spans="1:15" x14ac:dyDescent="0.2">
      <c r="A1655"/>
      <c r="B1655"/>
      <c r="C1655"/>
      <c r="F1655"/>
      <c r="G1655"/>
      <c r="H1655"/>
      <c r="I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M1657"/>
      <c r="N1657"/>
      <c r="O1657"/>
    </row>
    <row r="1658" spans="1:15" x14ac:dyDescent="0.2">
      <c r="A1658"/>
      <c r="B1658"/>
      <c r="C1658"/>
      <c r="F1658"/>
      <c r="G1658"/>
      <c r="H1658"/>
      <c r="I1658"/>
      <c r="J1658"/>
      <c r="K1658"/>
      <c r="L1658"/>
      <c r="M1658"/>
      <c r="N1658"/>
      <c r="O1658"/>
    </row>
    <row r="1659" spans="1:15" x14ac:dyDescent="0.2">
      <c r="A1659"/>
      <c r="B1659"/>
      <c r="C1659"/>
      <c r="F1659"/>
      <c r="G1659"/>
      <c r="I1659"/>
      <c r="L1659"/>
      <c r="M1659"/>
      <c r="N1659"/>
      <c r="O1659"/>
    </row>
    <row r="1660" spans="1:15" x14ac:dyDescent="0.2">
      <c r="A1660"/>
      <c r="B1660"/>
      <c r="C1660"/>
      <c r="F1660"/>
      <c r="G1660"/>
      <c r="H1660"/>
      <c r="I1660"/>
      <c r="L1660"/>
      <c r="M1660"/>
      <c r="N1660"/>
      <c r="O1660"/>
    </row>
    <row r="1661" spans="1:15" x14ac:dyDescent="0.2">
      <c r="A1661"/>
      <c r="B1661"/>
      <c r="C1661"/>
      <c r="F1661"/>
      <c r="G1661"/>
      <c r="H1661"/>
      <c r="I1661"/>
      <c r="L1661"/>
      <c r="M1661"/>
      <c r="N1661"/>
      <c r="O1661"/>
    </row>
    <row r="1662" spans="1:15" x14ac:dyDescent="0.2">
      <c r="A1662"/>
      <c r="B1662"/>
      <c r="C1662"/>
      <c r="F1662"/>
      <c r="G1662"/>
      <c r="H1662"/>
      <c r="J1662"/>
      <c r="K1662"/>
      <c r="L1662"/>
      <c r="M1662"/>
      <c r="N1662"/>
      <c r="O1662"/>
    </row>
    <row r="1663" spans="1:15" x14ac:dyDescent="0.2">
      <c r="A1663"/>
      <c r="B1663"/>
      <c r="C1663"/>
      <c r="F1663"/>
      <c r="G1663"/>
      <c r="H1663"/>
      <c r="J1663"/>
      <c r="K1663"/>
      <c r="L1663"/>
      <c r="M1663"/>
      <c r="N1663"/>
      <c r="O1663"/>
    </row>
    <row r="1664" spans="1:15" x14ac:dyDescent="0.2">
      <c r="A1664"/>
      <c r="B1664"/>
      <c r="C1664"/>
      <c r="F1664"/>
      <c r="G1664"/>
      <c r="H1664"/>
      <c r="J1664"/>
      <c r="K1664"/>
      <c r="L1664"/>
      <c r="M1664"/>
      <c r="N1664"/>
      <c r="O1664"/>
    </row>
    <row r="1665" spans="1:15" x14ac:dyDescent="0.2">
      <c r="A1665"/>
      <c r="B1665"/>
      <c r="C1665"/>
      <c r="F1665"/>
      <c r="G1665"/>
      <c r="H1665"/>
      <c r="L1665"/>
      <c r="M1665"/>
      <c r="N1665"/>
      <c r="O1665"/>
    </row>
    <row r="1666" spans="1:15" x14ac:dyDescent="0.2">
      <c r="A1666"/>
      <c r="B1666"/>
      <c r="C1666"/>
      <c r="F1666"/>
      <c r="G1666"/>
      <c r="H1666"/>
      <c r="J1666"/>
      <c r="K1666"/>
      <c r="L1666"/>
      <c r="M1666"/>
      <c r="N1666"/>
      <c r="O1666"/>
    </row>
    <row r="1667" spans="1:15" x14ac:dyDescent="0.2">
      <c r="A1667"/>
      <c r="B1667"/>
      <c r="C1667"/>
      <c r="F1667"/>
      <c r="G1667"/>
      <c r="H1667"/>
      <c r="L1667"/>
      <c r="M1667"/>
      <c r="N1667"/>
      <c r="O1667"/>
    </row>
    <row r="1668" spans="1:15" x14ac:dyDescent="0.2">
      <c r="A1668"/>
      <c r="B1668"/>
      <c r="C1668"/>
      <c r="F1668"/>
      <c r="G1668"/>
      <c r="H1668"/>
      <c r="J1668"/>
      <c r="K1668"/>
      <c r="L1668"/>
      <c r="M1668"/>
      <c r="N1668"/>
      <c r="O1668"/>
    </row>
    <row r="1669" spans="1:15" x14ac:dyDescent="0.2">
      <c r="A1669"/>
      <c r="B1669"/>
      <c r="C1669"/>
      <c r="F1669"/>
      <c r="G1669"/>
      <c r="I1669"/>
      <c r="L1669"/>
      <c r="M1669"/>
      <c r="N1669"/>
      <c r="O1669"/>
    </row>
    <row r="1670" spans="1:15" x14ac:dyDescent="0.2">
      <c r="A1670"/>
      <c r="B1670"/>
      <c r="C1670"/>
      <c r="F1670"/>
      <c r="G1670"/>
      <c r="I1670"/>
      <c r="L1670"/>
      <c r="M1670"/>
      <c r="N1670"/>
      <c r="O1670"/>
    </row>
    <row r="1671" spans="1:15" x14ac:dyDescent="0.2">
      <c r="A1671"/>
      <c r="B1671"/>
      <c r="C1671"/>
      <c r="F1671"/>
      <c r="G1671"/>
      <c r="H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I1674"/>
      <c r="L1674"/>
      <c r="M1674"/>
      <c r="N1674"/>
      <c r="O1674"/>
    </row>
    <row r="1675" spans="1:15" x14ac:dyDescent="0.2">
      <c r="A1675"/>
      <c r="B1675"/>
      <c r="C1675"/>
      <c r="F1675"/>
      <c r="G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N1677"/>
      <c r="O1677"/>
    </row>
    <row r="1678" spans="1:15" x14ac:dyDescent="0.2">
      <c r="A1678"/>
      <c r="B1678"/>
      <c r="C1678"/>
      <c r="F1678"/>
      <c r="G1678"/>
      <c r="H1678"/>
      <c r="I1678"/>
      <c r="L1678"/>
      <c r="M1678"/>
      <c r="N1678"/>
      <c r="O1678"/>
    </row>
    <row r="1679" spans="1:15" x14ac:dyDescent="0.2">
      <c r="A1679"/>
      <c r="B1679"/>
      <c r="C1679"/>
      <c r="F1679"/>
      <c r="G1679"/>
      <c r="H1679"/>
      <c r="I1679"/>
      <c r="L1679"/>
      <c r="N1679"/>
      <c r="O1679"/>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61"/>
  <sheetViews>
    <sheetView topLeftCell="N1" workbookViewId="0">
      <selection activeCell="U23" sqref="U23"/>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 bestFit="1" customWidth="1"/>
    <col min="12" max="12" width="26.5703125" bestFit="1" customWidth="1"/>
    <col min="13" max="14" width="81.140625" bestFit="1" customWidth="1"/>
    <col min="15" max="15" width="22.5703125" bestFit="1" customWidth="1"/>
    <col min="16" max="16" width="81.1406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K2"/>
      <c r="L2"/>
      <c r="M2"/>
      <c r="N2"/>
      <c r="O2"/>
      <c r="P2"/>
      <c r="Q2"/>
      <c r="R2"/>
    </row>
    <row r="3" spans="1:18" x14ac:dyDescent="0.2">
      <c r="A3"/>
      <c r="B3"/>
      <c r="C3"/>
      <c r="D3"/>
      <c r="E3"/>
      <c r="F3"/>
      <c r="G3"/>
      <c r="K3"/>
      <c r="L3"/>
      <c r="M3"/>
      <c r="N3"/>
      <c r="O3"/>
      <c r="P3"/>
      <c r="Q3"/>
      <c r="R3"/>
    </row>
    <row r="4" spans="1:18" x14ac:dyDescent="0.2">
      <c r="A4"/>
      <c r="B4"/>
      <c r="C4"/>
      <c r="D4"/>
      <c r="E4"/>
      <c r="F4"/>
      <c r="G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N48"/>
      <c r="O48"/>
      <c r="P48"/>
      <c r="Q48"/>
      <c r="R48"/>
    </row>
    <row r="49" spans="1:18" x14ac:dyDescent="0.2">
      <c r="A49"/>
      <c r="B49"/>
      <c r="C49"/>
      <c r="D49"/>
      <c r="E49"/>
      <c r="F49"/>
      <c r="G49"/>
      <c r="L49"/>
      <c r="M49"/>
      <c r="O49"/>
      <c r="P49"/>
      <c r="Q49"/>
      <c r="R49"/>
    </row>
    <row r="50" spans="1:18" x14ac:dyDescent="0.2">
      <c r="A50"/>
      <c r="B50"/>
      <c r="C50"/>
      <c r="D50"/>
      <c r="E50"/>
      <c r="G50"/>
      <c r="L50"/>
      <c r="M50"/>
      <c r="O50"/>
      <c r="P50"/>
      <c r="Q50"/>
      <c r="R50"/>
    </row>
    <row r="51" spans="1:18" x14ac:dyDescent="0.2">
      <c r="A51"/>
      <c r="B51"/>
      <c r="C51"/>
      <c r="D51"/>
      <c r="E51"/>
      <c r="F51"/>
      <c r="G51"/>
      <c r="L51"/>
      <c r="M51"/>
      <c r="O51"/>
      <c r="P51"/>
      <c r="Q51"/>
      <c r="R51"/>
    </row>
    <row r="52" spans="1:18" x14ac:dyDescent="0.2">
      <c r="A52"/>
      <c r="B52"/>
      <c r="C52"/>
      <c r="D52"/>
      <c r="E52"/>
      <c r="G52"/>
      <c r="K52"/>
      <c r="L52"/>
      <c r="N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K55"/>
      <c r="L55"/>
      <c r="M55"/>
      <c r="O55"/>
      <c r="P55"/>
      <c r="Q55"/>
      <c r="R55"/>
    </row>
    <row r="56" spans="1:18" x14ac:dyDescent="0.2">
      <c r="A56"/>
      <c r="B56"/>
      <c r="C56"/>
      <c r="D56"/>
      <c r="E56"/>
      <c r="F56"/>
      <c r="G56"/>
      <c r="L56"/>
      <c r="M56"/>
      <c r="O56"/>
      <c r="P56"/>
      <c r="Q56"/>
      <c r="R56"/>
    </row>
    <row r="57" spans="1:18" x14ac:dyDescent="0.2">
      <c r="A57"/>
      <c r="B57"/>
      <c r="C57"/>
      <c r="D57"/>
      <c r="E57"/>
      <c r="F57"/>
      <c r="G57"/>
      <c r="K57"/>
      <c r="L57"/>
      <c r="M57"/>
      <c r="N57"/>
      <c r="O57"/>
      <c r="P57"/>
      <c r="R57"/>
    </row>
    <row r="58" spans="1:18" x14ac:dyDescent="0.2">
      <c r="A58"/>
      <c r="B58"/>
      <c r="C58"/>
      <c r="D58"/>
      <c r="E58"/>
      <c r="F58"/>
      <c r="G58"/>
      <c r="K58"/>
      <c r="L58"/>
      <c r="M58"/>
      <c r="O58"/>
      <c r="P58"/>
      <c r="Q58"/>
      <c r="R58"/>
    </row>
    <row r="59" spans="1:18" x14ac:dyDescent="0.2">
      <c r="A59"/>
      <c r="B59"/>
      <c r="C59"/>
      <c r="D59"/>
      <c r="E59"/>
      <c r="F59"/>
      <c r="G59"/>
      <c r="L59"/>
      <c r="M59"/>
      <c r="O59"/>
      <c r="P59"/>
      <c r="Q59"/>
      <c r="R59"/>
    </row>
    <row r="60" spans="1:18" x14ac:dyDescent="0.2">
      <c r="A60"/>
      <c r="B60"/>
      <c r="C60"/>
      <c r="D60"/>
      <c r="E60"/>
      <c r="G60"/>
      <c r="K60"/>
      <c r="L60"/>
      <c r="M60"/>
      <c r="N60"/>
      <c r="O60"/>
      <c r="P60"/>
      <c r="Q60"/>
      <c r="R60"/>
    </row>
    <row r="61" spans="1:18" x14ac:dyDescent="0.2">
      <c r="A61"/>
      <c r="B61"/>
      <c r="C61"/>
      <c r="D61"/>
      <c r="E61"/>
      <c r="G61"/>
      <c r="L61"/>
      <c r="O61"/>
      <c r="P61"/>
      <c r="R61"/>
    </row>
  </sheetData>
  <sheetProtection autoFilter="0"/>
  <phoneticPr fontId="20"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39"/>
  <sheetViews>
    <sheetView workbookViewId="0">
      <selection activeCell="B13" sqref="B13"/>
    </sheetView>
  </sheetViews>
  <sheetFormatPr defaultRowHeight="12.75" x14ac:dyDescent="0.2"/>
  <cols>
    <col min="1" max="1" width="26.28515625" bestFit="1" customWidth="1"/>
    <col min="2"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row r="2" spans="1:2" x14ac:dyDescent="0.2">
      <c r="A2" s="657"/>
    </row>
    <row r="3" spans="1:2" x14ac:dyDescent="0.2">
      <c r="A3" s="657"/>
    </row>
    <row r="4" spans="1:2" x14ac:dyDescent="0.2">
      <c r="A4" s="657"/>
    </row>
    <row r="5" spans="1:2" x14ac:dyDescent="0.2">
      <c r="A5" s="657"/>
    </row>
    <row r="6" spans="1:2" x14ac:dyDescent="0.2">
      <c r="A6" s="657"/>
    </row>
    <row r="7" spans="1:2" x14ac:dyDescent="0.2">
      <c r="A7" s="657"/>
    </row>
    <row r="8" spans="1:2" x14ac:dyDescent="0.2">
      <c r="A8" s="657"/>
    </row>
    <row r="9" spans="1:2" x14ac:dyDescent="0.2">
      <c r="A9" s="657"/>
    </row>
    <row r="10" spans="1:2" x14ac:dyDescent="0.2">
      <c r="A10" s="657"/>
    </row>
    <row r="11" spans="1:2" x14ac:dyDescent="0.2">
      <c r="A11" s="657"/>
    </row>
    <row r="12" spans="1:2" x14ac:dyDescent="0.2">
      <c r="A12" s="657"/>
    </row>
    <row r="13" spans="1:2" x14ac:dyDescent="0.2">
      <c r="A13" s="657"/>
    </row>
    <row r="14" spans="1:2" x14ac:dyDescent="0.2">
      <c r="A14" s="657"/>
    </row>
    <row r="15" spans="1:2" x14ac:dyDescent="0.2">
      <c r="A15" s="657"/>
    </row>
    <row r="16" spans="1:2" x14ac:dyDescent="0.2">
      <c r="A16" s="657"/>
    </row>
    <row r="17" spans="1:1" x14ac:dyDescent="0.2">
      <c r="A17" s="657"/>
    </row>
    <row r="18" spans="1:1" x14ac:dyDescent="0.2">
      <c r="A18" s="657"/>
    </row>
    <row r="19" spans="1:1" x14ac:dyDescent="0.2">
      <c r="A19" s="657"/>
    </row>
    <row r="20" spans="1:1" x14ac:dyDescent="0.2">
      <c r="A20" s="657"/>
    </row>
    <row r="21" spans="1:1" x14ac:dyDescent="0.2">
      <c r="A21" s="657"/>
    </row>
    <row r="22" spans="1:1" x14ac:dyDescent="0.2">
      <c r="A22" s="657"/>
    </row>
    <row r="23" spans="1:1" x14ac:dyDescent="0.2">
      <c r="A23" s="657"/>
    </row>
    <row r="24" spans="1:1" x14ac:dyDescent="0.2">
      <c r="A24" s="657"/>
    </row>
    <row r="25" spans="1:1" x14ac:dyDescent="0.2">
      <c r="A25" s="657"/>
    </row>
    <row r="26" spans="1:1" x14ac:dyDescent="0.2">
      <c r="A26" s="657"/>
    </row>
    <row r="27" spans="1:1" x14ac:dyDescent="0.2">
      <c r="A27" s="657"/>
    </row>
    <row r="28" spans="1:1" x14ac:dyDescent="0.2">
      <c r="A28" s="657"/>
    </row>
    <row r="29" spans="1:1" x14ac:dyDescent="0.2">
      <c r="A29" s="657"/>
    </row>
    <row r="30" spans="1:1" x14ac:dyDescent="0.2">
      <c r="A30" s="657"/>
    </row>
    <row r="31" spans="1:1" x14ac:dyDescent="0.2">
      <c r="A31" s="657"/>
    </row>
    <row r="32" spans="1:1" x14ac:dyDescent="0.2">
      <c r="A32" s="657"/>
    </row>
    <row r="33" spans="1:1" x14ac:dyDescent="0.2">
      <c r="A33" s="657"/>
    </row>
    <row r="34" spans="1:1" x14ac:dyDescent="0.2">
      <c r="A34" s="657"/>
    </row>
    <row r="35" spans="1:1" x14ac:dyDescent="0.2">
      <c r="A35" s="657"/>
    </row>
    <row r="36" spans="1:1" x14ac:dyDescent="0.2">
      <c r="A36" s="657"/>
    </row>
    <row r="37" spans="1:1" x14ac:dyDescent="0.2">
      <c r="A37" s="657"/>
    </row>
    <row r="38" spans="1:1" x14ac:dyDescent="0.2">
      <c r="A38" s="657"/>
    </row>
    <row r="39" spans="1:1" x14ac:dyDescent="0.2">
      <c r="A39" s="657"/>
    </row>
  </sheetData>
  <sheetProtection autoFilter="0"/>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C11" sqref="C11"/>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76</v>
      </c>
      <c r="G1" s="118"/>
      <c r="H1" s="118"/>
      <c r="I1" s="118"/>
      <c r="J1" s="118"/>
      <c r="K1" s="118"/>
      <c r="L1" s="118"/>
      <c r="M1" s="118"/>
      <c r="N1" s="118"/>
      <c r="O1" s="118"/>
      <c r="P1" s="294" t="str">
        <f>IF(Main!$E$30="","A10",ADDRESS(13+(MATCH(Main!$E$30,Data_Sheet!$A$14:$A$903,0)),1,4))</f>
        <v>A10</v>
      </c>
      <c r="Q1" s="294">
        <f>VALUE(MID(P1, 2, LEN(P1)-1))</f>
        <v>10</v>
      </c>
    </row>
    <row r="2" spans="1:18" x14ac:dyDescent="0.2">
      <c r="B2" s="117"/>
      <c r="C2" s="117">
        <f>NominalTemp+TolMax</f>
        <v>0</v>
      </c>
      <c r="D2" s="111"/>
      <c r="E2" s="111">
        <f>NominalTemp+TolMax/2</f>
        <v>0</v>
      </c>
      <c r="F2" s="118"/>
      <c r="G2" s="118"/>
      <c r="H2" s="118"/>
      <c r="I2" s="136" t="s">
        <v>223</v>
      </c>
      <c r="J2" s="118"/>
      <c r="K2" s="118"/>
      <c r="L2" s="118"/>
      <c r="M2" s="608" t="s">
        <v>103</v>
      </c>
      <c r="N2" s="608"/>
      <c r="O2" s="608"/>
      <c r="P2" s="295" t="str">
        <f>IF(Main!$E$30="","A10",ADDRESS(13+Standards_Info!W2+(MATCH(Main!$E$30,Data_Sheet!$A$14:$A$903,0)),1,4))</f>
        <v>A10</v>
      </c>
      <c r="Q2" s="294">
        <f>VALUE(MID(P2, 2, LEN(P2)-1))</f>
        <v>10</v>
      </c>
    </row>
    <row r="3" spans="1:18" ht="14.25" x14ac:dyDescent="0.2">
      <c r="B3" s="121" t="s">
        <v>0</v>
      </c>
      <c r="C3" s="116"/>
      <c r="D3" s="103"/>
      <c r="E3" s="103"/>
      <c r="F3" s="103"/>
      <c r="G3" s="103"/>
      <c r="H3" s="103"/>
      <c r="I3" s="103"/>
      <c r="J3" s="103"/>
      <c r="K3" s="103"/>
      <c r="L3" s="103"/>
      <c r="M3" s="609" t="s">
        <v>104</v>
      </c>
      <c r="N3" s="610"/>
      <c r="O3" s="611"/>
      <c r="P3" s="103"/>
      <c r="Q3" s="103"/>
    </row>
    <row r="4" spans="1:18" ht="15" x14ac:dyDescent="0.25">
      <c r="B4" s="113" t="s">
        <v>25</v>
      </c>
      <c r="C4" s="60"/>
      <c r="D4" s="37"/>
      <c r="E4" s="37"/>
      <c r="F4" s="37"/>
      <c r="G4" s="37"/>
      <c r="H4" s="37"/>
      <c r="I4" s="37"/>
      <c r="J4" s="37"/>
      <c r="K4" s="37"/>
      <c r="L4" s="37"/>
      <c r="M4" s="612" t="s">
        <v>144</v>
      </c>
      <c r="N4" s="613"/>
      <c r="O4" s="614"/>
      <c r="P4" s="85"/>
    </row>
    <row r="5" spans="1:18" x14ac:dyDescent="0.2">
      <c r="B5" s="114" t="s">
        <v>26</v>
      </c>
      <c r="C5" s="54">
        <f>Main!D3</f>
        <v>0</v>
      </c>
      <c r="D5" s="37"/>
      <c r="E5" s="37"/>
      <c r="F5" s="37"/>
      <c r="G5" s="37"/>
      <c r="H5" s="37"/>
      <c r="I5" s="52" t="s">
        <v>4</v>
      </c>
      <c r="J5" s="37" t="str">
        <f>Main!D5</f>
        <v>CHROME PLUS INT'L - WICHITA</v>
      </c>
      <c r="L5" s="37"/>
      <c r="M5" s="615" t="s">
        <v>143</v>
      </c>
      <c r="N5" s="616"/>
      <c r="O5" s="617"/>
      <c r="P5" s="129"/>
    </row>
    <row r="6" spans="1:18" ht="13.5" thickBot="1" x14ac:dyDescent="0.25">
      <c r="B6" s="114" t="s">
        <v>3</v>
      </c>
      <c r="C6" s="55" t="str">
        <f>Main!D6</f>
        <v>DESPATCH RS4HD Temperature Uniformity Survey, 10 points</v>
      </c>
      <c r="D6" s="37"/>
      <c r="E6" s="37"/>
      <c r="F6" s="37"/>
      <c r="G6" s="37"/>
      <c r="H6" s="37"/>
      <c r="I6" s="52" t="s">
        <v>5</v>
      </c>
      <c r="J6" s="51">
        <f>Main!D16</f>
        <v>0</v>
      </c>
      <c r="L6" s="37"/>
      <c r="M6" s="618" t="str">
        <f>IF(MaxMode,"","In 1/2 Tolerance")</f>
        <v>In 1/2 Tolerance</v>
      </c>
      <c r="N6" s="619"/>
      <c r="O6" s="620"/>
      <c r="P6" s="86"/>
    </row>
    <row r="7" spans="1:18" ht="13.5" thickBot="1" x14ac:dyDescent="0.25">
      <c r="B7" s="114" t="s">
        <v>27</v>
      </c>
      <c r="C7" s="55" t="str">
        <f>Main!D7</f>
        <v>Jeff Hall</v>
      </c>
      <c r="D7" s="37"/>
      <c r="E7" s="37"/>
      <c r="F7" s="37"/>
      <c r="G7" s="37"/>
      <c r="H7" s="37"/>
      <c r="I7" s="57" t="s">
        <v>165</v>
      </c>
      <c r="J7" s="606">
        <f>Main!$D$30</f>
        <v>0</v>
      </c>
      <c r="K7" s="607"/>
      <c r="L7" s="100"/>
      <c r="M7" s="605" t="s">
        <v>142</v>
      </c>
      <c r="N7" s="605"/>
      <c r="O7" s="605"/>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25" customFormat="1" x14ac:dyDescent="0.2">
      <c r="A12" s="424"/>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YU66dA/R575Q4j1L6DmocH5WCWq0o1KBQY8aVkcM08Ph6L78hpeKu4XKbQChXACfWIHGRCTwxryEHRbcn9CR8g==" saltValue="W4Nup2Y08IdbQFY+f10kXw=="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3" priority="1">
      <formula>AND(ROW() &gt;= $Q$1, ROW() &lt;= $Q$2)</formula>
    </cfRule>
    <cfRule type="cellIs" dxfId="62" priority="2" stopIfTrue="1" operator="between">
      <formula>HalfTolMin</formula>
      <formula>HalfTolMax</formula>
    </cfRule>
    <cfRule type="cellIs" dxfId="61" priority="3" stopIfTrue="1" operator="greaterThan">
      <formula>TolMax</formula>
    </cfRule>
    <cfRule type="cellIs" dxfId="60" priority="4" stopIfTrue="1" operator="lessThan">
      <formula>TolMin</formula>
    </cfRule>
    <cfRule type="cellIs" dxfId="59"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75</v>
      </c>
      <c r="P1" s="294" t="str">
        <f>IF(Main!$E$30="","A10",ADDRESS(13+(MATCH(Main!$E$30,Data_Sheet!$A$14:$A$903,0)),1,4))</f>
        <v>A10</v>
      </c>
      <c r="Q1" s="294">
        <f>VALUE(MID(P1, 2, LEN(P1)-1))</f>
        <v>10</v>
      </c>
    </row>
    <row r="2" spans="1:17" x14ac:dyDescent="0.2">
      <c r="B2" s="117"/>
      <c r="C2" s="117">
        <f>NominalTemp+TolMax</f>
        <v>0</v>
      </c>
      <c r="D2" s="111"/>
      <c r="E2" s="111">
        <f>NominalTemp+TolMax/2</f>
        <v>0</v>
      </c>
      <c r="I2" s="72" t="s">
        <v>223</v>
      </c>
      <c r="M2" s="621" t="s">
        <v>103</v>
      </c>
      <c r="N2" s="621"/>
      <c r="O2" s="621"/>
      <c r="P2" s="294" t="str">
        <f>IF(Main!$E$30="","A10",ADDRESS(13+Standards_Info!W2+(MATCH(Main!$E$30,Data_Sheet!$A$14:$A$903,0)),1,4))</f>
        <v>A10</v>
      </c>
      <c r="Q2" s="294">
        <f>VALUE(MID(P2, 2, LEN(P2)-1))</f>
        <v>10</v>
      </c>
    </row>
    <row r="3" spans="1:17" ht="15" x14ac:dyDescent="0.25">
      <c r="B3" s="126" t="s">
        <v>0</v>
      </c>
      <c r="C3" s="3"/>
      <c r="M3" s="609" t="s">
        <v>104</v>
      </c>
      <c r="N3" s="610"/>
      <c r="O3" s="611"/>
      <c r="P3" s="40"/>
    </row>
    <row r="4" spans="1:17" ht="15" x14ac:dyDescent="0.25">
      <c r="B4" s="113" t="s">
        <v>25</v>
      </c>
      <c r="C4" s="4"/>
      <c r="M4" s="612" t="s">
        <v>144</v>
      </c>
      <c r="N4" s="613"/>
      <c r="O4" s="614"/>
    </row>
    <row r="5" spans="1:17" x14ac:dyDescent="0.2">
      <c r="B5" s="114" t="s">
        <v>26</v>
      </c>
      <c r="C5" s="54">
        <f>Main!D3</f>
        <v>0</v>
      </c>
      <c r="D5" s="37"/>
      <c r="E5" s="37"/>
      <c r="F5" s="37"/>
      <c r="G5" s="37"/>
      <c r="H5" s="37"/>
      <c r="I5" s="52" t="s">
        <v>4</v>
      </c>
      <c r="J5" t="str">
        <f>Main!D5</f>
        <v>CHROME PLUS INT'L - WICHITA</v>
      </c>
      <c r="M5" s="622" t="s">
        <v>143</v>
      </c>
      <c r="N5" s="623"/>
      <c r="O5" s="624"/>
    </row>
    <row r="6" spans="1:17" ht="13.5" thickBot="1" x14ac:dyDescent="0.25">
      <c r="B6" s="114" t="s">
        <v>3</v>
      </c>
      <c r="C6" s="55" t="str">
        <f>Main!D6</f>
        <v>DESPATCH RS4HD Temperature Uniformity Survey, 10 points</v>
      </c>
      <c r="D6" s="37"/>
      <c r="E6" s="37"/>
      <c r="F6" s="37"/>
      <c r="G6" s="37"/>
      <c r="H6" s="37"/>
      <c r="I6" s="52" t="s">
        <v>5</v>
      </c>
      <c r="J6" s="39">
        <f>Main!D16</f>
        <v>0</v>
      </c>
      <c r="M6" s="618" t="str">
        <f>IF(MaxMode,"","In 1/2 Tolerance")</f>
        <v>In 1/2 Tolerance</v>
      </c>
      <c r="N6" s="619"/>
      <c r="O6" s="620"/>
    </row>
    <row r="7" spans="1:17" ht="13.5" thickBot="1" x14ac:dyDescent="0.25">
      <c r="B7" s="114" t="s">
        <v>27</v>
      </c>
      <c r="C7" s="55" t="str">
        <f>Main!D7</f>
        <v>Jeff Hall</v>
      </c>
      <c r="D7" s="37"/>
      <c r="E7" s="37"/>
      <c r="F7" s="37"/>
      <c r="G7" s="37"/>
      <c r="H7" s="37"/>
      <c r="I7" s="57" t="s">
        <v>165</v>
      </c>
      <c r="J7" s="606">
        <f>Main!$D$30</f>
        <v>0</v>
      </c>
      <c r="K7" s="607"/>
      <c r="L7" s="100"/>
      <c r="M7" s="605" t="s">
        <v>142</v>
      </c>
      <c r="N7" s="605"/>
      <c r="O7" s="605"/>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27" customFormat="1" x14ac:dyDescent="0.2">
      <c r="A12" s="426"/>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EQt+uI9h5myjT8mmPj4Omy9kbr+egX0EgJJ9+yIDf9mz1l/FPKlzVTO82nssCLGF7J+FB8iRI6MGtGAWnqVu0g==" saltValue="E3GhXUYFYgw3eMdhhy2zZA=="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58" priority="2" stopIfTrue="1" operator="between">
      <formula>HalfTolMin</formula>
      <formula>HalfTolMax</formula>
    </cfRule>
    <cfRule type="cellIs" dxfId="57" priority="3" stopIfTrue="1" operator="greaterThan">
      <formula>TolMax</formula>
    </cfRule>
    <cfRule type="cellIs" dxfId="56" priority="4" stopIfTrue="1" operator="lessThan">
      <formula>TolMin</formula>
    </cfRule>
    <cfRule type="cellIs" dxfId="55" priority="5" stopIfTrue="1" operator="between">
      <formula>TolMin</formula>
      <formula>TolMax</formula>
    </cfRule>
  </conditionalFormatting>
  <conditionalFormatting sqref="B14:P903">
    <cfRule type="expression" dxfId="54"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74</v>
      </c>
      <c r="P1" s="294" t="str">
        <f>IF(Main!$E$30="","A10",ADDRESS(13+(MATCH(Main!$E$30,Data_Sheet!$A$14:$A$903,0)),1,4))</f>
        <v>A10</v>
      </c>
      <c r="Q1" s="294">
        <f>VALUE(MID(P1, 2, LEN(P1)-1))</f>
        <v>10</v>
      </c>
    </row>
    <row r="2" spans="1:17" x14ac:dyDescent="0.2">
      <c r="A2" s="110"/>
      <c r="B2" s="117"/>
      <c r="C2" s="117">
        <f>NominalTemp+TolMax</f>
        <v>0</v>
      </c>
      <c r="D2" s="111"/>
      <c r="E2" s="111">
        <f>NominalTemp+TolMax/2</f>
        <v>0</v>
      </c>
      <c r="F2" s="103"/>
      <c r="I2" s="72" t="s">
        <v>223</v>
      </c>
      <c r="M2" s="621" t="s">
        <v>103</v>
      </c>
      <c r="N2" s="621"/>
      <c r="O2" s="621"/>
      <c r="P2" s="294" t="str">
        <f>IF(Main!$E$30="","A10",ADDRESS(13+Standards_Info!W2+(MATCH(Main!$E$30,Data_Sheet!$A$14:$A$903,0)),1,4))</f>
        <v>A10</v>
      </c>
      <c r="Q2" s="294">
        <f>VALUE(MID(P2, 2, LEN(P2)-1))</f>
        <v>10</v>
      </c>
    </row>
    <row r="3" spans="1:17" ht="15" x14ac:dyDescent="0.25">
      <c r="B3" s="126" t="s">
        <v>0</v>
      </c>
      <c r="C3" s="3"/>
      <c r="M3" s="609" t="s">
        <v>104</v>
      </c>
      <c r="N3" s="610"/>
      <c r="O3" s="611"/>
      <c r="P3" s="40"/>
    </row>
    <row r="4" spans="1:17" ht="15" x14ac:dyDescent="0.25">
      <c r="B4" s="113" t="s">
        <v>25</v>
      </c>
      <c r="C4" s="4"/>
      <c r="M4" s="612" t="s">
        <v>144</v>
      </c>
      <c r="N4" s="613"/>
      <c r="O4" s="614"/>
    </row>
    <row r="5" spans="1:17" x14ac:dyDescent="0.2">
      <c r="B5" s="114" t="s">
        <v>26</v>
      </c>
      <c r="C5" s="54">
        <f>Main!D3</f>
        <v>0</v>
      </c>
      <c r="D5" s="37"/>
      <c r="E5" s="37"/>
      <c r="F5" s="37"/>
      <c r="G5" s="37"/>
      <c r="H5" s="37"/>
      <c r="I5" s="52" t="s">
        <v>4</v>
      </c>
      <c r="J5" s="37" t="str">
        <f>Main!D5</f>
        <v>CHROME PLUS INT'L - WICHITA</v>
      </c>
      <c r="L5" s="37"/>
      <c r="M5" s="615" t="s">
        <v>143</v>
      </c>
      <c r="N5" s="616"/>
      <c r="O5" s="617"/>
    </row>
    <row r="6" spans="1:17" ht="13.5" thickBot="1" x14ac:dyDescent="0.25">
      <c r="B6" s="114" t="s">
        <v>3</v>
      </c>
      <c r="C6" s="55" t="str">
        <f>Main!D6</f>
        <v>DESPATCH RS4HD Temperature Uniformity Survey, 10 points</v>
      </c>
      <c r="D6" s="37"/>
      <c r="E6" s="37"/>
      <c r="F6" s="37"/>
      <c r="G6" s="37"/>
      <c r="H6" s="37"/>
      <c r="I6" s="52" t="s">
        <v>5</v>
      </c>
      <c r="J6" s="51">
        <f>Main!D16</f>
        <v>0</v>
      </c>
      <c r="L6" s="37"/>
      <c r="M6" s="618" t="str">
        <f>IF(MaxMode,"","In 1/2 Tolerance")</f>
        <v>In 1/2 Tolerance</v>
      </c>
      <c r="N6" s="619"/>
      <c r="O6" s="620"/>
    </row>
    <row r="7" spans="1:17" ht="13.5" thickBot="1" x14ac:dyDescent="0.25">
      <c r="B7" s="114" t="s">
        <v>27</v>
      </c>
      <c r="C7" s="55" t="str">
        <f>Main!D7</f>
        <v>Jeff Hall</v>
      </c>
      <c r="D7" s="37"/>
      <c r="E7" s="37"/>
      <c r="F7" s="37"/>
      <c r="G7" s="37"/>
      <c r="H7" s="37"/>
      <c r="I7" s="57" t="s">
        <v>165</v>
      </c>
      <c r="J7" s="606">
        <f>Main!$D$30</f>
        <v>0</v>
      </c>
      <c r="K7" s="607"/>
      <c r="L7" s="100"/>
      <c r="M7" s="605" t="s">
        <v>142</v>
      </c>
      <c r="N7" s="605"/>
      <c r="O7" s="605"/>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27" customFormat="1" x14ac:dyDescent="0.2">
      <c r="A12" s="426"/>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ujfK6SExqS7wbAeihrEwl7oIJ8kVX1OUpOFelUxKLEGZpEk3D3r22kpWy/ASxlHNu0Hm6PdC9qPpJ+LiZTKgXg==" saltValue="2/sJuHnPOrLalsXcqbVWKg=="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3" priority="2" stopIfTrue="1" operator="between">
      <formula>HalfTolMin</formula>
      <formula>HalfTolMax</formula>
    </cfRule>
    <cfRule type="cellIs" dxfId="52" priority="3" stopIfTrue="1" operator="greaterThan">
      <formula>TolMax</formula>
    </cfRule>
    <cfRule type="cellIs" dxfId="51" priority="4" stopIfTrue="1" operator="lessThan">
      <formula>TolMin</formula>
    </cfRule>
    <cfRule type="cellIs" dxfId="50" priority="6" stopIfTrue="1" operator="between">
      <formula>TolMin</formula>
      <formula>TolMax</formula>
    </cfRule>
  </conditionalFormatting>
  <conditionalFormatting sqref="B14:P903">
    <cfRule type="expression" dxfId="49"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3" sqref="U13"/>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2"/>
    <col min="17" max="17" width="9.140625" style="274"/>
    <col min="18" max="18" width="37.85546875" style="272" bestFit="1" customWidth="1"/>
    <col min="19" max="19" width="9.85546875" style="272" bestFit="1" customWidth="1"/>
    <col min="20" max="20" width="21.85546875" style="272" bestFit="1" customWidth="1"/>
    <col min="21" max="21" width="14.42578125" style="272" customWidth="1"/>
    <col min="22" max="22" width="16" style="272" customWidth="1"/>
    <col min="23" max="23" width="9.140625" style="272"/>
    <col min="24" max="25" width="9.140625" style="13"/>
    <col min="26" max="16384" width="9.140625" style="5"/>
  </cols>
  <sheetData>
    <row r="1" spans="1:29" x14ac:dyDescent="0.25">
      <c r="G1" s="7" t="s">
        <v>0</v>
      </c>
      <c r="H1" s="5"/>
      <c r="I1" s="6"/>
      <c r="K1" s="5"/>
      <c r="M1" s="5" t="s">
        <v>7</v>
      </c>
      <c r="O1" s="189"/>
      <c r="R1" s="272" t="e">
        <f>IF(T1=0, 0, IF(T1 &gt; SAT_Tolerance + (1-D19)*0.4, 1, ""))</f>
        <v>#VALUE!</v>
      </c>
      <c r="T1" s="272" t="e" cm="1">
        <f t="array" ref="T1">MAX(ABS(E10:E18))</f>
        <v>#VALUE!</v>
      </c>
      <c r="U1" s="272" t="e" cm="1">
        <f t="array" ref="U1">MAX(ABS(H10:H18))</f>
        <v>#VALUE!</v>
      </c>
      <c r="X1" s="189"/>
      <c r="Y1" s="189"/>
      <c r="Z1" s="191"/>
      <c r="AA1" s="191"/>
      <c r="AB1" s="191"/>
      <c r="AC1" s="191"/>
    </row>
    <row r="2" spans="1:29" ht="18.75" customHeight="1" x14ac:dyDescent="0.25">
      <c r="H2" s="8" t="s">
        <v>8</v>
      </c>
      <c r="I2" s="6"/>
      <c r="K2" s="5"/>
      <c r="M2" s="5" t="s">
        <v>21</v>
      </c>
      <c r="O2" s="189"/>
      <c r="R2" s="272" t="e">
        <f>IF(U1=0, 0, IF(U1 &gt; SAT_Tolerance + (1-D31)*0.4, 1, ""))</f>
        <v>#VALUE!</v>
      </c>
      <c r="T2" s="272" t="e" cm="1">
        <f t="array" ref="T2">MAX(ABS(K10:K18))</f>
        <v>#VALUE!</v>
      </c>
      <c r="U2" s="272" t="e" cm="1">
        <f t="array" ref="U2">MAX(ABS(N10:N18))</f>
        <v>#VALUE!</v>
      </c>
      <c r="X2" s="189"/>
      <c r="Y2" s="189"/>
      <c r="Z2" s="191"/>
      <c r="AA2" s="191"/>
      <c r="AB2" s="191"/>
      <c r="AC2" s="191"/>
    </row>
    <row r="3" spans="1:29" ht="23.25" customHeight="1" x14ac:dyDescent="0.25">
      <c r="D3" s="30" t="s">
        <v>26</v>
      </c>
      <c r="E3" s="36">
        <f>Main!D3</f>
        <v>0</v>
      </c>
      <c r="G3" s="9"/>
      <c r="H3" s="5"/>
      <c r="J3" s="30" t="s">
        <v>41</v>
      </c>
      <c r="K3" s="10" t="str">
        <f>Main!D5</f>
        <v>CHROME PLUS INT'L - WICHITA</v>
      </c>
      <c r="L3" s="6"/>
      <c r="O3" s="189"/>
      <c r="R3" s="272" t="e">
        <f>IF(T2=0, 0, IF(T2 &gt; SAT_Tolerance + (1-G19)*0.4, 1, ""))</f>
        <v>#VALUE!</v>
      </c>
      <c r="T3" s="272" t="e" cm="1">
        <f t="array" ref="T3">MAX(ABS(E22:E30))</f>
        <v>#VALUE!</v>
      </c>
      <c r="U3" s="272" t="e" cm="1">
        <f t="array" ref="U3">MAX(ABS(H22:H30))</f>
        <v>#VALUE!</v>
      </c>
      <c r="X3" s="189"/>
      <c r="Y3" s="189"/>
      <c r="Z3" s="191"/>
      <c r="AA3" s="191"/>
      <c r="AB3" s="191"/>
      <c r="AC3" s="191"/>
    </row>
    <row r="4" spans="1:29" x14ac:dyDescent="0.25">
      <c r="D4" s="31" t="s">
        <v>40</v>
      </c>
      <c r="E4" s="7" t="str">
        <f>Main!D6</f>
        <v>DESPATCH RS4HD Temperature Uniformity Survey, 10 points</v>
      </c>
      <c r="H4" s="5"/>
      <c r="J4" s="31" t="s">
        <v>42</v>
      </c>
      <c r="K4" s="11">
        <f>Main!D16</f>
        <v>0</v>
      </c>
      <c r="L4" s="6"/>
      <c r="O4" s="189"/>
      <c r="R4" s="272" t="e">
        <f>IF(U2=0, 0, IF(U2 &gt; SAT_Tolerance + (1-G31)*0.4, 1, ""))</f>
        <v>#VALUE!</v>
      </c>
      <c r="T4" s="272" t="e" cm="1">
        <f t="array" ref="T4">MAX(ABS(K22:K30))</f>
        <v>#VALUE!</v>
      </c>
      <c r="U4" s="272" t="e" cm="1">
        <f t="array" ref="U4">MAX(ABS(N22:N30))</f>
        <v>#VALUE!</v>
      </c>
      <c r="X4" s="189"/>
      <c r="Y4" s="189"/>
      <c r="Z4" s="191"/>
      <c r="AA4" s="191"/>
      <c r="AB4" s="191"/>
      <c r="AC4" s="191"/>
    </row>
    <row r="5" spans="1:29" x14ac:dyDescent="0.25">
      <c r="D5" s="31" t="s">
        <v>27</v>
      </c>
      <c r="E5" s="5" t="str">
        <f>Main!D7</f>
        <v>Jeff Hall</v>
      </c>
      <c r="H5" s="5"/>
      <c r="J5" s="32" t="s">
        <v>9</v>
      </c>
      <c r="K5" s="41">
        <f>Main!D18</f>
        <v>0</v>
      </c>
      <c r="O5" s="189"/>
      <c r="R5" s="272" t="e">
        <f>IF(T3=0, 0, IF(T3 &gt; SAT_Tolerance + (1-J19)*0.4, 1, ""))</f>
        <v>#VALUE!</v>
      </c>
      <c r="T5" s="274"/>
      <c r="X5" s="189"/>
      <c r="Y5" s="189"/>
      <c r="Z5" s="191"/>
      <c r="AA5" s="191"/>
      <c r="AB5" s="191"/>
      <c r="AC5" s="191"/>
    </row>
    <row r="6" spans="1:29" ht="15.75" customHeight="1" x14ac:dyDescent="0.25">
      <c r="D6" s="31" t="s">
        <v>10</v>
      </c>
      <c r="E6" s="246">
        <f>IF(ISBLANK(SAT_Tolerance),"",SAT_Tolerance)</f>
        <v>0</v>
      </c>
      <c r="G6" s="12" t="e">
        <f>IF(OR(R1:R8),"CHECK READINGS!!!","")</f>
        <v>#VALUE!</v>
      </c>
      <c r="J6" s="13"/>
      <c r="L6" s="6"/>
      <c r="O6" s="189"/>
      <c r="R6" s="272" t="e">
        <f>IF(U3=0, 0, IF(U3 &gt; SAT_Tolerance + (1-J31)*0.4, 1, ""))</f>
        <v>#VALUE!</v>
      </c>
      <c r="T6" s="274"/>
      <c r="X6" s="189"/>
      <c r="Y6" s="189"/>
      <c r="Z6" s="191"/>
      <c r="AA6" s="191"/>
      <c r="AB6" s="191"/>
      <c r="AC6" s="191"/>
    </row>
    <row r="7" spans="1:29" x14ac:dyDescent="0.25">
      <c r="E7" s="5"/>
      <c r="F7" s="29" t="s">
        <v>11</v>
      </c>
      <c r="O7" s="189"/>
      <c r="R7" s="272" t="e">
        <f>IF(T4=0, 0, IF(T4 &gt; SAT_Tolerance + (1-M19)*0.4, 1, ""))</f>
        <v>#VALUE!</v>
      </c>
      <c r="T7" s="274"/>
      <c r="X7" s="189"/>
      <c r="Y7" s="189"/>
      <c r="Z7" s="191"/>
      <c r="AA7" s="191"/>
      <c r="AB7" s="191"/>
      <c r="AC7" s="191"/>
    </row>
    <row r="8" spans="1:29" x14ac:dyDescent="0.25">
      <c r="A8" s="14" t="s">
        <v>51</v>
      </c>
      <c r="C8" s="15" t="s">
        <v>12</v>
      </c>
      <c r="D8" s="15" t="s">
        <v>13</v>
      </c>
      <c r="F8" s="15" t="s">
        <v>12</v>
      </c>
      <c r="G8" s="15" t="s">
        <v>13</v>
      </c>
      <c r="H8" s="15"/>
      <c r="I8" s="15" t="s">
        <v>12</v>
      </c>
      <c r="J8" s="15" t="s">
        <v>13</v>
      </c>
      <c r="K8" s="15"/>
      <c r="L8" s="15" t="s">
        <v>12</v>
      </c>
      <c r="M8" s="15" t="s">
        <v>13</v>
      </c>
      <c r="O8" s="189"/>
      <c r="R8" s="272" t="e">
        <f>IF(U4=0, 0, IF(U4 &gt; SAT_Tolerance + (1-M31)*0.4, 1, ""))</f>
        <v>#VALUE!</v>
      </c>
      <c r="T8" s="274"/>
      <c r="X8" s="189"/>
      <c r="Y8" s="189"/>
      <c r="Z8" s="191"/>
      <c r="AA8" s="191"/>
      <c r="AB8" s="191"/>
      <c r="AC8" s="191"/>
    </row>
    <row r="9" spans="1:29" ht="15.75" thickBot="1" x14ac:dyDescent="0.3">
      <c r="A9" s="482" t="s">
        <v>14</v>
      </c>
      <c r="B9" s="16"/>
      <c r="C9" s="483" t="str" cm="1">
        <f t="array" ref="C9">IFERROR(_xlfn._TRO_TRAILING(Main!$B37:$C37),"")</f>
        <v/>
      </c>
      <c r="D9" s="17"/>
      <c r="E9" s="17" t="s">
        <v>15</v>
      </c>
      <c r="F9" s="483" t="str" cm="1">
        <f t="array" ref="F9">IFERROR(_xlfn._TRO_TRAILING(Main!B38:C38),"")</f>
        <v/>
      </c>
      <c r="G9" s="17"/>
      <c r="H9" s="17" t="s">
        <v>15</v>
      </c>
      <c r="I9" s="483" t="str" cm="1">
        <f t="array" ref="I9">IFERROR(_xlfn._TRO_TRAILING(Main!$B39:$C39),"")</f>
        <v/>
      </c>
      <c r="J9" s="17"/>
      <c r="K9" s="17" t="s">
        <v>15</v>
      </c>
      <c r="L9" s="483" t="str" cm="1">
        <f t="array" ref="L9">IFERROR(_xlfn._TRO_TRAILING(Main!$B40:$C40),"")</f>
        <v/>
      </c>
      <c r="M9" s="17"/>
      <c r="N9" s="17" t="s">
        <v>15</v>
      </c>
      <c r="O9" s="189"/>
      <c r="T9" s="274"/>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(MOD(Survey[Time],1)=MOD(IF(ISNUMBER(_xlpm.t),_xlpm.t,TIMEVALUE(_xlpm.t)),1)) *
        (--Survey[TestPoint]=--C9),
        Survey[RawTemp],
        "",
        0
      )
    )
  )
)</f>
        <v/>
      </c>
      <c r="D10" s="19" t="str" cm="1">
        <f t="array" ref="D10">TRANSPOSE(IFERROR(_xlfn._TRO_TRAILING(Main!$D37:$L37),""))</f>
        <v/>
      </c>
      <c r="E10" s="27" t="str">
        <f>IF(C10="","",D10-C10)</f>
        <v/>
      </c>
      <c r="F10" s="19" t="str" cm="1">
        <f t="array" ref="F10:F18">_xlfn.MAP(_xlfn.ANCHORARRAY($A10),
  _xlfn.LAMBDA(_xlpm.t,
    IF(OR(F9="",_xlpm.t=""),"",
      _xlfn.XLOOKUP(
        1,
        (MOD(Survey[Time],1)=MOD(IF(ISNUMBER(_xlpm.t),_xlpm.t,TIMEVALUE(_xlpm.t)),1))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(MOD(Survey[Time],1)=MOD(IF(ISNUMBER(_xlpm.t),_xlpm.t,TIMEVALUE(_xlpm.t)),1))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(MOD(Survey[Time],1)=MOD(IF(ISNUMBER(_xlpm.t),_xlpm.t,TIMEVALUE(_xlpm.t)),1)) *
        (--Survey[TestPoint]=--L9),
        Survey[RawTemp],
        "",
        0
      )
    )
  )
)</f>
        <v/>
      </c>
      <c r="M10" s="38" t="str" cm="1">
        <f t="array" ref="M10">TRANSPOSE(IFERROR(_xlfn._TRO_TRAILING(Main!$D40:$L40),""))</f>
        <v/>
      </c>
      <c r="N10" s="27" t="str">
        <f t="shared" ref="N10:N17" si="2">IF(L10="","",M10-L10)</f>
        <v/>
      </c>
      <c r="O10" s="189" t="e">
        <f>IF(R1,D9 &amp; " IS OOT!!!","")</f>
        <v>#VALUE!</v>
      </c>
      <c r="Q10" s="481"/>
      <c r="R10" s="273"/>
      <c r="T10" s="274"/>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e">
        <f>IF(R2, G9 &amp; " IS OOT!!!","")</f>
        <v>#VALUE!</v>
      </c>
      <c r="Q11" s="481"/>
      <c r="R11" s="274"/>
      <c r="S11" s="273"/>
      <c r="T11" s="275" t="s">
        <v>391</v>
      </c>
      <c r="U11" s="278" t="s">
        <v>392</v>
      </c>
      <c r="V11" s="278" t="s">
        <v>393</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e">
        <f>IF(R3, J9 &amp; " IS OOT!!!","")</f>
        <v>#VALUE!</v>
      </c>
      <c r="Q12" s="481"/>
      <c r="S12" s="272" t="str" cm="1">
        <f t="array" ref="S12">_xlfn.XLOOKUP(TRIM(LEFT(K5,2)),Table7[#Headers],Table7[],"")</f>
        <v/>
      </c>
      <c r="U12" s="278">
        <v>2</v>
      </c>
      <c r="V12" s="278">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e">
        <f>IF(R4, M9 &amp;" IS OOT!!!","")</f>
        <v>#VALUE!</v>
      </c>
      <c r="U13" s="278">
        <v>4</v>
      </c>
      <c r="V13" s="278">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8">
        <v>6</v>
      </c>
      <c r="V14" s="278">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8">
        <v>8</v>
      </c>
      <c r="V15" s="278">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8">
        <v>10</v>
      </c>
      <c r="V16" s="278">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8">
        <v>12</v>
      </c>
      <c r="V17" s="278"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8">
        <v>14</v>
      </c>
      <c r="V18" s="278" t="s">
        <v>22</v>
      </c>
    </row>
    <row r="19" spans="1:22" x14ac:dyDescent="0.25">
      <c r="A19" s="14"/>
      <c r="B19" s="14"/>
      <c r="C19" s="14"/>
      <c r="D19" s="446" t="str">
        <f>Main!A37</f>
        <v/>
      </c>
      <c r="E19" s="12" t="str" cm="1">
        <f t="array" ref="E19">IF(OR(P16:P23=1),"CHECK READINGS!!!","")</f>
        <v/>
      </c>
      <c r="F19" s="14"/>
      <c r="G19" s="447" t="str">
        <f>Main!A38</f>
        <v/>
      </c>
      <c r="H19" s="12" t="str" cm="1">
        <f t="array" ref="H19">IF(OR(S16:S23=1),"CHECK READINGS!!!","")</f>
        <v/>
      </c>
      <c r="I19" s="14"/>
      <c r="J19" s="447" t="str">
        <f>Main!A39</f>
        <v/>
      </c>
      <c r="K19" s="14" t="str">
        <f>IF(ISNUMBER(SEARCH(".",K10)),".","")</f>
        <v/>
      </c>
      <c r="L19" s="14"/>
      <c r="M19" s="447" t="str">
        <f>Main!A40</f>
        <v/>
      </c>
      <c r="N19" s="14" t="str">
        <f>IF(ISNUMBER(SEARCH(".",N10)),".","")</f>
        <v/>
      </c>
      <c r="O19" s="26"/>
      <c r="U19" s="278">
        <v>16</v>
      </c>
      <c r="V19" s="278" t="s">
        <v>22</v>
      </c>
    </row>
    <row r="20" spans="1:22" x14ac:dyDescent="0.25">
      <c r="C20" s="15" t="s">
        <v>12</v>
      </c>
      <c r="D20" s="15" t="s">
        <v>13</v>
      </c>
      <c r="E20" s="15"/>
      <c r="F20" s="15" t="s">
        <v>12</v>
      </c>
      <c r="G20" s="15" t="s">
        <v>13</v>
      </c>
      <c r="H20" s="15"/>
      <c r="I20" s="15" t="s">
        <v>12</v>
      </c>
      <c r="J20" s="15" t="s">
        <v>13</v>
      </c>
      <c r="K20" s="15"/>
      <c r="L20" s="15" t="s">
        <v>12</v>
      </c>
      <c r="M20" s="15" t="s">
        <v>13</v>
      </c>
      <c r="O20" s="26"/>
      <c r="U20" s="278">
        <v>17</v>
      </c>
      <c r="V20" s="278" t="s">
        <v>22</v>
      </c>
    </row>
    <row r="21" spans="1:22" ht="15.75" thickBot="1" x14ac:dyDescent="0.3">
      <c r="A21" s="482" t="s">
        <v>14</v>
      </c>
      <c r="B21" s="16"/>
      <c r="C21" s="483" t="str" cm="1">
        <f t="array" ref="C21">IFERROR(_xlfn._TRO_TRAILING(Main!$B41:$C41),"")</f>
        <v/>
      </c>
      <c r="D21" s="17"/>
      <c r="E21" s="17" t="s">
        <v>15</v>
      </c>
      <c r="F21" s="483" t="str" cm="1">
        <f t="array" ref="F21">IFERROR(_xlfn._TRO_TRAILING(Main!$B42:$C42),"")</f>
        <v/>
      </c>
      <c r="G21" s="17"/>
      <c r="H21" s="17" t="s">
        <v>15</v>
      </c>
      <c r="I21" s="483" t="str" cm="1">
        <f t="array" ref="I21">IFERROR(_xlfn._TRO_TRAILING(Main!$B43:$C43),"")</f>
        <v/>
      </c>
      <c r="J21" s="17"/>
      <c r="K21" s="17" t="s">
        <v>15</v>
      </c>
      <c r="L21" s="483" t="str" cm="1">
        <f t="array" ref="L21">IFERROR(_xlfn._TRO_TRAILING(Main!$B44:$C44),"")</f>
        <v/>
      </c>
      <c r="M21" s="17"/>
      <c r="N21" s="17" t="s">
        <v>15</v>
      </c>
      <c r="U21" s="278">
        <v>21</v>
      </c>
      <c r="V21" s="278" t="s">
        <v>22</v>
      </c>
    </row>
    <row r="22" spans="1:22" x14ac:dyDescent="0.25">
      <c r="A22" s="44" t="str" cm="1">
        <f t="array" ref="A22:A30">TRANSPOSE(Main!D36:L36)</f>
        <v/>
      </c>
      <c r="B22" s="18"/>
      <c r="C22" s="19" t="str" cm="1">
        <f t="array" ref="C22:C30">_xlfn.MAP(_xlfn.ANCHORARRAY($A22),
  _xlfn.LAMBDA(_xlpm.t,
    IF(OR(C21="",_xlpm.t=""),"",
      _xlfn.XLOOKUP(
        1,
        (MOD(Survey[Time],1)=MOD(IF(ISNUMBER(_xlpm.t),_xlpm.t,TIMEVALUE(_xlpm.t)),1)) *
        (--Survey[TestPoint]=--C21),
        Survey[RawTemp],
        "",
        0
      )
    )
  )
)</f>
        <v/>
      </c>
      <c r="D22" s="38" t="str" cm="1">
        <f t="array" ref="D22">TRANSPOSE(IFERROR(_xlfn._TRO_TRAILING(Main!$D41:$L41),""))</f>
        <v/>
      </c>
      <c r="E22" s="27" t="str">
        <f t="shared" si="3"/>
        <v/>
      </c>
      <c r="F22" s="19" t="str" cm="1">
        <f t="array" ref="F22:F30">_xlfn.MAP(_xlfn.ANCHORARRAY($A22),
  _xlfn.LAMBDA(_xlpm.t,
    IF(OR(F21="",_xlpm.t=""),"",
      _xlfn.XLOOKUP(
        1,
        (MOD(Survey[Time],1)=MOD(IF(ISNUMBER(_xlpm.t),_xlpm.t,TIMEVALUE(_xlpm.t)),1))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(MOD(Survey[Time],1)=MOD(IF(ISNUMBER(_xlpm.t),_xlpm.t,TIMEVALUE(_xlpm.t)),1))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(MOD(Survey[Time],1)=MOD(IF(ISNUMBER(_xlpm.t),_xlpm.t,TIMEVALUE(_xlpm.t)),1)) *
        (--Survey[TestPoint]=--L21),
        Survey[RawTemp],
        "",
        0
      )
    )
  )
)</f>
        <v/>
      </c>
      <c r="M22" s="38" t="str" cm="1">
        <f t="array" ref="M22">TRANSPOSE(IFERROR(_xlfn._TRO_TRAILING(Main!$D44:$L44),""))</f>
        <v/>
      </c>
      <c r="N22" s="27" t="str">
        <f t="shared" ref="N22:N29" si="9">IF(L22="","",M22-L22)</f>
        <v/>
      </c>
      <c r="O22" s="25" t="e">
        <f>IF(R5, D21 &amp;" IS OOT!!!","")</f>
        <v>#VALUE!</v>
      </c>
      <c r="U22" s="278" t="s">
        <v>22</v>
      </c>
      <c r="V22" s="278"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e">
        <f>IF(R6, G21 &amp;" IS OOT!!!","")</f>
        <v>#VALUE!</v>
      </c>
      <c r="U23" s="278" t="s">
        <v>22</v>
      </c>
      <c r="V23" s="278"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e">
        <f>IF(R7, J21 &amp; " IS OOT!!!","")</f>
        <v>#VALUE!</v>
      </c>
      <c r="S24" s="276"/>
      <c r="U24" s="278" t="s">
        <v>22</v>
      </c>
      <c r="V24" s="278"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e">
        <f>IF(R8, M21 &amp; " IS OOT!!!","")</f>
        <v>#VALUE!</v>
      </c>
      <c r="U25" s="278" t="s">
        <v>22</v>
      </c>
      <c r="V25" s="278"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48" t="str">
        <f>Main!A41</f>
        <v/>
      </c>
      <c r="E31" s="21"/>
      <c r="F31" s="20"/>
      <c r="G31" s="448" t="str">
        <f>Main!A42</f>
        <v/>
      </c>
      <c r="H31" s="21"/>
      <c r="I31" s="20"/>
      <c r="J31" s="448" t="str">
        <f>Main!A43</f>
        <v/>
      </c>
      <c r="K31" s="21"/>
      <c r="L31" s="20"/>
      <c r="M31" s="448" t="str">
        <f>Main!A44</f>
        <v/>
      </c>
      <c r="N31" s="21"/>
    </row>
    <row r="32" spans="1:22" x14ac:dyDescent="0.25">
      <c r="C32" s="22" t="s">
        <v>16</v>
      </c>
      <c r="D32" s="625" t="s">
        <v>17</v>
      </c>
      <c r="E32" s="625"/>
      <c r="F32" s="625"/>
      <c r="G32" s="625"/>
      <c r="H32" s="625"/>
      <c r="I32" s="625"/>
      <c r="J32" s="625"/>
      <c r="K32" s="625"/>
      <c r="L32" s="625"/>
      <c r="M32" s="625"/>
    </row>
    <row r="33" spans="1:14" ht="15" customHeight="1" x14ac:dyDescent="0.25">
      <c r="D33" s="626"/>
      <c r="E33" s="626"/>
      <c r="F33" s="626"/>
      <c r="G33" s="626"/>
      <c r="H33" s="626"/>
      <c r="I33" s="626"/>
      <c r="J33" s="626"/>
      <c r="K33" s="626"/>
      <c r="L33" s="626"/>
      <c r="M33" s="626"/>
      <c r="N33" s="23"/>
    </row>
    <row r="34" spans="1:14" x14ac:dyDescent="0.25">
      <c r="A34" s="18"/>
      <c r="B34" s="18"/>
      <c r="D34" s="626"/>
      <c r="E34" s="626"/>
      <c r="F34" s="626"/>
      <c r="G34" s="626"/>
      <c r="H34" s="626"/>
      <c r="I34" s="626"/>
      <c r="J34" s="626"/>
      <c r="K34" s="626"/>
      <c r="L34" s="626"/>
      <c r="M34" s="626"/>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27" t="s">
        <v>20</v>
      </c>
      <c r="D37" s="627"/>
      <c r="E37" s="627"/>
      <c r="F37" s="627"/>
      <c r="G37" s="627"/>
      <c r="H37" s="627"/>
      <c r="I37" s="627"/>
      <c r="J37" s="627"/>
      <c r="K37" s="627"/>
      <c r="L37" s="627"/>
      <c r="M37" s="627"/>
    </row>
    <row r="38" spans="1:14" x14ac:dyDescent="0.25">
      <c r="A38" s="18"/>
      <c r="B38" s="18"/>
      <c r="C38" s="627"/>
      <c r="D38" s="627"/>
      <c r="E38" s="627"/>
      <c r="F38" s="627"/>
      <c r="G38" s="627"/>
      <c r="H38" s="627"/>
      <c r="I38" s="627"/>
      <c r="J38" s="627"/>
      <c r="K38" s="627"/>
      <c r="L38" s="627"/>
      <c r="M38" s="627"/>
    </row>
    <row r="39" spans="1:14" x14ac:dyDescent="0.25">
      <c r="A39" s="18"/>
      <c r="B39" s="18"/>
      <c r="C39" s="627"/>
      <c r="D39" s="627"/>
      <c r="E39" s="627"/>
      <c r="F39" s="627"/>
      <c r="G39" s="627"/>
      <c r="H39" s="627"/>
      <c r="I39" s="627"/>
      <c r="J39" s="627"/>
      <c r="K39" s="627"/>
      <c r="L39" s="627"/>
      <c r="M39" s="627"/>
    </row>
    <row r="40" spans="1:14" x14ac:dyDescent="0.25">
      <c r="A40" s="18"/>
      <c r="B40" s="18"/>
      <c r="C40" s="627"/>
      <c r="D40" s="627"/>
      <c r="E40" s="627"/>
      <c r="F40" s="627"/>
      <c r="G40" s="627"/>
      <c r="H40" s="627"/>
      <c r="I40" s="627"/>
      <c r="J40" s="627"/>
      <c r="K40" s="627"/>
      <c r="L40" s="627"/>
      <c r="M40" s="627"/>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5RN3Anqzc1T4BNglO6HRRgWUCb1dp1Qo/8xZEw6/Jt419wwdugqBD+163pfaQMao+G8dnymK2iF2RSvG3pbv3w==" saltValue="3wIZawH5zxAuUeH2tGE5AA==" spinCount="100000" sheet="1" objects="1" scenarios="1" selectLockedCells="1" autoFilter="0"/>
  <mergeCells count="2">
    <mergeCell ref="D32:M34"/>
    <mergeCell ref="C37:M40"/>
  </mergeCells>
  <phoneticPr fontId="20" type="noConversion"/>
  <conditionalFormatting sqref="C45">
    <cfRule type="expression" dxfId="48" priority="65">
      <formula>ISNUMBER(SEARCH(".",C45))</formula>
    </cfRule>
    <cfRule type="expression" dxfId="47" priority="66">
      <formula>ISERROR(SEARCH(".",C45))</formula>
    </cfRule>
  </conditionalFormatting>
  <conditionalFormatting sqref="D14:D18">
    <cfRule type="expression" dxfId="46" priority="63">
      <formula>ISERROR(SEARCH(1,$D$19))</formula>
    </cfRule>
    <cfRule type="expression" dxfId="45" priority="64">
      <formula>ISNUMBER(SEARCH(1,$D$19))</formula>
    </cfRule>
  </conditionalFormatting>
  <conditionalFormatting sqref="G14:G17">
    <cfRule type="expression" dxfId="44" priority="61">
      <formula>ISERROR(SEARCH(1,$G$19))</formula>
    </cfRule>
    <cfRule type="expression" dxfId="43" priority="62">
      <formula>ISNUMBER(SEARCH(1,$G$19))</formula>
    </cfRule>
  </conditionalFormatting>
  <conditionalFormatting sqref="J14:J17">
    <cfRule type="expression" dxfId="42" priority="57">
      <formula>ISERROR(SEARCH(1,$J$19))</formula>
    </cfRule>
    <cfRule type="expression" dxfId="41" priority="58">
      <formula>ISNUMBER(SEARCH(1,$J$19))</formula>
    </cfRule>
  </conditionalFormatting>
  <conditionalFormatting sqref="M14:M17">
    <cfRule type="expression" dxfId="40" priority="53">
      <formula>ISERROR(SEARCH(1,$M$19))</formula>
    </cfRule>
    <cfRule type="expression" dxfId="39" priority="54">
      <formula>ISNUMBER(SEARCH(1,$M$19))</formula>
    </cfRule>
  </conditionalFormatting>
  <conditionalFormatting sqref="G26:G29">
    <cfRule type="expression" dxfId="38" priority="45">
      <formula>ISERROR(SEARCH(1,$G$31))</formula>
    </cfRule>
    <cfRule type="expression" dxfId="37" priority="46">
      <formula>ISNUMBER(SEARCH(1,$G$31))</formula>
    </cfRule>
  </conditionalFormatting>
  <conditionalFormatting sqref="J26:J29">
    <cfRule type="expression" dxfId="36" priority="41">
      <formula>ISERROR(SEARCH(1,$J$31))</formula>
    </cfRule>
    <cfRule type="expression" dxfId="35" priority="42">
      <formula>ISNUMBER(SEARCH(1,$J$31))</formula>
    </cfRule>
  </conditionalFormatting>
  <conditionalFormatting sqref="M26:M29">
    <cfRule type="expression" dxfId="34" priority="37">
      <formula>ISERROR(SEARCH(1,$M$31))</formula>
    </cfRule>
    <cfRule type="expression" dxfId="33" priority="38">
      <formula>ISNUMBER(SEARCH(1,$M$31))</formula>
    </cfRule>
  </conditionalFormatting>
  <conditionalFormatting sqref="D26:D30">
    <cfRule type="expression" dxfId="32" priority="33">
      <formula>ISERROR(SEARCH(1,$D$19))</formula>
    </cfRule>
    <cfRule type="expression" dxfId="31" priority="34">
      <formula>ISNUMBER(SEARCH(1,$D$19))</formula>
    </cfRule>
  </conditionalFormatting>
  <conditionalFormatting sqref="D11:D13">
    <cfRule type="expression" dxfId="30" priority="31">
      <formula>ISERROR(SEARCH(1,$G$19))</formula>
    </cfRule>
    <cfRule type="expression" dxfId="29" priority="32">
      <formula>ISNUMBER(SEARCH(1,$G$19))</formula>
    </cfRule>
  </conditionalFormatting>
  <conditionalFormatting sqref="G11:G13">
    <cfRule type="expression" dxfId="28" priority="27">
      <formula>ISERROR(SEARCH(1,$G$19))</formula>
    </cfRule>
    <cfRule type="expression" dxfId="27" priority="28">
      <formula>ISNUMBER(SEARCH(1,$G$19))</formula>
    </cfRule>
  </conditionalFormatting>
  <conditionalFormatting sqref="G10">
    <cfRule type="expression" dxfId="26" priority="25">
      <formula>ISERROR(SEARCH(1,$G$19))</formula>
    </cfRule>
    <cfRule type="expression" dxfId="25" priority="26">
      <formula>ISNUMBER(SEARCH(1,$G$19))</formula>
    </cfRule>
  </conditionalFormatting>
  <conditionalFormatting sqref="J11:J13">
    <cfRule type="expression" dxfId="24" priority="23">
      <formula>ISERROR(SEARCH(1,$G$19))</formula>
    </cfRule>
    <cfRule type="expression" dxfId="23" priority="24">
      <formula>ISNUMBER(SEARCH(1,$G$19))</formula>
    </cfRule>
  </conditionalFormatting>
  <conditionalFormatting sqref="J10">
    <cfRule type="expression" dxfId="22" priority="21">
      <formula>ISERROR(SEARCH(1,$G$19))</formula>
    </cfRule>
    <cfRule type="expression" dxfId="21" priority="22">
      <formula>ISNUMBER(SEARCH(1,$G$19))</formula>
    </cfRule>
  </conditionalFormatting>
  <conditionalFormatting sqref="M11:M13">
    <cfRule type="expression" dxfId="20" priority="19">
      <formula>ISERROR(SEARCH(1,$G$19))</formula>
    </cfRule>
    <cfRule type="expression" dxfId="19" priority="20">
      <formula>ISNUMBER(SEARCH(1,$G$19))</formula>
    </cfRule>
  </conditionalFormatting>
  <conditionalFormatting sqref="M10">
    <cfRule type="expression" dxfId="18" priority="17">
      <formula>ISERROR(SEARCH(1,$G$19))</formula>
    </cfRule>
    <cfRule type="expression" dxfId="17" priority="18">
      <formula>ISNUMBER(SEARCH(1,$G$19))</formula>
    </cfRule>
  </conditionalFormatting>
  <conditionalFormatting sqref="D23:D25">
    <cfRule type="expression" dxfId="16" priority="15">
      <formula>ISERROR(SEARCH(1,$G$19))</formula>
    </cfRule>
    <cfRule type="expression" dxfId="15" priority="16">
      <formula>ISNUMBER(SEARCH(1,$G$19))</formula>
    </cfRule>
  </conditionalFormatting>
  <conditionalFormatting sqref="D22">
    <cfRule type="expression" dxfId="14" priority="13">
      <formula>ISERROR(SEARCH(1,$G$19))</formula>
    </cfRule>
    <cfRule type="expression" dxfId="13" priority="14">
      <formula>ISNUMBER(SEARCH(1,$G$19))</formula>
    </cfRule>
  </conditionalFormatting>
  <conditionalFormatting sqref="G23:G25">
    <cfRule type="expression" dxfId="12" priority="11">
      <formula>ISERROR(SEARCH(1,$G$19))</formula>
    </cfRule>
    <cfRule type="expression" dxfId="11" priority="12">
      <formula>ISNUMBER(SEARCH(1,$G$19))</formula>
    </cfRule>
  </conditionalFormatting>
  <conditionalFormatting sqref="G22">
    <cfRule type="expression" dxfId="10" priority="9">
      <formula>ISERROR(SEARCH(1,$G$19))</formula>
    </cfRule>
    <cfRule type="expression" dxfId="9" priority="10">
      <formula>ISNUMBER(SEARCH(1,$G$19))</formula>
    </cfRule>
  </conditionalFormatting>
  <conditionalFormatting sqref="J23:J25">
    <cfRule type="expression" dxfId="8" priority="7">
      <formula>ISERROR(SEARCH(1,$G$19))</formula>
    </cfRule>
    <cfRule type="expression" dxfId="7" priority="8">
      <formula>ISNUMBER(SEARCH(1,$G$19))</formula>
    </cfRule>
  </conditionalFormatting>
  <conditionalFormatting sqref="J22">
    <cfRule type="expression" dxfId="6" priority="5">
      <formula>ISERROR(SEARCH(1,$G$19))</formula>
    </cfRule>
    <cfRule type="expression" dxfId="5" priority="6">
      <formula>ISNUMBER(SEARCH(1,$G$19))</formula>
    </cfRule>
  </conditionalFormatting>
  <conditionalFormatting sqref="M23:M25">
    <cfRule type="expression" dxfId="4" priority="3">
      <formula>ISERROR(SEARCH(1,$G$19))</formula>
    </cfRule>
    <cfRule type="expression" dxfId="3" priority="4">
      <formula>ISNUMBER(SEARCH(1,$G$19))</formula>
    </cfRule>
  </conditionalFormatting>
  <conditionalFormatting sqref="M22">
    <cfRule type="expression" dxfId="2" priority="1">
      <formula>ISERROR(SEARCH(1,$G$19))</formula>
    </cfRule>
    <cfRule type="expression" dxfId="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topLeftCell="A12" zoomScaleNormal="100" workbookViewId="0">
      <selection activeCell="I32" sqref="I32"/>
    </sheetView>
  </sheetViews>
  <sheetFormatPr defaultRowHeight="12.75" x14ac:dyDescent="0.2"/>
  <cols>
    <col min="1" max="16" width="12.85546875" customWidth="1"/>
    <col min="17" max="17" width="13" customWidth="1"/>
  </cols>
  <sheetData>
    <row r="1" spans="1:16" ht="18" x14ac:dyDescent="0.25">
      <c r="F1" s="33" t="s">
        <v>858</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CHROME PLUS INT'L - WICHITA</v>
      </c>
      <c r="K5" s="37"/>
      <c r="L5" s="37"/>
      <c r="M5" s="37"/>
      <c r="N5" s="37"/>
      <c r="O5" s="37"/>
      <c r="P5" s="37"/>
    </row>
    <row r="6" spans="1:16" x14ac:dyDescent="0.2">
      <c r="A6" s="52" t="s">
        <v>3</v>
      </c>
      <c r="B6" s="55" t="str">
        <f>IF(Main!D6=0,"",Main!D6)</f>
        <v>DESPATCH RS4HD Temperature Uniformity Survey, 10 points</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f>IFERROR(HLOOKUP(C10+PT_index_offset,_xlfn.ANCHORARRAY('CorrectionFactors'!$I$2),4,0),"")</f>
        <v/>
      </c>
      <c r="D11" s="112" t="str">
        <f>IFERROR(HLOOKUP(D10+PT_index_offset,_xlfn.ANCHORARRAY('CorrectionFactors'!$I$2),4,0),"")</f>
        <v/>
      </c>
      <c r="E11" s="112" t="str">
        <f>IFERROR(HLOOKUP(E10+PT_index_offset,_xlfn.ANCHORARRAY('CorrectionFactors'!$I$2),4,0),"")</f>
        <v/>
      </c>
      <c r="F11" s="112" t="str">
        <f>IFERROR(HLOOKUP(F10+PT_index_offset,_xlfn.ANCHORARRAY('CorrectionFactors'!$I$2),4,0),"")</f>
        <v/>
      </c>
      <c r="G11" s="112" t="str">
        <f>IFERROR(HLOOKUP(G10+PT_index_offset,_xlfn.ANCHORARRAY('CorrectionFactors'!$I$2),4,0),"")</f>
        <v/>
      </c>
      <c r="H11" s="112" t="str">
        <f>IFERROR(HLOOKUP(H10+PT_index_offset,_xlfn.ANCHORARRAY('CorrectionFactors'!$I$2),4,0),"")</f>
        <v/>
      </c>
      <c r="I11" s="112" t="str">
        <f>IFERROR(HLOOKUP(I10+PT_index_offset,_xlfn.ANCHORARRAY('CorrectionFactors'!$I$2),4,0),"")</f>
        <v/>
      </c>
      <c r="J11" s="112" t="str">
        <f>IFERROR(HLOOKUP(J10+PT_index_offset,_xlfn.ANCHORARRAY('CorrectionFactors'!$I$2),4,0),"")</f>
        <v/>
      </c>
      <c r="K11" s="112" t="str">
        <f>IFERROR(HLOOKUP(K10+PT_index_offset,_xlfn.ANCHORARRAY('CorrectionFactors'!$I$2),4,0),"")</f>
        <v/>
      </c>
      <c r="L11" s="112" t="str">
        <f>IFERROR(HLOOKUP(L10+PT_index_offset,_xlfn.ANCHORARRAY('CorrectionFactors'!$I$2),4,0),"")</f>
        <v/>
      </c>
      <c r="M11" s="112" t="str">
        <f>IFERROR(HLOOKUP(M10+PT_index_offset,_xlfn.ANCHORARRAY('CorrectionFactors'!$I$2),4,0),"")</f>
        <v/>
      </c>
      <c r="N11" s="112" t="str">
        <f>IFERROR(HLOOKUP(N10+PT_index_offset,_xlfn.ANCHORARRAY('CorrectionFactors'!$I$2),4,0),"")</f>
        <v/>
      </c>
      <c r="O11" s="112" t="str">
        <f>IFERROR(HLOOKUP(O10+PT_index_offset,_xlfn.ANCHORARRAY('CorrectionFactors'!$I$2),4,0),"")</f>
        <v/>
      </c>
      <c r="P11" s="112" t="str">
        <f>IFERROR(HLOOKUP(P10+PT_index_offset,_xlfn.ANCHORARRAY('CorrectionFactors'!$I$2),4,0),"")</f>
        <v/>
      </c>
    </row>
    <row r="12" spans="1:16" x14ac:dyDescent="0.2">
      <c r="A12" s="37"/>
      <c r="B12" s="57" t="s">
        <v>30</v>
      </c>
      <c r="C12" s="112" t="str">
        <f>IFERROR(HLOOKUP(C10+PT_index_offset,_xlfn.ANCHORARRAY('CorrectionFactors'!$I$2),5,0),"")</f>
        <v/>
      </c>
      <c r="D12" s="112" t="str">
        <f>IFERROR(HLOOKUP(D10+PT_index_offset,_xlfn.ANCHORARRAY('CorrectionFactors'!$I$2),5,0),"")</f>
        <v/>
      </c>
      <c r="E12" s="112" t="str">
        <f>IFERROR(HLOOKUP(E10+PT_index_offset,_xlfn.ANCHORARRAY('CorrectionFactors'!$I$2),5,0),"")</f>
        <v/>
      </c>
      <c r="F12" s="112" t="str">
        <f>IFERROR(HLOOKUP(F10+PT_index_offset,_xlfn.ANCHORARRAY('CorrectionFactors'!$I$2),5,0),"")</f>
        <v/>
      </c>
      <c r="G12" s="112" t="str">
        <f>IFERROR(HLOOKUP(G10+PT_index_offset,_xlfn.ANCHORARRAY('CorrectionFactors'!$I$2),5,0),"")</f>
        <v/>
      </c>
      <c r="H12" s="112" t="str">
        <f>IFERROR(HLOOKUP(H10+PT_index_offset,_xlfn.ANCHORARRAY('CorrectionFactors'!$I$2),5,0),"")</f>
        <v/>
      </c>
      <c r="I12" s="112" t="str">
        <f>IFERROR(HLOOKUP(I10+PT_index_offset,_xlfn.ANCHORARRAY('CorrectionFactors'!$I$2),5,0),"")</f>
        <v/>
      </c>
      <c r="J12" s="112" t="str">
        <f>IFERROR(HLOOKUP(J10+PT_index_offset,_xlfn.ANCHORARRAY('CorrectionFactors'!$I$2),5,0),"")</f>
        <v/>
      </c>
      <c r="K12" s="112" t="str">
        <f>IFERROR(HLOOKUP(K10+PT_index_offset,_xlfn.ANCHORARRAY('CorrectionFactors'!$I$2),5,0),"")</f>
        <v/>
      </c>
      <c r="L12" s="112" t="str">
        <f>IFERROR(HLOOKUP(L10+PT_index_offset,_xlfn.ANCHORARRAY('CorrectionFactors'!$I$2),5,0),"")</f>
        <v/>
      </c>
      <c r="M12" s="112" t="str">
        <f>IFERROR(HLOOKUP(M10+PT_index_offset,_xlfn.ANCHORARRAY('CorrectionFactors'!$I$2),5,0),"")</f>
        <v/>
      </c>
      <c r="N12" s="112" t="str">
        <f>IFERROR(HLOOKUP(N10+PT_index_offset,_xlfn.ANCHORARRAY('CorrectionFactors'!$I$2),5,0),"")</f>
        <v/>
      </c>
      <c r="O12" s="112" t="str">
        <f>IFERROR(HLOOKUP(O10+PT_index_offset,_xlfn.ANCHORARRAY('CorrectionFactors'!$I$2),5,0),"")</f>
        <v/>
      </c>
      <c r="P12" s="112" t="str">
        <f>IFERROR(HLOOKUP(P10+PT_index_offset,_xlfn.ANCHORARRAY('CorrectionFactors'!$I$2),5,0),"")</f>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f>IFERROR(HLOOKUP(C16+PT_index_offset,_xlfn.ANCHORARRAY('CorrectionFactors'!$I$2),4,0),"")</f>
        <v/>
      </c>
      <c r="D17" s="112" t="str">
        <f>IFERROR(HLOOKUP(D16+PT_index_offset,_xlfn.ANCHORARRAY('CorrectionFactors'!$I$2),4,0),"")</f>
        <v/>
      </c>
      <c r="E17" s="112" t="str">
        <f>IFERROR(HLOOKUP(E16+PT_index_offset,_xlfn.ANCHORARRAY('CorrectionFactors'!$I$2),4,0),"")</f>
        <v/>
      </c>
      <c r="F17" s="112" t="str">
        <f>IFERROR(HLOOKUP(F16+PT_index_offset,_xlfn.ANCHORARRAY('CorrectionFactors'!$I$2),4,0),"")</f>
        <v/>
      </c>
      <c r="G17" s="112" t="str">
        <f>IFERROR(HLOOKUP(G16+PT_index_offset,_xlfn.ANCHORARRAY('CorrectionFactors'!$I$2),4,0),"")</f>
        <v/>
      </c>
      <c r="H17" s="112" t="str">
        <f>IFERROR(HLOOKUP(H16+PT_index_offset,_xlfn.ANCHORARRAY('CorrectionFactors'!$I$2),4,0),"")</f>
        <v/>
      </c>
      <c r="I17" s="112" t="str">
        <f>IFERROR(HLOOKUP(I16+PT_index_offset,_xlfn.ANCHORARRAY('CorrectionFactors'!$I$2),4,0),"")</f>
        <v/>
      </c>
      <c r="J17" s="112" t="str">
        <f>IFERROR(HLOOKUP(J16+PT_index_offset,_xlfn.ANCHORARRAY('CorrectionFactors'!$I$2),4,0),"")</f>
        <v/>
      </c>
      <c r="K17" s="112" t="str">
        <f>IFERROR(HLOOKUP(K16+PT_index_offset,_xlfn.ANCHORARRAY('CorrectionFactors'!$I$2),4,0),"")</f>
        <v/>
      </c>
      <c r="L17" s="112" t="str">
        <f>IFERROR(HLOOKUP(L16+PT_index_offset,_xlfn.ANCHORARRAY('CorrectionFactors'!$I$2),4,0),"")</f>
        <v/>
      </c>
      <c r="M17" s="112" t="str">
        <f>IFERROR(HLOOKUP(M16+PT_index_offset,_xlfn.ANCHORARRAY('CorrectionFactors'!$I$2),4,0),"")</f>
        <v/>
      </c>
      <c r="N17" s="112" t="str">
        <f>IFERROR(HLOOKUP(N16+PT_index_offset,_xlfn.ANCHORARRAY('CorrectionFactors'!$I$2),4,0),"")</f>
        <v/>
      </c>
      <c r="O17" s="112" t="str">
        <f>IFERROR(HLOOKUP(O16+PT_index_offset,_xlfn.ANCHORARRAY('CorrectionFactors'!$I$2),4,0),"")</f>
        <v/>
      </c>
      <c r="P17" s="112" t="str">
        <f>IFERROR(HLOOKUP(P16+PT_index_offset,_xlfn.ANCHORARRAY('CorrectionFactors'!$I$2),4,0),"")</f>
        <v/>
      </c>
    </row>
    <row r="18" spans="1:20" x14ac:dyDescent="0.2">
      <c r="A18" s="37"/>
      <c r="B18" s="57" t="s">
        <v>30</v>
      </c>
      <c r="C18" s="112" t="str">
        <f>IFERROR(HLOOKUP(C16+PT_index_offset,_xlfn.ANCHORARRAY('CorrectionFactors'!$I$2),5,0),"")</f>
        <v/>
      </c>
      <c r="D18" s="112" t="str">
        <f>IFERROR(HLOOKUP(D16+PT_index_offset,_xlfn.ANCHORARRAY('CorrectionFactors'!$I$2),5,0),"")</f>
        <v/>
      </c>
      <c r="E18" s="112" t="str">
        <f>IFERROR(HLOOKUP(E16+PT_index_offset,_xlfn.ANCHORARRAY('CorrectionFactors'!$I$2),5,0),"")</f>
        <v/>
      </c>
      <c r="F18" s="112" t="str">
        <f>IFERROR(HLOOKUP(F16+PT_index_offset,_xlfn.ANCHORARRAY('CorrectionFactors'!$I$2),5,0),"")</f>
        <v/>
      </c>
      <c r="G18" s="112" t="str">
        <f>IFERROR(HLOOKUP(G16+PT_index_offset,_xlfn.ANCHORARRAY('CorrectionFactors'!$I$2),5,0),"")</f>
        <v/>
      </c>
      <c r="H18" s="112" t="str">
        <f>IFERROR(HLOOKUP(H16+PT_index_offset,_xlfn.ANCHORARRAY('CorrectionFactors'!$I$2),5,0),"")</f>
        <v/>
      </c>
      <c r="I18" s="112" t="str">
        <f>IFERROR(HLOOKUP(I16+PT_index_offset,_xlfn.ANCHORARRAY('CorrectionFactors'!$I$2),5,0),"")</f>
        <v/>
      </c>
      <c r="J18" s="112" t="str">
        <f>IFERROR(HLOOKUP(J16+PT_index_offset,_xlfn.ANCHORARRAY('CorrectionFactors'!$I$2),5,0),"")</f>
        <v/>
      </c>
      <c r="K18" s="112" t="str">
        <f>IFERROR(HLOOKUP(K16+PT_index_offset,_xlfn.ANCHORARRAY('CorrectionFactors'!$I$2),5,0),"")</f>
        <v/>
      </c>
      <c r="L18" s="112" t="str">
        <f>IFERROR(HLOOKUP(L16+PT_index_offset,_xlfn.ANCHORARRAY('CorrectionFactors'!$I$2),5,0),"")</f>
        <v/>
      </c>
      <c r="M18" s="112" t="str">
        <f>IFERROR(HLOOKUP(M16+PT_index_offset,_xlfn.ANCHORARRAY('CorrectionFactors'!$I$2),5,0),"")</f>
        <v/>
      </c>
      <c r="N18" s="112" t="str">
        <f>IFERROR(HLOOKUP(N16+PT_index_offset,_xlfn.ANCHORARRAY('CorrectionFactors'!$I$2),5,0),"")</f>
        <v/>
      </c>
      <c r="O18" s="112" t="str">
        <f>IFERROR(HLOOKUP(O16+PT_index_offset,_xlfn.ANCHORARRAY('CorrectionFactors'!$I$2),5,0),"")</f>
        <v/>
      </c>
      <c r="P18" s="112" t="str">
        <f>IFERROR(HLOOKUP(P16+PT_index_offset,_xlfn.ANCHORARRAY('CorrectionFactors'!$I$2),5,0),"")</f>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f>IFERROR(HLOOKUP(C22+PT_index_offset,_xlfn.ANCHORARRAY('CorrectionFactors'!$I$2),4,0),"")</f>
        <v/>
      </c>
      <c r="D23" s="112" t="str">
        <f>IFERROR(HLOOKUP(D22+PT_index_offset,_xlfn.ANCHORARRAY('CorrectionFactors'!$I$2),4,0),"")</f>
        <v/>
      </c>
      <c r="E23" s="112" t="str">
        <f>IFERROR(HLOOKUP(E22+PT_index_offset,_xlfn.ANCHORARRAY('CorrectionFactors'!$I$2),4,0),"")</f>
        <v/>
      </c>
      <c r="F23" s="112" t="str">
        <f>IFERROR(HLOOKUP(F22+PT_index_offset,_xlfn.ANCHORARRAY('CorrectionFactors'!$I$2),4,0),"")</f>
        <v/>
      </c>
      <c r="G23" s="112" t="str">
        <f>IFERROR(HLOOKUP(G22+PT_index_offset,_xlfn.ANCHORARRAY('CorrectionFactors'!$I$2),4,0),"")</f>
        <v/>
      </c>
      <c r="H23" s="112" t="str">
        <f>IFERROR(HLOOKUP(H22+PT_index_offset,_xlfn.ANCHORARRAY('CorrectionFactors'!$I$2),4,0),"")</f>
        <v/>
      </c>
      <c r="I23" s="112" t="str">
        <f>IFERROR(HLOOKUP(I22+PT_index_offset,_xlfn.ANCHORARRAY('CorrectionFactors'!$I$2),4,0),"")</f>
        <v/>
      </c>
      <c r="J23" s="112" t="str">
        <f>IFERROR(HLOOKUP(J22+PT_index_offset,_xlfn.ANCHORARRAY('CorrectionFactors'!$I$2),4,0),"")</f>
        <v/>
      </c>
      <c r="K23" s="112" t="str">
        <f>IFERROR(HLOOKUP(K22+PT_index_offset,_xlfn.ANCHORARRAY('CorrectionFactors'!$I$2),4,0),"")</f>
        <v/>
      </c>
      <c r="L23" s="112" t="str">
        <f>IFERROR(HLOOKUP(L22+PT_index_offset,_xlfn.ANCHORARRAY('CorrectionFactors'!$I$2),4,0),"")</f>
        <v/>
      </c>
      <c r="M23" s="112" t="str">
        <f>IFERROR(HLOOKUP(M22+PT_index_offset,_xlfn.ANCHORARRAY('CorrectionFactors'!$I$2),4,0),"")</f>
        <v/>
      </c>
      <c r="N23" s="112" t="str">
        <f>IFERROR(HLOOKUP(N22+PT_index_offset,_xlfn.ANCHORARRAY('CorrectionFactors'!$I$2),4,0),"")</f>
        <v/>
      </c>
      <c r="O23" s="37"/>
      <c r="P23" s="37"/>
    </row>
    <row r="24" spans="1:20" x14ac:dyDescent="0.2">
      <c r="A24" s="37"/>
      <c r="B24" s="57" t="s">
        <v>30</v>
      </c>
      <c r="C24" s="112" t="str">
        <f>IFERROR(HLOOKUP(C22+PT_index_offset,_xlfn.ANCHORARRAY('CorrectionFactors'!$I$2),5,0),"")</f>
        <v/>
      </c>
      <c r="D24" s="112" t="str">
        <f>IFERROR(HLOOKUP(D22+PT_index_offset,_xlfn.ANCHORARRAY('CorrectionFactors'!$I$2),5,0),"")</f>
        <v/>
      </c>
      <c r="E24" s="112" t="str">
        <f>IFERROR(HLOOKUP(E22+PT_index_offset,_xlfn.ANCHORARRAY('CorrectionFactors'!$I$2),5,0),"")</f>
        <v/>
      </c>
      <c r="F24" s="112" t="str">
        <f>IFERROR(HLOOKUP(F22+PT_index_offset,_xlfn.ANCHORARRAY('CorrectionFactors'!$I$2),5,0),"")</f>
        <v/>
      </c>
      <c r="G24" s="112" t="str">
        <f>IFERROR(HLOOKUP(G22+PT_index_offset,_xlfn.ANCHORARRAY('CorrectionFactors'!$I$2),5,0),"")</f>
        <v/>
      </c>
      <c r="H24" s="112" t="str">
        <f>IFERROR(HLOOKUP(H22+PT_index_offset,_xlfn.ANCHORARRAY('CorrectionFactors'!$I$2),5,0),"")</f>
        <v/>
      </c>
      <c r="I24" s="112" t="str">
        <f>IFERROR(HLOOKUP(I22+PT_index_offset,_xlfn.ANCHORARRAY('CorrectionFactors'!$I$2),5,0),"")</f>
        <v/>
      </c>
      <c r="J24" s="112" t="str">
        <f>IFERROR(HLOOKUP(J22+PT_index_offset,_xlfn.ANCHORARRAY('CorrectionFactors'!$I$2),5,0),"")</f>
        <v/>
      </c>
      <c r="K24" s="112" t="str">
        <f>IFERROR(HLOOKUP(K22+PT_index_offset,_xlfn.ANCHORARRAY('CorrectionFactors'!$I$2),5,0),"")</f>
        <v/>
      </c>
      <c r="L24" s="112" t="str">
        <f>IFERROR(HLOOKUP(L22+PT_index_offset,_xlfn.ANCHORARRAY('CorrectionFactors'!$I$2),5,0),"")</f>
        <v/>
      </c>
      <c r="M24" s="112" t="str">
        <f>IFERROR(HLOOKUP(M22+PT_index_offset,_xlfn.ANCHORARRAY('CorrectionFactors'!$I$2),5,0),"")</f>
        <v/>
      </c>
      <c r="N24" s="112" t="str">
        <f>IFERROR(HLOOKUP(N22+PT_index_offset,_xlfn.ANCHORARRAY('CorrectionFactors'!$I$2),5,0),"")</f>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28" t="s">
        <v>343</v>
      </c>
      <c r="I28" s="628"/>
      <c r="J28" s="628"/>
      <c r="K28" s="628"/>
      <c r="L28" s="628"/>
      <c r="M28" s="628"/>
      <c r="N28" s="628"/>
      <c r="O28" s="628"/>
      <c r="P28" s="628"/>
      <c r="Q28" s="628"/>
      <c r="R28" s="628"/>
    </row>
    <row r="29" spans="1:20" x14ac:dyDescent="0.2">
      <c r="A29" s="634" t="s">
        <v>34</v>
      </c>
      <c r="B29" s="635"/>
      <c r="C29" s="47" t="str">
        <f>IF(Main!D48="","",Main!D48)</f>
        <v/>
      </c>
      <c r="D29" s="47" t="str">
        <f>IF(Main!E48="","",Main!E48)</f>
        <v/>
      </c>
      <c r="E29" s="47" t="str">
        <f>IF(Main!F48="","",Main!F48)</f>
        <v/>
      </c>
      <c r="F29" s="47" t="str">
        <f>IF(Main!G48="","",Main!G48)</f>
        <v/>
      </c>
      <c r="G29" s="260"/>
      <c r="H29" s="257" t="s">
        <v>344</v>
      </c>
      <c r="I29" s="112" t="str">
        <f>IF(Main!N47="","",Main!N47)</f>
        <v>Periodic</v>
      </c>
      <c r="J29" s="636" t="s">
        <v>345</v>
      </c>
      <c r="K29" s="637"/>
      <c r="L29" s="112" t="str">
        <f>IF(Main!R47="","",Main!R47)</f>
        <v>Air</v>
      </c>
    </row>
    <row r="30" spans="1:20" x14ac:dyDescent="0.2">
      <c r="A30" s="634" t="s">
        <v>35</v>
      </c>
      <c r="B30" s="635"/>
      <c r="C30" s="48" t="str">
        <f>IF(Main!D49="","",Main!D49)</f>
        <v/>
      </c>
      <c r="D30" s="48" t="str">
        <f>IF(Main!E49="","",Main!E49)</f>
        <v/>
      </c>
      <c r="E30" s="48" t="str">
        <f>IF(Main!F49="","",Main!F49)</f>
        <v/>
      </c>
      <c r="F30" s="48" t="str">
        <f>IF(Main!G49="","",Main!G49)</f>
        <v/>
      </c>
      <c r="G30" s="262"/>
      <c r="H30" s="629" t="s">
        <v>331</v>
      </c>
      <c r="I30" s="629"/>
      <c r="J30" s="638" t="s">
        <v>377</v>
      </c>
      <c r="K30" s="639"/>
      <c r="L30" s="640"/>
      <c r="M30" s="254"/>
      <c r="O30" s="630" t="s">
        <v>380</v>
      </c>
      <c r="P30" s="631"/>
      <c r="Q30" s="632"/>
      <c r="T30" s="37"/>
    </row>
    <row r="31" spans="1:20" x14ac:dyDescent="0.2">
      <c r="A31" s="634" t="s">
        <v>36</v>
      </c>
      <c r="B31" s="635"/>
      <c r="C31" s="48" t="str">
        <f>IF(Main!D50="","",Main!D50)</f>
        <v/>
      </c>
      <c r="D31" s="48" t="str">
        <f>IF(Main!E50="","",Main!E50)</f>
        <v/>
      </c>
      <c r="E31" s="48" t="str">
        <f>IF(Main!F50="","",Main!F50)</f>
        <v/>
      </c>
      <c r="F31" s="48" t="str">
        <f>IF(Main!G50="","",Main!G50)</f>
        <v/>
      </c>
      <c r="G31" s="262"/>
      <c r="H31" s="242" t="s">
        <v>346</v>
      </c>
      <c r="I31" s="244" t="str">
        <f>IF(Main!N49="","",Main!N49)</f>
        <v>Unavailable</v>
      </c>
      <c r="J31" s="653" t="s">
        <v>385</v>
      </c>
      <c r="K31" s="654"/>
      <c r="L31" s="655"/>
      <c r="M31" s="255" t="str">
        <f>IF(Main!S49="","",Main!S49)</f>
        <v>N/A</v>
      </c>
      <c r="O31" s="520" t="s">
        <v>387</v>
      </c>
      <c r="P31" s="521"/>
      <c r="Q31" s="633"/>
      <c r="R31" s="56" t="str">
        <f>IF(Main!X49="","",Main!X49)</f>
        <v>N/A</v>
      </c>
      <c r="T31" s="37"/>
    </row>
    <row r="32" spans="1:20" ht="12.75" customHeight="1" x14ac:dyDescent="0.2">
      <c r="A32" s="634" t="s">
        <v>37</v>
      </c>
      <c r="B32" s="635"/>
      <c r="C32" s="47" t="str">
        <f>IF(Main!D51="","",Main!D51)</f>
        <v/>
      </c>
      <c r="D32" s="47" t="str">
        <f>IF(Main!E51="","",Main!E51)</f>
        <v/>
      </c>
      <c r="E32" s="47" t="str">
        <f>IF(Main!F51="","",Main!F51)</f>
        <v/>
      </c>
      <c r="F32" s="47" t="str">
        <f>IF(Main!G51="","",Main!G51)</f>
        <v/>
      </c>
      <c r="G32" s="260"/>
      <c r="H32" s="242" t="s">
        <v>362</v>
      </c>
      <c r="I32" s="244" t="str">
        <f>IF(Main!N50="","",Main!N50)</f>
        <v/>
      </c>
      <c r="J32" s="644" t="s">
        <v>334</v>
      </c>
      <c r="K32" s="645"/>
      <c r="L32" s="646"/>
      <c r="M32" s="250"/>
      <c r="O32" s="644" t="s">
        <v>334</v>
      </c>
      <c r="P32" s="645"/>
      <c r="Q32" s="646"/>
      <c r="T32" s="37"/>
    </row>
    <row r="33" spans="1:20" ht="12.75" customHeight="1" x14ac:dyDescent="0.2">
      <c r="A33" s="634" t="s">
        <v>347</v>
      </c>
      <c r="B33" s="635"/>
      <c r="C33" s="47" t="str">
        <f>IF(Main!D52="","",Main!D52)</f>
        <v/>
      </c>
      <c r="D33" s="47" t="str">
        <f>IF(Main!E52="","",Main!E52)</f>
        <v/>
      </c>
      <c r="E33" s="47" t="str">
        <f>IF(Main!F52="","",Main!F52)</f>
        <v/>
      </c>
      <c r="F33" s="47" t="str">
        <f>IF(Main!G52="","",Main!G52)</f>
        <v/>
      </c>
      <c r="G33" s="260"/>
      <c r="H33" s="242" t="s">
        <v>348</v>
      </c>
      <c r="I33" s="244" t="str">
        <f>IF(Main!N51="","",Main!N51)</f>
        <v/>
      </c>
      <c r="J33" s="641" t="s">
        <v>386</v>
      </c>
      <c r="K33" s="642"/>
      <c r="L33" s="643"/>
      <c r="M33" s="249" t="str">
        <f>IF(Main!S51="","",Main!S51)</f>
        <v/>
      </c>
      <c r="O33" s="641" t="s">
        <v>388</v>
      </c>
      <c r="P33" s="642"/>
      <c r="Q33" s="643"/>
      <c r="R33" s="56" t="str">
        <f>IF(Main!X51="","",Main!X51)</f>
        <v/>
      </c>
      <c r="T33" s="37"/>
    </row>
    <row r="34" spans="1:20" ht="12.75" customHeight="1" x14ac:dyDescent="0.2">
      <c r="A34" s="634" t="s">
        <v>38</v>
      </c>
      <c r="B34" s="635"/>
      <c r="C34" s="49" t="str">
        <f>IF(Main!D53="","",Main!D53)</f>
        <v/>
      </c>
      <c r="D34" s="49" t="str">
        <f>IF(Main!E53="","",Main!E53)</f>
        <v/>
      </c>
      <c r="E34" s="49" t="str">
        <f>IF(Main!F53="","",Main!F53)</f>
        <v/>
      </c>
      <c r="F34" s="49" t="str">
        <f>IF(Main!G53="","",Main!G53)</f>
        <v/>
      </c>
      <c r="G34" s="263"/>
      <c r="H34" s="242" t="s">
        <v>349</v>
      </c>
      <c r="I34" s="241" t="str">
        <f>IF(Main!N52="","",Main!N52)</f>
        <v/>
      </c>
      <c r="J34" s="644" t="s">
        <v>334</v>
      </c>
      <c r="K34" s="645"/>
      <c r="L34" s="646"/>
      <c r="O34" s="644" t="s">
        <v>334</v>
      </c>
      <c r="P34" s="645"/>
      <c r="Q34" s="646"/>
      <c r="T34" s="37"/>
    </row>
    <row r="35" spans="1:20" ht="12.75" customHeight="1" x14ac:dyDescent="0.2">
      <c r="A35" s="57"/>
      <c r="B35" s="59" t="s">
        <v>85</v>
      </c>
      <c r="C35" s="69" t="str">
        <f>IF(Main!D54="","",Main!D54)</f>
        <v/>
      </c>
      <c r="D35" s="69" t="str">
        <f>IF(Main!E54="","",Main!E54)</f>
        <v/>
      </c>
      <c r="E35" s="69" t="str">
        <f>IF(Main!F54="","",Main!F54)</f>
        <v/>
      </c>
      <c r="F35" s="69" t="str">
        <f>IF(Main!G54="","",Main!G54)</f>
        <v/>
      </c>
      <c r="G35" s="264"/>
      <c r="H35" s="242" t="s">
        <v>349</v>
      </c>
      <c r="I35" s="241" t="str">
        <f>IF(Main!N53="","",Main!N53)</f>
        <v/>
      </c>
      <c r="J35" s="647" t="s">
        <v>389</v>
      </c>
      <c r="K35" s="648"/>
      <c r="L35" s="649"/>
      <c r="M35" s="258" t="str">
        <f>IF(Main!S53="","",Main!S53)</f>
        <v/>
      </c>
      <c r="O35" s="647" t="s">
        <v>390</v>
      </c>
      <c r="P35" s="648"/>
      <c r="Q35" s="649"/>
      <c r="R35" s="259" t="str">
        <f>IF(Main!X53="","",Main!X53)</f>
        <v/>
      </c>
    </row>
    <row r="36" spans="1:20" ht="13.5" thickBot="1" x14ac:dyDescent="0.25">
      <c r="B36" s="59" t="s">
        <v>350</v>
      </c>
      <c r="C36" s="47" t="str">
        <f>IF(Main!D56="","",Main!D56)</f>
        <v/>
      </c>
      <c r="D36" s="47" t="str">
        <f>IF(Main!E56="","",Main!E56)</f>
        <v/>
      </c>
      <c r="E36" s="47" t="str">
        <f>IF(Main!F56="","",Main!F56)</f>
        <v/>
      </c>
      <c r="F36" s="47" t="str">
        <f>IF(Main!G56="","",Main!G56)</f>
        <v/>
      </c>
      <c r="G36" s="260"/>
      <c r="H36" s="261"/>
      <c r="J36" s="650"/>
      <c r="K36" s="651"/>
      <c r="L36" s="652"/>
      <c r="M36" s="253"/>
      <c r="O36" s="650"/>
      <c r="P36" s="651"/>
      <c r="Q36" s="652"/>
      <c r="T36" s="37"/>
    </row>
    <row r="37" spans="1:20" ht="13.5" thickBot="1" x14ac:dyDescent="0.25">
      <c r="B37" s="57" t="s">
        <v>351</v>
      </c>
      <c r="C37" s="47" t="str">
        <f>IF(Main!D57="","",Main!D57)</f>
        <v/>
      </c>
      <c r="D37" s="47" t="str">
        <f>IF(Main!E57="","",Main!E57)</f>
        <v/>
      </c>
      <c r="E37" s="47" t="str">
        <f>IF(Main!F57="","",Main!F57)</f>
        <v/>
      </c>
      <c r="F37" s="47" t="str">
        <f>IF(Main!G57="","",Main!G57)</f>
        <v/>
      </c>
      <c r="G37" s="260"/>
      <c r="H37" s="261"/>
      <c r="J37" s="268" t="s">
        <v>337</v>
      </c>
      <c r="K37" s="269" t="s">
        <v>14</v>
      </c>
      <c r="L37" s="270" t="s">
        <v>338</v>
      </c>
      <c r="M37" s="253"/>
      <c r="O37" s="268" t="s">
        <v>339</v>
      </c>
      <c r="P37" s="269" t="s">
        <v>14</v>
      </c>
      <c r="Q37" s="270" t="s">
        <v>340</v>
      </c>
    </row>
    <row r="38" spans="1:20" ht="13.5" thickBot="1" x14ac:dyDescent="0.25">
      <c r="B38" s="42" t="s">
        <v>39</v>
      </c>
      <c r="J38" s="265" t="str">
        <f>IF(Main!P56="","",Main!P56)</f>
        <v/>
      </c>
      <c r="K38" s="266" t="str">
        <f>IF(Main!Q56="","",Main!Q56)</f>
        <v/>
      </c>
      <c r="L38" s="267" t="e">
        <f>IF(Main!R56="","",Main!R56)</f>
        <v>#N/A</v>
      </c>
      <c r="O38" s="265" t="str">
        <f>IF(Main!U56="","",Main!U56)</f>
        <v/>
      </c>
      <c r="P38" s="266" t="str">
        <f>IF(Main!V56="","",Main!V56)</f>
        <v/>
      </c>
      <c r="Q38" s="267" t="e">
        <f>IF(Main!W56="","",Main!W56)</f>
        <v>#N/A</v>
      </c>
    </row>
    <row r="39" spans="1:20" x14ac:dyDescent="0.2">
      <c r="B39" s="42" t="s">
        <v>360</v>
      </c>
      <c r="M39" s="271"/>
    </row>
    <row r="40" spans="1:20" ht="15.75" x14ac:dyDescent="0.25">
      <c r="B40" s="252"/>
      <c r="C40" s="252"/>
      <c r="D40" s="252"/>
      <c r="E40" s="252"/>
      <c r="K40" s="57" t="s">
        <v>363</v>
      </c>
      <c r="L40">
        <f>IF(Main!N54="","",Main!N54)</f>
        <v>0</v>
      </c>
      <c r="O40" s="57" t="s">
        <v>365</v>
      </c>
      <c r="P40">
        <f>IF(Main!N56="","",Main!N56)</f>
        <v>0</v>
      </c>
    </row>
    <row r="41" spans="1:20" x14ac:dyDescent="0.2">
      <c r="K41" s="57" t="s">
        <v>364</v>
      </c>
      <c r="L41">
        <f>IF(Main!N55="","",Main!N55)</f>
        <v>0</v>
      </c>
      <c r="O41" s="57" t="s">
        <v>366</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56"/>
    </row>
  </sheetData>
  <sheetProtection algorithmName="SHA-512" hashValue="T+/KG/DbBL7zCY3v06KQXsEMDJHG+fQIUIhrven+CmEmP/yFCTZF8ITJ6XX1ggFKuLk/ZevscXTsKXKvPu+SvA==" saltValue="tgRJXGktX2YM/n762r13ig=="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D11" sqref="D11"/>
    </sheetView>
  </sheetViews>
  <sheetFormatPr defaultRowHeight="12.75" x14ac:dyDescent="0.2"/>
  <cols>
    <col min="4" max="4" width="9.140625" style="106"/>
  </cols>
  <sheetData>
    <row r="1" spans="1:14" ht="15.75" x14ac:dyDescent="0.25">
      <c r="A1" s="107"/>
      <c r="B1" s="87"/>
      <c r="C1" s="87"/>
      <c r="D1" s="104"/>
      <c r="E1" s="88"/>
      <c r="F1" s="97" t="s">
        <v>145</v>
      </c>
      <c r="G1" s="98"/>
      <c r="H1" s="98"/>
      <c r="I1" s="98"/>
      <c r="J1" s="88"/>
      <c r="K1" s="87"/>
      <c r="L1" s="87"/>
      <c r="M1" s="87"/>
      <c r="N1" s="87"/>
    </row>
    <row r="2" spans="1:14" ht="15.75" x14ac:dyDescent="0.25">
      <c r="A2" s="87"/>
      <c r="B2" s="87"/>
      <c r="C2" s="87"/>
      <c r="D2" s="104"/>
      <c r="E2" s="89" t="s">
        <v>146</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str">
        <f>Main!D5</f>
        <v>CHROME PLUS INT'L - WICHITA</v>
      </c>
      <c r="K6" s="87"/>
      <c r="L6" s="87"/>
    </row>
    <row r="7" spans="1:14" x14ac:dyDescent="0.2">
      <c r="A7" s="87"/>
      <c r="B7" s="94" t="s">
        <v>3</v>
      </c>
      <c r="C7" s="95" t="str">
        <f>Main!D6</f>
        <v>DESPATCH RS4HD Temperature Uniformity Survey, 10 points</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152</v>
      </c>
      <c r="D10" s="106" t="s">
        <v>153</v>
      </c>
    </row>
    <row r="11" spans="1:14" x14ac:dyDescent="0.2">
      <c r="B11" t="str" cm="1">
        <f t="array" ref="B11:B16">TRANSPOSE(WireLotNos)</f>
        <v/>
      </c>
      <c r="D11" t="str">
        <f>_xlfn.XLOOKUP(B11, CorrectionFactors[WireLotNumber], CorrectionFactors[TCOffset], "")</f>
        <v/>
      </c>
    </row>
    <row r="12" spans="1:14" x14ac:dyDescent="0.2">
      <c r="B12" t="str">
        <v/>
      </c>
      <c r="D12" t="str">
        <f>_xlfn.XLOOKUP(B12, CorrectionFactors[WireLotNumber], CorrectionFactors[TCOffset], "")</f>
        <v/>
      </c>
    </row>
    <row r="13" spans="1:14" x14ac:dyDescent="0.2">
      <c r="B13" t="str">
        <v/>
      </c>
      <c r="D13" t="str">
        <f>_xlfn.XLOOKUP(B13, CorrectionFactors[WireLotNumber], CorrectionFactors[TCOffset], "")</f>
        <v/>
      </c>
    </row>
    <row r="14" spans="1:14" x14ac:dyDescent="0.2">
      <c r="B14" t="str">
        <v/>
      </c>
      <c r="D14" t="str">
        <f>_xlfn.XLOOKUP(B14, CorrectionFactors[WireLotNumber], CorrectionFactors[TCOffset], "")</f>
        <v/>
      </c>
    </row>
    <row r="15" spans="1:14" x14ac:dyDescent="0.2">
      <c r="B15" t="str">
        <v/>
      </c>
      <c r="D15" t="str">
        <f>_xlfn.XLOOKUP(B15, CorrectionFactors[WireLotNumber], CorrectionFactors[TCOffset], "")</f>
        <v/>
      </c>
    </row>
    <row r="16" spans="1:14" x14ac:dyDescent="0.2">
      <c r="B16" t="str">
        <v/>
      </c>
      <c r="D16" t="str">
        <f>_xlfn.XLOOKUP(B16, CorrectionFactors[WireLotNumber], CorrectionFactors[TCOffset], "")</f>
        <v/>
      </c>
    </row>
    <row r="17" spans="4:9" x14ac:dyDescent="0.2">
      <c r="D17"/>
    </row>
    <row r="18" spans="4:9" x14ac:dyDescent="0.2">
      <c r="D18"/>
    </row>
    <row r="19" spans="4:9" x14ac:dyDescent="0.2">
      <c r="D19"/>
    </row>
    <row r="20" spans="4:9" x14ac:dyDescent="0.2">
      <c r="D20"/>
    </row>
    <row r="21" spans="4:9" x14ac:dyDescent="0.2">
      <c r="D21"/>
    </row>
    <row r="22" spans="4:9" x14ac:dyDescent="0.2">
      <c r="D22"/>
    </row>
    <row r="23" spans="4:9" x14ac:dyDescent="0.2">
      <c r="D23"/>
    </row>
    <row r="24" spans="4:9" x14ac:dyDescent="0.2">
      <c r="D24"/>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ZZp/bNfku2NbaUZV6uyvGXYFpXB1qWcb436zSLGrkwo4q4nN61CFpdKrksMMAz4nJ7I5cTVa4gkyduFh0F8zxQ==" saltValue="kxh5p+LkpcM2LCltWKCLt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56" t="s">
        <v>56</v>
      </c>
      <c r="B1" s="593"/>
      <c r="C1" s="593"/>
      <c r="D1" s="593"/>
      <c r="E1" s="34" t="s">
        <v>154</v>
      </c>
      <c r="G1" s="593" t="s">
        <v>68</v>
      </c>
      <c r="H1" s="593"/>
      <c r="K1" t="s">
        <v>92</v>
      </c>
      <c r="M1" t="s">
        <v>93</v>
      </c>
      <c r="O1" t="s">
        <v>123</v>
      </c>
      <c r="Q1" t="s">
        <v>132</v>
      </c>
      <c r="S1" t="s">
        <v>138</v>
      </c>
      <c r="U1" s="37" t="s">
        <v>166</v>
      </c>
      <c r="W1" s="37" t="s">
        <v>170</v>
      </c>
      <c r="Y1" s="37" t="s">
        <v>221</v>
      </c>
      <c r="AA1" s="37" t="s">
        <v>222</v>
      </c>
      <c r="AC1" s="37" t="s">
        <v>255</v>
      </c>
      <c r="AE1" s="62" t="s">
        <v>352</v>
      </c>
      <c r="AG1" s="35" t="s">
        <v>359</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555</v>
      </c>
      <c r="H2" t="s">
        <v>71</v>
      </c>
      <c r="K2" t="s">
        <v>83</v>
      </c>
      <c r="M2" t="s">
        <v>94</v>
      </c>
      <c r="Q2" t="s">
        <v>133</v>
      </c>
      <c r="S2" t="s">
        <v>80</v>
      </c>
      <c r="U2" s="37" t="s">
        <v>167</v>
      </c>
      <c r="W2">
        <f>IF(Main!D32 = 10, 5, IF(Main!D32 = 30, 15, IF(Main!D32 = 40, 20, 0)))</f>
        <v>0</v>
      </c>
      <c r="Y2" t="s">
        <v>196</v>
      </c>
      <c r="AC2" s="37" t="s">
        <v>257</v>
      </c>
      <c r="AE2" s="37" t="s">
        <v>353</v>
      </c>
      <c r="AG2" s="37" t="str" cm="1">
        <f t="array" ref="AG2:AG12">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556</v>
      </c>
      <c r="H3" t="s">
        <v>69</v>
      </c>
      <c r="K3" t="s">
        <v>84</v>
      </c>
      <c r="M3" t="s">
        <v>95</v>
      </c>
      <c r="O3" t="s">
        <v>124</v>
      </c>
      <c r="Q3" s="37" t="s">
        <v>163</v>
      </c>
      <c r="S3" t="s">
        <v>140</v>
      </c>
      <c r="U3" s="37" t="s">
        <v>320</v>
      </c>
      <c r="Y3" t="s">
        <v>197</v>
      </c>
      <c r="AC3" s="37" t="s">
        <v>256</v>
      </c>
      <c r="AE3" s="37" t="s">
        <v>376</v>
      </c>
      <c r="AG3" s="37" t="str">
        <v>James Haven</v>
      </c>
      <c r="AH3" s="37"/>
    </row>
    <row r="4" spans="1:34" x14ac:dyDescent="0.2">
      <c r="A4" s="34" t="str">
        <v>J3</v>
      </c>
      <c r="B4" s="34" t="str">
        <v>DaqBook/2005</v>
      </c>
      <c r="C4" s="34" t="str">
        <v>807705</v>
      </c>
      <c r="D4" s="34" t="str">
        <f t="shared" si="0"/>
        <v>"J" IRON-CONSTANTAN</v>
      </c>
      <c r="E4" s="34">
        <v>28</v>
      </c>
      <c r="G4" s="37" t="s">
        <v>554</v>
      </c>
      <c r="H4" t="s">
        <v>70</v>
      </c>
      <c r="K4" t="s">
        <v>95</v>
      </c>
      <c r="M4" t="s">
        <v>105</v>
      </c>
      <c r="O4" t="s">
        <v>130</v>
      </c>
      <c r="Q4" t="s">
        <v>134</v>
      </c>
      <c r="S4" t="s">
        <v>139</v>
      </c>
      <c r="U4" s="37" t="s">
        <v>168</v>
      </c>
      <c r="Y4" t="s">
        <v>198</v>
      </c>
      <c r="AE4" s="37" t="s">
        <v>328</v>
      </c>
      <c r="AG4" s="37" t="str">
        <v>Jeremy Keene</v>
      </c>
      <c r="AH4" s="37"/>
    </row>
    <row r="5" spans="1:34" x14ac:dyDescent="0.2">
      <c r="A5" s="34" t="str">
        <v>K4</v>
      </c>
      <c r="B5" s="34" t="str">
        <v>DaqBook/2005</v>
      </c>
      <c r="C5" s="34" t="str">
        <v>807409</v>
      </c>
      <c r="D5" s="34" t="str">
        <f t="shared" si="0"/>
        <v>"K" CHROMEL-ALUMEL</v>
      </c>
      <c r="E5" s="34">
        <v>40</v>
      </c>
      <c r="K5" s="68">
        <v>283372</v>
      </c>
      <c r="M5" t="s">
        <v>108</v>
      </c>
      <c r="O5" t="s">
        <v>148</v>
      </c>
      <c r="Q5" t="s">
        <v>135</v>
      </c>
      <c r="U5" s="37" t="s">
        <v>110</v>
      </c>
      <c r="Y5" t="s">
        <v>199</v>
      </c>
      <c r="AG5" s="37" t="str">
        <v>Jesse Regehr</v>
      </c>
      <c r="AH5" s="37"/>
    </row>
    <row r="6" spans="1:34" x14ac:dyDescent="0.2">
      <c r="A6" s="34" t="str">
        <v>K5</v>
      </c>
      <c r="B6" s="34" t="str">
        <v>DaqBook/2005</v>
      </c>
      <c r="C6" s="34" t="str">
        <v>808005</v>
      </c>
      <c r="D6" s="34" t="str">
        <f t="shared" si="0"/>
        <v>"K" CHROMEL-ALUMEL</v>
      </c>
      <c r="E6" s="34">
        <v>28</v>
      </c>
      <c r="K6" t="s">
        <v>114</v>
      </c>
      <c r="O6" t="s">
        <v>106</v>
      </c>
      <c r="Q6" s="37" t="s">
        <v>373</v>
      </c>
      <c r="U6" s="37" t="s">
        <v>111</v>
      </c>
      <c r="Y6" t="s">
        <v>200</v>
      </c>
      <c r="AG6" s="37" t="str">
        <v>Joey Craig</v>
      </c>
      <c r="AH6" s="37"/>
    </row>
    <row r="7" spans="1:34" x14ac:dyDescent="0.2">
      <c r="A7" s="34" t="str">
        <v>K6</v>
      </c>
      <c r="B7" s="34" t="str">
        <v>DaqBook/2005</v>
      </c>
      <c r="C7" s="34" t="str">
        <v>808173</v>
      </c>
      <c r="D7" s="34" t="str">
        <f t="shared" si="0"/>
        <v>"K" CHROMEL-ALUMEL</v>
      </c>
      <c r="E7" s="34">
        <v>40</v>
      </c>
      <c r="O7" t="s">
        <v>127</v>
      </c>
      <c r="Q7" s="37" t="s">
        <v>374</v>
      </c>
      <c r="U7" s="37" t="s">
        <v>169</v>
      </c>
      <c r="Y7" t="s">
        <v>201</v>
      </c>
      <c r="AG7" s="37" t="str">
        <v>Joey Knutson</v>
      </c>
      <c r="AH7" s="37"/>
    </row>
    <row r="8" spans="1:34" x14ac:dyDescent="0.2">
      <c r="A8" s="34" t="str">
        <v>K7</v>
      </c>
      <c r="B8" s="70" t="str">
        <v>DaqBook/2005</v>
      </c>
      <c r="C8" s="70" t="str">
        <v>22500C0</v>
      </c>
      <c r="D8" s="34" t="str">
        <f t="shared" si="0"/>
        <v>"K" CHROMEL-ALUMEL</v>
      </c>
      <c r="E8" s="34">
        <v>28</v>
      </c>
      <c r="O8" t="s">
        <v>126</v>
      </c>
      <c r="Q8" s="37" t="s">
        <v>375</v>
      </c>
      <c r="U8" t="str">
        <f>IF(AND(Main!D17&lt;&gt;"",Main!D17&gt;14),"Data_Sheet_15_28","")</f>
        <v/>
      </c>
      <c r="Y8" t="s">
        <v>202</v>
      </c>
      <c r="AE8" s="62" t="s">
        <v>354</v>
      </c>
      <c r="AG8" s="37" t="str">
        <v>Kevin Ferrante</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203</v>
      </c>
      <c r="AE9" s="37" t="s">
        <v>330</v>
      </c>
      <c r="AG9" s="37" t="str">
        <v>Matt Coleman</v>
      </c>
      <c r="AH9" s="37"/>
    </row>
    <row r="10" spans="1:34" x14ac:dyDescent="0.2">
      <c r="O10" t="s">
        <v>125</v>
      </c>
      <c r="Y10" t="s">
        <v>205</v>
      </c>
      <c r="AE10" s="37" t="s">
        <v>355</v>
      </c>
      <c r="AG10" s="37" t="str">
        <v>Mike Ragonese</v>
      </c>
      <c r="AH10" s="37"/>
    </row>
    <row r="11" spans="1:34" x14ac:dyDescent="0.2">
      <c r="O11" t="s">
        <v>129</v>
      </c>
      <c r="Y11" s="37" t="s">
        <v>231</v>
      </c>
      <c r="AE11" s="37" t="s">
        <v>135</v>
      </c>
      <c r="AG11" t="str">
        <v>Nick Nolte</v>
      </c>
    </row>
    <row r="12" spans="1:34" x14ac:dyDescent="0.2">
      <c r="O12" t="s">
        <v>128</v>
      </c>
      <c r="Y12" s="37" t="s">
        <v>367</v>
      </c>
      <c r="AE12" s="37" t="s">
        <v>356</v>
      </c>
      <c r="AG12" t="str">
        <v>Ryan Byars</v>
      </c>
    </row>
    <row r="13" spans="1:34" x14ac:dyDescent="0.2">
      <c r="O13" s="37" t="s">
        <v>370</v>
      </c>
      <c r="Y13" t="s">
        <v>206</v>
      </c>
      <c r="AE13" s="37" t="s">
        <v>357</v>
      </c>
    </row>
    <row r="14" spans="1:34" x14ac:dyDescent="0.2">
      <c r="Y14" t="s">
        <v>207</v>
      </c>
      <c r="AE14" s="37" t="s">
        <v>358</v>
      </c>
    </row>
    <row r="15" spans="1:34" x14ac:dyDescent="0.2">
      <c r="Y15" t="s">
        <v>208</v>
      </c>
      <c r="AE15" s="37" t="s">
        <v>369</v>
      </c>
    </row>
    <row r="16" spans="1:34" x14ac:dyDescent="0.2">
      <c r="F16" s="40"/>
      <c r="G16" s="40"/>
      <c r="H16" s="40"/>
      <c r="I16" s="40"/>
      <c r="J16" s="40"/>
      <c r="K16" s="40"/>
      <c r="L16" s="40"/>
      <c r="M16" s="40"/>
      <c r="O16" s="40"/>
      <c r="Y16" t="s">
        <v>209</v>
      </c>
    </row>
    <row r="17" spans="25:25" x14ac:dyDescent="0.2">
      <c r="Y17" s="37" t="s">
        <v>261</v>
      </c>
    </row>
    <row r="18" spans="25:25" x14ac:dyDescent="0.2">
      <c r="Y18" t="s">
        <v>210</v>
      </c>
    </row>
    <row r="19" spans="25:25" x14ac:dyDescent="0.2">
      <c r="Y19" t="s">
        <v>211</v>
      </c>
    </row>
    <row r="20" spans="25:25" x14ac:dyDescent="0.2">
      <c r="Y20" t="s">
        <v>212</v>
      </c>
    </row>
    <row r="21" spans="25:25" x14ac:dyDescent="0.2">
      <c r="Y21" t="s">
        <v>213</v>
      </c>
    </row>
    <row r="22" spans="25:25" x14ac:dyDescent="0.2">
      <c r="Y22" t="s">
        <v>214</v>
      </c>
    </row>
    <row r="23" spans="25:25" x14ac:dyDescent="0.2">
      <c r="Y23" s="37" t="s">
        <v>241</v>
      </c>
    </row>
    <row r="24" spans="25:25" x14ac:dyDescent="0.2">
      <c r="Y24" s="37" t="s">
        <v>253</v>
      </c>
    </row>
    <row r="25" spans="25:25" x14ac:dyDescent="0.2">
      <c r="Y25" s="37" t="s">
        <v>325</v>
      </c>
    </row>
    <row r="26" spans="25:25" x14ac:dyDescent="0.2">
      <c r="Y26" t="s">
        <v>215</v>
      </c>
    </row>
    <row r="27" spans="25:25" x14ac:dyDescent="0.2">
      <c r="Y27" t="s">
        <v>216</v>
      </c>
    </row>
    <row r="28" spans="25:25" x14ac:dyDescent="0.2">
      <c r="Y28" s="37" t="s">
        <v>254</v>
      </c>
    </row>
    <row r="29" spans="25:25" x14ac:dyDescent="0.2">
      <c r="Y29" t="s">
        <v>186</v>
      </c>
    </row>
    <row r="30" spans="25:25" x14ac:dyDescent="0.2">
      <c r="Y30" s="37" t="s">
        <v>263</v>
      </c>
    </row>
    <row r="31" spans="25:25" x14ac:dyDescent="0.2">
      <c r="Y31" t="s">
        <v>188</v>
      </c>
    </row>
    <row r="32" spans="25:25" x14ac:dyDescent="0.2">
      <c r="Y32" t="s">
        <v>191</v>
      </c>
    </row>
    <row r="33" spans="25:25" x14ac:dyDescent="0.2">
      <c r="Y33" t="s">
        <v>194</v>
      </c>
    </row>
    <row r="34" spans="25:25" x14ac:dyDescent="0.2">
      <c r="Y34" t="s">
        <v>195</v>
      </c>
    </row>
    <row r="35" spans="25:25" x14ac:dyDescent="0.2">
      <c r="Y35" s="37" t="s">
        <v>258</v>
      </c>
    </row>
  </sheetData>
  <sheetProtection algorithmName="SHA-512" hashValue="loFCr1EyvKnVrOHZuuJCZdzL4f/y+kTYf890QtwzcI97RHfmrJ6Ezv1TBtQBoxKquCFnEomSJrKc65FfF1mrlQ==" saltValue="7B2TvVHcFU7Mq7/+hSOss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87</vt:i4>
      </vt:variant>
    </vt:vector>
  </HeadingPairs>
  <TitlesOfParts>
    <vt:vector size="116" baseType="lpstr">
      <vt:lpstr>WireSets</vt:lpstr>
      <vt:lpstr>WorkItemDetails</vt:lpstr>
      <vt:lpstr>WireOffsets</vt:lpstr>
      <vt:lpstr>WireCertData</vt:lpstr>
      <vt:lpstr>Wire Ranges</vt:lpstr>
      <vt:lpstr>User</vt:lpstr>
      <vt:lpstr>Survey</vt:lpstr>
      <vt:lpstr>CorrectionFactors</vt:lpstr>
      <vt:lpstr>AllDaqbookOffsets</vt:lpstr>
      <vt:lpstr>UncBudgets</vt:lpstr>
      <vt:lpstr>CMCs</vt:lpstr>
      <vt:lpstr>Header_Info</vt:lpstr>
      <vt:lpstr>AggregatedUUTRangeTol</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Ranges</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Tolerances</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2025-11-07T20:04:18Z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