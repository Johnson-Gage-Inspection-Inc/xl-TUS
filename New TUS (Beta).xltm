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31895CD-FB14-400C-BB6C-3CE904FFD248}"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7" i="8" a="1"/>
  <c r="D7" i="8" s="1"/>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42" i="8" a="1"/>
  <c r="R24" i="8" a="1"/>
  <c r="R16" i="8" a="1"/>
  <c r="S6" i="8" a="1"/>
  <c r="S21" i="8" a="1"/>
  <c r="R20" i="8" a="1"/>
  <c r="S37" i="8" a="1"/>
  <c r="R15" i="8" a="1"/>
  <c r="R25" i="8" a="1"/>
  <c r="R5" i="8" a="1"/>
  <c r="R43" i="8" a="1"/>
  <c r="R12" i="8" a="1"/>
  <c r="R19" i="8" a="1"/>
  <c r="R42" i="8" a="1"/>
  <c r="S5" i="8" a="1"/>
  <c r="R17" i="8" a="1"/>
  <c r="S8" i="8" a="1"/>
  <c r="R41" i="8" a="1"/>
  <c r="S41" i="8" a="1"/>
  <c r="S18" i="8" a="1"/>
  <c r="S15" i="8" a="1"/>
  <c r="S19" i="8" a="1"/>
  <c r="R27" i="8" a="1"/>
  <c r="S14" i="8" a="1"/>
  <c r="S10" i="8" a="1"/>
  <c r="R26" i="8" a="1"/>
  <c r="S27" i="8" a="1"/>
  <c r="R36" i="8" a="1"/>
  <c r="S25" i="8" a="1"/>
  <c r="R33" i="8" a="1"/>
  <c r="S30" i="8" a="1"/>
  <c r="S11" i="8" a="1"/>
  <c r="R34" i="8" a="1"/>
  <c r="S40" i="8" a="1"/>
  <c r="S13" i="8" a="1"/>
  <c r="S39" i="8" a="1"/>
  <c r="S17" i="8" a="1"/>
  <c r="R44" i="8" a="1"/>
  <c r="S24" i="8" a="1"/>
  <c r="S38" i="8" a="1"/>
  <c r="R8" i="8" a="1"/>
  <c r="S32" i="8" a="1"/>
  <c r="S20" i="8" a="1"/>
  <c r="R38" i="8" a="1"/>
  <c r="R10" i="8" a="1"/>
  <c r="S36" i="8" a="1"/>
  <c r="S43" i="8" a="1"/>
  <c r="S23" i="8" a="1"/>
  <c r="S12" i="8" a="1"/>
  <c r="S31" i="8" a="1"/>
  <c r="S16" i="8" a="1"/>
  <c r="R39" i="8" a="1"/>
  <c r="R28" i="8" a="1"/>
  <c r="R30" i="8" a="1"/>
  <c r="R35" i="8" a="1"/>
  <c r="R23" i="8" a="1"/>
  <c r="S26" i="8" a="1"/>
  <c r="R14" i="8" a="1"/>
  <c r="S7" i="8" a="1"/>
  <c r="R6" i="8" a="1"/>
  <c r="R32" i="8" a="1"/>
  <c r="R7" i="8" a="1"/>
  <c r="S44" i="8" a="1"/>
  <c r="S28" i="8" a="1"/>
  <c r="R40" i="8" a="1"/>
  <c r="R9" i="8" a="1"/>
  <c r="S34" i="8" a="1"/>
  <c r="R22" i="8" a="1"/>
  <c r="R31" i="8" a="1"/>
  <c r="S22" i="8" a="1"/>
  <c r="S9" i="8" a="1"/>
  <c r="S33" i="8" a="1"/>
  <c r="R11" i="8" a="1"/>
  <c r="R18" i="8" a="1"/>
  <c r="R13" i="8" a="1"/>
  <c r="R21" i="8" a="1"/>
  <c r="R29" i="8" a="1"/>
  <c r="S35" i="8" a="1"/>
  <c r="R37"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<sst xmlns="http://schemas.openxmlformats.org/spreadsheetml/2006/main" count="1916" uniqueCount="953">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</sst>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6" fontId="50" fillId="0" borderId="3" xfId="1" applyNumberFormat="1" applyBorder="1" applyAlignment="1">
      <alignment horizontal="center"/>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protection locked="0" hidden="0"/>
    </dxf>
    <dxf>
      <protection locked="0" hidden="0"/>
    </dxf>
    <dxf>
      <numFmt numFmtId="184" formatCode="[$-F400]h:mm:ss\ AM/PM"/>
    </dxf>
    <dxf>
      <numFmt numFmtId="2" formatCode="0.00"/>
    </dxf>
    <dxf>
      <numFmt numFmtId="1" formatCode="0"/>
    </dxf>
    <dxf>
      <numFmt numFmtId="19" formatCode="m/d/yyyy"/>
    </dxf>
    <dxf>
      <numFmt numFmtId="19" formatCode="m/d/yyyy"/>
    </dxf>
    <dxf>
      <numFmt numFmtId="30" formatCode="@"/>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2"/>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71"/>
    <tableColumn id="5" xr3:uid="{412A70E1-7452-417E-A3A9-BD3499EBD33C}" uniqueName="5" name="service_date" queryTableFieldId="5" dataDxfId="70"/>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5" dataDxfId="84">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75"/>
    <tableColumn id="19" xr3:uid="{31D68568-B5E1-4705-9496-19F08F967786}" uniqueName="19" name="Address2" queryTableFieldId="19" dataDxfId="74"/>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3"/>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3" dataDxfId="8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66"/>
    <tableColumn id="12" xr3:uid="{C13B0E02-FD03-4438-B98A-E6A8ED8A9F13}" uniqueName="12" name="manufacturer_part_number" queryTableFieldId="25"/>
    <tableColumn id="11" xr3:uid="{48BC425D-225D-4DB3-A151-D583A73AA082}" uniqueName="11" name="notes" queryTableFieldId="11" dataDxfId="6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9" dataDxfId="78" headerRowCellStyle="Normal 2" dataCellStyle="Normal 2">
  <autoFilter ref="U11:V25" xr:uid="{DCCFF26E-EC5C-4962-98DB-A7DA1F3C8CE2}"/>
  <tableColumns count="2">
    <tableColumn id="1" xr3:uid="{DFC40837-B092-4826-9847-4A23BE22020F}" name="4" dataDxfId="77" dataCellStyle="Normal 2"/>
    <tableColumn id="2" xr3:uid="{0711DB07-19DA-4D5E-A417-C242A0304453}" name="10" dataDxfId="7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wIk8cfaijPzIeVmQmp6Tw3icwL0M8Ye21OLQl5j7wywLH4oMkYcclFoeGABZgJZVipDI82VeRJt4hNCl+TYJAg==" saltValue="Ga+1ivnJr1A8opJz2ULY/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QX1jr+Ow+JSU3vPdRKW5K/HxNKjtOv/AGBVs4XEHa7scp+ghxq54KDgu5OgZxL9cwmJjRN7zI0gTJVe5XBFyyg==" saltValue="19mnXC3x7FMLETc85rip0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5" t="s">
        <v>940</v>
      </c>
      <c r="J1" s="496"/>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7"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7"/>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7"/>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7"/>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7"/>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7"/>
      <c r="M9" s="143">
        <v>6</v>
      </c>
      <c r="O9" t="str" cm="1">
        <f t="array" ref="O9">IF(
  Main!O10 = "",
  "",
  IF(
    COUNTIF(Survey[TestPoint], Alerts[[#This Row],[TestPoint]]) = 0,
    "DROPPED",
    IF(
      OR(
        _xlfn._xlws.FILTER(
          Survey[OutOfTolerance],
          Survey[TestPoint] = Alerts[[#This Row],[TestPoint]]
        )
      ),
      "Out of Tol",
      ""
    )
  )
)</f>
        <v/>
      </c>
    </row>
    <row r="10" spans="1:17" x14ac:dyDescent="0.2">
      <c r="L10" s="497"/>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gfKJ1ecI6qsx1GNQ4UPJPKcFg3w7yqgOdRsA+KwtdPJ4G8HmsF/z/+1DQRdc9CUADff+5qjv0yF9SD6Cd/XUBA==" saltValue="81A/7Vwmu6qkyeMqZyy+A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952</v>
      </c>
      <c r="B1" s="341"/>
      <c r="C1" s="517" t="s">
        <v>50</v>
      </c>
      <c r="D1" s="518"/>
      <c r="E1" s="518"/>
      <c r="F1" s="518"/>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19" t="s">
        <v>102</v>
      </c>
      <c r="K3" s="520"/>
      <c r="L3" s="521"/>
      <c r="M3" s="323"/>
      <c r="N3" s="536" t="s">
        <v>91</v>
      </c>
      <c r="O3" s="536"/>
      <c r="P3" s="536"/>
      <c r="Q3" s="536"/>
      <c r="R3" s="536"/>
      <c r="S3" s="536"/>
      <c r="T3" s="324"/>
      <c r="U3" s="324"/>
      <c r="V3" s="324"/>
      <c r="W3" s="325"/>
      <c r="X3" s="325"/>
      <c r="Y3" s="325"/>
      <c r="Z3" s="325"/>
    </row>
    <row r="4" spans="1:26" x14ac:dyDescent="0.2">
      <c r="A4" s="342"/>
      <c r="B4" s="147"/>
      <c r="C4" s="148" t="s">
        <v>232</v>
      </c>
      <c r="D4" s="302" t="str">
        <f>IF(Condition="","",Condition)</f>
        <v/>
      </c>
      <c r="E4" s="323"/>
      <c r="F4" s="323"/>
      <c r="G4" s="323"/>
      <c r="H4" s="323"/>
      <c r="I4" s="323"/>
      <c r="J4" s="524" t="s">
        <v>1</v>
      </c>
      <c r="K4" s="525"/>
      <c r="L4" s="149">
        <f>IFERROR(Survey!N2,0)</f>
        <v>0</v>
      </c>
      <c r="M4" s="323"/>
      <c r="N4" s="150" t="s">
        <v>90</v>
      </c>
      <c r="O4" s="151" t="s">
        <v>89</v>
      </c>
      <c r="P4" s="522" t="s">
        <v>100</v>
      </c>
      <c r="Q4" s="523"/>
      <c r="R4" s="150" t="s">
        <v>137</v>
      </c>
      <c r="S4" s="150" t="s">
        <v>141</v>
      </c>
      <c r="T4" s="324"/>
      <c r="U4" s="326"/>
      <c r="V4" s="326"/>
      <c r="W4" s="326"/>
      <c r="X4" s="326"/>
      <c r="Y4" s="326"/>
      <c r="Z4" s="326"/>
    </row>
    <row r="5" spans="1:26" x14ac:dyDescent="0.2">
      <c r="A5" s="342"/>
      <c r="B5" s="147"/>
      <c r="C5" s="148" t="s">
        <v>41</v>
      </c>
      <c r="D5" s="540" t="e">
        <f>companyName</f>
        <v>#N/A</v>
      </c>
      <c r="E5" s="541"/>
      <c r="F5" s="541"/>
      <c r="G5" s="541"/>
      <c r="H5" s="542"/>
      <c r="I5" s="303"/>
      <c r="J5" s="524" t="s">
        <v>2</v>
      </c>
      <c r="K5" s="525"/>
      <c r="L5" s="149">
        <f>IFERROR(Survey!N3,0)</f>
        <v>0</v>
      </c>
      <c r="M5" s="323"/>
      <c r="N5" s="470">
        <v>1</v>
      </c>
      <c r="O5" s="152"/>
      <c r="P5" s="498" t="str">
        <f>VLOOKUP(N5,Alerts[],3,FALSE)</f>
        <v/>
      </c>
      <c r="Q5" s="499"/>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37" t="e">
        <f>VLOOKUP("assetName",WorkItemDetails[],2,FALSE)</f>
        <v>#N/A</v>
      </c>
      <c r="E6" s="538"/>
      <c r="F6" s="538"/>
      <c r="G6" s="538"/>
      <c r="H6" s="539"/>
      <c r="I6" s="294"/>
      <c r="J6" s="524" t="s">
        <v>101</v>
      </c>
      <c r="K6" s="525"/>
      <c r="L6" s="149">
        <f>L4-L5</f>
        <v>0</v>
      </c>
      <c r="M6" s="323"/>
      <c r="N6" s="470">
        <v>2</v>
      </c>
      <c r="O6" s="152"/>
      <c r="P6" s="498" t="str">
        <f>VLOOKUP(N6,Alerts[],3,FALSE)</f>
        <v/>
      </c>
      <c r="Q6" s="499"/>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498" t="str">
        <f>VLOOKUP(N7,Alerts[],3,FALSE)</f>
        <v/>
      </c>
      <c r="Q7" s="499"/>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498" t="str">
        <f>VLOOKUP(N8,Alerts[],3,FALSE)</f>
        <v/>
      </c>
      <c r="Q8" s="499"/>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498" t="str">
        <f>VLOOKUP(N9,Alerts[],3,FALSE)</f>
        <v/>
      </c>
      <c r="Q9" s="499"/>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498" t="str">
        <f>VLOOKUP(N10,Alerts[],3,FALSE)</f>
        <v/>
      </c>
      <c r="Q10" s="499"/>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498" t="str">
        <f>VLOOKUP(N11,Alerts[],3,FALSE)</f>
        <v/>
      </c>
      <c r="Q11" s="499"/>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498" t="str">
        <f>VLOOKUP(N12,Alerts[],3,FALSE)</f>
        <v/>
      </c>
      <c r="Q12" s="499"/>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34" t="str">
        <f>IFERROR(VLOOKUP("PoNumber",WorkItemDetails[],2,FALSE),"")</f>
        <v/>
      </c>
      <c r="L13" s="535"/>
      <c r="M13" s="323"/>
      <c r="N13" s="470">
        <v>9</v>
      </c>
      <c r="O13" s="152"/>
      <c r="P13" s="498" t="str">
        <f>VLOOKUP(N13,Alerts[],3,FALSE)</f>
        <v/>
      </c>
      <c r="Q13" s="499"/>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43"/>
      <c r="L14" s="544"/>
      <c r="M14" s="323"/>
      <c r="N14" s="470">
        <v>10</v>
      </c>
      <c r="O14" s="152"/>
      <c r="P14" s="498" t="str">
        <f>VLOOKUP(N14,Alerts[],3,FALSE)</f>
        <v/>
      </c>
      <c r="Q14" s="499"/>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28"/>
      <c r="L15" s="529"/>
      <c r="M15" s="323"/>
      <c r="N15" s="470">
        <v>11</v>
      </c>
      <c r="O15" s="152"/>
      <c r="P15" s="498" t="str">
        <f>VLOOKUP(N15,Alerts[],3,FALSE)</f>
        <v/>
      </c>
      <c r="Q15" s="499"/>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48" t="s">
        <v>165</v>
      </c>
      <c r="K16" s="549"/>
      <c r="L16" s="301"/>
      <c r="M16" s="323"/>
      <c r="N16" s="470">
        <v>12</v>
      </c>
      <c r="O16" s="152"/>
      <c r="P16" s="498" t="str">
        <f>VLOOKUP(N16,Alerts[],3,FALSE)</f>
        <v/>
      </c>
      <c r="Q16" s="499"/>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48" t="s">
        <v>166</v>
      </c>
      <c r="K17" s="549"/>
      <c r="L17" s="163" t="str">
        <f>IF(K15="SIM Load Hot",TEXT(D26,"hh:mm"),"")</f>
        <v/>
      </c>
      <c r="M17" s="323"/>
      <c r="N17" s="470">
        <v>13</v>
      </c>
      <c r="O17" s="152"/>
      <c r="P17" s="498" t="str">
        <f>VLOOKUP(N17,Alerts[],3,FALSE)</f>
        <v/>
      </c>
      <c r="Q17" s="499"/>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00" t="s">
        <v>19</v>
      </c>
      <c r="H18" s="501"/>
      <c r="I18" s="324"/>
      <c r="J18" s="350"/>
      <c r="K18" s="323"/>
      <c r="L18" s="324"/>
      <c r="M18" s="323"/>
      <c r="N18" s="470">
        <v>14</v>
      </c>
      <c r="O18" s="152"/>
      <c r="P18" s="498" t="str">
        <f>VLOOKUP(N18,Alerts[],3,FALSE)</f>
        <v/>
      </c>
      <c r="Q18" s="499"/>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Header_Info!$BF$2</f>
        <v>0</v>
      </c>
      <c r="E19" s="323"/>
      <c r="F19" s="160" t="s">
        <v>79</v>
      </c>
      <c r="G19" s="526" t="str">
        <f>IF(K15="Salt",0, IF(OR(K15="Hot",K15="SIM Load Hot"),IF(OR(D26="",D28=""),"N/A",IF(ISBLANK(D26),"N/A",D28-D26)),"N/A"))</f>
        <v>N/A</v>
      </c>
      <c r="H19" s="527"/>
      <c r="I19" s="351" t="str">
        <f>IF(G19="N/A","N/A",IF(G19=0,"&lt;2",ROUND(IF(LEN(G19)&gt;3,G19*1440,RIGHT(TEXT(G19,"hh:mm"),2)),0))&amp;" MINUTES")</f>
        <v>N/A</v>
      </c>
      <c r="J19" s="350"/>
      <c r="K19" s="323"/>
      <c r="L19" s="324"/>
      <c r="M19" s="323"/>
      <c r="N19" s="470">
        <v>15</v>
      </c>
      <c r="O19" s="152"/>
      <c r="P19" s="498" t="str">
        <f>VLOOKUP(N19,Alerts[],3,FALSE)</f>
        <v/>
      </c>
      <c r="Q19" s="499"/>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30" t="str">
        <f>IF(E20=TRUE,"SAT Tolerance (per AMS2750):","SAT Tolerance (per BAC5621):")</f>
        <v>SAT Tolerance (per BAC5621):</v>
      </c>
      <c r="C20" s="531"/>
      <c r="D20" s="420" t="e">
        <f>G94</f>
        <v>#N/A</v>
      </c>
      <c r="E20" s="485" t="b">
        <v>0</v>
      </c>
      <c r="F20" s="323"/>
      <c r="G20" s="323"/>
      <c r="H20" s="323"/>
      <c r="I20" s="324"/>
      <c r="J20" s="323"/>
      <c r="K20" s="323"/>
      <c r="L20" s="324"/>
      <c r="M20" s="323"/>
      <c r="N20" s="470">
        <v>16</v>
      </c>
      <c r="O20" s="152"/>
      <c r="P20" s="498" t="str">
        <f>VLOOKUP(N20,Alerts[],3,FALSE)</f>
        <v/>
      </c>
      <c r="Q20" s="499"/>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498" t="str">
        <f>VLOOKUP(N21,Alerts[],3,FALSE)</f>
        <v/>
      </c>
      <c r="Q21" s="499"/>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498" t="str">
        <f>VLOOKUP(N22,Alerts[],3,FALSE)</f>
        <v/>
      </c>
      <c r="Q22" s="499"/>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56" t="s">
        <v>380</v>
      </c>
      <c r="H23" s="557"/>
      <c r="I23" s="557"/>
      <c r="J23" s="557"/>
      <c r="K23" s="558"/>
      <c r="L23" s="324"/>
      <c r="M23" s="323"/>
      <c r="N23" s="470">
        <v>19</v>
      </c>
      <c r="O23" s="152"/>
      <c r="P23" s="498" t="str">
        <f>VLOOKUP(N23,Alerts[],3,FALSE)</f>
        <v/>
      </c>
      <c r="Q23" s="499"/>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32" t="s">
        <v>564</v>
      </c>
      <c r="C24" s="533"/>
      <c r="D24" s="299">
        <v>1</v>
      </c>
      <c r="E24" s="323"/>
      <c r="F24" s="166" t="s">
        <v>98</v>
      </c>
      <c r="G24" s="559"/>
      <c r="H24" s="560"/>
      <c r="I24" s="560"/>
      <c r="J24" s="560"/>
      <c r="K24" s="561"/>
      <c r="L24" s="324"/>
      <c r="M24" s="323"/>
      <c r="N24" s="470">
        <v>20</v>
      </c>
      <c r="O24" s="152"/>
      <c r="P24" s="498" t="str">
        <f>VLOOKUP(N24,Alerts[],3,FALSE)</f>
        <v/>
      </c>
      <c r="Q24" s="499"/>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59"/>
      <c r="H25" s="560"/>
      <c r="I25" s="560"/>
      <c r="J25" s="560"/>
      <c r="K25" s="561"/>
      <c r="L25" s="324"/>
      <c r="M25" s="323"/>
      <c r="N25" s="470">
        <v>21</v>
      </c>
      <c r="O25" s="152"/>
      <c r="P25" s="498" t="str">
        <f>VLOOKUP(N25,Alerts[],3,FALSE)</f>
        <v/>
      </c>
      <c r="Q25" s="499"/>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498" t="str">
        <f>VLOOKUP(N26,Alerts[],3,FALSE)</f>
        <v/>
      </c>
      <c r="Q26" s="499"/>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54" t="str">
        <f>IF(ISBLANK(D6),"",IF(CheckRec="x","CHECK INSTRUMENT CAL DATES!!!!             CHECK INSTRUMENT CAL DATES!!!!",""))</f>
        <v/>
      </c>
      <c r="I27" s="555"/>
      <c r="J27" s="555"/>
      <c r="K27" s="555"/>
      <c r="L27" s="324"/>
      <c r="M27" s="323"/>
      <c r="N27" s="470">
        <v>23</v>
      </c>
      <c r="O27" s="152"/>
      <c r="P27" s="498" t="str">
        <f>VLOOKUP(N27,Alerts[],3,FALSE)</f>
        <v/>
      </c>
      <c r="Q27" s="499"/>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54"/>
      <c r="I28" s="555"/>
      <c r="J28" s="555"/>
      <c r="K28" s="555"/>
      <c r="L28" s="324"/>
      <c r="M28" s="323"/>
      <c r="N28" s="470">
        <v>24</v>
      </c>
      <c r="O28" s="152"/>
      <c r="P28" s="498" t="str">
        <f>VLOOKUP(N28,Alerts[],3,FALSE)</f>
        <v/>
      </c>
      <c r="Q28" s="499"/>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498" t="str">
        <f>VLOOKUP(N29,Alerts[],3,FALSE)</f>
        <v/>
      </c>
      <c r="Q29" s="499"/>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498" t="str">
        <f>VLOOKUP(N30,Alerts[],3,FALSE)</f>
        <v/>
      </c>
      <c r="Q30" s="499"/>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498" t="str">
        <f>VLOOKUP(N31,Alerts[],3,FALSE)</f>
        <v/>
      </c>
      <c r="Q31" s="499"/>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498" t="str">
        <f>VLOOKUP(N32,Alerts[],3,FALSE)</f>
        <v/>
      </c>
      <c r="Q32" s="499"/>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498" t="str">
        <f>VLOOKUP(N33,Alerts[],3,FALSE)</f>
        <v/>
      </c>
      <c r="Q33" s="499"/>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19" t="s">
        <v>49</v>
      </c>
      <c r="C34" s="520"/>
      <c r="D34" s="520"/>
      <c r="E34" s="520"/>
      <c r="F34" s="520"/>
      <c r="G34" s="520"/>
      <c r="H34" s="520"/>
      <c r="I34" s="520"/>
      <c r="J34" s="520"/>
      <c r="K34" s="520"/>
      <c r="L34" s="521"/>
      <c r="M34" s="323"/>
      <c r="N34" s="470">
        <v>30</v>
      </c>
      <c r="O34" s="152"/>
      <c r="P34" s="498" t="str">
        <f>VLOOKUP(N34,Alerts[],3,FALSE)</f>
        <v/>
      </c>
      <c r="Q34" s="499"/>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498" t="str">
        <f>VLOOKUP(N35,Alerts[],3,FALSE)</f>
        <v/>
      </c>
      <c r="Q35" s="499"/>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951</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498" t="str">
        <f>VLOOKUP(N36,Alerts[],3,FALSE)</f>
        <v/>
      </c>
      <c r="Q36" s="499"/>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v>0</v>
      </c>
      <c r="B37" s="205"/>
      <c r="C37" s="196"/>
      <c r="D37" s="206"/>
      <c r="E37" s="206"/>
      <c r="F37" s="206"/>
      <c r="G37" s="206"/>
      <c r="H37" s="206"/>
      <c r="I37" s="179"/>
      <c r="J37" s="179"/>
      <c r="K37" s="179"/>
      <c r="L37" s="179"/>
      <c r="M37" s="323"/>
      <c r="N37" s="470">
        <v>33</v>
      </c>
      <c r="O37" s="152"/>
      <c r="P37" s="498" t="str">
        <f>VLOOKUP(N37,Alerts[],3,FALSE)</f>
        <v/>
      </c>
      <c r="Q37" s="499"/>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498" t="str">
        <f>VLOOKUP(N38,Alerts[],3,FALSE)</f>
        <v/>
      </c>
      <c r="Q38" s="499"/>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498" t="str">
        <f>VLOOKUP(N39,Alerts[],3,FALSE)</f>
        <v/>
      </c>
      <c r="Q39" s="499"/>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498" t="str">
        <f>VLOOKUP(N40,Alerts[],3,FALSE)</f>
        <v/>
      </c>
      <c r="Q40" s="499"/>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498" t="str">
        <f>VLOOKUP(N41,Alerts[],3,FALSE)</f>
        <v/>
      </c>
      <c r="Q41" s="499"/>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498" t="str">
        <f>VLOOKUP(N42,Alerts[],3,FALSE)</f>
        <v/>
      </c>
      <c r="Q42" s="499"/>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498" t="str">
        <f>VLOOKUP(N43,Alerts[],3,FALSE)</f>
        <v/>
      </c>
      <c r="Q43" s="499"/>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498" t="str">
        <f>VLOOKUP(N44,Alerts[],3,FALSE)</f>
        <v/>
      </c>
      <c r="Q44" s="499"/>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545" t="s">
        <v>33</v>
      </c>
      <c r="E46" s="546"/>
      <c r="F46" s="546"/>
      <c r="G46" s="546"/>
      <c r="H46" s="546"/>
      <c r="I46" s="547"/>
      <c r="J46" s="368"/>
      <c r="K46" s="368"/>
      <c r="L46" s="368"/>
      <c r="M46" s="562" t="s">
        <v>332</v>
      </c>
      <c r="N46" s="563"/>
      <c r="O46" s="564"/>
      <c r="P46" s="565"/>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52" t="s">
        <v>335</v>
      </c>
      <c r="Q47" s="552"/>
      <c r="R47" s="440" t="s">
        <v>336</v>
      </c>
      <c r="S47" s="327"/>
      <c r="T47" s="327"/>
      <c r="U47" s="327"/>
    </row>
    <row r="48" spans="1:26" x14ac:dyDescent="0.2">
      <c r="A48" s="342"/>
      <c r="B48" s="366"/>
      <c r="C48" s="438" t="s">
        <v>34</v>
      </c>
      <c r="D48" s="307"/>
      <c r="E48" s="307"/>
      <c r="F48" s="307"/>
      <c r="G48" s="307"/>
      <c r="H48" s="307"/>
      <c r="I48" s="307"/>
      <c r="J48" s="368"/>
      <c r="K48" s="368"/>
      <c r="L48" s="368"/>
      <c r="M48" s="553" t="s">
        <v>337</v>
      </c>
      <c r="N48" s="553"/>
      <c r="O48" s="370"/>
      <c r="P48" s="511" t="s">
        <v>392</v>
      </c>
      <c r="Q48" s="512"/>
      <c r="R48" s="513"/>
      <c r="S48" s="371"/>
      <c r="T48" s="328"/>
      <c r="U48" s="511" t="s">
        <v>395</v>
      </c>
      <c r="V48" s="512"/>
      <c r="W48" s="513"/>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14" t="s">
        <v>397</v>
      </c>
      <c r="Q49" s="515"/>
      <c r="R49" s="516"/>
      <c r="S49" s="441"/>
      <c r="T49" s="329"/>
      <c r="U49" s="514" t="s">
        <v>396</v>
      </c>
      <c r="V49" s="515"/>
      <c r="W49" s="516"/>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02" t="s">
        <v>340</v>
      </c>
      <c r="Q50" s="503"/>
      <c r="R50" s="504"/>
      <c r="S50" s="374"/>
      <c r="T50" s="330"/>
      <c r="U50" s="502" t="s">
        <v>340</v>
      </c>
      <c r="V50" s="503"/>
      <c r="W50" s="504"/>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14" t="s">
        <v>393</v>
      </c>
      <c r="Q51" s="515"/>
      <c r="R51" s="516"/>
      <c r="S51" s="441"/>
      <c r="T51" s="331"/>
      <c r="U51" s="514" t="s">
        <v>398</v>
      </c>
      <c r="V51" s="515"/>
      <c r="W51" s="516"/>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02" t="s">
        <v>340</v>
      </c>
      <c r="Q52" s="503"/>
      <c r="R52" s="504"/>
      <c r="S52" s="374"/>
      <c r="T52" s="332"/>
      <c r="U52" s="502" t="s">
        <v>340</v>
      </c>
      <c r="V52" s="503"/>
      <c r="W52" s="504"/>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05" t="s">
        <v>394</v>
      </c>
      <c r="Q53" s="506"/>
      <c r="R53" s="507"/>
      <c r="S53" s="442"/>
      <c r="T53" s="333"/>
      <c r="U53" s="505" t="s">
        <v>399</v>
      </c>
      <c r="V53" s="506"/>
      <c r="W53" s="507"/>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08"/>
      <c r="Q54" s="509"/>
      <c r="R54" s="510"/>
      <c r="S54" s="379"/>
      <c r="T54" s="334"/>
      <c r="U54" s="508"/>
      <c r="V54" s="509"/>
      <c r="W54" s="510"/>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545" t="s">
        <v>158</v>
      </c>
      <c r="D58" s="546"/>
      <c r="E58" s="546"/>
      <c r="F58" s="546"/>
      <c r="G58" s="546"/>
      <c r="H58" s="546"/>
      <c r="I58" s="546"/>
      <c r="J58" s="546"/>
      <c r="K58" s="550"/>
      <c r="L58" s="551"/>
      <c r="M58" s="327"/>
      <c r="N58" s="327"/>
      <c r="O58" s="327"/>
      <c r="P58" s="327"/>
      <c r="Q58" s="327"/>
      <c r="R58" s="327"/>
      <c r="S58" s="327"/>
      <c r="T58" s="327"/>
      <c r="U58" s="327"/>
    </row>
    <row r="59" spans="1:24" x14ac:dyDescent="0.2">
      <c r="A59" s="342"/>
      <c r="B59" s="363"/>
      <c r="C59" s="545" t="s">
        <v>163</v>
      </c>
      <c r="D59" s="546"/>
      <c r="E59" s="546"/>
      <c r="F59" s="546"/>
      <c r="G59" s="546"/>
      <c r="H59" s="546"/>
      <c r="I59" s="546"/>
      <c r="J59" s="546"/>
      <c r="K59" s="546"/>
      <c r="L59" s="547"/>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26" x14ac:dyDescent="0.2">
      <c r="A97" s="395"/>
      <c r="B97" s="396"/>
      <c r="C97" s="397"/>
      <c r="D97" s="398"/>
      <c r="E97" s="395"/>
      <c r="F97" s="396" t="s">
        <v>950</v>
      </c>
      <c r="G97" s="397"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8"/>
      <c r="I97" s="395"/>
      <c r="J97" s="396"/>
      <c r="K97" s="397"/>
      <c r="L97" s="398"/>
      <c r="M97" s="398"/>
      <c r="N97" s="399"/>
      <c r="O97" s="399"/>
      <c r="P97" s="399"/>
      <c r="Q97" s="398"/>
      <c r="R97" s="323"/>
      <c r="S97" s="323"/>
    </row>
    <row r="98" spans="1:26" x14ac:dyDescent="0.2">
      <c r="A98" s="395"/>
      <c r="B98" s="396"/>
      <c r="C98" s="397"/>
      <c r="D98" s="398"/>
      <c r="E98" s="398"/>
      <c r="F98" s="398"/>
      <c r="G98" s="398"/>
      <c r="H98" s="398"/>
      <c r="I98" s="398"/>
      <c r="J98" s="398"/>
      <c r="K98" s="398"/>
      <c r="L98" s="398"/>
      <c r="M98" s="398"/>
      <c r="N98" s="399"/>
      <c r="O98" s="399"/>
      <c r="P98" s="399"/>
      <c r="Q98" s="398"/>
      <c r="R98" s="323"/>
      <c r="S98" s="323"/>
    </row>
    <row r="99" spans="1:26" x14ac:dyDescent="0.2">
      <c r="A99" s="395"/>
      <c r="B99" s="396"/>
      <c r="C99" s="397"/>
      <c r="D99" s="398"/>
      <c r="E99" s="398"/>
      <c r="F99" s="398"/>
      <c r="G99" s="398"/>
      <c r="H99" s="398"/>
      <c r="I99" s="398"/>
      <c r="J99" s="398"/>
      <c r="K99" s="398"/>
      <c r="L99" s="398"/>
      <c r="M99" s="398"/>
      <c r="N99" s="399"/>
      <c r="O99" s="399"/>
      <c r="P99" s="399"/>
      <c r="Q99" s="398"/>
      <c r="R99" s="323"/>
      <c r="S99" s="323"/>
    </row>
    <row r="100" spans="1:26" x14ac:dyDescent="0.2">
      <c r="A100" s="395"/>
      <c r="B100" s="396"/>
      <c r="C100" s="397"/>
      <c r="D100" s="398"/>
      <c r="E100" s="398"/>
      <c r="F100" s="398"/>
      <c r="G100" s="398"/>
      <c r="H100" s="398"/>
      <c r="I100" s="398"/>
      <c r="J100" s="398"/>
      <c r="K100" s="398"/>
      <c r="L100" s="398"/>
      <c r="M100" s="398"/>
      <c r="N100" s="399"/>
      <c r="O100" s="399"/>
      <c r="P100" s="399"/>
      <c r="Q100" s="398"/>
      <c r="R100" s="323"/>
      <c r="S100" s="323"/>
      <c r="Z100" s="492"/>
    </row>
    <row r="101" spans="1:26"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26"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26"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26"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26"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26" x14ac:dyDescent="0.2">
      <c r="A106" s="395"/>
      <c r="B106" s="396"/>
      <c r="C106" s="397"/>
      <c r="D106" s="398"/>
      <c r="E106" s="398"/>
      <c r="F106" s="398"/>
      <c r="G106" s="491"/>
      <c r="H106" s="398"/>
      <c r="I106" s="398"/>
      <c r="J106" s="398"/>
      <c r="K106" s="398"/>
      <c r="L106" s="398"/>
      <c r="M106" s="398"/>
      <c r="N106" s="399"/>
      <c r="O106" s="399"/>
      <c r="P106" s="399"/>
      <c r="Q106" s="398"/>
      <c r="R106" s="323"/>
      <c r="S106" s="323"/>
    </row>
    <row r="107" spans="1:26"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26"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26"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26"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26"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26"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b2Phy1CDzAlcDK9w3A/KaeTSxxuF6eBcvbt7PLi01+vSHQ6v0QJNW4gReBL90VRmG71RWTdsEJrV7D5z72ikSw==" saltValue="WYxgDQSBXaxRijtEr7pNyg=="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A38: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3"/>
      <c r="C3" s="493"/>
      <c r="D3" s="493"/>
      <c r="E3" s="493"/>
      <c r="F3" s="493"/>
      <c r="G3" s="493"/>
      <c r="H3" s="493"/>
      <c r="I3" s="493"/>
      <c r="J3" s="493"/>
      <c r="K3" s="493"/>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7si+sZCzv5fr1Xy2jOwX7uyUSVV2o/AO1SXJKu3nJ5F/2pL07lk3qkkKtjFUs1tV2q4y5MW67VPg1y1UiQwtyQ==" saltValue="jYrz5v3fs+x+vSM4+7zkk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8">
        <f>Main!D3</f>
        <v>0</v>
      </c>
      <c r="E10" s="568"/>
      <c r="F10" s="568"/>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7" t="s">
        <v>385</v>
      </c>
      <c r="F15" s="567"/>
      <c r="G15" s="567"/>
      <c r="H15" s="567"/>
    </row>
    <row r="16" spans="3:8" ht="15" x14ac:dyDescent="0.2">
      <c r="C16" s="136"/>
      <c r="D16" s="78"/>
      <c r="E16" s="304" t="s">
        <v>124</v>
      </c>
      <c r="F16" s="304"/>
      <c r="G16" s="304"/>
      <c r="H16" s="304"/>
    </row>
    <row r="17" spans="3:8" ht="15" x14ac:dyDescent="0.2">
      <c r="C17" s="136"/>
      <c r="D17" s="78"/>
      <c r="E17" s="566" t="s">
        <v>125</v>
      </c>
      <c r="F17" s="566"/>
      <c r="G17" s="566"/>
      <c r="H17" s="566"/>
    </row>
    <row r="18" spans="3:8" ht="15" x14ac:dyDescent="0.2">
      <c r="C18" s="136"/>
      <c r="D18" s="78"/>
      <c r="E18" s="566" t="s">
        <v>6</v>
      </c>
      <c r="F18" s="566"/>
      <c r="G18" s="566"/>
      <c r="H18" s="566"/>
    </row>
    <row r="19" spans="3:8" ht="15" x14ac:dyDescent="0.2">
      <c r="C19" s="136"/>
      <c r="D19" s="78"/>
      <c r="E19" s="566" t="s">
        <v>130</v>
      </c>
      <c r="F19" s="566"/>
      <c r="G19" s="566"/>
      <c r="H19" s="566"/>
    </row>
    <row r="20" spans="3:8" ht="15" x14ac:dyDescent="0.2">
      <c r="C20" s="136"/>
      <c r="D20" s="78"/>
      <c r="E20" s="566" t="s">
        <v>127</v>
      </c>
      <c r="F20" s="566"/>
      <c r="G20" s="566"/>
      <c r="H20" s="566"/>
    </row>
    <row r="21" spans="3:8" ht="15" x14ac:dyDescent="0.2">
      <c r="C21" s="136"/>
      <c r="D21" s="78"/>
      <c r="E21" s="566" t="s">
        <v>128</v>
      </c>
      <c r="F21" s="566"/>
      <c r="G21" s="566"/>
      <c r="H21" s="566"/>
    </row>
    <row r="22" spans="3:8" ht="15" x14ac:dyDescent="0.2">
      <c r="C22" s="136"/>
      <c r="D22" s="78"/>
      <c r="E22" s="566" t="s">
        <v>106</v>
      </c>
      <c r="F22" s="566"/>
      <c r="G22" s="566"/>
      <c r="H22" s="566"/>
    </row>
    <row r="23" spans="3:8" ht="15" x14ac:dyDescent="0.2">
      <c r="C23" s="136"/>
      <c r="D23" s="78"/>
      <c r="E23" s="566" t="s">
        <v>129</v>
      </c>
      <c r="F23" s="566"/>
      <c r="G23" s="566"/>
      <c r="H23" s="566"/>
    </row>
    <row r="24" spans="3:8" ht="15" x14ac:dyDescent="0.2">
      <c r="C24" s="87"/>
      <c r="D24" s="78"/>
      <c r="E24" s="566" t="s">
        <v>149</v>
      </c>
      <c r="F24" s="566"/>
      <c r="G24" s="566"/>
      <c r="H24" s="566"/>
    </row>
    <row r="25" spans="3:8" ht="15" x14ac:dyDescent="0.2">
      <c r="C25" s="87"/>
      <c r="D25" s="78"/>
      <c r="E25" s="566"/>
      <c r="F25" s="566"/>
      <c r="G25" s="566"/>
      <c r="H25" s="566"/>
    </row>
    <row r="26" spans="3:8" ht="15" x14ac:dyDescent="0.2">
      <c r="C26" s="87"/>
      <c r="D26" s="78"/>
      <c r="E26" s="566"/>
      <c r="F26" s="566"/>
      <c r="G26" s="566"/>
      <c r="H26" s="566"/>
    </row>
    <row r="27" spans="3:8" ht="15" x14ac:dyDescent="0.2">
      <c r="C27" s="87"/>
      <c r="D27" s="78"/>
      <c r="E27" s="566"/>
      <c r="F27" s="566"/>
      <c r="G27" s="566"/>
      <c r="H27" s="566"/>
    </row>
    <row r="28" spans="3:8" ht="15" x14ac:dyDescent="0.2">
      <c r="C28" s="87"/>
      <c r="D28" s="78"/>
      <c r="E28" s="566"/>
      <c r="F28" s="566"/>
      <c r="G28" s="566"/>
      <c r="H28" s="566"/>
    </row>
    <row r="29" spans="3:8" ht="15" x14ac:dyDescent="0.2">
      <c r="C29" s="87"/>
      <c r="D29" s="78"/>
      <c r="E29" s="566"/>
      <c r="F29" s="566"/>
      <c r="G29" s="566"/>
      <c r="H29" s="566"/>
    </row>
    <row r="30" spans="3:8" ht="15" x14ac:dyDescent="0.2">
      <c r="C30" s="87"/>
      <c r="D30" s="78"/>
      <c r="E30" s="566"/>
      <c r="F30" s="566"/>
      <c r="G30" s="566"/>
      <c r="H30" s="566"/>
    </row>
    <row r="31" spans="3:8" ht="15" x14ac:dyDescent="0.2">
      <c r="C31" s="263" t="s">
        <v>386</v>
      </c>
      <c r="E31" s="566"/>
      <c r="F31" s="566"/>
      <c r="G31" s="566"/>
      <c r="H31" s="566"/>
    </row>
    <row r="32" spans="3:8" ht="15" x14ac:dyDescent="0.2">
      <c r="C32" s="87"/>
      <c r="D32" s="78"/>
      <c r="E32" s="566"/>
      <c r="F32" s="566"/>
      <c r="G32" s="566"/>
      <c r="H32" s="566"/>
    </row>
    <row r="33" spans="3:8" ht="15" x14ac:dyDescent="0.2">
      <c r="C33" s="87"/>
      <c r="D33" s="78"/>
      <c r="E33" s="566"/>
      <c r="F33" s="566"/>
      <c r="G33" s="566"/>
      <c r="H33" s="566"/>
    </row>
    <row r="34" spans="3:8" ht="15" x14ac:dyDescent="0.2">
      <c r="C34" s="87"/>
      <c r="D34" s="78"/>
      <c r="E34" s="566"/>
      <c r="F34" s="566"/>
      <c r="G34" s="566"/>
      <c r="H34" s="566"/>
    </row>
    <row r="35" spans="3:8" ht="15" x14ac:dyDescent="0.2">
      <c r="C35" s="87"/>
      <c r="D35" s="78"/>
      <c r="E35" s="566"/>
      <c r="F35" s="566"/>
      <c r="G35" s="566"/>
      <c r="H35" s="566"/>
    </row>
    <row r="36" spans="3:8" ht="15" x14ac:dyDescent="0.2">
      <c r="C36" s="78"/>
      <c r="D36" s="78"/>
      <c r="E36" s="566"/>
      <c r="F36" s="566"/>
      <c r="G36" s="566"/>
      <c r="H36" s="566"/>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lg3o74BgLu779yAAZIf/8ARkFLDLIEmPYRJD7F44barOW4lJDQPWYCUAGEuIezD1fXRPIbrK6vfSFy3wkEz6WA==" saltValue="5CRSo65qTnmuX2WjnaZpj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5" t="s">
        <v>116</v>
      </c>
      <c r="E1" s="585"/>
      <c r="F1" s="585"/>
      <c r="G1" s="585"/>
      <c r="H1" s="585"/>
      <c r="I1" s="585"/>
      <c r="J1" s="585"/>
      <c r="K1" s="585"/>
      <c r="L1" s="585"/>
      <c r="M1" s="585"/>
    </row>
    <row r="2" spans="1:18" ht="23.25" customHeight="1" x14ac:dyDescent="0.3">
      <c r="C2" s="245"/>
      <c r="D2" s="245" t="s">
        <v>325</v>
      </c>
      <c r="E2" s="245"/>
      <c r="F2" s="245"/>
      <c r="G2" s="245"/>
      <c r="H2" s="245"/>
      <c r="I2" s="245"/>
      <c r="J2" s="245"/>
      <c r="K2" s="245"/>
      <c r="L2" s="245"/>
      <c r="M2" s="245"/>
    </row>
    <row r="3" spans="1:18" ht="23.25" x14ac:dyDescent="0.35">
      <c r="C3" s="586"/>
      <c r="D3" s="586"/>
      <c r="E3" s="586"/>
      <c r="F3" s="586"/>
      <c r="G3" s="586"/>
      <c r="H3" s="586"/>
      <c r="I3" s="586"/>
      <c r="J3" s="586"/>
      <c r="K3" s="586"/>
      <c r="L3" s="586"/>
      <c r="M3" s="586"/>
    </row>
    <row r="4" spans="1:18" ht="23.25" x14ac:dyDescent="0.35">
      <c r="C4" s="229"/>
      <c r="D4" s="229"/>
      <c r="E4" s="229"/>
      <c r="F4" s="229"/>
      <c r="G4" s="229"/>
      <c r="H4" s="229"/>
      <c r="I4" s="229"/>
      <c r="J4" s="229"/>
      <c r="K4" s="229"/>
      <c r="L4" s="229"/>
      <c r="M4" s="229"/>
    </row>
    <row r="5" spans="1:18" ht="23.25" x14ac:dyDescent="0.35">
      <c r="C5" s="603" t="s">
        <v>6</v>
      </c>
      <c r="D5" s="603"/>
      <c r="E5" s="603"/>
      <c r="F5" s="603"/>
      <c r="G5" s="603"/>
      <c r="H5" s="603"/>
      <c r="I5" s="603"/>
      <c r="J5" s="603"/>
      <c r="K5" s="603"/>
      <c r="L5" s="603"/>
      <c r="M5" s="603"/>
    </row>
    <row r="6" spans="1:18" ht="23.25" x14ac:dyDescent="0.35">
      <c r="C6" s="230"/>
      <c r="D6" s="230"/>
      <c r="E6" s="569" t="str">
        <f>IFERROR(CONCATENATE("Report Number: ", WorkItemNumber),"")</f>
        <v/>
      </c>
      <c r="F6" s="569"/>
      <c r="G6" s="569"/>
      <c r="H6" s="569"/>
      <c r="I6" s="569"/>
      <c r="J6" s="569"/>
      <c r="K6" s="569"/>
      <c r="L6" s="230"/>
      <c r="M6" s="230"/>
    </row>
    <row r="7" spans="1:18" ht="18.75" customHeight="1" x14ac:dyDescent="0.3">
      <c r="G7" s="581"/>
      <c r="H7" s="581"/>
      <c r="I7" s="204"/>
      <c r="R7" t="str">
        <f>CONCATENATE("Page ",Main!L9," of ",Main!L10)</f>
        <v xml:space="preserve">Page  of </v>
      </c>
    </row>
    <row r="8" spans="1:18" ht="18" customHeight="1" x14ac:dyDescent="0.25">
      <c r="G8" s="598"/>
      <c r="H8" s="598"/>
      <c r="J8" s="84"/>
      <c r="K8" s="231" t="s">
        <v>322</v>
      </c>
      <c r="L8" s="582">
        <f>FormNumber</f>
        <v>0</v>
      </c>
      <c r="M8" s="582"/>
      <c r="N8" s="582"/>
      <c r="O8" s="582"/>
    </row>
    <row r="9" spans="1:18" ht="18" customHeight="1" x14ac:dyDescent="0.25">
      <c r="A9" s="231" t="s">
        <v>279</v>
      </c>
      <c r="B9" s="34" t="e">
        <f>Main!D5</f>
        <v>#N/A</v>
      </c>
      <c r="J9" s="84"/>
      <c r="K9" s="231" t="s">
        <v>323</v>
      </c>
      <c r="L9" s="583">
        <f>CalMethod</f>
        <v>0</v>
      </c>
      <c r="M9" s="583"/>
      <c r="N9" s="583"/>
      <c r="O9" s="583"/>
    </row>
    <row r="10" spans="1:18" ht="18" customHeight="1" x14ac:dyDescent="0.25">
      <c r="A10" s="93"/>
      <c r="B10" s="226" t="str" cm="1">
        <f t="array" ref="B10">IFERROR(_xlfn.XLOOKUP(clientCompanyId,customers_table[company_id],customers_table[Address1]),"")</f>
        <v/>
      </c>
      <c r="J10" s="84"/>
      <c r="K10" s="231"/>
      <c r="L10" s="583"/>
      <c r="M10" s="583"/>
      <c r="N10" s="583"/>
      <c r="O10" s="583"/>
    </row>
    <row r="11" spans="1:18" ht="18" customHeight="1" x14ac:dyDescent="0.25">
      <c r="A11" s="93"/>
      <c r="B11" s="226" t="str" cm="1">
        <f t="array" ref="B11">IFERROR(_xlfn.XLOOKUP(clientCompanyId,customers_table[company_id],customers_table[Merged]),"")</f>
        <v/>
      </c>
      <c r="J11" s="84"/>
      <c r="K11" s="231" t="s">
        <v>324</v>
      </c>
      <c r="L11" s="582">
        <f>TolSource</f>
        <v>0</v>
      </c>
      <c r="M11" s="582"/>
      <c r="N11" s="582"/>
      <c r="O11" s="582"/>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0">
        <f>SerialNumber</f>
        <v>0</v>
      </c>
      <c r="C16" s="600"/>
      <c r="D16" s="600"/>
      <c r="E16" s="600"/>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89">
        <f>Class</f>
        <v>0</v>
      </c>
      <c r="C18" s="589"/>
      <c r="D18" s="589"/>
      <c r="E18" s="589"/>
      <c r="G18" s="231" t="s">
        <v>289</v>
      </c>
      <c r="H18" s="235">
        <f>CubicFeet</f>
        <v>0</v>
      </c>
      <c r="M18" s="231" t="s">
        <v>293</v>
      </c>
      <c r="N18" s="235" t="str">
        <f>Main!G18</f>
        <v>ACCEPTED</v>
      </c>
      <c r="O18" s="210"/>
    </row>
    <row r="19" spans="1:19" ht="18" customHeight="1" x14ac:dyDescent="0.25">
      <c r="A19" s="221"/>
      <c r="B19" s="590"/>
      <c r="C19" s="590"/>
      <c r="D19" s="590"/>
      <c r="E19" s="590"/>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1">
        <f>Controller</f>
        <v>0</v>
      </c>
      <c r="C21" s="601"/>
      <c r="D21" s="601"/>
      <c r="E21" s="601"/>
      <c r="F21" s="222" t="s">
        <v>296</v>
      </c>
      <c r="G21" s="601">
        <f>ContSN</f>
        <v>0</v>
      </c>
      <c r="H21" s="601"/>
      <c r="I21" s="601"/>
      <c r="J21" s="222" t="s">
        <v>297</v>
      </c>
      <c r="K21" s="234">
        <f>ContTol</f>
        <v>0</v>
      </c>
      <c r="L21" s="208"/>
      <c r="M21" s="222" t="s">
        <v>298</v>
      </c>
      <c r="N21" s="247" t="str">
        <f>Main!G27</f>
        <v/>
      </c>
      <c r="O21" s="209"/>
    </row>
    <row r="22" spans="1:19" ht="18" customHeight="1" x14ac:dyDescent="0.25">
      <c r="A22" s="240" t="s">
        <v>295</v>
      </c>
      <c r="B22" s="602">
        <f>_xlnm.Recorder</f>
        <v>0</v>
      </c>
      <c r="C22" s="602"/>
      <c r="D22" s="602"/>
      <c r="E22" s="602"/>
      <c r="F22" s="223" t="s">
        <v>296</v>
      </c>
      <c r="G22" s="602">
        <f>RecSN</f>
        <v>0</v>
      </c>
      <c r="H22" s="602"/>
      <c r="I22" s="602"/>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599" t="s">
        <v>307</v>
      </c>
      <c r="D27" s="599"/>
      <c r="E27" s="599"/>
      <c r="F27" s="599"/>
      <c r="G27" s="599"/>
      <c r="H27" s="599"/>
      <c r="I27" s="599"/>
      <c r="J27" s="599"/>
      <c r="K27" s="599"/>
      <c r="L27" s="599"/>
      <c r="M27" s="599"/>
      <c r="N27" s="211"/>
      <c r="O27" s="212"/>
    </row>
    <row r="28" spans="1:19" ht="8.1" customHeight="1" x14ac:dyDescent="0.2"/>
    <row r="29" spans="1:19" ht="18" customHeight="1" x14ac:dyDescent="0.2">
      <c r="A29" s="595" t="s">
        <v>277</v>
      </c>
      <c r="B29" s="596"/>
      <c r="C29" s="597"/>
      <c r="D29" s="595" t="s">
        <v>308</v>
      </c>
      <c r="E29" s="596"/>
      <c r="F29" s="596"/>
      <c r="G29" s="597"/>
      <c r="H29" s="595" t="s">
        <v>278</v>
      </c>
      <c r="I29" s="596"/>
      <c r="J29" s="596"/>
      <c r="K29" s="597"/>
      <c r="L29" s="595" t="s">
        <v>259</v>
      </c>
      <c r="M29" s="596"/>
      <c r="N29" s="596"/>
      <c r="O29" s="597"/>
    </row>
    <row r="30" spans="1:19" ht="18" customHeight="1" x14ac:dyDescent="0.2">
      <c r="A30" s="227"/>
      <c r="B30" s="217">
        <f>TestLocation</f>
        <v>0</v>
      </c>
      <c r="C30" s="228"/>
      <c r="D30" s="592" t="str">
        <f>CONCATENATE(Main!D22,"°F"," / ",Main!D23,"% RH")</f>
        <v>°F / % RH</v>
      </c>
      <c r="E30" s="593"/>
      <c r="F30" s="593"/>
      <c r="G30" s="594"/>
      <c r="H30" s="592">
        <f>OvenLocation</f>
        <v>0</v>
      </c>
      <c r="I30" s="593"/>
      <c r="J30" s="593"/>
      <c r="K30" s="594"/>
      <c r="L30" s="592">
        <f>Condition</f>
        <v>0</v>
      </c>
      <c r="M30" s="593"/>
      <c r="N30" s="593"/>
      <c r="O30" s="594"/>
    </row>
    <row r="31" spans="1:19" ht="18" customHeight="1" x14ac:dyDescent="0.2"/>
    <row r="32" spans="1:19" ht="18" customHeight="1" x14ac:dyDescent="0.25">
      <c r="A32" s="250" t="s">
        <v>309</v>
      </c>
      <c r="B32" s="584" t="s">
        <v>310</v>
      </c>
      <c r="C32" s="584"/>
      <c r="D32" s="250" t="s">
        <v>273</v>
      </c>
      <c r="E32" s="250" t="s">
        <v>272</v>
      </c>
      <c r="F32" s="250" t="s">
        <v>311</v>
      </c>
      <c r="G32" s="84"/>
      <c r="H32" s="84"/>
      <c r="I32" s="250" t="s">
        <v>309</v>
      </c>
      <c r="J32" s="584" t="s">
        <v>310</v>
      </c>
      <c r="K32" s="584"/>
      <c r="L32" s="250" t="s">
        <v>273</v>
      </c>
      <c r="M32" s="250" t="s">
        <v>272</v>
      </c>
      <c r="N32" s="250" t="s">
        <v>311</v>
      </c>
    </row>
    <row r="33" spans="1:14" ht="18" customHeight="1" x14ac:dyDescent="0.2">
      <c r="A33" s="251" t="str">
        <f>IF(B33="","",1)</f>
        <v/>
      </c>
      <c r="B33" s="581" t="str">
        <f>IF(Main!O5="","",Main!O5)</f>
        <v/>
      </c>
      <c r="C33" s="581"/>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1" t="str">
        <f>IF(Main!O25="","",Main!O25)</f>
        <v/>
      </c>
      <c r="K33" s="581"/>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1" t="str">
        <f>IF(Main!O6="","",Main!O6)</f>
        <v/>
      </c>
      <c r="C34" s="581"/>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1" t="str">
        <f>IF(Main!O26="","",Main!O26)</f>
        <v/>
      </c>
      <c r="K34" s="581"/>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1" t="str">
        <f>IF(Main!O7="","",Main!O7)</f>
        <v/>
      </c>
      <c r="C35" s="581"/>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1" t="str">
        <f>IF(Main!O27="","",Main!O27)</f>
        <v/>
      </c>
      <c r="K35" s="581"/>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1" t="str">
        <f>IF(Main!O8="","",Main!O8)</f>
        <v/>
      </c>
      <c r="C36" s="581"/>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1" t="str">
        <f>IF(Main!O28="","",Main!O28)</f>
        <v/>
      </c>
      <c r="K36" s="581"/>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1" t="str">
        <f>IF(Main!O9="","",Main!O9)</f>
        <v/>
      </c>
      <c r="C37" s="581"/>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1" t="str">
        <f>IF(Main!O29="","",Main!O29)</f>
        <v/>
      </c>
      <c r="K37" s="581"/>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1" t="str">
        <f>IF(Main!O10="","",Main!O10)</f>
        <v/>
      </c>
      <c r="C38" s="581"/>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1" t="str">
        <f>IF(Main!O30="","",Main!O30)</f>
        <v/>
      </c>
      <c r="K38" s="581"/>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1" t="str">
        <f>IF(Main!O11="","",Main!O11)</f>
        <v/>
      </c>
      <c r="C39" s="581"/>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1" t="str">
        <f>IF(Main!O31="","",Main!O31)</f>
        <v/>
      </c>
      <c r="K39" s="581"/>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1" t="str">
        <f>IF(Main!O12="","",Main!O12)</f>
        <v/>
      </c>
      <c r="C40" s="581"/>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1" t="str">
        <f>IF(Main!O32="","",Main!O32)</f>
        <v/>
      </c>
      <c r="K40" s="581"/>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1" t="str">
        <f>IF(Main!O13="","",Main!O13)</f>
        <v/>
      </c>
      <c r="C41" s="581"/>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1" t="str">
        <f>IF(Main!O33="","",Main!O33)</f>
        <v/>
      </c>
      <c r="K41" s="581"/>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1" t="str">
        <f>IF(Main!O14="","",Main!O14)</f>
        <v/>
      </c>
      <c r="C42" s="581"/>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1" t="str">
        <f>IF(Main!O34="","",Main!O34)</f>
        <v/>
      </c>
      <c r="K42" s="581"/>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1" t="str">
        <f>IF(Main!O15="","",Main!O15)</f>
        <v/>
      </c>
      <c r="C43" s="581"/>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1" t="str">
        <f>IF(Main!O35="","",Main!O35)</f>
        <v/>
      </c>
      <c r="K43" s="581"/>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1" t="str">
        <f>IF(Main!O16="","",Main!O16)</f>
        <v/>
      </c>
      <c r="C44" s="581"/>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1" t="str">
        <f>IF(Main!O36="","",Main!O36)</f>
        <v/>
      </c>
      <c r="K44" s="581"/>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1" t="str">
        <f>IF(Main!O17="","",Main!O17)</f>
        <v/>
      </c>
      <c r="C45" s="581"/>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1" t="str">
        <f>IF(Main!O37="","",Main!O37)</f>
        <v/>
      </c>
      <c r="K45" s="581"/>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1" t="str">
        <f>IF(Main!O18="","",Main!O18)</f>
        <v/>
      </c>
      <c r="C46" s="581"/>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1" t="str">
        <f>IF(Main!O38="","",Main!O38)</f>
        <v/>
      </c>
      <c r="K46" s="581"/>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1" t="str">
        <f>IF(Main!O19="","",Main!O19)</f>
        <v/>
      </c>
      <c r="C47" s="581"/>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1" t="str">
        <f>IF(Main!O39="","",Main!O39)</f>
        <v/>
      </c>
      <c r="K47" s="581"/>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1" t="str">
        <f>IF(Main!O20="","",Main!O20)</f>
        <v/>
      </c>
      <c r="C48" s="581"/>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1" t="str">
        <f>IF(Main!O40="","",Main!O40)</f>
        <v/>
      </c>
      <c r="K48" s="581"/>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1" t="str">
        <f>IF(Main!O21="","",Main!O21)</f>
        <v/>
      </c>
      <c r="C49" s="581"/>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1" t="str">
        <f>IF(Main!O41="","",Main!O41)</f>
        <v/>
      </c>
      <c r="K49" s="581"/>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1" t="str">
        <f>IF(Main!O22="","",Main!O22)</f>
        <v/>
      </c>
      <c r="C50" s="581"/>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1" t="str">
        <f>IF(Main!O42="","",Main!O42)</f>
        <v/>
      </c>
      <c r="K50" s="581"/>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1" t="str">
        <f>IF(Main!O23="","",Main!O23)</f>
        <v/>
      </c>
      <c r="C51" s="581"/>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1" t="str">
        <f>IF(Main!O43="","",Main!O43)</f>
        <v/>
      </c>
      <c r="K51" s="581"/>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1" t="str">
        <f>IF(Main!O24="","",Main!O24)</f>
        <v/>
      </c>
      <c r="C52" s="581"/>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1" t="str">
        <f>IF(Main!O44="","",Main!O44)</f>
        <v/>
      </c>
      <c r="K52" s="581"/>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88" t="s">
        <v>312</v>
      </c>
      <c r="C53" s="588"/>
      <c r="D53" s="588"/>
      <c r="E53" s="588"/>
      <c r="F53" s="588"/>
      <c r="G53" s="588"/>
      <c r="H53" s="588"/>
      <c r="I53" s="588"/>
      <c r="J53" s="588"/>
      <c r="K53" s="588"/>
      <c r="L53" s="588"/>
      <c r="M53" s="588"/>
      <c r="N53" s="588"/>
    </row>
    <row r="54" spans="1:20" ht="18" customHeight="1" x14ac:dyDescent="0.25">
      <c r="A54" s="253" t="s">
        <v>313</v>
      </c>
      <c r="B54" s="583" t="str">
        <f>CONCATENATE(Main!G23,"  ",FurnaceSpecificComments)</f>
        <v xml:space="preserve">Found in tolerance.  No adjustment required.  </v>
      </c>
      <c r="C54" s="583"/>
      <c r="D54" s="583"/>
      <c r="E54" s="583"/>
      <c r="F54" s="583"/>
      <c r="G54" s="583"/>
      <c r="H54" s="583"/>
      <c r="I54" s="583"/>
      <c r="J54" s="583"/>
      <c r="K54" s="583"/>
      <c r="L54" s="583"/>
      <c r="M54" s="583"/>
      <c r="N54" s="583"/>
      <c r="O54" s="583"/>
    </row>
    <row r="55" spans="1:20" ht="18" customHeight="1" x14ac:dyDescent="0.25">
      <c r="A55" s="81"/>
      <c r="B55" s="583"/>
      <c r="C55" s="583"/>
      <c r="D55" s="583"/>
      <c r="E55" s="583"/>
      <c r="F55" s="583"/>
      <c r="G55" s="583"/>
      <c r="H55" s="583"/>
      <c r="I55" s="583"/>
      <c r="J55" s="583"/>
      <c r="K55" s="583"/>
      <c r="L55" s="583"/>
      <c r="M55" s="583"/>
      <c r="N55" s="583"/>
      <c r="O55" s="583"/>
    </row>
    <row r="56" spans="1:20" ht="18" customHeight="1" x14ac:dyDescent="0.25">
      <c r="A56" s="81"/>
      <c r="B56" s="583"/>
      <c r="C56" s="583"/>
      <c r="D56" s="583"/>
      <c r="E56" s="583"/>
      <c r="F56" s="583"/>
      <c r="G56" s="583"/>
      <c r="H56" s="583"/>
      <c r="I56" s="583"/>
      <c r="J56" s="583"/>
      <c r="K56" s="583"/>
      <c r="L56" s="583"/>
      <c r="M56" s="583"/>
      <c r="N56" s="583"/>
      <c r="O56" s="583"/>
    </row>
    <row r="57" spans="1:20" ht="18" customHeight="1" x14ac:dyDescent="0.25">
      <c r="A57" s="81"/>
      <c r="B57" s="583"/>
      <c r="C57" s="583"/>
      <c r="D57" s="583"/>
      <c r="E57" s="583"/>
      <c r="F57" s="583"/>
      <c r="G57" s="583"/>
      <c r="H57" s="583"/>
      <c r="I57" s="583"/>
      <c r="J57" s="583"/>
      <c r="K57" s="583"/>
      <c r="L57" s="583"/>
      <c r="M57" s="583"/>
      <c r="N57" s="583"/>
      <c r="O57" s="583"/>
    </row>
    <row r="58" spans="1:20" ht="18" customHeight="1" x14ac:dyDescent="0.25">
      <c r="A58" s="81"/>
      <c r="B58" s="583"/>
      <c r="C58" s="583"/>
      <c r="D58" s="583"/>
      <c r="E58" s="583"/>
      <c r="F58" s="583"/>
      <c r="G58" s="583"/>
      <c r="H58" s="583"/>
      <c r="I58" s="583"/>
      <c r="J58" s="583"/>
      <c r="K58" s="583"/>
      <c r="L58" s="583"/>
      <c r="M58" s="583"/>
      <c r="N58" s="583"/>
      <c r="O58" s="583"/>
    </row>
    <row r="59" spans="1:20" ht="18" customHeight="1" x14ac:dyDescent="0.25">
      <c r="A59" s="81"/>
      <c r="B59" s="583"/>
      <c r="C59" s="583"/>
      <c r="D59" s="583"/>
      <c r="E59" s="583"/>
      <c r="F59" s="583"/>
      <c r="G59" s="583"/>
      <c r="H59" s="583"/>
      <c r="I59" s="583"/>
      <c r="J59" s="583"/>
      <c r="K59" s="583"/>
      <c r="L59" s="583"/>
      <c r="M59" s="583"/>
      <c r="N59" s="583"/>
      <c r="O59" s="583"/>
    </row>
    <row r="60" spans="1:20" ht="18" customHeight="1" x14ac:dyDescent="0.2">
      <c r="A60" s="587" t="s">
        <v>321</v>
      </c>
      <c r="B60" s="587"/>
      <c r="C60" s="587"/>
      <c r="D60" s="587"/>
      <c r="E60" s="587"/>
      <c r="F60" s="587"/>
      <c r="G60" s="587"/>
      <c r="H60" s="587"/>
      <c r="I60" s="587"/>
      <c r="J60" s="587"/>
      <c r="K60" s="587"/>
      <c r="L60" s="587"/>
      <c r="M60" s="587"/>
      <c r="N60" s="587"/>
      <c r="O60" s="587"/>
    </row>
    <row r="61" spans="1:20" ht="18" customHeight="1" x14ac:dyDescent="0.2">
      <c r="A61" s="591" t="s">
        <v>314</v>
      </c>
      <c r="B61" s="591"/>
      <c r="C61" s="591"/>
      <c r="D61" s="591"/>
      <c r="E61" s="591"/>
      <c r="F61" s="580" t="s">
        <v>315</v>
      </c>
      <c r="G61" s="580"/>
      <c r="H61" s="580"/>
      <c r="I61" s="580" t="s">
        <v>316</v>
      </c>
      <c r="J61" s="580"/>
      <c r="K61" s="580" t="s">
        <v>317</v>
      </c>
      <c r="L61" s="580"/>
      <c r="M61" s="580" t="s">
        <v>318</v>
      </c>
      <c r="N61" s="580"/>
      <c r="O61" s="580"/>
      <c r="R61" s="39" t="s">
        <v>884</v>
      </c>
      <c r="T61" s="39" t="s">
        <v>885</v>
      </c>
    </row>
    <row r="62" spans="1:20" ht="18" customHeight="1" x14ac:dyDescent="0.2">
      <c r="A62" s="570" t="str">
        <f>IF(F62="","",CONCATENATE(T62," - ",R62))</f>
        <v/>
      </c>
      <c r="B62" s="571"/>
      <c r="C62" s="571"/>
      <c r="D62" s="571"/>
      <c r="E62" s="572"/>
      <c r="F62" s="570" t="str" cm="1">
        <f t="array" ref="F62">IFERROR(
  _xlfn.XLOOKUP(
    Main!D9,
    _xlfn._xlws.FILTER(AssetPool[asset_tag], AssetPool[root_category_name]="DAQ Modules"),
    _xlfn._xlws.FILTER(AssetPool[serial_number], AssetPool[root_category_name]="DAQ Modules")
  ),
  ""
)</f>
        <v/>
      </c>
      <c r="G62" s="571"/>
      <c r="H62" s="572"/>
      <c r="I62" s="576" t="str">
        <f>IF(F62="","",Main!D12)</f>
        <v/>
      </c>
      <c r="J62" s="577"/>
      <c r="K62" s="576" t="str">
        <f>IF(F62="","",Main!D13)</f>
        <v/>
      </c>
      <c r="L62" s="577"/>
      <c r="M62" s="605" t="str">
        <f>IF(F62="","",REPLACE(Main!D14,3,1,""))</f>
        <v/>
      </c>
      <c r="N62" s="606"/>
      <c r="O62" s="607"/>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3" t="str">
        <f t="shared" ref="A63:A68" si="0">IF(Q63="","",CONCATENATE(T63," - ",R63))</f>
        <v/>
      </c>
      <c r="B63" s="574"/>
      <c r="C63" s="574"/>
      <c r="D63" s="574"/>
      <c r="E63" s="575"/>
      <c r="F63" s="573" t="str">
        <f>IF(Main!D48,Main!D48,"")</f>
        <v/>
      </c>
      <c r="G63" s="574"/>
      <c r="H63" s="575"/>
      <c r="I63" s="578" t="str">
        <f>IF(Q63="","",Main!D49)</f>
        <v/>
      </c>
      <c r="J63" s="579"/>
      <c r="K63" s="578" t="str">
        <f>IF(Q63="","",Main!D50)</f>
        <v/>
      </c>
      <c r="L63" s="579"/>
      <c r="M63" s="573" t="str">
        <f>IF(Q63="","",Main!D54)</f>
        <v/>
      </c>
      <c r="N63" s="574"/>
      <c r="O63" s="575"/>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3" t="str">
        <f t="shared" si="0"/>
        <v/>
      </c>
      <c r="B64" s="574"/>
      <c r="C64" s="574"/>
      <c r="D64" s="574"/>
      <c r="E64" s="575"/>
      <c r="F64" s="573" t="str">
        <f>IF(Main!E48,Main!E48,"")</f>
        <v/>
      </c>
      <c r="G64" s="574"/>
      <c r="H64" s="575"/>
      <c r="I64" s="578" t="str">
        <f>IF(Q64="","",Main!E49)</f>
        <v/>
      </c>
      <c r="J64" s="579"/>
      <c r="K64" s="578" t="str">
        <f>IF(Q64="","",Main!E50)</f>
        <v/>
      </c>
      <c r="L64" s="579"/>
      <c r="M64" s="573" t="str">
        <f>IF(Q64="","",Main!E54)</f>
        <v/>
      </c>
      <c r="N64" s="574"/>
      <c r="O64" s="575"/>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3" t="str">
        <f t="shared" si="0"/>
        <v/>
      </c>
      <c r="B65" s="574"/>
      <c r="C65" s="574"/>
      <c r="D65" s="574"/>
      <c r="E65" s="575"/>
      <c r="F65" s="573" t="str">
        <f>IF(Main!F48,Main!F48,"")</f>
        <v/>
      </c>
      <c r="G65" s="574"/>
      <c r="H65" s="575"/>
      <c r="I65" s="578" t="str">
        <f>IF(Q65="","",Main!F49)</f>
        <v/>
      </c>
      <c r="J65" s="579"/>
      <c r="K65" s="578" t="str">
        <f>IF(Q65="","",Main!F50)</f>
        <v/>
      </c>
      <c r="L65" s="579"/>
      <c r="M65" s="573" t="str">
        <f>IF(Q65="","",Main!F54)</f>
        <v/>
      </c>
      <c r="N65" s="574"/>
      <c r="O65" s="575"/>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3" t="str">
        <f t="shared" si="0"/>
        <v/>
      </c>
      <c r="B66" s="574"/>
      <c r="C66" s="574"/>
      <c r="D66" s="574"/>
      <c r="E66" s="575"/>
      <c r="F66" s="573" t="str">
        <f>IF(Main!G48,Main!G48,"")</f>
        <v/>
      </c>
      <c r="G66" s="574"/>
      <c r="H66" s="575"/>
      <c r="I66" s="578" t="str">
        <f>IF(Q66="","",Main!G49)</f>
        <v/>
      </c>
      <c r="J66" s="579"/>
      <c r="K66" s="578" t="str">
        <f>IF(Q66="","",Main!G50)</f>
        <v/>
      </c>
      <c r="L66" s="579"/>
      <c r="M66" s="573" t="str">
        <f>IF(Q66="","",Main!G54)</f>
        <v/>
      </c>
      <c r="N66" s="574"/>
      <c r="O66" s="575"/>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3" t="str">
        <f t="shared" si="0"/>
        <v/>
      </c>
      <c r="B67" s="574"/>
      <c r="C67" s="574"/>
      <c r="D67" s="574"/>
      <c r="E67" s="575"/>
      <c r="F67" s="573" t="str">
        <f>IF(Main!H48,Main!H48,"")</f>
        <v/>
      </c>
      <c r="G67" s="574"/>
      <c r="H67" s="575"/>
      <c r="I67" s="578" t="str">
        <f>IF(Q67="","",Main!H49)</f>
        <v/>
      </c>
      <c r="J67" s="579"/>
      <c r="K67" s="578" t="str">
        <f>IF(Q67="","",Main!H50)</f>
        <v/>
      </c>
      <c r="L67" s="579"/>
      <c r="M67" s="573" t="str">
        <f>IF(Q67="","",Main!H54)</f>
        <v/>
      </c>
      <c r="N67" s="574"/>
      <c r="O67" s="575"/>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3" t="str">
        <f t="shared" si="0"/>
        <v/>
      </c>
      <c r="B68" s="574"/>
      <c r="C68" s="574"/>
      <c r="D68" s="574"/>
      <c r="E68" s="575"/>
      <c r="F68" s="573" t="str">
        <f>IF(Main!I48,Main!I48,"")</f>
        <v/>
      </c>
      <c r="G68" s="574"/>
      <c r="H68" s="575"/>
      <c r="I68" s="578" t="str">
        <f>IF(Q68="","",Main!I49)</f>
        <v/>
      </c>
      <c r="J68" s="579"/>
      <c r="K68" s="578" t="str">
        <f>IF(Q68="","",Main!I50)</f>
        <v/>
      </c>
      <c r="L68" s="579"/>
      <c r="M68" s="573" t="str">
        <f>IF(Q68="","",Main!I54)</f>
        <v/>
      </c>
      <c r="N68" s="574"/>
      <c r="O68" s="575"/>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92" t="str">
        <f>IF(T69="","",CONCATENATE(T69," - ",R69))</f>
        <v/>
      </c>
      <c r="B69" s="593"/>
      <c r="C69" s="593"/>
      <c r="D69" s="593"/>
      <c r="E69" s="594"/>
      <c r="F69" s="608" t="str">
        <f>IF(W69,W69,"")</f>
        <v/>
      </c>
      <c r="G69" s="609"/>
      <c r="H69" s="610"/>
      <c r="I69" s="611"/>
      <c r="J69" s="612"/>
      <c r="K69" s="611"/>
      <c r="L69" s="612"/>
      <c r="M69" s="592"/>
      <c r="N69" s="593"/>
      <c r="O69" s="594"/>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604" t="s">
        <v>373</v>
      </c>
      <c r="B71" s="604"/>
      <c r="C71" s="604"/>
      <c r="D71" s="604"/>
      <c r="E71" s="604"/>
      <c r="F71" s="604"/>
      <c r="G71" s="604"/>
      <c r="H71" s="604"/>
      <c r="I71" s="604"/>
      <c r="J71" s="604"/>
      <c r="K71" s="604"/>
      <c r="L71" s="604"/>
      <c r="M71" s="604"/>
      <c r="N71" s="604"/>
      <c r="O71" s="604"/>
    </row>
    <row r="72" spans="1:20" ht="18" customHeight="1" x14ac:dyDescent="0.2">
      <c r="A72" s="604"/>
      <c r="B72" s="604"/>
      <c r="C72" s="604"/>
      <c r="D72" s="604"/>
      <c r="E72" s="604"/>
      <c r="F72" s="604"/>
      <c r="G72" s="604"/>
      <c r="H72" s="604"/>
      <c r="I72" s="604"/>
      <c r="J72" s="604"/>
      <c r="K72" s="604"/>
      <c r="L72" s="604"/>
      <c r="M72" s="604"/>
      <c r="N72" s="604"/>
      <c r="O72" s="604"/>
    </row>
    <row r="73" spans="1:20" ht="18" customHeight="1" x14ac:dyDescent="0.2">
      <c r="A73" s="604"/>
      <c r="B73" s="604"/>
      <c r="C73" s="604"/>
      <c r="D73" s="604"/>
      <c r="E73" s="604"/>
      <c r="F73" s="604"/>
      <c r="G73" s="604"/>
      <c r="H73" s="604"/>
      <c r="I73" s="604"/>
      <c r="J73" s="604"/>
      <c r="K73" s="604"/>
      <c r="L73" s="604"/>
      <c r="M73" s="604"/>
      <c r="N73" s="604"/>
      <c r="O73" s="604"/>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YQeLbxpwX58IMPsUFrzGZhenPxthyAqr5BJXzbzMqIowjmhbH+cPzpxeFUaf6dGWrYWXq5Uq9ocaQZ1sIeH+9g==" saltValue="GwgzFY7HBifE1wqNYJfbgQ=="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6" t="s">
        <v>103</v>
      </c>
      <c r="N2" s="616"/>
      <c r="O2" s="616"/>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7" t="s">
        <v>104</v>
      </c>
      <c r="N3" s="618"/>
      <c r="O3" s="619"/>
      <c r="P3" s="109"/>
      <c r="Q3" s="109"/>
    </row>
    <row r="4" spans="1:18" ht="15" x14ac:dyDescent="0.25">
      <c r="B4" s="119" t="s">
        <v>25</v>
      </c>
      <c r="C4" s="65"/>
      <c r="D4" s="39"/>
      <c r="E4" s="39"/>
      <c r="F4" s="39"/>
      <c r="G4" s="39"/>
      <c r="H4" s="39"/>
      <c r="I4" s="39"/>
      <c r="J4" s="39"/>
      <c r="K4" s="39"/>
      <c r="L4" s="39"/>
      <c r="M4" s="620" t="s">
        <v>145</v>
      </c>
      <c r="N4" s="621"/>
      <c r="O4" s="622"/>
      <c r="P4" s="91"/>
    </row>
    <row r="5" spans="1:18" x14ac:dyDescent="0.2">
      <c r="B5" s="120" t="s">
        <v>26</v>
      </c>
      <c r="C5" s="59">
        <f>Main!D3</f>
        <v>0</v>
      </c>
      <c r="D5" s="39"/>
      <c r="E5" s="39"/>
      <c r="F5" s="39"/>
      <c r="G5" s="39"/>
      <c r="H5" s="39"/>
      <c r="I5" s="57" t="s">
        <v>4</v>
      </c>
      <c r="J5" s="39" t="e">
        <f>Main!D5</f>
        <v>#N/A</v>
      </c>
      <c r="L5" s="39"/>
      <c r="M5" s="623" t="s">
        <v>144</v>
      </c>
      <c r="N5" s="624"/>
      <c r="O5" s="625"/>
      <c r="P5" s="135"/>
    </row>
    <row r="6" spans="1:18" ht="13.5" thickBot="1" x14ac:dyDescent="0.25">
      <c r="B6" s="120" t="s">
        <v>3</v>
      </c>
      <c r="C6" s="60" t="e">
        <f>Main!D6</f>
        <v>#N/A</v>
      </c>
      <c r="D6" s="39"/>
      <c r="E6" s="39"/>
      <c r="F6" s="39"/>
      <c r="G6" s="39"/>
      <c r="H6" s="39"/>
      <c r="I6" s="57" t="s">
        <v>5</v>
      </c>
      <c r="J6" s="56">
        <f>Main!D16</f>
        <v>0</v>
      </c>
      <c r="L6" s="39"/>
      <c r="M6" s="626" t="s">
        <v>143</v>
      </c>
      <c r="N6" s="627"/>
      <c r="O6" s="628"/>
      <c r="P6" s="92"/>
    </row>
    <row r="7" spans="1:18" ht="13.5" thickBot="1" x14ac:dyDescent="0.25">
      <c r="B7" s="120" t="s">
        <v>27</v>
      </c>
      <c r="C7" s="60" t="str">
        <f>Main!D7</f>
        <v>Jeff Hall</v>
      </c>
      <c r="D7" s="39"/>
      <c r="E7" s="39"/>
      <c r="F7" s="39"/>
      <c r="G7" s="39"/>
      <c r="H7" s="39"/>
      <c r="I7" s="62" t="s">
        <v>169</v>
      </c>
      <c r="J7" s="614">
        <f>Main!$D$30</f>
        <v>0</v>
      </c>
      <c r="K7" s="615"/>
      <c r="L7" s="106"/>
      <c r="M7" s="613" t="s">
        <v>142</v>
      </c>
      <c r="N7" s="613"/>
      <c r="O7" s="613"/>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SNDn6B8x54b20NS2MbcM6BmCtxx2trd6EIFrANRdw8wrT6Vwaac9tdAuz/eXCioYBAew8AT0U25OV6Ge0DuvCA==" saltValue="uX+TsgrAAAr34dCUrwIkq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t="e">
        <f>Main!D5</f>
        <v>#N/A</v>
      </c>
      <c r="M5" s="630" t="s">
        <v>144</v>
      </c>
      <c r="N5" s="631"/>
      <c r="O5" s="632"/>
    </row>
    <row r="6" spans="1:17" ht="13.5" thickBot="1" x14ac:dyDescent="0.25">
      <c r="B6" s="120" t="s">
        <v>3</v>
      </c>
      <c r="C6" s="60" t="e">
        <f>Main!D6</f>
        <v>#N/A</v>
      </c>
      <c r="D6" s="39"/>
      <c r="E6" s="39"/>
      <c r="F6" s="39"/>
      <c r="G6" s="39"/>
      <c r="H6" s="39"/>
      <c r="I6" s="57" t="s">
        <v>5</v>
      </c>
      <c r="J6" s="41">
        <f>Main!D16</f>
        <v>0</v>
      </c>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Wy9IhRWCPmH5eB5QnaMp1TURx9Vfa0i5wjOIa9hUGlP6R1Z0I9rUneY7jNhS+BAEEMDzLLGZmsuZ4Wm5IOAXLg==" saltValue="A+DUKqaTgfI2DVYQZhHrl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s="39" t="e">
        <f>Main!D5</f>
        <v>#N/A</v>
      </c>
      <c r="L5" s="39"/>
      <c r="M5" s="623" t="s">
        <v>144</v>
      </c>
      <c r="N5" s="624"/>
      <c r="O5" s="625"/>
    </row>
    <row r="6" spans="1:17" ht="13.5" thickBot="1" x14ac:dyDescent="0.25">
      <c r="B6" s="120" t="s">
        <v>3</v>
      </c>
      <c r="C6" s="60" t="e">
        <f>Main!D6</f>
        <v>#N/A</v>
      </c>
      <c r="D6" s="39"/>
      <c r="E6" s="39"/>
      <c r="F6" s="39"/>
      <c r="G6" s="39"/>
      <c r="H6" s="39"/>
      <c r="I6" s="57" t="s">
        <v>5</v>
      </c>
      <c r="J6" s="56">
        <f>Main!D16</f>
        <v>0</v>
      </c>
      <c r="L6" s="39"/>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zhOI5c6OjOJA/VtGrBs+ujJcqMhesAMum0x8VtZ6jyHeId6G025kbqSHMI2rVIdfujd/N8WMvoyiQNQvPcr/Uw==" saltValue="jdjxGgKhQPtcGdNgqpbqO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94"/>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94"/>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94"/>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94"/>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94"/>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94"/>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94"/>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94"/>
      <c r="E17" s="28"/>
      <c r="F17" s="20"/>
      <c r="G17" s="40"/>
      <c r="H17" s="28"/>
      <c r="I17" s="20"/>
      <c r="J17" s="40"/>
      <c r="K17" s="28"/>
      <c r="L17" s="20"/>
      <c r="M17" s="40"/>
      <c r="N17" s="28"/>
      <c r="O17" s="27"/>
      <c r="U17" s="293">
        <v>12</v>
      </c>
      <c r="V17" s="293" t="s">
        <v>22</v>
      </c>
    </row>
    <row r="18" spans="1:22" x14ac:dyDescent="0.25">
      <c r="A18" s="46" t="str">
        <v/>
      </c>
      <c r="B18" s="19"/>
      <c r="C18" s="20"/>
      <c r="D18" s="494"/>
      <c r="E18" s="28"/>
      <c r="F18" s="20"/>
      <c r="G18" s="40"/>
      <c r="H18" s="28"/>
      <c r="I18" s="20"/>
      <c r="J18" s="40"/>
      <c r="K18" s="28"/>
      <c r="L18" s="20"/>
      <c r="M18" s="40"/>
      <c r="N18" s="28"/>
      <c r="O18" s="27"/>
      <c r="U18" s="293">
        <v>14</v>
      </c>
      <c r="V18" s="293" t="s">
        <v>22</v>
      </c>
    </row>
    <row r="19" spans="1:22" x14ac:dyDescent="0.25">
      <c r="A19" s="15"/>
      <c r="B19" s="15"/>
      <c r="C19" s="15"/>
      <c r="D19" s="488">
        <f>Main!A37</f>
        <v>0</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rs29Z1RWwfN7S1fGb0oiJSwbilv+RQUagDOHnZgyRk+678nfrWGF2RtVXqe5vHUCfUT5VMaUPi4nLc4hP7ZWA==" saltValue="X1DZq68rfcEAaJ3e51eJpg=="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8">
    <cfRule type="expression" dxfId="45" priority="61">
      <formula>ISERROR(SEARCH(1,$G$19))</formula>
    </cfRule>
    <cfRule type="expression" dxfId="44" priority="62">
      <formula>ISNUMBER(SEARCH(1,$G$19))</formula>
    </cfRule>
  </conditionalFormatting>
  <conditionalFormatting sqref="J14:J18">
    <cfRule type="expression" dxfId="43" priority="57">
      <formula>ISERROR(SEARCH(1,$J$19))</formula>
    </cfRule>
    <cfRule type="expression" dxfId="42" priority="58">
      <formula>ISNUMBER(SEARCH(1,$J$19))</formula>
    </cfRule>
  </conditionalFormatting>
  <conditionalFormatting sqref="M14:M18">
    <cfRule type="expression" dxfId="41" priority="53">
      <formula>ISERROR(SEARCH(1,$M$19))</formula>
    </cfRule>
    <cfRule type="expression" dxfId="40" priority="54">
      <formula>ISNUMBER(SEARCH(1,$M$19))</formula>
    </cfRule>
  </conditionalFormatting>
  <conditionalFormatting sqref="G26:G30">
    <cfRule type="expression" dxfId="39" priority="45">
      <formula>ISERROR(SEARCH(1,$G$31))</formula>
    </cfRule>
    <cfRule type="expression" dxfId="38" priority="46">
      <formula>ISNUMBER(SEARCH(1,$G$31))</formula>
    </cfRule>
  </conditionalFormatting>
  <conditionalFormatting sqref="J26:J30">
    <cfRule type="expression" dxfId="37" priority="41">
      <formula>ISERROR(SEARCH(1,$J$31))</formula>
    </cfRule>
    <cfRule type="expression" dxfId="36" priority="42">
      <formula>ISNUMBER(SEARCH(1,$J$31))</formula>
    </cfRule>
  </conditionalFormatting>
  <conditionalFormatting sqref="M26:M30">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D10">
    <cfRule type="expression" dxfId="29" priority="29">
      <formula>ISERROR(SEARCH(1,$G$19))</formula>
    </cfRule>
    <cfRule type="expression" dxfId="28" priority="30">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3" t="s">
        <v>349</v>
      </c>
      <c r="I28" s="653"/>
      <c r="J28" s="653"/>
      <c r="K28" s="653"/>
      <c r="L28" s="653"/>
      <c r="M28" s="653"/>
      <c r="N28" s="653"/>
      <c r="O28" s="653"/>
      <c r="P28" s="653"/>
      <c r="Q28" s="653"/>
      <c r="R28" s="653"/>
    </row>
    <row r="29" spans="1:20" x14ac:dyDescent="0.2">
      <c r="A29" s="642" t="s">
        <v>34</v>
      </c>
      <c r="B29" s="643"/>
      <c r="C29" s="50" t="str">
        <f>IF(Main!D48="","",Main!D48)</f>
        <v/>
      </c>
      <c r="D29" s="50" t="str">
        <f>IF(Main!E48="","",Main!E48)</f>
        <v/>
      </c>
      <c r="E29" s="50" t="str">
        <f>IF(Main!F48="","",Main!F48)</f>
        <v/>
      </c>
      <c r="F29" s="50" t="str">
        <f>IF(Main!G48="","",Main!G48)</f>
        <v/>
      </c>
      <c r="G29" s="275"/>
      <c r="H29" s="272" t="s">
        <v>350</v>
      </c>
      <c r="I29" s="118" t="str">
        <f>IF(Main!N47="","",Main!N47)</f>
        <v>Periodic</v>
      </c>
      <c r="J29" s="659" t="s">
        <v>351</v>
      </c>
      <c r="K29" s="660"/>
      <c r="L29" s="118" t="str">
        <f>IF(Main!R47="","",Main!R47)</f>
        <v>Air</v>
      </c>
    </row>
    <row r="30" spans="1:20" x14ac:dyDescent="0.2">
      <c r="A30" s="642" t="s">
        <v>35</v>
      </c>
      <c r="B30" s="643"/>
      <c r="C30" s="51" t="str">
        <f>IF(Main!D49="","",Main!D49)</f>
        <v/>
      </c>
      <c r="D30" s="51" t="str">
        <f>IF(Main!E49="","",Main!E49)</f>
        <v/>
      </c>
      <c r="E30" s="51" t="str">
        <f>IF(Main!F49="","",Main!F49)</f>
        <v/>
      </c>
      <c r="F30" s="51" t="str">
        <f>IF(Main!G49="","",Main!G49)</f>
        <v/>
      </c>
      <c r="G30" s="277"/>
      <c r="H30" s="654" t="s">
        <v>337</v>
      </c>
      <c r="I30" s="654"/>
      <c r="J30" s="661" t="s">
        <v>392</v>
      </c>
      <c r="K30" s="662"/>
      <c r="L30" s="663"/>
      <c r="M30" s="269"/>
      <c r="O30" s="655" t="s">
        <v>395</v>
      </c>
      <c r="P30" s="656"/>
      <c r="Q30" s="657"/>
      <c r="T30" s="39"/>
    </row>
    <row r="31" spans="1:20" x14ac:dyDescent="0.2">
      <c r="A31" s="642" t="s">
        <v>36</v>
      </c>
      <c r="B31" s="643"/>
      <c r="C31" s="51" t="str">
        <f>IF(Main!D50="","",Main!D50)</f>
        <v/>
      </c>
      <c r="D31" s="51" t="str">
        <f>IF(Main!E50="","",Main!E50)</f>
        <v/>
      </c>
      <c r="E31" s="51" t="str">
        <f>IF(Main!F50="","",Main!F50)</f>
        <v/>
      </c>
      <c r="F31" s="51" t="str">
        <f>IF(Main!G50="","",Main!G50)</f>
        <v/>
      </c>
      <c r="G31" s="277"/>
      <c r="H31" s="257" t="s">
        <v>352</v>
      </c>
      <c r="I31" s="259" t="str">
        <f>IF(Main!N49="","",Main!N49)</f>
        <v/>
      </c>
      <c r="J31" s="644" t="s">
        <v>400</v>
      </c>
      <c r="K31" s="645"/>
      <c r="L31" s="646"/>
      <c r="M31" s="270" t="str">
        <f>IF(Main!S49="","",Main!S49)</f>
        <v/>
      </c>
      <c r="O31" s="562" t="s">
        <v>402</v>
      </c>
      <c r="P31" s="563"/>
      <c r="Q31" s="658"/>
      <c r="R31" s="61" t="str">
        <f>IF(Main!X49="","",Main!X49)</f>
        <v/>
      </c>
      <c r="T31" s="39"/>
    </row>
    <row r="32" spans="1:20" ht="12.75" customHeight="1" x14ac:dyDescent="0.2">
      <c r="A32" s="642" t="s">
        <v>37</v>
      </c>
      <c r="B32" s="643"/>
      <c r="C32" s="50" t="str">
        <f>IF(Main!D51="","",Main!D51)</f>
        <v/>
      </c>
      <c r="D32" s="50" t="str">
        <f>IF(Main!E51="","",Main!E51)</f>
        <v/>
      </c>
      <c r="E32" s="50" t="str">
        <f>IF(Main!F51="","",Main!F51)</f>
        <v/>
      </c>
      <c r="F32" s="50" t="str">
        <f>IF(Main!G51="","",Main!G51)</f>
        <v/>
      </c>
      <c r="G32" s="275"/>
      <c r="H32" s="257" t="s">
        <v>368</v>
      </c>
      <c r="I32" s="259" t="str">
        <f>IF(Main!N50="","",Main!N50)</f>
        <v/>
      </c>
      <c r="J32" s="647" t="s">
        <v>340</v>
      </c>
      <c r="K32" s="648"/>
      <c r="L32" s="649"/>
      <c r="M32" s="265"/>
      <c r="O32" s="647" t="s">
        <v>340</v>
      </c>
      <c r="P32" s="648"/>
      <c r="Q32" s="649"/>
      <c r="T32" s="39"/>
    </row>
    <row r="33" spans="1:20" ht="12.75" customHeight="1" x14ac:dyDescent="0.2">
      <c r="A33" s="642" t="s">
        <v>353</v>
      </c>
      <c r="B33" s="643"/>
      <c r="C33" s="50" t="str">
        <f>IF(Main!D52="","",Main!D52)</f>
        <v/>
      </c>
      <c r="D33" s="50" t="str">
        <f>IF(Main!E52="","",Main!E52)</f>
        <v/>
      </c>
      <c r="E33" s="50" t="str">
        <f>IF(Main!F52="","",Main!F52)</f>
        <v/>
      </c>
      <c r="F33" s="50" t="str">
        <f>IF(Main!G52="","",Main!G52)</f>
        <v/>
      </c>
      <c r="G33" s="275"/>
      <c r="H33" s="257" t="s">
        <v>354</v>
      </c>
      <c r="I33" s="259" t="str">
        <f>IF(Main!N51="","",Main!N51)</f>
        <v/>
      </c>
      <c r="J33" s="650" t="s">
        <v>401</v>
      </c>
      <c r="K33" s="651"/>
      <c r="L33" s="652"/>
      <c r="M33" s="264" t="str">
        <f>IF(Main!S51="","",Main!S51)</f>
        <v/>
      </c>
      <c r="O33" s="650" t="s">
        <v>403</v>
      </c>
      <c r="P33" s="651"/>
      <c r="Q33" s="652"/>
      <c r="R33" s="61" t="str">
        <f>IF(Main!X51="","",Main!X51)</f>
        <v/>
      </c>
      <c r="T33" s="39"/>
    </row>
    <row r="34" spans="1:20" ht="12.75" customHeight="1" x14ac:dyDescent="0.2">
      <c r="A34" s="642" t="s">
        <v>38</v>
      </c>
      <c r="B34" s="643"/>
      <c r="C34" s="52" t="str">
        <f>IF(Main!D53="","",Main!D53)</f>
        <v/>
      </c>
      <c r="D34" s="52" t="str">
        <f>IF(Main!E53="","",Main!E53)</f>
        <v/>
      </c>
      <c r="E34" s="52" t="str">
        <f>IF(Main!F53="","",Main!F53)</f>
        <v/>
      </c>
      <c r="F34" s="52" t="str">
        <f>IF(Main!G53="","",Main!G53)</f>
        <v/>
      </c>
      <c r="G34" s="278"/>
      <c r="H34" s="257" t="s">
        <v>355</v>
      </c>
      <c r="I34" s="256" t="str">
        <f>IF(Main!N52="","",Main!N52)</f>
        <v/>
      </c>
      <c r="J34" s="647" t="s">
        <v>340</v>
      </c>
      <c r="K34" s="648"/>
      <c r="L34" s="649"/>
      <c r="O34" s="647" t="s">
        <v>340</v>
      </c>
      <c r="P34" s="648"/>
      <c r="Q34" s="649"/>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36" t="s">
        <v>404</v>
      </c>
      <c r="K35" s="637"/>
      <c r="L35" s="638"/>
      <c r="M35" s="273" t="str">
        <f>IF(Main!S53="","",Main!S53)</f>
        <v/>
      </c>
      <c r="O35" s="636" t="s">
        <v>405</v>
      </c>
      <c r="P35" s="637"/>
      <c r="Q35" s="638"/>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39"/>
      <c r="K36" s="640"/>
      <c r="L36" s="641"/>
      <c r="M36" s="268"/>
      <c r="O36" s="639"/>
      <c r="P36" s="640"/>
      <c r="Q36" s="641"/>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mxn6BhHo9aI4hVjQrG2ahf35I+XBH1o5UV0mmG8szoCJwNEwHrRr7bBykwPUU6rzcuRc8CMKETMttAzDVV3VBg==" saltValue="mMKXH6rH4gTPFP2P6gCAu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7MV2VAUVwhWaPOjmR5+9AwEk2t1tipa85gzRRJx7uMxuRLC/wlUlRBmsERfpDhtIh05IXKHa401EGHqXNKH/lg==" saltValue="xfHfupyC67xBfdhskTqwh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598"/>
      <c r="C1" s="598"/>
      <c r="D1" s="598"/>
      <c r="E1" s="35" t="s">
        <v>156</v>
      </c>
      <c r="G1" s="598" t="s">
        <v>68</v>
      </c>
      <c r="H1" s="598"/>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qNkMdP2H5wU9ZlqOpJJd9Ka7I6cet2bu9BOBfx/s/bBlTCbRCX3kYRQTnZdUF9LUk+Hxg9vao1NcNCwtA2InOw==" saltValue="DyAD2a+sp2nN++4708i6J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2025-07-08T17:00:32Z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