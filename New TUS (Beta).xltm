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0DE21D77-5E05-466C-80BA-02CB7221186D}" xr6:coauthVersionLast="47" xr6:coauthVersionMax="47" xr10:uidLastSave="{00000000-0000-0000-0000-000000000000}"/>
  <bookViews>
    <workbookView xWindow="2868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AssetPool!$A$1:$Q$64</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AllDaqbookOffsets!$A$1:$E$7556</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Table'!$A$1:$O$1658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K211" i="95" s="1"/>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K3" i="95" s="1"/>
  <c r="J4" i="95"/>
  <c r="J5" i="95"/>
  <c r="J6" i="95"/>
  <c r="J7" i="95"/>
  <c r="J8" i="95"/>
  <c r="J9" i="95"/>
  <c r="K9" i="95" s="1"/>
  <c r="J10" i="95"/>
  <c r="J11" i="95"/>
  <c r="J12" i="95"/>
  <c r="K12" i="95" s="1"/>
  <c r="J13" i="95"/>
  <c r="J14" i="95"/>
  <c r="J15" i="95"/>
  <c r="K15" i="95" s="1"/>
  <c r="J16" i="95"/>
  <c r="K16" i="95" s="1"/>
  <c r="J17" i="95"/>
  <c r="K17" i="95" s="1"/>
  <c r="J18" i="95"/>
  <c r="K18" i="95" s="1"/>
  <c r="J19" i="95"/>
  <c r="J20" i="95"/>
  <c r="J21" i="95"/>
  <c r="J22" i="95"/>
  <c r="K22" i="95" s="1"/>
  <c r="J23" i="95"/>
  <c r="K23" i="95" s="1"/>
  <c r="J24" i="95"/>
  <c r="K24" i="95" s="1"/>
  <c r="J25" i="95"/>
  <c r="K25" i="95" s="1"/>
  <c r="J26" i="95"/>
  <c r="K26" i="95" s="1"/>
  <c r="J27" i="95"/>
  <c r="K27" i="95" s="1"/>
  <c r="J28" i="95"/>
  <c r="K28" i="95" s="1"/>
  <c r="J29" i="95"/>
  <c r="K29" i="95" s="1"/>
  <c r="J30" i="95"/>
  <c r="K30" i="95" s="1"/>
  <c r="J31" i="95"/>
  <c r="J32" i="95"/>
  <c r="K32" i="95" s="1"/>
  <c r="J33" i="95"/>
  <c r="J34" i="95"/>
  <c r="J35" i="95"/>
  <c r="K35" i="95" s="1"/>
  <c r="J36" i="95"/>
  <c r="J37" i="95"/>
  <c r="J38" i="95"/>
  <c r="J39" i="95"/>
  <c r="K39" i="95" s="1"/>
  <c r="J40" i="95"/>
  <c r="K40" i="95" s="1"/>
  <c r="J41" i="95"/>
  <c r="K41" i="95" s="1"/>
  <c r="J42" i="95"/>
  <c r="K42" i="95" s="1"/>
  <c r="J43" i="95"/>
  <c r="K43" i="95" s="1"/>
  <c r="J44" i="95"/>
  <c r="K44" i="95" s="1"/>
  <c r="J45" i="95"/>
  <c r="J46" i="95"/>
  <c r="J47" i="95"/>
  <c r="J48" i="95"/>
  <c r="J49" i="95"/>
  <c r="K49" i="95" s="1"/>
  <c r="J50" i="95"/>
  <c r="K50" i="95" s="1"/>
  <c r="J51" i="95"/>
  <c r="J52" i="95"/>
  <c r="J53" i="95"/>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J67" i="95"/>
  <c r="K67" i="95" s="1"/>
  <c r="J68" i="95"/>
  <c r="J69" i="95"/>
  <c r="J70" i="95"/>
  <c r="J71" i="95"/>
  <c r="J72" i="95"/>
  <c r="J73" i="95"/>
  <c r="K73" i="95" s="1"/>
  <c r="J74" i="95"/>
  <c r="J75" i="95"/>
  <c r="J76" i="95"/>
  <c r="K76" i="95" s="1"/>
  <c r="J77" i="95"/>
  <c r="J78" i="95"/>
  <c r="J79" i="95"/>
  <c r="K79" i="95" s="1"/>
  <c r="J80" i="95"/>
  <c r="K80" i="95" s="1"/>
  <c r="J81" i="95"/>
  <c r="K81" i="95" s="1"/>
  <c r="J82" i="95"/>
  <c r="K82" i="95" s="1"/>
  <c r="J83" i="95"/>
  <c r="J84" i="95"/>
  <c r="J85" i="95"/>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J99" i="95"/>
  <c r="K99" i="95" s="1"/>
  <c r="J100" i="95"/>
  <c r="J101" i="95"/>
  <c r="K101" i="95" s="1"/>
  <c r="J102" i="95"/>
  <c r="K102" i="95" s="1"/>
  <c r="J103" i="95"/>
  <c r="J104" i="95"/>
  <c r="J105" i="95"/>
  <c r="K105" i="95" s="1"/>
  <c r="J106" i="95"/>
  <c r="J107" i="95"/>
  <c r="J108" i="95"/>
  <c r="K108" i="95" s="1"/>
  <c r="J109" i="95"/>
  <c r="J110" i="95"/>
  <c r="J111" i="95"/>
  <c r="J112" i="95"/>
  <c r="J113" i="95"/>
  <c r="K113" i="95" s="1"/>
  <c r="J114" i="95"/>
  <c r="J115" i="95"/>
  <c r="J116" i="95"/>
  <c r="J117" i="95"/>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J131" i="95"/>
  <c r="K131" i="95" s="1"/>
  <c r="J132" i="95"/>
  <c r="J133" i="95"/>
  <c r="K133" i="95" s="1"/>
  <c r="J134" i="95"/>
  <c r="K134" i="95" s="1"/>
  <c r="J135" i="95"/>
  <c r="J136" i="95"/>
  <c r="J137" i="95"/>
  <c r="K137" i="95" s="1"/>
  <c r="J138" i="95"/>
  <c r="J139" i="95"/>
  <c r="J140" i="95"/>
  <c r="K140" i="95" s="1"/>
  <c r="J141" i="95"/>
  <c r="J142" i="95"/>
  <c r="K142" i="95" s="1"/>
  <c r="J143" i="95"/>
  <c r="K143" i="95" s="1"/>
  <c r="J144" i="95"/>
  <c r="K144" i="95" s="1"/>
  <c r="J145" i="95"/>
  <c r="K145" i="95" s="1"/>
  <c r="J146" i="95"/>
  <c r="K146" i="95" s="1"/>
  <c r="J147" i="95"/>
  <c r="J148" i="95"/>
  <c r="J149" i="95"/>
  <c r="J150" i="95"/>
  <c r="J151" i="95"/>
  <c r="J152" i="95"/>
  <c r="J153" i="95"/>
  <c r="J154" i="95"/>
  <c r="K154" i="95" s="1"/>
  <c r="J155" i="95"/>
  <c r="K155" i="95" s="1"/>
  <c r="J156" i="95"/>
  <c r="K156" i="95" s="1"/>
  <c r="J157" i="95"/>
  <c r="K157" i="95" s="1"/>
  <c r="J158" i="95"/>
  <c r="K158" i="95" s="1"/>
  <c r="J159" i="95"/>
  <c r="K159" i="95" s="1"/>
  <c r="J160" i="95"/>
  <c r="K160" i="95" s="1"/>
  <c r="J161" i="95"/>
  <c r="J162" i="95"/>
  <c r="J163" i="95"/>
  <c r="K163" i="95" s="1"/>
  <c r="J164" i="95"/>
  <c r="J165" i="95"/>
  <c r="J166" i="95"/>
  <c r="J167" i="95"/>
  <c r="J168" i="95"/>
  <c r="K168" i="95" s="1"/>
  <c r="J169" i="95"/>
  <c r="K169" i="95" s="1"/>
  <c r="J170" i="95"/>
  <c r="J171" i="95"/>
  <c r="J172" i="95"/>
  <c r="K172" i="95" s="1"/>
  <c r="J173" i="95"/>
  <c r="J174" i="95"/>
  <c r="J175" i="95"/>
  <c r="J176" i="95"/>
  <c r="J177" i="95"/>
  <c r="K177" i="95" s="1"/>
  <c r="J178" i="95"/>
  <c r="K178" i="95" s="1"/>
  <c r="J179" i="95"/>
  <c r="J180" i="95"/>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K192" i="95" s="1"/>
  <c r="J193" i="95"/>
  <c r="J194" i="95"/>
  <c r="J195" i="95"/>
  <c r="K195" i="95" s="1"/>
  <c r="J196" i="95"/>
  <c r="J197" i="95"/>
  <c r="K197" i="95" s="1"/>
  <c r="J198" i="95"/>
  <c r="K198" i="95" s="1"/>
  <c r="J199" i="95"/>
  <c r="K199" i="95" s="1"/>
  <c r="J200" i="95"/>
  <c r="K200" i="95" s="1"/>
  <c r="J201" i="95"/>
  <c r="K201" i="95" s="1"/>
  <c r="J202" i="95"/>
  <c r="J203" i="95"/>
  <c r="J204" i="95"/>
  <c r="K204" i="95" s="1"/>
  <c r="J205" i="95"/>
  <c r="J206" i="95"/>
  <c r="J207" i="95"/>
  <c r="J208" i="95"/>
  <c r="K208" i="95" s="1"/>
  <c r="J209" i="95"/>
  <c r="K209" i="95" s="1"/>
  <c r="J210" i="95"/>
  <c r="J211" i="95"/>
  <c r="J212" i="95"/>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J226" i="95"/>
  <c r="J227" i="95"/>
  <c r="K227" i="95" s="1"/>
  <c r="J228" i="95"/>
  <c r="J229" i="95"/>
  <c r="J230" i="95"/>
  <c r="J231" i="95"/>
  <c r="J232" i="95"/>
  <c r="J233" i="95"/>
  <c r="K233" i="95" s="1"/>
  <c r="J234" i="95"/>
  <c r="J235" i="95"/>
  <c r="J236" i="95"/>
  <c r="K236" i="95" s="1"/>
  <c r="J237" i="95"/>
  <c r="J238" i="95"/>
  <c r="K238" i="95" s="1"/>
  <c r="J239" i="95"/>
  <c r="K239" i="95" s="1"/>
  <c r="J240" i="95"/>
  <c r="K240" i="95" s="1"/>
  <c r="J241" i="95"/>
  <c r="K241" i="95" s="1"/>
  <c r="J242" i="95"/>
  <c r="K242" i="95" s="1"/>
  <c r="J243" i="95"/>
  <c r="J244" i="95"/>
  <c r="J245" i="95"/>
  <c r="J246" i="95"/>
  <c r="J247" i="95"/>
  <c r="K247" i="95" s="1"/>
  <c r="J248" i="95"/>
  <c r="K248" i="95" s="1"/>
  <c r="J249" i="95"/>
  <c r="K249" i="95" s="1"/>
  <c r="J250" i="95"/>
  <c r="K250" i="95" s="1"/>
  <c r="J251" i="95"/>
  <c r="K251" i="95" s="1"/>
  <c r="J252" i="95"/>
  <c r="K252" i="95" s="1"/>
  <c r="J253" i="95"/>
  <c r="K253" i="95" s="1"/>
  <c r="J254" i="95"/>
  <c r="K254" i="95" s="1"/>
  <c r="J255" i="95"/>
  <c r="K255" i="95" s="1"/>
  <c r="J256" i="95"/>
  <c r="K256" i="95" s="1"/>
  <c r="J257" i="95"/>
  <c r="J258" i="95"/>
  <c r="J259" i="95"/>
  <c r="K259" i="95" s="1"/>
  <c r="J260" i="95"/>
  <c r="K260" i="95" s="1"/>
  <c r="J261" i="95"/>
  <c r="K261" i="95" s="1"/>
  <c r="J262" i="95"/>
  <c r="J263" i="95"/>
  <c r="J264" i="95"/>
  <c r="J265" i="95"/>
  <c r="K265" i="95" s="1"/>
  <c r="J266" i="95"/>
  <c r="J267" i="95"/>
  <c r="J268" i="95"/>
  <c r="K268" i="95" s="1"/>
  <c r="J269" i="95"/>
  <c r="J270" i="95"/>
  <c r="J271" i="95"/>
  <c r="J272" i="95"/>
  <c r="J273" i="95"/>
  <c r="K273" i="95" s="1"/>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J291" i="95"/>
  <c r="K291" i="95" s="1"/>
  <c r="J292" i="95"/>
  <c r="K292" i="95" s="1"/>
  <c r="J293" i="95"/>
  <c r="K293" i="95" s="1"/>
  <c r="J294" i="95"/>
  <c r="J295" i="95"/>
  <c r="J296" i="95"/>
  <c r="J297" i="95"/>
  <c r="K297" i="95" s="1"/>
  <c r="J298" i="95"/>
  <c r="J299" i="95"/>
  <c r="K299" i="95" s="1"/>
  <c r="J300" i="95"/>
  <c r="K300" i="95" s="1"/>
  <c r="J301" i="95"/>
  <c r="J302" i="95"/>
  <c r="J303" i="95"/>
  <c r="J304" i="95"/>
  <c r="J305" i="95"/>
  <c r="K305" i="95" s="1"/>
  <c r="J306" i="95"/>
  <c r="K306" i="95" s="1"/>
  <c r="J307" i="95"/>
  <c r="J308" i="95"/>
  <c r="J309" i="95"/>
  <c r="J310" i="95"/>
  <c r="J311" i="95"/>
  <c r="J312" i="95"/>
  <c r="J313" i="95"/>
  <c r="J314" i="95"/>
  <c r="K314" i="95" s="1"/>
  <c r="J315" i="95"/>
  <c r="K315" i="95" s="1"/>
  <c r="J316" i="95"/>
  <c r="K316" i="95" s="1"/>
  <c r="J317" i="95"/>
  <c r="K317" i="95" s="1"/>
  <c r="J318" i="95"/>
  <c r="K318" i="95" s="1"/>
  <c r="J319" i="95"/>
  <c r="K319" i="95" s="1"/>
  <c r="J320" i="95"/>
  <c r="J321" i="95"/>
  <c r="J322" i="95"/>
  <c r="J323" i="95"/>
  <c r="K323" i="95" s="1"/>
  <c r="J324" i="95"/>
  <c r="J325" i="95"/>
  <c r="J326" i="95"/>
  <c r="J327" i="95"/>
  <c r="J328" i="95"/>
  <c r="K328" i="95" s="1"/>
  <c r="J329" i="95"/>
  <c r="K329" i="95" s="1"/>
  <c r="J330" i="95"/>
  <c r="J331" i="95"/>
  <c r="J332" i="95"/>
  <c r="K332" i="95" s="1"/>
  <c r="J333" i="95"/>
  <c r="J334" i="95"/>
  <c r="J335" i="95"/>
  <c r="J336" i="95"/>
  <c r="J337" i="95"/>
  <c r="K337" i="95" s="1"/>
  <c r="J338" i="95"/>
  <c r="K338" i="95" s="1"/>
  <c r="J339" i="95"/>
  <c r="J340" i="95"/>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K352" i="95" s="1"/>
  <c r="J353" i="95"/>
  <c r="J354" i="95"/>
  <c r="J355" i="95"/>
  <c r="K355" i="95" s="1"/>
  <c r="J356" i="95"/>
  <c r="J357" i="95"/>
  <c r="K357" i="95" s="1"/>
  <c r="J358" i="95"/>
  <c r="K358" i="95" s="1"/>
  <c r="J359" i="95"/>
  <c r="K359" i="95" s="1"/>
  <c r="J360" i="95"/>
  <c r="K360" i="95" s="1"/>
  <c r="J361" i="95"/>
  <c r="K361" i="95" s="1"/>
  <c r="J362" i="95"/>
  <c r="K362" i="95" s="1"/>
  <c r="J363" i="95"/>
  <c r="J364" i="95"/>
  <c r="K364" i="95" s="1"/>
  <c r="J365" i="95"/>
  <c r="J366" i="95"/>
  <c r="J367" i="95"/>
  <c r="J368" i="95"/>
  <c r="K368" i="95" s="1"/>
  <c r="J369" i="95"/>
  <c r="K369" i="95" s="1"/>
  <c r="J370" i="95"/>
  <c r="K370" i="95" s="1"/>
  <c r="J371" i="95"/>
  <c r="J372" i="95"/>
  <c r="K372" i="95" s="1"/>
  <c r="J373" i="95"/>
  <c r="K373" i="95" s="1"/>
  <c r="J374" i="95"/>
  <c r="K374" i="95" s="1"/>
  <c r="J375" i="95"/>
  <c r="K375" i="95" s="1"/>
  <c r="J376" i="95"/>
  <c r="J377" i="95"/>
  <c r="K377" i="95" s="1"/>
  <c r="J378" i="95"/>
  <c r="K378" i="95" s="1"/>
  <c r="J379" i="95"/>
  <c r="K379" i="95" s="1"/>
  <c r="J380" i="95"/>
  <c r="K380" i="95" s="1"/>
  <c r="J381" i="95"/>
  <c r="K381" i="95" s="1"/>
  <c r="J382" i="95"/>
  <c r="K382" i="95" s="1"/>
  <c r="J383" i="95"/>
  <c r="K383" i="95" s="1"/>
  <c r="J384" i="95"/>
  <c r="K384" i="95" s="1"/>
  <c r="J385" i="95"/>
  <c r="J386" i="95"/>
  <c r="J387" i="95"/>
  <c r="K387" i="95" s="1"/>
  <c r="J388" i="95"/>
  <c r="J389" i="95"/>
  <c r="J390" i="95"/>
  <c r="J391" i="95"/>
  <c r="J392" i="95"/>
  <c r="J393" i="95"/>
  <c r="K393" i="95" s="1"/>
  <c r="J394" i="95"/>
  <c r="J395" i="95"/>
  <c r="J396" i="95"/>
  <c r="K396" i="95" s="1"/>
  <c r="J397" i="95"/>
  <c r="K397" i="95" s="1"/>
  <c r="J398" i="95"/>
  <c r="K398" i="95" s="1"/>
  <c r="J399" i="95"/>
  <c r="K399" i="95" s="1"/>
  <c r="J400" i="95"/>
  <c r="K400" i="95" s="1"/>
  <c r="J401" i="95"/>
  <c r="K401" i="95" s="1"/>
  <c r="J402" i="95"/>
  <c r="K402" i="95" s="1"/>
  <c r="J403" i="95"/>
  <c r="J404" i="95"/>
  <c r="J405" i="95"/>
  <c r="J406" i="95"/>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J418" i="95"/>
  <c r="K2" i="95"/>
  <c r="K4" i="95"/>
  <c r="K5" i="95"/>
  <c r="K6" i="95"/>
  <c r="K7" i="95"/>
  <c r="K8" i="95"/>
  <c r="K10" i="95"/>
  <c r="K11" i="95"/>
  <c r="K13" i="95"/>
  <c r="K14" i="95"/>
  <c r="K19" i="95"/>
  <c r="K20" i="95"/>
  <c r="K21" i="95"/>
  <c r="K31" i="95"/>
  <c r="K33" i="95"/>
  <c r="K34" i="95"/>
  <c r="K36" i="95"/>
  <c r="K37" i="95"/>
  <c r="K38" i="95"/>
  <c r="K45" i="95"/>
  <c r="K46" i="95"/>
  <c r="K47" i="95"/>
  <c r="K48" i="95"/>
  <c r="K51" i="95"/>
  <c r="K52" i="95"/>
  <c r="K53" i="95"/>
  <c r="K65" i="95"/>
  <c r="K66" i="95"/>
  <c r="K68" i="95"/>
  <c r="K69" i="95"/>
  <c r="K70" i="95"/>
  <c r="K71" i="95"/>
  <c r="K72" i="95"/>
  <c r="K74" i="95"/>
  <c r="K75" i="95"/>
  <c r="K77" i="95"/>
  <c r="K78" i="95"/>
  <c r="K83" i="95"/>
  <c r="K84" i="95"/>
  <c r="K85" i="95"/>
  <c r="K97" i="95"/>
  <c r="K98" i="95"/>
  <c r="K100" i="95"/>
  <c r="K103" i="95"/>
  <c r="K104" i="95"/>
  <c r="K106" i="95"/>
  <c r="K107" i="95"/>
  <c r="K109" i="95"/>
  <c r="K110" i="95"/>
  <c r="K111" i="95"/>
  <c r="K112" i="95"/>
  <c r="K114" i="95"/>
  <c r="K115" i="95"/>
  <c r="K116" i="95"/>
  <c r="K117" i="95"/>
  <c r="K129" i="95"/>
  <c r="K130" i="95"/>
  <c r="K132" i="95"/>
  <c r="K135" i="95"/>
  <c r="K136" i="95"/>
  <c r="K138" i="95"/>
  <c r="K139" i="95"/>
  <c r="K141" i="95"/>
  <c r="K147" i="95"/>
  <c r="K148" i="95"/>
  <c r="K149" i="95"/>
  <c r="K150" i="95"/>
  <c r="K151" i="95"/>
  <c r="K152" i="95"/>
  <c r="K153" i="95"/>
  <c r="K161" i="95"/>
  <c r="K162" i="95"/>
  <c r="K164" i="95"/>
  <c r="K165" i="95"/>
  <c r="K166" i="95"/>
  <c r="K167" i="95"/>
  <c r="K170" i="95"/>
  <c r="K171" i="95"/>
  <c r="K173" i="95"/>
  <c r="K174" i="95"/>
  <c r="K175" i="95"/>
  <c r="K176" i="95"/>
  <c r="K179" i="95"/>
  <c r="K180" i="95"/>
  <c r="K191" i="95"/>
  <c r="K193" i="95"/>
  <c r="K194" i="95"/>
  <c r="K196" i="95"/>
  <c r="K202" i="95"/>
  <c r="K203" i="95"/>
  <c r="K205" i="95"/>
  <c r="K206" i="95"/>
  <c r="K207" i="95"/>
  <c r="K212" i="95"/>
  <c r="K225" i="95"/>
  <c r="K226" i="95"/>
  <c r="K228" i="95"/>
  <c r="K229" i="95"/>
  <c r="K230" i="95"/>
  <c r="K231" i="95"/>
  <c r="K232" i="95"/>
  <c r="K234" i="95"/>
  <c r="K235" i="95"/>
  <c r="K237" i="95"/>
  <c r="K243" i="95"/>
  <c r="K244" i="95"/>
  <c r="K245" i="95"/>
  <c r="K246" i="95"/>
  <c r="K257" i="95"/>
  <c r="K258" i="95"/>
  <c r="K262" i="95"/>
  <c r="K263" i="95"/>
  <c r="K264" i="95"/>
  <c r="K266" i="95"/>
  <c r="K267" i="95"/>
  <c r="K269" i="95"/>
  <c r="K270" i="95"/>
  <c r="K271" i="95"/>
  <c r="K272" i="95"/>
  <c r="K274" i="95"/>
  <c r="K275" i="95"/>
  <c r="K276" i="95"/>
  <c r="K289" i="95"/>
  <c r="K290" i="95"/>
  <c r="K294" i="95"/>
  <c r="K295" i="95"/>
  <c r="K296" i="95"/>
  <c r="K298" i="95"/>
  <c r="K301" i="95"/>
  <c r="K302" i="95"/>
  <c r="K303" i="95"/>
  <c r="K304" i="95"/>
  <c r="K307" i="95"/>
  <c r="K308" i="95"/>
  <c r="K309" i="95"/>
  <c r="K310" i="95"/>
  <c r="K311" i="95"/>
  <c r="K312" i="95"/>
  <c r="K313" i="95"/>
  <c r="K322" i="95"/>
  <c r="K324" i="95"/>
  <c r="K325" i="95"/>
  <c r="K326" i="95"/>
  <c r="K327" i="95"/>
  <c r="K330" i="95"/>
  <c r="K331" i="95"/>
  <c r="K333" i="95"/>
  <c r="K334" i="95"/>
  <c r="K335" i="95"/>
  <c r="K336" i="95"/>
  <c r="K339" i="95"/>
  <c r="K340" i="95"/>
  <c r="K351" i="95"/>
  <c r="K353" i="95"/>
  <c r="K354" i="95"/>
  <c r="K356" i="95"/>
  <c r="K363" i="95"/>
  <c r="K365" i="95"/>
  <c r="K366" i="95"/>
  <c r="K367" i="95"/>
  <c r="K371" i="95"/>
  <c r="K376" i="95"/>
  <c r="K385" i="95"/>
  <c r="K386" i="95"/>
  <c r="K388" i="95"/>
  <c r="K389" i="95"/>
  <c r="K390" i="95"/>
  <c r="K391" i="95"/>
  <c r="K392" i="95"/>
  <c r="K394" i="95"/>
  <c r="K395" i="95"/>
  <c r="K403" i="95"/>
  <c r="K404" i="95"/>
  <c r="K405" i="95"/>
  <c r="K406" i="95"/>
  <c r="K417" i="95"/>
  <c r="K418" i="95"/>
  <c r="L2" i="95"/>
  <c r="L3" i="95"/>
  <c r="L4" i="95"/>
  <c r="L5" i="95"/>
  <c r="L6" i="95"/>
  <c r="L7" i="95"/>
  <c r="M7" i="95" s="1"/>
  <c r="L8" i="95"/>
  <c r="L9" i="95"/>
  <c r="L10" i="95"/>
  <c r="M10" i="95" s="1"/>
  <c r="L11" i="95"/>
  <c r="M11" i="95" s="1"/>
  <c r="L12" i="95"/>
  <c r="M12" i="95" s="1"/>
  <c r="L13" i="95"/>
  <c r="M13" i="95" s="1"/>
  <c r="L14" i="95"/>
  <c r="L15" i="95"/>
  <c r="M15" i="95" s="1"/>
  <c r="L16" i="95"/>
  <c r="L17" i="95"/>
  <c r="L18" i="95"/>
  <c r="M18" i="95" s="1"/>
  <c r="L19" i="95"/>
  <c r="M19" i="95" s="1"/>
  <c r="L20" i="95"/>
  <c r="M20" i="95" s="1"/>
  <c r="L21" i="95"/>
  <c r="M21" i="95" s="1"/>
  <c r="L22" i="95"/>
  <c r="M22" i="95" s="1"/>
  <c r="L23" i="95"/>
  <c r="M23" i="95" s="1"/>
  <c r="L24" i="95"/>
  <c r="L25" i="95"/>
  <c r="M25" i="95" s="1"/>
  <c r="L26" i="95"/>
  <c r="M26" i="95" s="1"/>
  <c r="L27" i="95"/>
  <c r="L28" i="95"/>
  <c r="L29" i="95"/>
  <c r="L30" i="95"/>
  <c r="M30" i="95" s="1"/>
  <c r="L31" i="95"/>
  <c r="M31" i="95" s="1"/>
  <c r="L32" i="95"/>
  <c r="M32" i="95" s="1"/>
  <c r="L33" i="95"/>
  <c r="M33" i="95" s="1"/>
  <c r="L34" i="95"/>
  <c r="L35" i="95"/>
  <c r="L36" i="95"/>
  <c r="L37" i="95"/>
  <c r="L38" i="95"/>
  <c r="L39" i="95"/>
  <c r="M39" i="95" s="1"/>
  <c r="L40" i="95"/>
  <c r="M40" i="95" s="1"/>
  <c r="L41" i="95"/>
  <c r="M41" i="95" s="1"/>
  <c r="L42" i="95"/>
  <c r="M42" i="95" s="1"/>
  <c r="L43" i="95"/>
  <c r="M43" i="95" s="1"/>
  <c r="L44" i="95"/>
  <c r="M44" i="95" s="1"/>
  <c r="L45" i="95"/>
  <c r="M45" i="95" s="1"/>
  <c r="L46" i="95"/>
  <c r="L47" i="95"/>
  <c r="M47" i="95" s="1"/>
  <c r="L48" i="95"/>
  <c r="L49" i="95"/>
  <c r="L50" i="95"/>
  <c r="L51" i="95"/>
  <c r="L52" i="95"/>
  <c r="L53" i="95"/>
  <c r="L54" i="95"/>
  <c r="L55" i="95"/>
  <c r="L56" i="95"/>
  <c r="M56" i="95" s="1"/>
  <c r="L57" i="95"/>
  <c r="M57" i="95" s="1"/>
  <c r="L58" i="95"/>
  <c r="M58" i="95" s="1"/>
  <c r="L59" i="95"/>
  <c r="L60" i="95"/>
  <c r="L61" i="95"/>
  <c r="L62" i="95"/>
  <c r="M62" i="95" s="1"/>
  <c r="L63" i="95"/>
  <c r="M63" i="95" s="1"/>
  <c r="L64" i="95"/>
  <c r="M64" i="95" s="1"/>
  <c r="L65" i="95"/>
  <c r="M65" i="95" s="1"/>
  <c r="L66" i="95"/>
  <c r="L67" i="95"/>
  <c r="L68" i="95"/>
  <c r="L69" i="95"/>
  <c r="M69" i="95" s="1"/>
  <c r="L70" i="95"/>
  <c r="M70" i="95" s="1"/>
  <c r="L71" i="95"/>
  <c r="M71" i="95" s="1"/>
  <c r="L72" i="95"/>
  <c r="M72" i="95" s="1"/>
  <c r="L73" i="95"/>
  <c r="M73" i="95" s="1"/>
  <c r="L74" i="95"/>
  <c r="M74" i="95" s="1"/>
  <c r="L75" i="95"/>
  <c r="M75" i="95" s="1"/>
  <c r="L76" i="95"/>
  <c r="M76" i="95" s="1"/>
  <c r="L77" i="95"/>
  <c r="M77" i="95" s="1"/>
  <c r="L78" i="95"/>
  <c r="L79" i="95"/>
  <c r="M79" i="95" s="1"/>
  <c r="L80" i="95"/>
  <c r="L81" i="95"/>
  <c r="M81" i="95" s="1"/>
  <c r="L82" i="95"/>
  <c r="L83" i="95"/>
  <c r="L84" i="95"/>
  <c r="L85" i="95"/>
  <c r="L86" i="95"/>
  <c r="L87" i="95"/>
  <c r="L88" i="95"/>
  <c r="L89" i="95"/>
  <c r="M89" i="95" s="1"/>
  <c r="L90" i="95"/>
  <c r="L91" i="95"/>
  <c r="L92" i="95"/>
  <c r="L93" i="95"/>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M106" i="95" s="1"/>
  <c r="L107" i="95"/>
  <c r="M107" i="95" s="1"/>
  <c r="L108" i="95"/>
  <c r="M108" i="95" s="1"/>
  <c r="L109" i="95"/>
  <c r="M109" i="95" s="1"/>
  <c r="L110" i="95"/>
  <c r="L111" i="95"/>
  <c r="M111" i="95" s="1"/>
  <c r="L112" i="95"/>
  <c r="L113" i="95"/>
  <c r="L114" i="95"/>
  <c r="L115" i="95"/>
  <c r="L116" i="95"/>
  <c r="L117" i="95"/>
  <c r="L118" i="95"/>
  <c r="M118" i="95" s="1"/>
  <c r="L119" i="95"/>
  <c r="M119" i="95" s="1"/>
  <c r="L120" i="95"/>
  <c r="M120" i="95" s="1"/>
  <c r="L121" i="95"/>
  <c r="M121" i="95" s="1"/>
  <c r="L122" i="95"/>
  <c r="M122" i="95" s="1"/>
  <c r="L123" i="95"/>
  <c r="L124" i="95"/>
  <c r="L125" i="95"/>
  <c r="L126" i="95"/>
  <c r="M126" i="95" s="1"/>
  <c r="L127" i="95"/>
  <c r="L128" i="95"/>
  <c r="L129" i="95"/>
  <c r="M129" i="95" s="1"/>
  <c r="L130" i="95"/>
  <c r="L131" i="95"/>
  <c r="L132" i="95"/>
  <c r="L133" i="95"/>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L145" i="95"/>
  <c r="L146" i="95"/>
  <c r="L147" i="95"/>
  <c r="L148" i="95"/>
  <c r="L149" i="95"/>
  <c r="L150" i="95"/>
  <c r="M150" i="95" s="1"/>
  <c r="L151" i="95"/>
  <c r="M151" i="95" s="1"/>
  <c r="L152" i="95"/>
  <c r="M152" i="95" s="1"/>
  <c r="L153" i="95"/>
  <c r="M153" i="95" s="1"/>
  <c r="L154" i="95"/>
  <c r="M154" i="95" s="1"/>
  <c r="L155" i="95"/>
  <c r="L156" i="95"/>
  <c r="L157" i="95"/>
  <c r="M157" i="95" s="1"/>
  <c r="L158" i="95"/>
  <c r="M158" i="95" s="1"/>
  <c r="L159" i="95"/>
  <c r="M159" i="95" s="1"/>
  <c r="L160" i="95"/>
  <c r="M160" i="95" s="1"/>
  <c r="L161" i="95"/>
  <c r="M161" i="95" s="1"/>
  <c r="L162" i="95"/>
  <c r="L163" i="95"/>
  <c r="L164" i="95"/>
  <c r="L165" i="95"/>
  <c r="L166" i="95"/>
  <c r="L167" i="95"/>
  <c r="M167" i="95" s="1"/>
  <c r="L168" i="95"/>
  <c r="L169" i="95"/>
  <c r="L170" i="95"/>
  <c r="M170" i="95" s="1"/>
  <c r="L171" i="95"/>
  <c r="L172" i="95"/>
  <c r="L173" i="95"/>
  <c r="L174" i="95"/>
  <c r="L175" i="95"/>
  <c r="M175" i="95" s="1"/>
  <c r="L176" i="95"/>
  <c r="L177" i="95"/>
  <c r="M177" i="95" s="1"/>
  <c r="L178" i="95"/>
  <c r="M178" i="95" s="1"/>
  <c r="L179" i="95"/>
  <c r="M179" i="95" s="1"/>
  <c r="L180" i="95"/>
  <c r="M180" i="95" s="1"/>
  <c r="L181" i="95"/>
  <c r="M181" i="95" s="1"/>
  <c r="L182" i="95"/>
  <c r="M182" i="95" s="1"/>
  <c r="L183" i="95"/>
  <c r="M183" i="95" s="1"/>
  <c r="L184" i="95"/>
  <c r="L185" i="95"/>
  <c r="M185" i="95" s="1"/>
  <c r="L186" i="95"/>
  <c r="M186" i="95" s="1"/>
  <c r="L187" i="95"/>
  <c r="L188" i="95"/>
  <c r="L189" i="95"/>
  <c r="M189" i="95" s="1"/>
  <c r="L190" i="95"/>
  <c r="M190" i="95" s="1"/>
  <c r="L191" i="95"/>
  <c r="M191" i="95" s="1"/>
  <c r="L192" i="95"/>
  <c r="M192" i="95" s="1"/>
  <c r="L193" i="95"/>
  <c r="M193" i="95" s="1"/>
  <c r="L194" i="95"/>
  <c r="L195" i="95"/>
  <c r="L196" i="95"/>
  <c r="L197" i="95"/>
  <c r="M197" i="95" s="1"/>
  <c r="L198" i="95"/>
  <c r="M198" i="95" s="1"/>
  <c r="L199" i="95"/>
  <c r="M199" i="95" s="1"/>
  <c r="L200" i="95"/>
  <c r="M200" i="95" s="1"/>
  <c r="L201" i="95"/>
  <c r="M201" i="95" s="1"/>
  <c r="L202" i="95"/>
  <c r="M202" i="95" s="1"/>
  <c r="L203" i="95"/>
  <c r="M203" i="95" s="1"/>
  <c r="L204" i="95"/>
  <c r="M204" i="95" s="1"/>
  <c r="L205" i="95"/>
  <c r="M205" i="95" s="1"/>
  <c r="L206" i="95"/>
  <c r="L207" i="95"/>
  <c r="M207" i="95" s="1"/>
  <c r="L208" i="95"/>
  <c r="L209" i="95"/>
  <c r="L210" i="95"/>
  <c r="L211" i="95"/>
  <c r="L212" i="95"/>
  <c r="L213" i="95"/>
  <c r="L214" i="95"/>
  <c r="M214" i="95" s="1"/>
  <c r="L215" i="95"/>
  <c r="M215" i="95" s="1"/>
  <c r="L216" i="95"/>
  <c r="M216" i="95" s="1"/>
  <c r="L217" i="95"/>
  <c r="M217" i="95" s="1"/>
  <c r="L218" i="95"/>
  <c r="M218" i="95" s="1"/>
  <c r="L219" i="95"/>
  <c r="L220" i="95"/>
  <c r="L221" i="95"/>
  <c r="L222" i="95"/>
  <c r="M222" i="95" s="1"/>
  <c r="L223" i="95"/>
  <c r="M223" i="95" s="1"/>
  <c r="L224" i="95"/>
  <c r="M224" i="95" s="1"/>
  <c r="L225" i="95"/>
  <c r="M225" i="95" s="1"/>
  <c r="L226" i="95"/>
  <c r="L227" i="95"/>
  <c r="L228" i="95"/>
  <c r="L229" i="95"/>
  <c r="M229" i="95" s="1"/>
  <c r="L230" i="95"/>
  <c r="M230" i="95" s="1"/>
  <c r="L231" i="95"/>
  <c r="M231" i="95" s="1"/>
  <c r="L232" i="95"/>
  <c r="M232" i="95" s="1"/>
  <c r="L233" i="95"/>
  <c r="M233" i="95" s="1"/>
  <c r="L234" i="95"/>
  <c r="M234" i="95" s="1"/>
  <c r="L235" i="95"/>
  <c r="M235" i="95" s="1"/>
  <c r="L236" i="95"/>
  <c r="M236" i="95" s="1"/>
  <c r="L237" i="95"/>
  <c r="M237" i="95" s="1"/>
  <c r="L238" i="95"/>
  <c r="M238" i="95" s="1"/>
  <c r="L239" i="95"/>
  <c r="M239" i="95" s="1"/>
  <c r="L240" i="95"/>
  <c r="L241" i="95"/>
  <c r="L242" i="95"/>
  <c r="L243" i="95"/>
  <c r="L244" i="95"/>
  <c r="L245" i="95"/>
  <c r="L246" i="95"/>
  <c r="L247" i="95"/>
  <c r="L248" i="95"/>
  <c r="L249" i="95"/>
  <c r="M249" i="95" s="1"/>
  <c r="L250" i="95"/>
  <c r="L251" i="95"/>
  <c r="L252" i="95"/>
  <c r="L253" i="95"/>
  <c r="M253" i="95" s="1"/>
  <c r="L254" i="95"/>
  <c r="M254" i="95" s="1"/>
  <c r="L255" i="95"/>
  <c r="M255" i="95" s="1"/>
  <c r="L256" i="95"/>
  <c r="M256" i="95" s="1"/>
  <c r="L257" i="95"/>
  <c r="M257" i="95" s="1"/>
  <c r="L258" i="95"/>
  <c r="L259" i="95"/>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L273" i="95"/>
  <c r="L274" i="95"/>
  <c r="L275" i="95"/>
  <c r="L276" i="95"/>
  <c r="M276" i="95" s="1"/>
  <c r="L277" i="95"/>
  <c r="M277" i="95" s="1"/>
  <c r="L278" i="95"/>
  <c r="M278" i="95" s="1"/>
  <c r="L279" i="95"/>
  <c r="M279" i="95" s="1"/>
  <c r="L280" i="95"/>
  <c r="L281" i="95"/>
  <c r="M281" i="95" s="1"/>
  <c r="L282" i="95"/>
  <c r="L283" i="95"/>
  <c r="L284" i="95"/>
  <c r="L285" i="95"/>
  <c r="L286" i="95"/>
  <c r="M286" i="95" s="1"/>
  <c r="L287" i="95"/>
  <c r="L288" i="95"/>
  <c r="L289" i="95"/>
  <c r="M289" i="95" s="1"/>
  <c r="L290" i="95"/>
  <c r="L291" i="95"/>
  <c r="L292" i="95"/>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L305" i="95"/>
  <c r="L306" i="95"/>
  <c r="L307" i="95"/>
  <c r="L308" i="95"/>
  <c r="M308" i="95" s="1"/>
  <c r="L309" i="95"/>
  <c r="M309" i="95" s="1"/>
  <c r="L310" i="95"/>
  <c r="M310" i="95" s="1"/>
  <c r="L311" i="95"/>
  <c r="L312" i="95"/>
  <c r="L313" i="95"/>
  <c r="M313" i="95" s="1"/>
  <c r="L314" i="95"/>
  <c r="L315" i="95"/>
  <c r="L316" i="95"/>
  <c r="M316" i="95" s="1"/>
  <c r="L317" i="95"/>
  <c r="M317" i="95" s="1"/>
  <c r="L318" i="95"/>
  <c r="M318" i="95" s="1"/>
  <c r="L319" i="95"/>
  <c r="M319" i="95" s="1"/>
  <c r="L320" i="95"/>
  <c r="M320" i="95" s="1"/>
  <c r="L321" i="95"/>
  <c r="M321" i="95" s="1"/>
  <c r="L322" i="95"/>
  <c r="L323" i="95"/>
  <c r="L324" i="95"/>
  <c r="L325" i="95"/>
  <c r="L326" i="95"/>
  <c r="L327" i="95"/>
  <c r="M327" i="95" s="1"/>
  <c r="L328" i="95"/>
  <c r="L329" i="95"/>
  <c r="L330" i="95"/>
  <c r="M330" i="95" s="1"/>
  <c r="L331" i="95"/>
  <c r="L332" i="95"/>
  <c r="M332" i="95" s="1"/>
  <c r="L333" i="95"/>
  <c r="M333" i="95" s="1"/>
  <c r="L334" i="95"/>
  <c r="M334" i="95" s="1"/>
  <c r="L335" i="95"/>
  <c r="M335" i="95" s="1"/>
  <c r="L336" i="95"/>
  <c r="L337" i="95"/>
  <c r="L338" i="95"/>
  <c r="L339" i="95"/>
  <c r="L340" i="95"/>
  <c r="L341" i="95"/>
  <c r="L342" i="95"/>
  <c r="L343" i="95"/>
  <c r="M343" i="95" s="1"/>
  <c r="L344" i="95"/>
  <c r="L345" i="95"/>
  <c r="M345" i="95" s="1"/>
  <c r="L346" i="95"/>
  <c r="L347" i="95"/>
  <c r="L348" i="95"/>
  <c r="L349" i="95"/>
  <c r="L350" i="95"/>
  <c r="M350" i="95" s="1"/>
  <c r="L351" i="95"/>
  <c r="M351" i="95" s="1"/>
  <c r="L352" i="95"/>
  <c r="M352" i="95" s="1"/>
  <c r="L353" i="95"/>
  <c r="M353" i="95" s="1"/>
  <c r="L354" i="95"/>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L367" i="95"/>
  <c r="M367" i="95" s="1"/>
  <c r="L368" i="95"/>
  <c r="L369" i="95"/>
  <c r="L370" i="95"/>
  <c r="L371" i="95"/>
  <c r="L372" i="95"/>
  <c r="M372" i="95" s="1"/>
  <c r="L373" i="95"/>
  <c r="M373" i="95" s="1"/>
  <c r="L374" i="95"/>
  <c r="M374" i="95" s="1"/>
  <c r="L375" i="95"/>
  <c r="M375" i="95" s="1"/>
  <c r="L376" i="95"/>
  <c r="M376" i="95" s="1"/>
  <c r="L377" i="95"/>
  <c r="M377" i="95" s="1"/>
  <c r="L378" i="95"/>
  <c r="M378" i="95" s="1"/>
  <c r="L379" i="95"/>
  <c r="L380" i="95"/>
  <c r="L381" i="95"/>
  <c r="L382" i="95"/>
  <c r="M382" i="95" s="1"/>
  <c r="L383" i="95"/>
  <c r="M383" i="95" s="1"/>
  <c r="L384" i="95"/>
  <c r="M384" i="95" s="1"/>
  <c r="L385" i="95"/>
  <c r="M385" i="95" s="1"/>
  <c r="L386" i="95"/>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L401" i="95"/>
  <c r="L402" i="95"/>
  <c r="L403" i="95"/>
  <c r="L404" i="95"/>
  <c r="L405" i="95"/>
  <c r="L406" i="95"/>
  <c r="L407" i="95"/>
  <c r="L408" i="95"/>
  <c r="L409" i="95"/>
  <c r="M409" i="95" s="1"/>
  <c r="L410" i="95"/>
  <c r="L411" i="95"/>
  <c r="M411" i="95" s="1"/>
  <c r="L412" i="95"/>
  <c r="M412" i="95" s="1"/>
  <c r="L413" i="95"/>
  <c r="M413" i="95" s="1"/>
  <c r="L414" i="95"/>
  <c r="M414" i="95" s="1"/>
  <c r="L415" i="95"/>
  <c r="M415" i="95" s="1"/>
  <c r="L416" i="95"/>
  <c r="M416" i="95" s="1"/>
  <c r="L417" i="95"/>
  <c r="M417" i="95" s="1"/>
  <c r="L418" i="95"/>
  <c r="M2" i="95"/>
  <c r="M3" i="95"/>
  <c r="M4" i="95"/>
  <c r="M5" i="95"/>
  <c r="M6" i="95"/>
  <c r="M8" i="95"/>
  <c r="M9" i="95"/>
  <c r="M14" i="95"/>
  <c r="M16" i="95"/>
  <c r="M17" i="95"/>
  <c r="M24" i="95"/>
  <c r="M27" i="95"/>
  <c r="M28" i="95"/>
  <c r="M29" i="95"/>
  <c r="M34" i="95"/>
  <c r="M35" i="95"/>
  <c r="M36" i="95"/>
  <c r="M37" i="95"/>
  <c r="M38" i="95"/>
  <c r="M46" i="95"/>
  <c r="M48" i="95"/>
  <c r="M49" i="95"/>
  <c r="M50" i="95"/>
  <c r="M51" i="95"/>
  <c r="M52" i="95"/>
  <c r="M53" i="95"/>
  <c r="M54" i="95"/>
  <c r="M55" i="95"/>
  <c r="M59" i="95"/>
  <c r="M60" i="95"/>
  <c r="M61" i="95"/>
  <c r="M66" i="95"/>
  <c r="M67" i="95"/>
  <c r="M68" i="95"/>
  <c r="M78" i="95"/>
  <c r="M80" i="95"/>
  <c r="M82" i="95"/>
  <c r="M83" i="95"/>
  <c r="M84" i="95"/>
  <c r="M85" i="95"/>
  <c r="M86" i="95"/>
  <c r="M87" i="95"/>
  <c r="M88" i="95"/>
  <c r="M90" i="95"/>
  <c r="M91" i="95"/>
  <c r="M92" i="95"/>
  <c r="M93" i="95"/>
  <c r="M110" i="95"/>
  <c r="M112" i="95"/>
  <c r="M113" i="95"/>
  <c r="M114" i="95"/>
  <c r="M115" i="95"/>
  <c r="M116" i="95"/>
  <c r="M117" i="95"/>
  <c r="M123" i="95"/>
  <c r="M124" i="95"/>
  <c r="M125" i="95"/>
  <c r="M127" i="95"/>
  <c r="M128" i="95"/>
  <c r="M130" i="95"/>
  <c r="M131" i="95"/>
  <c r="M132" i="95"/>
  <c r="M133" i="95"/>
  <c r="M144" i="95"/>
  <c r="M145" i="95"/>
  <c r="M146" i="95"/>
  <c r="M147" i="95"/>
  <c r="M148" i="95"/>
  <c r="M149" i="95"/>
  <c r="M155" i="95"/>
  <c r="M156" i="95"/>
  <c r="M162" i="95"/>
  <c r="M163" i="95"/>
  <c r="M164" i="95"/>
  <c r="M165" i="95"/>
  <c r="M166" i="95"/>
  <c r="M168" i="95"/>
  <c r="M169" i="95"/>
  <c r="M171" i="95"/>
  <c r="M172" i="95"/>
  <c r="M173" i="95"/>
  <c r="M174" i="95"/>
  <c r="M176" i="95"/>
  <c r="M184" i="95"/>
  <c r="M187" i="95"/>
  <c r="M188" i="95"/>
  <c r="M194" i="95"/>
  <c r="M195" i="95"/>
  <c r="M196" i="95"/>
  <c r="M206" i="95"/>
  <c r="M208" i="95"/>
  <c r="M209" i="95"/>
  <c r="M210" i="95"/>
  <c r="M211" i="95"/>
  <c r="M212" i="95"/>
  <c r="M213" i="95"/>
  <c r="M219" i="95"/>
  <c r="M220" i="95"/>
  <c r="M221" i="95"/>
  <c r="M226" i="95"/>
  <c r="M227" i="95"/>
  <c r="M228" i="95"/>
  <c r="M240" i="95"/>
  <c r="M241" i="95"/>
  <c r="M242" i="95"/>
  <c r="M243" i="95"/>
  <c r="M244" i="95"/>
  <c r="M245" i="95"/>
  <c r="M246" i="95"/>
  <c r="M247" i="95"/>
  <c r="M248" i="95"/>
  <c r="M250" i="95"/>
  <c r="M251" i="95"/>
  <c r="M252" i="95"/>
  <c r="M258" i="95"/>
  <c r="M259" i="95"/>
  <c r="M272" i="95"/>
  <c r="M273" i="95"/>
  <c r="M274" i="95"/>
  <c r="M275" i="95"/>
  <c r="M280" i="95"/>
  <c r="M282" i="95"/>
  <c r="M283" i="95"/>
  <c r="M284" i="95"/>
  <c r="M285" i="95"/>
  <c r="M287" i="95"/>
  <c r="M288" i="95"/>
  <c r="M290" i="95"/>
  <c r="M291" i="95"/>
  <c r="M292" i="95"/>
  <c r="M304" i="95"/>
  <c r="M305" i="95"/>
  <c r="M306" i="95"/>
  <c r="M307" i="95"/>
  <c r="M311" i="95"/>
  <c r="M312" i="95"/>
  <c r="M314" i="95"/>
  <c r="M315" i="95"/>
  <c r="M322" i="95"/>
  <c r="M323" i="95"/>
  <c r="M324" i="95"/>
  <c r="M325" i="95"/>
  <c r="M326" i="95"/>
  <c r="M328" i="95"/>
  <c r="M329" i="95"/>
  <c r="M331" i="95"/>
  <c r="M336" i="95"/>
  <c r="M337" i="95"/>
  <c r="M338" i="95"/>
  <c r="M339" i="95"/>
  <c r="M340" i="95"/>
  <c r="M341" i="95"/>
  <c r="M342" i="95"/>
  <c r="M344" i="95"/>
  <c r="M346" i="95"/>
  <c r="M347" i="95"/>
  <c r="M348" i="95"/>
  <c r="M349" i="95"/>
  <c r="M354" i="95"/>
  <c r="M366" i="95"/>
  <c r="M368" i="95"/>
  <c r="M369" i="95"/>
  <c r="M370" i="95"/>
  <c r="M371" i="95"/>
  <c r="M379" i="95"/>
  <c r="M380" i="95"/>
  <c r="M381" i="95"/>
  <c r="M386" i="95"/>
  <c r="M400" i="95"/>
  <c r="M401" i="95"/>
  <c r="M402" i="95"/>
  <c r="M403" i="95"/>
  <c r="M404" i="95"/>
  <c r="M405" i="95"/>
  <c r="M406" i="95"/>
  <c r="M407" i="95"/>
  <c r="M408" i="95"/>
  <c r="M410" i="95"/>
  <c r="M418" i="95"/>
  <c r="G97" i="8"/>
  <c r="B20" i="8"/>
  <c r="A37" i="8"/>
  <c r="AL1" i="77" a="1"/>
  <c r="AL1" i="77" s="1"/>
  <c r="K320" i="95" l="1"/>
  <c r="K210"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T62" i="26" l="1"/>
  <c r="R62" i="26"/>
  <c r="F62" i="26" a="1"/>
  <c r="F62" i="26" s="1"/>
  <c r="C2" i="12" a="1"/>
  <c r="C2" i="12" s="1"/>
  <c r="B2" i="12" a="1"/>
  <c r="B2" i="12" s="1"/>
  <c r="A2" i="12" a="1"/>
  <c r="A2" i="12" s="1"/>
  <c r="E9" i="8" a="1"/>
  <c r="E9" i="8" s="1"/>
  <c r="D19" i="4"/>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3" i="8"/>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s="1"/>
  <c r="C25" i="5" l="1"/>
  <c r="L4" i="8"/>
  <c r="L5" i="8"/>
  <c r="S29" i="8" a="1"/>
  <c r="S29" i="8" l="1"/>
  <c r="L6" i="8"/>
  <c r="R16" i="8" a="1"/>
  <c r="R15" i="8" a="1"/>
  <c r="R7" i="8" a="1"/>
  <c r="R5" i="8" a="1"/>
  <c r="S8" i="8" a="1"/>
  <c r="R23" i="8" a="1"/>
  <c r="R14" i="8" a="1"/>
  <c r="S19" i="8" a="1"/>
  <c r="R13" i="8" a="1"/>
  <c r="S25" i="8" a="1"/>
  <c r="S26" i="8" a="1"/>
  <c r="R9" i="8" a="1"/>
  <c r="S11" i="8" a="1"/>
  <c r="R24" i="8" a="1"/>
  <c r="S12" i="8" a="1"/>
  <c r="R33" i="8" a="1"/>
  <c r="S15" i="8" a="1"/>
  <c r="R28" i="8" a="1"/>
  <c r="R12" i="8" a="1"/>
  <c r="S14" i="8" a="1"/>
  <c r="S33" i="8" a="1"/>
  <c r="R29" i="8" a="1"/>
  <c r="R40" i="8" a="1"/>
  <c r="S6" i="8" a="1"/>
  <c r="S24" i="8" a="1"/>
  <c r="R30" i="8" a="1"/>
  <c r="R34" i="8" a="1"/>
  <c r="S7" i="8" a="1"/>
  <c r="R25" i="8" a="1"/>
  <c r="R6" i="8" a="1"/>
  <c r="R41" i="8" a="1"/>
  <c r="R35" i="8" a="1"/>
  <c r="S39" i="8" a="1"/>
  <c r="S30" i="8" a="1"/>
  <c r="S23" i="8" a="1"/>
  <c r="R44" i="8" a="1"/>
  <c r="S17" i="8" a="1"/>
  <c r="S35" i="8" a="1"/>
  <c r="S36" i="8" a="1"/>
  <c r="R21" i="8" a="1"/>
  <c r="R43" i="8" a="1"/>
  <c r="S18" i="8" a="1"/>
  <c r="S37" i="8" a="1"/>
  <c r="R8" i="8" a="1"/>
  <c r="S32" i="8" a="1"/>
  <c r="R18" i="8" a="1"/>
  <c r="R37" i="8" a="1"/>
  <c r="R10" i="8" a="1"/>
  <c r="S42" i="8" a="1"/>
  <c r="S16" i="8" a="1"/>
  <c r="S27" i="8" a="1"/>
  <c r="S28" i="8" a="1"/>
  <c r="R42" i="8" a="1"/>
  <c r="S40" i="8" a="1"/>
  <c r="R36" i="8" a="1"/>
  <c r="S41" i="8" a="1"/>
  <c r="R20" i="8" a="1"/>
  <c r="S13" i="8" a="1"/>
  <c r="R38" i="8" a="1"/>
  <c r="S9" i="8" a="1"/>
  <c r="R27" i="8" a="1"/>
  <c r="S43" i="8" a="1"/>
  <c r="S20" i="8" a="1"/>
  <c r="S44" i="8" a="1"/>
  <c r="S34" i="8" a="1"/>
  <c r="S10" i="8" a="1"/>
  <c r="R32" i="8" a="1"/>
  <c r="S38" i="8" a="1"/>
  <c r="R22" i="8" a="1"/>
  <c r="R26" i="8" a="1"/>
  <c r="S31" i="8" a="1"/>
  <c r="S5" i="8" a="1"/>
  <c r="S22" i="8" a="1"/>
  <c r="R17" i="8" a="1"/>
  <c r="R31" i="8" a="1"/>
  <c r="R11" i="8" a="1"/>
  <c r="R39" i="8" a="1"/>
  <c r="S21" i="8" a="1"/>
  <c r="R19"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<sst xmlns="http://schemas.openxmlformats.org/spreadsheetml/2006/main" count="1933" uniqueCount="968">
  <si>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</si>
  <si>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</si>
  <si>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</si>
  <si>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</si>
  <si>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</si>
  <si>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</si>
  <si>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</si>
  <si>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</si>
  <si>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</si>
  <si>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</si>
  <si>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</si>
  <si>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</si>
  <si>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</si>
  <si>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</si>
  <si>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</si>
  <si>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</si>
  <si>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</si>
  <si>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</si>
  <si>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</si>
  <si>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</si>
  <si>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</si>
  <si>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</si>
  <si>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</si>
  <si>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</si>
  <si>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</si>
  <si>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</si>
  <si>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</si>
  <si>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</si>
  <si>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</si>
  <si>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</si>
  <si>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</si>
  <si>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</si>
  <si>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</si>
  <si>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</si>
  <si>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</si>
  <si>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</si>
  <si>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</si>
  <si>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</si>
  <si>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</si>
  <si>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</si>
  <si>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</si>
  <si>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</si>
  <si>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</si>
  <si>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</si>
  <si>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</si>
  <si>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</si>
  <si>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</si>
  <si>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</si>
  <si>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</si>
  <si>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</si>
  <si>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</si>
  <si>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</si>
  <si>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</si>
  <si>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</si>
  <si>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</si>
  <si>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</si>
  <si>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</si>
  <si>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</si>
  <si>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</si>
  <si>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</si>
  <si>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</si>
  <si>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</si>
  <si>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</si>
  <si>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</si>
  <si>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</si>
  <si>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</si>
  <si>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</si>
  <si>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</si>
  <si>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</si>
  <si>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</si>
  <si>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</si>
  <si>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</si>
  <si>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</si>
  <si>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</si>
  <si>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</si>
  <si>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</si>
  <si>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</si>
  <si>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</si>
  <si>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</si>
  <si>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</si>
  <si>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</si>
  <si>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</si>
  <si>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</si>
  <si>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</si>
  <si>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</si>
  <si>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</si>
  <si>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</si>
  <si>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</si>
  <si>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</si>
  <si>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</si>
  <si>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</si>
  <si>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</si>
  <si>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</si>
  <si>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</si>
  <si>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</si>
  <si>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</si>
  <si>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</si>
  <si>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</si>
  <si>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</si>
  <si>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</si>
  <si>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</si>
  <si>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</si>
  <si>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</si>
  <si>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</si>
  <si>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</si>
  <si>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</si>
  <si>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</si>
  <si>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</si>
  <si>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</si>
  <si>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</si>
  <si>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</si>
  <si>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</si>
  <si>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</si>
  <si>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</si>
  <si>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</si>
  <si>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</si>
  <si>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</si>
  <si>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</si>
  <si>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</si>
  <si>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</si>
  <si>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</si>
  <si>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</si>
  <si>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</si>
  <si>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</si>
  <si>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</si>
  <si>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</si>
  <si>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</si>
  <si>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</si>
  <si>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</si>
  <si>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</si>
  <si>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</si>
  <si>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</si>
  <si>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</si>
  <si>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</si>
  <si>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</si>
  <si>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</si>
  <si>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</si>
  <si>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</si>
  <si>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</si>
  <si>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</si>
  <si>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</si>
  <si>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</si>
  <si>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</si>
  <si>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</si>
  <si>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</si>
  <si>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</si>
  <si>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</si>
  <si>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</si>
  <si>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</si>
  <si>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</si>
  <si>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</si>
  <si>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</si>
  <si>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</si>
  <si>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</si>
  <si>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</si>
  <si>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</si>
  <si>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</si>
  <si>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</si>
  <si>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</si>
  <si>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</si>
  <si>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</si>
  <si>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</si>
  <si>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</si>
  <si>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</si>
  <si>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</si>
  <si>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</si>
  <si>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</si>
  <si>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</si>
  <si>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</si>
  <si>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</si>
  <si>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</si>
  <si>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</si>
  <si>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</si>
  <si>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</si>
  <si>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</si>
  <si>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</si>
  <si>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</si>
  <si>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</si>
  <si>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</si>
  <si>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</si>
  <si>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</si>
  <si>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</si>
  <si>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</si>
  <si>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</si>
  <si>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</si>
  <si>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</si>
  <si>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</si>
  <si>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</si>
  <si>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</si>
  <si>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</si>
  <si>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</si>
  <si>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</si>
  <si>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</si>
  <si>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</si>
  <si>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</si>
  <si>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</si>
  <si>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</si>
  <si>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</si>
  <si>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</si>
  <si>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</si>
  <si>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</si>
  <si>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</si>
  <si>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</si>
  <si>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</si>
  <si>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</si>
  <si>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</si>
  <si>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</si>
  <si>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</si>
  <si>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</si>
  <si>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</si>
  <si>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</si>
  <si>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</si>
  <si>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</si>
  <si>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</si>
  <si>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</si>
  <si>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</si>
  <si>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</si>
  <si>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</si>
  <si>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</si>
  <si>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</si>
  <si>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</si>
  <si>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</si>
  <si>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</si>
  <si>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</si>
  <si>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</si>
  <si>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</si>
  <si>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</si>
  <si>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</si>
  <si>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</si>
  <si>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</si>
  <si>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</si>
  <si>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</si>
  <si>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</si>
  <si>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</si>
  <si>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</si>
  <si>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</si>
  <si>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</si>
  <si>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</si>
  <si>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</si>
  <si>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</si>
  <si>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</si>
  <si>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</si>
  <si>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</si>
  <si>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</si>
  <si>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</si>
  <si>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</si>
  <si>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</si>
  <si>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</si>
  <si>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</si>
  <si>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</si>
  <si>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</si>
  <si>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</si>
  <si>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</si>
  <si>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</si>
  <si>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</si>
  <si>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</si>
  <si>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</si>
  <si>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</si>
  <si>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</si>
  <si>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</si>
  <si>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</si>
  <si>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</si>
  <si>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</si>
  <si>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</si>
  <si>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</si>
  <si>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</si>
  <si>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</si>
  <si>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</si>
  <si>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</si>
  <si>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</si>
  <si>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</si>
  <si>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</si>
  <si>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</si>
  <si>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</si>
  <si>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</si>
  <si>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</si>
  <si>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</si>
  <si>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</si>
  <si>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</si>
  <si>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</si>
  <si>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</si>
  <si>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</si>
  <si>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</si>
  <si>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</si>
  <si>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</si>
  <si>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</si>
  <si>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</si>
  <si>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</si>
  <si>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</si>
  <si>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</si>
  <si>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</si>
  <si>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</si>
  <si>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</si>
  <si>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</si>
  <si>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</si>
  <si>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</si>
  <si>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</si>
  <si>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</si>
  <si>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</si>
  <si>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</si>
  <si>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</si>
  <si>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</si>
  <si>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</si>
  <si>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</si>
  <si>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</si>
  <si>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</si>
  <si>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</si>
  <si>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</si>
  <si>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</si>
  <si>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</si>
  <si>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</si>
  <si>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</si>
  <si>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</si>
  <si>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</si>
  <si>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</si>
  <si>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</si>
  <si>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</si>
  <si>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</si>
  <si>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</si>
  <si>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</si>
  <si>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</si>
  <si>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</si>
  <si>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</si>
  <si>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</si>
  <si>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</si>
  <si>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</si>
  <si>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</si>
  <si>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</si>
  <si>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</si>
  <si>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</si>
  <si>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</si>
  <si>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</si>
  <si>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</si>
  <si>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</si>
  <si>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</si>
  <si>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</si>
  <si>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</si>
  <si>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</si>
  <si>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</si>
  <si>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</si>
  <si>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</si>
  <si>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</si>
  <si>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</si>
  <si>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</si>
  <si>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</si>
  <si>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</si>
  <si>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</si>
  <si>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</si>
  <si>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</si>
  <si>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</si>
  <si>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</si>
  <si>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</si>
  <si>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</si>
  <si>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</si>
  <si>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</si>
  <si>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</si>
  <si>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</si>
  <si>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</si>
  <si>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</si>
  <si>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</si>
  <si>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</si>
  <si>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</si>
  <si>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</si>
  <si>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</si>
  <si>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</si>
  <si>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</si>
  <si>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</si>
  <si>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</si>
  <si>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</si>
  <si>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</si>
  <si>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</si>
  <si>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</si>
  <si>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</si>
  <si>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</si>
  <si>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</si>
  <si>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</si>
  <si>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</si>
  <si>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</si>
  <si>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</si>
  <si>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</si>
  <si>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</si>
  <si>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</si>
  <si>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</si>
  <si>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</si>
  <si>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</si>
  <si>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</si>
  <si>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</si>
  <si>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</si>
  <si>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</si>
  <si>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</si>
  <si>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</si>
  <si>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</si>
  <si>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</si>
  <si>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</si>
  <si>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</si>
  <si>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</si>
  <si>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</si>
  <si>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</si>
  <si>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</si>
  <si>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</si>
  <si>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</si>
  <si>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</si>
  <si>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</si>
  <si>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</si>
  <si>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</si>
  <si>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</si>
  <si>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</si>
  <si>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</si>
  <si>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</si>
  <si>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</si>
  <si>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</si>
  <si>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</si>
  <si>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</si>
  <si>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</si>
  <si>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</si>
  <si>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</si>
  <si>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</si>
  <si>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</si>
  <si>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</si>
  <si>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</si>
  <si>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</si>
  <si>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</si>
  <si>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</si>
  <si>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</si>
  <si>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</si>
  <si>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</si>
  <si>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</si>
  <si>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</si>
  <si>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</si>
  <si>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</si>
  <si>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</si>
  <si>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</si>
  <si>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</si>
  <si>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</si>
  <si>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</si>
  <si>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</si>
  <si>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</si>
  <si>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</si>
  <si>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</si>
  <si>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</si>
  <si>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</si>
  <si>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</si>
  <si>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</si>
  <si>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</si>
  <si>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</si>
  <si>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</si>
  <si>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</si>
  <si>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</si>
  <si>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</si>
  <si>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</si>
  <si>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</si>
  <si>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</si>
  <si>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</si>
  <si>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</si>
  <si>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</si>
  <si>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</si>
  <si>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</si>
  <si>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</si>
  <si>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</si>
  <si>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</si>
  <si>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</si>
  <si>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</si>
  <si>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</si>
  <si>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</si>
  <si>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</si>
  <si>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</si>
  <si>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</si>
  <si>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</si>
  <si>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</si>
  <si>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</si>
  <si>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</si>
  <si>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</si>
  <si>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</si>
  <si>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</si>
  <si>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</si>
  <si>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</si>
  <si>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</si>
  <si>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</si>
  <si>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</si>
  <si>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</si>
  <si>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</si>
  <si>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</si>
  <si>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</si>
  <si>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</si>
  <si>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</si>
  <si>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</si>
  <si>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</si>
  <si>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</si>
  <si>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</si>
  <si>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</si>
  <si>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</si>
  <si>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</si>
  <si>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</si>
  <si>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</si>
  <si>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</si>
  <si>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</si>
  <si>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</si>
  <si>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</si>
  <si>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</si>
  <si>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</si>
  <si>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</si>
  <si>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</si>
  <si>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</si>
  <si>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</si>
  <si>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</si>
  <si>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</si>
  <si>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</si>
  <si>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</si>
  <si>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</si>
  <si>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</si>
  <si>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</si>
  <si>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</si>
  <si>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</si>
  <si>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</si>
  <si>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</si>
  <si>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</si>
  <si>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</si>
  <si>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</si>
  <si>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</si>
  <si>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</si>
  <si>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</si>
  <si>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</si>
  <si>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</si>
  <si>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</si>
  <si>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</si>
  <si>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</si>
  <si>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</si>
  <si>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</si>
  <si>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</si>
  <si>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</si>
  <si>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</si>
  <si>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</si>
  <si>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</si>
  <si>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</si>
  <si>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</si>
  <si>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</si>
  <si>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</si>
  <si>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</si>
  <si>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</si>
  <si>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</si>
  <si>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</si>
  <si>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</si>
  <si>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</si>
  <si>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</si>
  <si>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</si>
  <si>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</si>
  <si>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</si>
  <si>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</si>
  <si>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</si>
  <si>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</si>
  <si>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</si>
  <si>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</si>
  <si>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</si>
  <si>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</si>
  <si>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</si>
  <si>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</si>
  <si>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</si>
  <si>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</si>
  <si>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</si>
  <si>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</si>
  <si>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</si>
  <si>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</si>
  <si>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</si>
  <si>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</si>
  <si>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</si>
  <si>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</si>
  <si>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</si>
  <si>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</si>
  <si>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</si>
  <si>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</si>
  <si>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</si>
  <si>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</si>
  <si>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</si>
  <si>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</si>
  <si>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</si>
  <si>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</si>
  <si>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</si>
  <si>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</si>
  <si>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</si>
  <si>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</si>
  <si>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</si>
  <si>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</si>
  <si>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</si>
  <si>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</si>
  <si>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</si>
  <si>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</si>
  <si>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</si>
  <si>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</si>
  <si>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</si>
  <si>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</si>
  <si>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</si>
  <si>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</si>
  <si>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</si>
  <si>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</si>
  <si>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</si>
  <si>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</si>
  <si>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</si>
  <si>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</si>
  <si>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</si>
  <si>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</si>
  <si>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</si>
  <si>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</si>
  <si>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</si>
  <si>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</si>
  <si>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</si>
  <si>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</si>
  <si>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</si>
  <si>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</si>
  <si>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</si>
  <si>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</si>
  <si>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</si>
  <si>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</si>
  <si>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</si>
  <si>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</si>
  <si>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</si>
  <si>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</si>
  <si>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</si>
  <si>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</si>
  <si>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</si>
  <si>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</si>
  <si>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</si>
  <si>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</si>
  <si>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</si>
  <si>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</si>
  <si>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</si>
  <si>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</si>
  <si>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</si>
  <si>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</si>
  <si>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</si>
  <si>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</si>
  <si>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</si>
  <si>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</si>
  <si>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</si>
  <si>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</si>
  <si>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</si>
  <si>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</si>
  <si>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</si>
  <si>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</si>
  <si>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</si>
  <si>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</si>
  <si>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</si>
  <si>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</si>
  <si>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</si>
  <si>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</si>
  <si>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</si>
  <si>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</si>
  <si>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</si>
  <si>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</si>
  <si>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</si>
  <si>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</si>
  <si>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</si>
  <si>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</si>
  <si>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</si>
  <si>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</si>
  <si>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</si>
  <si>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</si>
  <si>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</si>
  <si>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</si>
  <si>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</si>
  <si>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</si>
  <si>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</si>
  <si>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</si>
  <si>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</si>
  <si>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</si>
  <si>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</si>
  <si>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</si>
  <si>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</si>
  <si>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</si>
  <si>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</si>
  <si>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</si>
  <si>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</si>
  <si>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</si>
  <si>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</si>
  <si>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</si>
  <si>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</si>
  <si>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</si>
  <si>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</si>
  <si>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</si>
  <si>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</si>
  <si>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</si>
  <si>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</si>
  <si>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</si>
  <si>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</si>
  <si>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</si>
  <si>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</si>
  <si>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</si>
  <si>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</si>
  <si>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</si>
  <si>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</si>
  <si>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</si>
  <si>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</si>
  <si>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</si>
  <si>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</si>
  <si>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</si>
  <si>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</si>
  <si>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</si>
  <si>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</si>
  <si>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</si>
  <si>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</si>
  <si>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</si>
  <si>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</si>
  <si>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</si>
  <si>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</si>
  <si>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</si>
  <si>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</si>
  <si>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</si>
  <si>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</si>
  <si>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</si>
  <si>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</si>
  <si>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</si>
  <si>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</si>
  <si>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</si>
  <si>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</si>
  <si>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</si>
  <si>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</si>
  <si>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</si>
  <si>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</si>
  <si>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</si>
  <si>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</si>
  <si>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</si>
  <si>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</si>
  <si>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</si>
  <si>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</si>
  <si>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</si>
  <si>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</si>
  <si>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</si>
  <si>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</si>
  <si>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</si>
  <si>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</si>
  <si>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</si>
  <si>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</si>
  <si>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</si>
  <si>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</si>
  <si>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</si>
  <si>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</si>
  <si>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</si>
  <si>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</si>
  <si>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</si>
  <si>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</si>
  <si>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</si>
  <si>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</si>
  <si>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</si>
  <si>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</si>
  <si>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</si>
  <si>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</si>
  <si>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</si>
  <si>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</si>
  <si>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</si>
  <si>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</si>
  <si>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</si>
  <si>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</si>
  <si>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</si>
  <si>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</si>
  <si>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</si>
  <si>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</si>
  <si>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</si>
  <si>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</si>
  <si>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</si>
  <si>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</si>
  <si>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</si>
  <si>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</si>
  <si>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</si>
  <si>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</si>
  <si>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</si>
  <si>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</si>
  <si>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</si>
  <si>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</si>
  <si>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</si>
  <si>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</si>
  <si>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</si>
  <si>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</si>
  <si>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</si>
  <si>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</si>
  <si>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</si>
  <si>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</si>
  <si>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</si>
  <si>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</si>
  <si>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</si>
  <si>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</si>
  <si>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</si>
  <si>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</si>
  <si>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</si>
  <si>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</si>
  <si>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</si>
  <si>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</si>
  <si>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</si>
  <si>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</si>
  <si>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</si>
  <si>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</si>
  <si>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</si>
  <si>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</si>
  <si>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</si>
  <si>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</si>
  <si>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</si>
  <si>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</si>
  <si>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</si>
  <si>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</si>
  <si>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</si>
  <si>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</si>
  <si>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</si>
  <si>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</si>
  <si>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</si>
  <si>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</si>
  <si>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</si>
  <si>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</si>
  <si>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</si>
  <si>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</si>
  <si>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</si>
  <si>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</si>
  <si>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</si>
  <si>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</si>
  <si>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</si>
  <si>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</si>
  <si>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</si>
  <si>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</si>
  <si>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</si>
  <si>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</si>
  <si>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</si>
  <si>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</si>
  <si>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</si>
  <si>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</si>
  <si>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</si>
  <si>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</si>
  <si>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</si>
  <si>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</si>
  <si>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</si>
  <si>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</si>
  <si>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</si>
  <si>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</si>
  <si>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</si>
  <si>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</si>
  <si>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</si>
  <si>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</si>
  <si>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</si>
  <si>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</si>
  <si>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</si>
  <si>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</si>
  <si>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</si>
  <si>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</si>
  <si>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</si>
  <si>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</si>
  <si>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</si>
  <si>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</si>
  <si>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</si>
  <si>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</si>
  <si>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</si>
  <si>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</si>
  <si>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</si>
  <si>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</si>
  <si>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</si>
  <si>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</si>
  <si>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</si>
  <si>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</si>
  <si>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</si>
  <si>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</si>
  <si>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</si>
  <si>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</si>
  <si>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</si>
  <si>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</si>
  <si>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</si>
  <si>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</si>
  <si>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</si>
  <si>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</si>
  <si>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</si>
  <si>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</si>
  <si>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</si>
  <si>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</si>
  <si>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</si>
  <si>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</si>
  <si>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</si>
  <si>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</si>
  <si>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</si>
  <si>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</si>
  <si>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</si>
  <si>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</si>
  <si>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</si>
  <si>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</si>
  <si>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</si>
  <si>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</si>
  <si>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</si>
  <si>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</si>
  <si>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</si>
  <si>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</si>
  <si>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</si>
  <si>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</si>
  <si>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</si>
  <si>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</si>
  <si>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</si>
  <si>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</si>
  <si>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</si>
  <si>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</si>
  <si>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</si>
  <si>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</si>
  <si>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</si>
  <si>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</si>
  <si>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</si>
  <si>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</si>
  <si>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</si>
  <si>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</si>
  <si>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</si>
  <si>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</si>
  <si>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</si>
  <si>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</si>
  <si>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</si>
  <si>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</si>
  <si>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</si>
  <si>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</si>
  <si>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</si>
  <si>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</si>
  <si>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</si>
  <si>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</si>
  <si>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</si>
  <si>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</si>
  <si>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</si>
  <si>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</si>
  <si>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</si>
  <si>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</si>
  <si>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</si>
  <si>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</si>
  <si>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</si>
  <si>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</si>
  <si>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</si>
  <si>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</si>
  <si>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</si>
  <si>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</si>
  <si>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</si>
  <si>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</si>
  <si>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</si>
  <si>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</si>
  <si>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</si>
  <si>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</si>
  <si>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</si>
  <si>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</si>
  <si>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</si>
  <si>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</si>
  <si>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</si>
  <si>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</si>
  <si>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</si>
  <si>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</si>
  <si>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</si>
  <si>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</si>
  <si>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</si>
  <si>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</si>
  <si>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</si>
  <si>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</si>
  <si>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</si>
  <si>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</si>
  <si>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</si>
  <si>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</si>
  <si>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</si>
  <si>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</si>
  <si>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</si>
  <si>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Ver. 07.17.25</t>
  </si>
  <si>
    <t>RangeMin</t>
  </si>
  <si>
    <t>RangeMax</t>
  </si>
  <si>
    <t>TolMin</t>
  </si>
  <si>
    <t>TolMax</t>
  </si>
  <si>
    <t>TolResolution</t>
  </si>
  <si>
    <t>Unit</t>
  </si>
  <si>
    <t>Flags</t>
  </si>
  <si>
    <t>TolMinText</t>
  </si>
  <si>
    <t>TolMaxText</t>
  </si>
  <si>
    <t>TolText</t>
  </si>
  <si>
    <t>RangeMaxText</t>
  </si>
  <si>
    <t>RangeText</t>
  </si>
  <si>
    <t>Ranges</t>
  </si>
  <si>
    <t>Tolerances</t>
  </si>
  <si>
    <t>On-Site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</si>
</sst>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5">
    <dxf>
      <numFmt numFmtId="0" formatCode="General"/>
    </dxf>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3"/>
    <tableColumn id="8" xr3:uid="{7C740CB9-37DA-435E-A87E-AF050E31623C}" uniqueName="8" name="wire_roll_cert_number" queryTableFieldId="8" dataDxfId="184"/>
    <tableColumn id="7" xr3:uid="{297A4F29-F6E9-4BD3-A7A2-5F1039480BAE}" uniqueName="7" name="certificate_number" queryTableFieldId="7" dataDxfId="183"/>
    <tableColumn id="6" xr3:uid="{B359FFDA-2633-4F67-9E7E-BA0BB88ADA64}" uniqueName="6" name="next_service_date" queryTableFieldId="6" dataDxfId="72"/>
    <tableColumn id="5" xr3:uid="{412A70E1-7452-417E-A3A9-BD3499EBD33C}" uniqueName="5" name="service_date" queryTableFieldId="5" dataDxfId="71"/>
    <tableColumn id="4" xr3:uid="{44F03B5B-6C09-4D5C-B2E2-D809B4EDF2B0}" uniqueName="4" name="custom_order_number" queryTableFieldId="4" dataDxfId="182"/>
    <tableColumn id="3" xr3:uid="{D963BD5C-EE98-4CDD-ABAE-5315BBDA1135}" uniqueName="3" name="asset_tag" queryTableFieldId="3" dataDxfId="181"/>
    <tableColumn id="2" xr3:uid="{D07D770F-21F7-425E-8CCA-AA85FFD513A3}" uniqueName="2" name="serial_number" queryTableFieldId="2" dataDxfId="180"/>
    <tableColumn id="1" xr3:uid="{4CB1C976-73DA-4579-B7F8-9D891581EA5A}" uniqueName="1" name="asset_id" queryTableFieldId="1"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9"/>
    <tableColumn id="2" xr3:uid="{44100894-4C9D-4514-95AC-618BC19E5917}" uniqueName="2" name="Temp" queryTableFieldId="4" dataDxfId="178"/>
    <tableColumn id="3" xr3:uid="{ECB904AC-F679-49D7-806F-647089E4822A}" uniqueName="3" name="Offset" queryTableFieldId="5" dataDxfId="17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6"/>
    <tableColumn id="3" xr3:uid="{5A7694DA-28F6-45C3-AA3A-8F5C42BC36CB}" uniqueName="3" name="login_email" queryTableFieldId="12"/>
    <tableColumn id="4" xr3:uid="{E8A7333A-3221-4D58-96FF-11D069828831}" uniqueName="4" name="IsPyro" queryTableFieldId="13" dataDxfId="17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4">
  <autoFilter ref="A1:C9" xr:uid="{8AF992F3-27EF-4265-960D-70EC6F74FAFA}"/>
  <sortState xmlns:xlrd2="http://schemas.microsoft.com/office/spreadsheetml/2017/richdata2" ref="A2:C9">
    <sortCondition ref="B1:B9"/>
  </sortState>
  <tableColumns count="3">
    <tableColumn id="1" xr3:uid="{1F7D0D09-7152-4679-B25C-65CF0E0AB2D4}" name="Type" dataDxfId="173"/>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2">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1">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70"/>
    <tableColumn id="3" xr3:uid="{2724CA85-C781-4E38-A0DA-097BFEEFE8B1}" uniqueName="3" name="Temp" queryTableFieldId="3" dataDxfId="169"/>
    <tableColumn id="6" xr3:uid="{12D5EB84-2052-49F7-A25B-127266D7FB89}" uniqueName="6" name="traceability_no" queryTableFieldId="6" dataDxfId="168"/>
    <tableColumn id="5" xr3:uid="{D8FBA668-C3CE-41DC-B112-B2663A4558F7}" uniqueName="5" name="Offset" queryTableFieldId="5" dataDxfId="167"/>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8"/>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0"/>
    <tableColumn id="2" xr3:uid="{437C4123-EB61-4869-9470-5A1B394BA060}" uniqueName="2" name="Ranges" queryTableFieldId="2" dataDxfId="149"/>
    <tableColumn id="3" xr3:uid="{F2805B69-D38A-4282-80C7-76512A175951}" uniqueName="3" name="Tolerances" queryTableFieldId="3" dataDxfId="148"/>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0"/>
    <tableColumn id="3" xr3:uid="{E88E0260-3227-45C4-8780-42D2D8D460DF}" name="SAT TOL" dataDxfId="139">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8" dataDxfId="137" tableBorderDxfId="136">
  <autoFilter ref="AG2:AS3" xr:uid="{B114758F-16E1-4C54-AA0B-E7F64DE85242}"/>
  <tableColumns count="13">
    <tableColumn id="1" xr3:uid="{0D0312AF-C987-4CC8-97F8-A45434AD138A}" name="Time" dataDxfId="135" dataCellStyle="Normal 3"/>
    <tableColumn id="2" xr3:uid="{E5CD88A1-1988-41C9-8D07-30908E60C0B6}" name="29" dataDxfId="134" dataCellStyle="Normal 3"/>
    <tableColumn id="3" xr3:uid="{52334E52-C590-4A01-82BC-CCC9DA2C2817}" name="30" dataDxfId="133" dataCellStyle="Normal 3"/>
    <tableColumn id="4" xr3:uid="{145DAD22-055B-47E2-958D-C0E0B68ECCC8}" name="31" dataDxfId="132" dataCellStyle="Normal 3"/>
    <tableColumn id="5" xr3:uid="{09C3BF4E-C2AE-4497-AAA2-CF5A8A70B030}" name="32" dataDxfId="131" dataCellStyle="Normal 3"/>
    <tableColumn id="6" xr3:uid="{E9F444F5-7F75-4B80-BC2D-E9E92BB7C32D}" name="33" dataDxfId="130" dataCellStyle="Normal 3"/>
    <tableColumn id="7" xr3:uid="{C42F56B6-C38E-41DC-811A-50AF69D04B80}" name="34" dataDxfId="129" dataCellStyle="Normal 3"/>
    <tableColumn id="8" xr3:uid="{1930235F-D2C0-482D-8CC0-6B3AC765E7EA}" name="35" dataDxfId="128" dataCellStyle="Normal 3"/>
    <tableColumn id="9" xr3:uid="{6FCF613B-A86F-4DC6-9CC5-0A1E44E3DFE0}" name="36" dataDxfId="127" dataCellStyle="Normal 3"/>
    <tableColumn id="10" xr3:uid="{19EA3429-FD7E-4BA0-96B7-70F520D9FE0F}" name="37" dataDxfId="126" dataCellStyle="Normal 3"/>
    <tableColumn id="11" xr3:uid="{A5D0DAE1-1017-4DE3-AEA6-1BAF97E0FBDC}" name="38" dataDxfId="125" dataCellStyle="Normal 3"/>
    <tableColumn id="12" xr3:uid="{ABC8E507-1120-436F-9E9F-E3A8852E2E1A}" name="39" dataDxfId="124"/>
    <tableColumn id="13" xr3:uid="{C69AC669-10C2-4E64-9F60-B4AA135FB3DF}" name="40" dataDxfId="12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2" tableBorderDxfId="121">
  <autoFilter ref="Q2:AE3" xr:uid="{6D9D14EA-1966-4240-9028-DABDD72BB7BC}"/>
  <tableColumns count="15">
    <tableColumn id="1" xr3:uid="{F199066A-0899-4173-8784-FC618D5EFA3C}" name="Time" dataDxfId="120" dataCellStyle="Normal 3"/>
    <tableColumn id="2" xr3:uid="{DB040280-BEC7-49AA-A925-A050027B33E3}" name="15" dataDxfId="119" dataCellStyle="Normal 3"/>
    <tableColumn id="3" xr3:uid="{5D74EEBF-1FB4-4DF9-8EDD-C656F929ADA2}" name="16" dataDxfId="118" dataCellStyle="Normal 3"/>
    <tableColumn id="4" xr3:uid="{B1176DF8-22B4-4741-A534-22D0C72EF1F0}" name="17" dataDxfId="117" dataCellStyle="Normal 3"/>
    <tableColumn id="5" xr3:uid="{1E29EA65-5182-4B3E-817F-0D30B2884EC7}" name="18" dataDxfId="116" dataCellStyle="Normal 3"/>
    <tableColumn id="6" xr3:uid="{AF53AEFB-F310-4F08-91BC-82FB0F484ECA}" name="19" dataDxfId="115" dataCellStyle="Normal 3"/>
    <tableColumn id="7" xr3:uid="{EE472F61-D1B5-43CF-A661-FA1D47001C17}" name="20" dataDxfId="114" dataCellStyle="Normal 3"/>
    <tableColumn id="8" xr3:uid="{841D54C1-AB74-4CB1-8C7F-C38D11EFAD3F}" name="21" dataDxfId="113" dataCellStyle="Normal 3"/>
    <tableColumn id="9" xr3:uid="{F1FB485B-DEAA-4958-8C40-80934EA1437F}" name="22" dataDxfId="112" dataCellStyle="Normal 3"/>
    <tableColumn id="10" xr3:uid="{5C552A76-BD54-46C5-93AD-8F25289FA051}" name="23" dataDxfId="111" dataCellStyle="Normal 3"/>
    <tableColumn id="11" xr3:uid="{B20FA5F1-0522-49D0-9B5A-34570A8AE6EA}" name="24" dataDxfId="110" dataCellStyle="Normal 3"/>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102" dataCellStyle="Normal 3"/>
    <tableColumn id="2" xr3:uid="{6F1EF879-7C87-4A56-A394-30C6E5BDB32A}" name="1" dataDxfId="101" dataCellStyle="Normal 3"/>
    <tableColumn id="3" xr3:uid="{B2FA8A6A-D50A-41E8-942A-379C757B6A2B}" name="2" dataDxfId="100" dataCellStyle="Normal 3"/>
    <tableColumn id="4" xr3:uid="{F92FE975-D84B-4B73-B49D-3B746FAA3D21}" name="3" dataDxfId="99" dataCellStyle="Normal 3"/>
    <tableColumn id="5" xr3:uid="{7820E0E9-F621-4361-A572-234B3CB7F864}" name="4" dataDxfId="98" dataCellStyle="Normal 3"/>
    <tableColumn id="6" xr3:uid="{A46C0BCA-2139-4CD3-B02F-C4D3F8E65309}" name="5" dataDxfId="97" dataCellStyle="Normal 3"/>
    <tableColumn id="7" xr3:uid="{334BDF50-1D79-41BC-BA09-7B69018332AE}" name="6" dataDxfId="96" dataCellStyle="Normal 3"/>
    <tableColumn id="8" xr3:uid="{6C11BC6A-3E21-4CDE-9CD4-C8EBCF50B6DB}" name="7" dataDxfId="95" dataCellStyle="Normal 3"/>
    <tableColumn id="9" xr3:uid="{1EEEA607-5177-4C19-A1BC-B12D19FF055B}" name="8" dataDxfId="94" dataCellStyle="Normal 3"/>
    <tableColumn id="10" xr3:uid="{ACF909CE-C221-4157-9298-18F2C140C147}" name="9" dataDxfId="93" dataCellStyle="Normal 3"/>
    <tableColumn id="11" xr3:uid="{182688D3-AD0D-4518-A7FE-0C281ABCDF76}" name="10" dataDxfId="92" dataCellStyle="Normal 3"/>
    <tableColumn id="12" xr3:uid="{54AFFA30-00C2-440A-92A2-139F62F751BE}" name="11" dataDxfId="91"/>
    <tableColumn id="13" xr3:uid="{DCF0B43C-F320-4031-91C6-8514285AF6CA}" name="12" dataDxfId="90"/>
    <tableColumn id="14" xr3:uid="{53A56FC8-0536-4D94-A335-FFCBCBEAF45E}" name="13" dataDxfId="89"/>
    <tableColumn id="15" xr3:uid="{F49FEB6E-05C2-4E90-A6CE-A0C9C694642A}" name="14" dataDxfId="8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7" dataDxfId="86">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5"/>
    <tableColumn id="3" xr3:uid="{5F5E8FED-27C7-498A-86F2-8DE1BF0A773A}" uniqueName="3" name="Address2" queryTableFieldId="82" dataDxfId="8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3"/>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2" dataDxfId="81">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80"/>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9"/>
    <tableColumn id="3" xr3:uid="{A4F2902A-51C9-47F2-ABB5-33476BF6B798}" uniqueName="3" name="login_email" queryTableFieldId="5"/>
    <tableColumn id="4" xr3:uid="{93F361AC-D356-4A7B-A6F2-34FB0F71E2F6}" uniqueName="4" name="IsPyro" queryTableFieldId="7" dataDxfId="78"/>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7" dataDxfId="76" headerRowCellStyle="Normal 2" dataCellStyle="Normal 2">
  <autoFilter ref="U11:V25" xr:uid="{DCCFF26E-EC5C-4962-98DB-A7DA1F3C8CE2}"/>
  <tableColumns count="2">
    <tableColumn id="1" xr3:uid="{DFC40837-B092-4826-9847-4A23BE22020F}" name="4" dataDxfId="75" dataCellStyle="Normal 2"/>
    <tableColumn id="2" xr3:uid="{0711DB07-19DA-4D5E-A417-C242A0304453}" name="10" dataDxfId="7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LAanCIf3+o3GKOSxwDYplYJ1I0VOivg19TufN5fn5ewlclF0YBqLbXKGRaFMTfCONqkjmXsn3eMNe1Vcse595Q==" saltValue="afkpBnHVS4vHOcwBmJHaE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vrovW6pqjWUbSECNa6QqCBzCKArP0DrtvpoCqwXWIOpHQp65VlObTp7L0fNiDDzUsm8dFEju26Yc1S44jIU0oQ==" saltValue="s2zun4JaoMSJt9DzApdJx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FXPWNsWKniRjs13BNhPrzTvmWIXrO7ncmfnryAF/ygBiY8UntGtXSFPXbGltcgtQVazHmAdE/cfAR9Ex+jbLDw==" saltValue="BRaYgr4qOkRkURUyNhtzF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election activeCell="K17" sqref="K17"/>
    </sheetView>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399</v>
      </c>
      <c r="F1" t="s">
        <v>965</v>
      </c>
      <c r="G1" t="s">
        <v>966</v>
      </c>
    </row>
    <row r="2" spans="1:7" x14ac:dyDescent="0.2">
      <c r="A2" s="669"/>
      <c r="B2"/>
      <c r="C2"/>
      <c r="E2" t="e" cm="1">
        <f t="array" ref="E2">_xlfn.XLOOKUP(AssetId,AggregatedUUTRangeTol[AssetId],AggregatedUUTRangeTol[])</f>
        <v>#N/A</v>
      </c>
    </row>
    <row r="3" spans="1:7" x14ac:dyDescent="0.2">
      <c r="A3" s="669"/>
      <c r="B3"/>
      <c r="C3"/>
    </row>
    <row r="4" spans="1:7" x14ac:dyDescent="0.2">
      <c r="A4" s="669"/>
      <c r="B4"/>
      <c r="C4"/>
    </row>
    <row r="5" spans="1:7" x14ac:dyDescent="0.2">
      <c r="A5" s="669"/>
      <c r="B5"/>
      <c r="C5"/>
    </row>
    <row r="6" spans="1:7" x14ac:dyDescent="0.2">
      <c r="A6" s="669"/>
      <c r="B6"/>
      <c r="C6"/>
    </row>
    <row r="7" spans="1:7" x14ac:dyDescent="0.2">
      <c r="A7" s="669"/>
      <c r="B7"/>
      <c r="C7"/>
    </row>
    <row r="8" spans="1:7" x14ac:dyDescent="0.2">
      <c r="A8" s="669"/>
      <c r="B8"/>
      <c r="C8"/>
    </row>
    <row r="9" spans="1:7" x14ac:dyDescent="0.2">
      <c r="A9" s="669"/>
      <c r="B9"/>
      <c r="C9"/>
    </row>
    <row r="10" spans="1:7" x14ac:dyDescent="0.2">
      <c r="A10" s="669"/>
      <c r="B10"/>
      <c r="C10"/>
    </row>
    <row r="11" spans="1:7" x14ac:dyDescent="0.2">
      <c r="A11" s="669"/>
      <c r="B11"/>
      <c r="C11"/>
    </row>
    <row r="12" spans="1:7" x14ac:dyDescent="0.2">
      <c r="A12" s="669"/>
      <c r="B12"/>
      <c r="C12"/>
    </row>
    <row r="13" spans="1:7" x14ac:dyDescent="0.2">
      <c r="A13" s="669"/>
      <c r="B13"/>
      <c r="C13"/>
    </row>
    <row r="14" spans="1:7" x14ac:dyDescent="0.2">
      <c r="A14" s="669"/>
      <c r="B14"/>
      <c r="C14"/>
    </row>
    <row r="15" spans="1:7" x14ac:dyDescent="0.2">
      <c r="A15" s="669"/>
      <c r="B15"/>
      <c r="C15"/>
    </row>
    <row r="16" spans="1:7" x14ac:dyDescent="0.2">
      <c r="A16" s="669"/>
      <c r="B16"/>
      <c r="C16"/>
    </row>
    <row r="17" spans="1:3" x14ac:dyDescent="0.2">
      <c r="A17" s="669"/>
      <c r="B17"/>
      <c r="C17"/>
    </row>
    <row r="18" spans="1:3" x14ac:dyDescent="0.2">
      <c r="A18" s="669"/>
      <c r="B18"/>
      <c r="C18"/>
    </row>
    <row r="19" spans="1:3" x14ac:dyDescent="0.2">
      <c r="A19" s="669"/>
      <c r="B19"/>
      <c r="C19"/>
    </row>
    <row r="20" spans="1:3" x14ac:dyDescent="0.2">
      <c r="A20" s="669"/>
      <c r="B20"/>
      <c r="C20"/>
    </row>
    <row r="21" spans="1:3" x14ac:dyDescent="0.2">
      <c r="A21" s="669"/>
      <c r="B21"/>
      <c r="C21"/>
    </row>
    <row r="22" spans="1:3" x14ac:dyDescent="0.2">
      <c r="A22" s="669"/>
      <c r="B22"/>
      <c r="C22"/>
    </row>
    <row r="23" spans="1:3" x14ac:dyDescent="0.2">
      <c r="A23" s="669"/>
      <c r="B23"/>
      <c r="C23"/>
    </row>
    <row r="24" spans="1:3" x14ac:dyDescent="0.2">
      <c r="A24" s="669"/>
      <c r="B24"/>
      <c r="C24"/>
    </row>
    <row r="25" spans="1:3" x14ac:dyDescent="0.2">
      <c r="A25" s="669"/>
      <c r="B25"/>
      <c r="C25"/>
    </row>
    <row r="26" spans="1:3" x14ac:dyDescent="0.2">
      <c r="A26" s="669"/>
      <c r="B26"/>
      <c r="C26"/>
    </row>
    <row r="27" spans="1:3" x14ac:dyDescent="0.2">
      <c r="A27" s="669"/>
      <c r="B27"/>
      <c r="C27"/>
    </row>
    <row r="28" spans="1:3" x14ac:dyDescent="0.2">
      <c r="A28" s="669"/>
      <c r="B28"/>
      <c r="C28"/>
    </row>
    <row r="29" spans="1:3" x14ac:dyDescent="0.2">
      <c r="A29" s="669"/>
      <c r="B29"/>
      <c r="C29"/>
    </row>
    <row r="30" spans="1:3" x14ac:dyDescent="0.2">
      <c r="A30" s="669"/>
      <c r="B30"/>
      <c r="C30"/>
    </row>
    <row r="31" spans="1:3" x14ac:dyDescent="0.2">
      <c r="A31" s="669"/>
      <c r="B31"/>
      <c r="C31"/>
    </row>
    <row r="32" spans="1:3" x14ac:dyDescent="0.2">
      <c r="A32" s="669"/>
      <c r="B32"/>
      <c r="C32"/>
    </row>
    <row r="33" spans="1:3" x14ac:dyDescent="0.2">
      <c r="A33" s="669"/>
      <c r="B33"/>
      <c r="C33"/>
    </row>
    <row r="34" spans="1:3" x14ac:dyDescent="0.2">
      <c r="A34" s="669"/>
      <c r="B34"/>
      <c r="C34"/>
    </row>
    <row r="35" spans="1:3" x14ac:dyDescent="0.2">
      <c r="A35" s="669"/>
      <c r="B35"/>
      <c r="C35"/>
    </row>
    <row r="36" spans="1:3" x14ac:dyDescent="0.2">
      <c r="A36" s="669"/>
      <c r="B36"/>
      <c r="C36"/>
    </row>
    <row r="37" spans="1:3" x14ac:dyDescent="0.2">
      <c r="A37" s="669"/>
      <c r="B37"/>
      <c r="C37"/>
    </row>
    <row r="38" spans="1:3" x14ac:dyDescent="0.2">
      <c r="A38" s="669"/>
      <c r="B38"/>
      <c r="C38"/>
    </row>
    <row r="39" spans="1:3" x14ac:dyDescent="0.2">
      <c r="A39" s="669"/>
      <c r="B39"/>
      <c r="C39"/>
    </row>
    <row r="40" spans="1:3" x14ac:dyDescent="0.2">
      <c r="A40" s="669"/>
      <c r="B40"/>
      <c r="C40"/>
    </row>
    <row r="41" spans="1:3" x14ac:dyDescent="0.2">
      <c r="A41" s="669"/>
      <c r="B41"/>
      <c r="C41"/>
    </row>
    <row r="42" spans="1:3" x14ac:dyDescent="0.2">
      <c r="A42" s="669"/>
      <c r="B42"/>
      <c r="C42"/>
    </row>
    <row r="43" spans="1:3" x14ac:dyDescent="0.2">
      <c r="A43" s="669"/>
      <c r="B43"/>
      <c r="C43"/>
    </row>
    <row r="44" spans="1:3" x14ac:dyDescent="0.2">
      <c r="A44" s="669"/>
      <c r="B44"/>
      <c r="C44"/>
    </row>
    <row r="45" spans="1:3" x14ac:dyDescent="0.2">
      <c r="A45" s="669"/>
      <c r="B45"/>
      <c r="C45"/>
    </row>
    <row r="46" spans="1:3" x14ac:dyDescent="0.2">
      <c r="A46" s="669"/>
      <c r="B46"/>
      <c r="C46"/>
    </row>
    <row r="47" spans="1:3" x14ac:dyDescent="0.2">
      <c r="A47" s="669"/>
      <c r="B47"/>
      <c r="C47"/>
    </row>
    <row r="48" spans="1:3" x14ac:dyDescent="0.2">
      <c r="A48" s="669"/>
      <c r="B48"/>
      <c r="C48"/>
    </row>
    <row r="49" spans="1:3" x14ac:dyDescent="0.2">
      <c r="A49" s="669"/>
      <c r="B49"/>
      <c r="C49"/>
    </row>
    <row r="50" spans="1:3" x14ac:dyDescent="0.2">
      <c r="A50" s="669"/>
      <c r="B50"/>
      <c r="C50"/>
    </row>
    <row r="51" spans="1:3" x14ac:dyDescent="0.2">
      <c r="A51" s="669"/>
      <c r="B51"/>
      <c r="C51"/>
    </row>
    <row r="52" spans="1:3" x14ac:dyDescent="0.2">
      <c r="A52" s="669"/>
      <c r="B52"/>
      <c r="C52"/>
    </row>
    <row r="53" spans="1:3" x14ac:dyDescent="0.2">
      <c r="A53" s="669"/>
      <c r="B53"/>
      <c r="C53"/>
    </row>
    <row r="54" spans="1:3" x14ac:dyDescent="0.2">
      <c r="A54" s="669"/>
      <c r="B54"/>
      <c r="C54"/>
    </row>
    <row r="55" spans="1:3" x14ac:dyDescent="0.2">
      <c r="A55" s="669"/>
      <c r="B55"/>
      <c r="C55"/>
    </row>
    <row r="56" spans="1:3" x14ac:dyDescent="0.2">
      <c r="A56" s="669"/>
      <c r="B56"/>
      <c r="C56"/>
    </row>
    <row r="57" spans="1:3" x14ac:dyDescent="0.2">
      <c r="A57" s="669"/>
      <c r="B57"/>
      <c r="C57"/>
    </row>
    <row r="58" spans="1:3" x14ac:dyDescent="0.2">
      <c r="A58" s="669"/>
      <c r="B58"/>
      <c r="C58"/>
    </row>
    <row r="59" spans="1:3" x14ac:dyDescent="0.2">
      <c r="A59" s="669"/>
      <c r="B59"/>
      <c r="C59"/>
    </row>
    <row r="60" spans="1:3" x14ac:dyDescent="0.2">
      <c r="A60" s="669"/>
      <c r="B60"/>
      <c r="C60"/>
    </row>
    <row r="61" spans="1:3" x14ac:dyDescent="0.2">
      <c r="A61" s="669"/>
      <c r="B61"/>
      <c r="C61"/>
    </row>
    <row r="62" spans="1:3" x14ac:dyDescent="0.2">
      <c r="A62" s="669"/>
      <c r="B62"/>
      <c r="C62"/>
    </row>
    <row r="63" spans="1:3" x14ac:dyDescent="0.2">
      <c r="A63" s="669"/>
      <c r="B63"/>
      <c r="C63"/>
    </row>
    <row r="64" spans="1:3" x14ac:dyDescent="0.2">
      <c r="A64" s="669"/>
      <c r="B64"/>
      <c r="C64"/>
    </row>
    <row r="65" spans="1:3" x14ac:dyDescent="0.2">
      <c r="A65" s="669"/>
      <c r="B65"/>
      <c r="C65"/>
    </row>
    <row r="66" spans="1:3" x14ac:dyDescent="0.2">
      <c r="A66" s="669"/>
      <c r="B66"/>
      <c r="C66"/>
    </row>
    <row r="67" spans="1:3" x14ac:dyDescent="0.2">
      <c r="A67" s="669"/>
      <c r="B67"/>
      <c r="C67"/>
    </row>
    <row r="68" spans="1:3" x14ac:dyDescent="0.2">
      <c r="A68" s="669"/>
      <c r="B68"/>
      <c r="C68"/>
    </row>
    <row r="69" spans="1:3" x14ac:dyDescent="0.2">
      <c r="A69" s="669"/>
      <c r="B69"/>
      <c r="C69"/>
    </row>
    <row r="70" spans="1:3" x14ac:dyDescent="0.2">
      <c r="A70" s="669"/>
      <c r="B70"/>
      <c r="C70"/>
    </row>
    <row r="71" spans="1:3" x14ac:dyDescent="0.2">
      <c r="A71" s="669"/>
      <c r="B71"/>
      <c r="C71"/>
    </row>
    <row r="72" spans="1:3" x14ac:dyDescent="0.2">
      <c r="A72" s="669"/>
      <c r="B72"/>
      <c r="C72"/>
    </row>
    <row r="73" spans="1:3" x14ac:dyDescent="0.2">
      <c r="A73" s="669"/>
      <c r="B73"/>
      <c r="C73"/>
    </row>
    <row r="74" spans="1:3" x14ac:dyDescent="0.2">
      <c r="A74" s="669"/>
      <c r="B74"/>
      <c r="C74"/>
    </row>
    <row r="75" spans="1:3" x14ac:dyDescent="0.2">
      <c r="A75" s="669"/>
      <c r="B75"/>
      <c r="C75"/>
    </row>
    <row r="76" spans="1:3" x14ac:dyDescent="0.2">
      <c r="A76" s="669"/>
      <c r="B76"/>
      <c r="C76"/>
    </row>
    <row r="77" spans="1:3" x14ac:dyDescent="0.2">
      <c r="A77" s="669"/>
      <c r="B77"/>
      <c r="C77"/>
    </row>
    <row r="78" spans="1:3" x14ac:dyDescent="0.2">
      <c r="A78" s="669"/>
      <c r="B78"/>
      <c r="C78"/>
    </row>
    <row r="79" spans="1:3" x14ac:dyDescent="0.2">
      <c r="A79" s="669"/>
      <c r="B79"/>
      <c r="C79"/>
    </row>
    <row r="80" spans="1:3" x14ac:dyDescent="0.2">
      <c r="A80" s="669"/>
      <c r="B80"/>
      <c r="C80"/>
    </row>
    <row r="81" spans="1:3" x14ac:dyDescent="0.2">
      <c r="A81" s="669"/>
      <c r="B81"/>
      <c r="C81"/>
    </row>
    <row r="82" spans="1:3" x14ac:dyDescent="0.2">
      <c r="A82" s="669"/>
      <c r="B82"/>
      <c r="C82"/>
    </row>
    <row r="83" spans="1:3" x14ac:dyDescent="0.2">
      <c r="A83" s="669"/>
      <c r="B83"/>
      <c r="C83"/>
    </row>
    <row r="84" spans="1:3" x14ac:dyDescent="0.2">
      <c r="A84" s="669"/>
      <c r="B84"/>
      <c r="C84"/>
    </row>
    <row r="85" spans="1:3" x14ac:dyDescent="0.2">
      <c r="A85" s="669"/>
      <c r="B85"/>
      <c r="C85"/>
    </row>
    <row r="86" spans="1:3" x14ac:dyDescent="0.2">
      <c r="A86" s="669"/>
      <c r="B86"/>
      <c r="C86"/>
    </row>
    <row r="87" spans="1:3" x14ac:dyDescent="0.2">
      <c r="A87" s="669"/>
      <c r="B87"/>
      <c r="C87"/>
    </row>
    <row r="88" spans="1:3" x14ac:dyDescent="0.2">
      <c r="A88" s="669"/>
      <c r="B88"/>
      <c r="C88"/>
    </row>
    <row r="89" spans="1:3" x14ac:dyDescent="0.2">
      <c r="A89" s="669"/>
      <c r="B89"/>
      <c r="C89"/>
    </row>
    <row r="90" spans="1:3" x14ac:dyDescent="0.2">
      <c r="A90" s="669"/>
      <c r="B90"/>
      <c r="C90"/>
    </row>
    <row r="91" spans="1:3" x14ac:dyDescent="0.2">
      <c r="A91" s="669"/>
      <c r="B91"/>
      <c r="C91"/>
    </row>
    <row r="92" spans="1:3" x14ac:dyDescent="0.2">
      <c r="A92" s="669"/>
      <c r="B92"/>
      <c r="C92"/>
    </row>
    <row r="93" spans="1:3" x14ac:dyDescent="0.2">
      <c r="A93" s="669"/>
      <c r="B93"/>
      <c r="C93"/>
    </row>
    <row r="94" spans="1:3" x14ac:dyDescent="0.2">
      <c r="A94" s="669"/>
      <c r="B94"/>
      <c r="C94"/>
    </row>
    <row r="95" spans="1:3" x14ac:dyDescent="0.2">
      <c r="A95" s="669"/>
      <c r="B95"/>
      <c r="C95"/>
    </row>
    <row r="96" spans="1:3" x14ac:dyDescent="0.2">
      <c r="A96" s="669"/>
      <c r="B96"/>
      <c r="C96"/>
    </row>
    <row r="97" spans="1:3" x14ac:dyDescent="0.2">
      <c r="A97" s="669"/>
      <c r="B97"/>
      <c r="C97"/>
    </row>
    <row r="98" spans="1:3" x14ac:dyDescent="0.2">
      <c r="A98" s="669"/>
      <c r="B98"/>
      <c r="C98"/>
    </row>
    <row r="99" spans="1:3" x14ac:dyDescent="0.2">
      <c r="A99" s="669"/>
      <c r="B99"/>
      <c r="C99"/>
    </row>
    <row r="100" spans="1:3" x14ac:dyDescent="0.2">
      <c r="A100" s="669"/>
      <c r="B100"/>
      <c r="C100"/>
    </row>
    <row r="101" spans="1:3" x14ac:dyDescent="0.2">
      <c r="A101" s="669"/>
      <c r="B101"/>
      <c r="C101"/>
    </row>
    <row r="102" spans="1:3" x14ac:dyDescent="0.2">
      <c r="A102" s="669"/>
      <c r="B102"/>
      <c r="C102"/>
    </row>
    <row r="103" spans="1:3" x14ac:dyDescent="0.2">
      <c r="A103" s="669"/>
      <c r="B103"/>
      <c r="C103"/>
    </row>
    <row r="104" spans="1:3" x14ac:dyDescent="0.2">
      <c r="A104" s="669"/>
      <c r="B104"/>
      <c r="C104"/>
    </row>
    <row r="105" spans="1:3" x14ac:dyDescent="0.2">
      <c r="A105" s="669"/>
      <c r="B105"/>
      <c r="C105"/>
    </row>
    <row r="106" spans="1:3" x14ac:dyDescent="0.2">
      <c r="A106" s="669"/>
      <c r="B106"/>
      <c r="C106"/>
    </row>
    <row r="107" spans="1:3" x14ac:dyDescent="0.2">
      <c r="A107" s="669"/>
      <c r="B107"/>
      <c r="C107"/>
    </row>
    <row r="108" spans="1:3" x14ac:dyDescent="0.2">
      <c r="A108" s="669"/>
      <c r="B108"/>
      <c r="C108"/>
    </row>
    <row r="109" spans="1:3" x14ac:dyDescent="0.2">
      <c r="A109" s="669"/>
      <c r="B109"/>
      <c r="C109"/>
    </row>
    <row r="110" spans="1:3" x14ac:dyDescent="0.2">
      <c r="A110" s="669"/>
      <c r="B110"/>
      <c r="C110"/>
    </row>
    <row r="111" spans="1:3" x14ac:dyDescent="0.2">
      <c r="A111" s="669"/>
      <c r="B111"/>
      <c r="C111"/>
    </row>
    <row r="112" spans="1:3" x14ac:dyDescent="0.2">
      <c r="A112" s="669"/>
      <c r="B112"/>
      <c r="C112"/>
    </row>
    <row r="113" spans="1:3" x14ac:dyDescent="0.2">
      <c r="A113" s="669"/>
      <c r="B113"/>
      <c r="C113"/>
    </row>
    <row r="114" spans="1:3" x14ac:dyDescent="0.2">
      <c r="A114" s="669"/>
      <c r="B114"/>
      <c r="C114"/>
    </row>
    <row r="115" spans="1:3" x14ac:dyDescent="0.2">
      <c r="A115" s="669"/>
      <c r="B115"/>
      <c r="C115"/>
    </row>
    <row r="116" spans="1:3" x14ac:dyDescent="0.2">
      <c r="A116" s="669"/>
      <c r="B116"/>
      <c r="C116"/>
    </row>
    <row r="117" spans="1:3" x14ac:dyDescent="0.2">
      <c r="A117" s="669"/>
      <c r="B117"/>
      <c r="C117"/>
    </row>
    <row r="118" spans="1:3" x14ac:dyDescent="0.2">
      <c r="A118" s="669"/>
      <c r="B118"/>
      <c r="C118"/>
    </row>
    <row r="119" spans="1:3" x14ac:dyDescent="0.2">
      <c r="A119" s="669"/>
      <c r="B119"/>
      <c r="C119"/>
    </row>
    <row r="120" spans="1:3" x14ac:dyDescent="0.2">
      <c r="A120" s="669"/>
      <c r="B120"/>
      <c r="C120"/>
    </row>
    <row r="121" spans="1:3" x14ac:dyDescent="0.2">
      <c r="A121" s="669"/>
      <c r="B121"/>
      <c r="C121"/>
    </row>
    <row r="122" spans="1:3" x14ac:dyDescent="0.2">
      <c r="A122" s="669"/>
      <c r="B122"/>
      <c r="C122"/>
    </row>
    <row r="123" spans="1:3" x14ac:dyDescent="0.2">
      <c r="A123" s="669"/>
      <c r="B123"/>
      <c r="C123"/>
    </row>
    <row r="124" spans="1:3" x14ac:dyDescent="0.2">
      <c r="A124" s="669"/>
      <c r="B124"/>
      <c r="C124"/>
    </row>
    <row r="125" spans="1:3" x14ac:dyDescent="0.2">
      <c r="A125" s="669"/>
      <c r="B125"/>
      <c r="C125"/>
    </row>
    <row r="126" spans="1:3" x14ac:dyDescent="0.2">
      <c r="A126" s="669"/>
      <c r="B126"/>
      <c r="C126"/>
    </row>
    <row r="127" spans="1:3" x14ac:dyDescent="0.2">
      <c r="A127" s="669"/>
      <c r="B127"/>
      <c r="C127"/>
    </row>
    <row r="128" spans="1:3" x14ac:dyDescent="0.2">
      <c r="A128" s="669"/>
      <c r="B128"/>
      <c r="C128"/>
    </row>
    <row r="129" spans="1:3" x14ac:dyDescent="0.2">
      <c r="A129" s="669"/>
      <c r="B129"/>
      <c r="C129"/>
    </row>
    <row r="130" spans="1:3" x14ac:dyDescent="0.2">
      <c r="A130" s="669"/>
      <c r="B130"/>
      <c r="C130"/>
    </row>
    <row r="131" spans="1:3" x14ac:dyDescent="0.2">
      <c r="A131" s="669"/>
      <c r="B131"/>
      <c r="C131"/>
    </row>
    <row r="132" spans="1:3" x14ac:dyDescent="0.2">
      <c r="A132" s="669"/>
      <c r="B132"/>
      <c r="C132"/>
    </row>
    <row r="133" spans="1:3" x14ac:dyDescent="0.2">
      <c r="A133" s="669"/>
      <c r="B133"/>
      <c r="C133"/>
    </row>
    <row r="134" spans="1:3" x14ac:dyDescent="0.2">
      <c r="A134" s="669"/>
      <c r="B134"/>
      <c r="C134"/>
    </row>
    <row r="135" spans="1:3" x14ac:dyDescent="0.2">
      <c r="A135" s="669"/>
      <c r="B135"/>
      <c r="C135"/>
    </row>
    <row r="136" spans="1:3" x14ac:dyDescent="0.2">
      <c r="A136" s="669"/>
      <c r="B136"/>
      <c r="C136"/>
    </row>
    <row r="137" spans="1:3" x14ac:dyDescent="0.2">
      <c r="A137" s="669"/>
      <c r="B137"/>
      <c r="C137"/>
    </row>
    <row r="138" spans="1:3" x14ac:dyDescent="0.2">
      <c r="A138" s="669"/>
      <c r="B138"/>
      <c r="C138"/>
    </row>
    <row r="139" spans="1:3" x14ac:dyDescent="0.2">
      <c r="A139" s="669"/>
      <c r="B139"/>
      <c r="C139"/>
    </row>
    <row r="140" spans="1:3" x14ac:dyDescent="0.2">
      <c r="A140" s="669"/>
      <c r="B140"/>
      <c r="C140"/>
    </row>
    <row r="141" spans="1:3" x14ac:dyDescent="0.2">
      <c r="A141" s="669"/>
      <c r="B141"/>
      <c r="C141"/>
    </row>
    <row r="142" spans="1:3" x14ac:dyDescent="0.2">
      <c r="A142" s="669"/>
      <c r="B142"/>
      <c r="C142"/>
    </row>
    <row r="143" spans="1:3" x14ac:dyDescent="0.2">
      <c r="A143" s="669"/>
      <c r="B143"/>
      <c r="C143"/>
    </row>
    <row r="144" spans="1:3" x14ac:dyDescent="0.2">
      <c r="A144" s="669"/>
      <c r="B144"/>
      <c r="C144"/>
    </row>
    <row r="145" spans="1:3" x14ac:dyDescent="0.2">
      <c r="A145" s="669"/>
      <c r="B145"/>
      <c r="C145"/>
    </row>
    <row r="146" spans="1:3" x14ac:dyDescent="0.2">
      <c r="A146" s="669"/>
      <c r="B146"/>
      <c r="C146"/>
    </row>
    <row r="147" spans="1:3" x14ac:dyDescent="0.2">
      <c r="A147" s="669"/>
      <c r="B147"/>
      <c r="C147"/>
    </row>
    <row r="148" spans="1:3" x14ac:dyDescent="0.2">
      <c r="A148" s="669"/>
      <c r="B148"/>
      <c r="C148"/>
    </row>
    <row r="149" spans="1:3" x14ac:dyDescent="0.2">
      <c r="A149" s="669"/>
      <c r="B149"/>
      <c r="C149"/>
    </row>
    <row r="150" spans="1:3" x14ac:dyDescent="0.2">
      <c r="A150" s="669"/>
      <c r="B150"/>
      <c r="C150"/>
    </row>
    <row r="151" spans="1:3" x14ac:dyDescent="0.2">
      <c r="A151" s="669"/>
      <c r="B151"/>
      <c r="C151"/>
    </row>
    <row r="152" spans="1:3" x14ac:dyDescent="0.2">
      <c r="A152" s="669"/>
      <c r="B152"/>
      <c r="C152"/>
    </row>
    <row r="153" spans="1:3" x14ac:dyDescent="0.2">
      <c r="A153" s="669"/>
      <c r="B153"/>
      <c r="C153"/>
    </row>
    <row r="154" spans="1:3" x14ac:dyDescent="0.2">
      <c r="A154" s="669"/>
      <c r="B154"/>
      <c r="C154"/>
    </row>
    <row r="155" spans="1:3" x14ac:dyDescent="0.2">
      <c r="A155" s="669"/>
      <c r="B155"/>
      <c r="C155"/>
    </row>
    <row r="156" spans="1:3" x14ac:dyDescent="0.2">
      <c r="A156" s="669"/>
      <c r="B156"/>
      <c r="C156"/>
    </row>
    <row r="157" spans="1:3" x14ac:dyDescent="0.2">
      <c r="A157" s="669"/>
      <c r="B157"/>
      <c r="C157"/>
    </row>
    <row r="158" spans="1:3" x14ac:dyDescent="0.2">
      <c r="A158" s="669"/>
      <c r="B158"/>
      <c r="C158"/>
    </row>
    <row r="159" spans="1:3" x14ac:dyDescent="0.2">
      <c r="A159" s="669"/>
      <c r="B159"/>
      <c r="C159"/>
    </row>
    <row r="160" spans="1:3" x14ac:dyDescent="0.2">
      <c r="A160" s="669"/>
      <c r="B160"/>
      <c r="C160"/>
    </row>
    <row r="161" spans="1:3" x14ac:dyDescent="0.2">
      <c r="A161" s="669"/>
      <c r="B161"/>
      <c r="C161"/>
    </row>
    <row r="162" spans="1:3" x14ac:dyDescent="0.2">
      <c r="A162" s="669"/>
      <c r="B162"/>
      <c r="C162"/>
    </row>
    <row r="163" spans="1:3" x14ac:dyDescent="0.2">
      <c r="A163" s="669"/>
      <c r="B163"/>
      <c r="C163"/>
    </row>
    <row r="164" spans="1:3" x14ac:dyDescent="0.2">
      <c r="A164" s="669"/>
      <c r="B164"/>
      <c r="C164"/>
    </row>
    <row r="165" spans="1:3" x14ac:dyDescent="0.2">
      <c r="A165" s="669"/>
      <c r="B165"/>
      <c r="C165"/>
    </row>
    <row r="166" spans="1:3" x14ac:dyDescent="0.2">
      <c r="A166" s="669"/>
      <c r="B166"/>
      <c r="C166"/>
    </row>
    <row r="167" spans="1:3" x14ac:dyDescent="0.2">
      <c r="A167" s="669"/>
      <c r="B167"/>
      <c r="C167"/>
    </row>
    <row r="168" spans="1:3" x14ac:dyDescent="0.2">
      <c r="A168" s="669"/>
      <c r="B168"/>
      <c r="C168"/>
    </row>
    <row r="169" spans="1:3" x14ac:dyDescent="0.2">
      <c r="A169" s="669"/>
      <c r="B169"/>
      <c r="C169"/>
    </row>
    <row r="170" spans="1:3" x14ac:dyDescent="0.2">
      <c r="A170" s="669"/>
      <c r="B170"/>
      <c r="C170"/>
    </row>
    <row r="171" spans="1:3" x14ac:dyDescent="0.2">
      <c r="A171" s="669"/>
      <c r="B171"/>
      <c r="C171"/>
    </row>
    <row r="172" spans="1:3" x14ac:dyDescent="0.2">
      <c r="A172" s="669"/>
      <c r="B172"/>
      <c r="C172"/>
    </row>
    <row r="173" spans="1:3" x14ac:dyDescent="0.2">
      <c r="A173" s="669"/>
      <c r="B173"/>
      <c r="C173"/>
    </row>
    <row r="174" spans="1:3" x14ac:dyDescent="0.2">
      <c r="A174" s="669"/>
      <c r="B174"/>
      <c r="C174"/>
    </row>
    <row r="175" spans="1:3" x14ac:dyDescent="0.2">
      <c r="A175" s="669"/>
      <c r="B175"/>
      <c r="C175"/>
    </row>
    <row r="176" spans="1:3" x14ac:dyDescent="0.2">
      <c r="A176" s="669"/>
      <c r="B176"/>
      <c r="C176"/>
    </row>
    <row r="177" spans="1:3" x14ac:dyDescent="0.2">
      <c r="A177" s="669"/>
      <c r="B177"/>
      <c r="C177"/>
    </row>
    <row r="178" spans="1:3" x14ac:dyDescent="0.2">
      <c r="A178" s="669"/>
      <c r="B178"/>
      <c r="C178"/>
    </row>
    <row r="179" spans="1:3" x14ac:dyDescent="0.2">
      <c r="A179" s="669"/>
      <c r="B179"/>
      <c r="C179"/>
    </row>
    <row r="180" spans="1:3" x14ac:dyDescent="0.2">
      <c r="A180" s="669"/>
      <c r="B180"/>
      <c r="C180"/>
    </row>
    <row r="181" spans="1:3" x14ac:dyDescent="0.2">
      <c r="A181" s="669"/>
      <c r="B181"/>
      <c r="C181"/>
    </row>
    <row r="182" spans="1:3" x14ac:dyDescent="0.2">
      <c r="A182" s="669"/>
      <c r="B182"/>
      <c r="C182"/>
    </row>
    <row r="183" spans="1:3" x14ac:dyDescent="0.2">
      <c r="A183" s="669"/>
      <c r="B183"/>
      <c r="C183"/>
    </row>
    <row r="184" spans="1:3" x14ac:dyDescent="0.2">
      <c r="A184" s="669"/>
      <c r="B184"/>
      <c r="C184"/>
    </row>
    <row r="185" spans="1:3" x14ac:dyDescent="0.2">
      <c r="A185" s="669"/>
      <c r="B185"/>
      <c r="C185"/>
    </row>
    <row r="186" spans="1:3" x14ac:dyDescent="0.2">
      <c r="A186" s="669"/>
      <c r="B186"/>
      <c r="C186"/>
    </row>
    <row r="187" spans="1:3" x14ac:dyDescent="0.2">
      <c r="A187" s="669"/>
      <c r="B187"/>
      <c r="C187"/>
    </row>
    <row r="188" spans="1:3" x14ac:dyDescent="0.2">
      <c r="A188" s="669"/>
      <c r="B188"/>
      <c r="C188"/>
    </row>
    <row r="189" spans="1:3" x14ac:dyDescent="0.2">
      <c r="A189" s="669"/>
      <c r="B189"/>
      <c r="C189"/>
    </row>
    <row r="190" spans="1:3" x14ac:dyDescent="0.2">
      <c r="A190" s="669"/>
      <c r="B190"/>
      <c r="C190"/>
    </row>
    <row r="191" spans="1:3" x14ac:dyDescent="0.2">
      <c r="A191" s="669"/>
      <c r="B191"/>
      <c r="C191"/>
    </row>
    <row r="192" spans="1:3" x14ac:dyDescent="0.2">
      <c r="A192" s="669"/>
      <c r="B192"/>
      <c r="C192"/>
    </row>
    <row r="193" spans="1:3" x14ac:dyDescent="0.2">
      <c r="A193" s="669"/>
      <c r="B193"/>
      <c r="C193"/>
    </row>
    <row r="194" spans="1:3" x14ac:dyDescent="0.2">
      <c r="A194" s="669"/>
      <c r="B194"/>
      <c r="C194"/>
    </row>
    <row r="195" spans="1:3" x14ac:dyDescent="0.2">
      <c r="A195" s="669"/>
      <c r="B195"/>
      <c r="C195"/>
    </row>
    <row r="196" spans="1:3" x14ac:dyDescent="0.2">
      <c r="A196" s="669"/>
      <c r="B196"/>
      <c r="C196"/>
    </row>
    <row r="197" spans="1:3" x14ac:dyDescent="0.2">
      <c r="A197" s="669"/>
      <c r="B197"/>
      <c r="C197"/>
    </row>
    <row r="198" spans="1:3" x14ac:dyDescent="0.2">
      <c r="A198" s="669"/>
      <c r="B198"/>
      <c r="C198"/>
    </row>
    <row r="199" spans="1:3" x14ac:dyDescent="0.2">
      <c r="A199" s="669"/>
      <c r="B199"/>
      <c r="C199"/>
    </row>
    <row r="200" spans="1:3" x14ac:dyDescent="0.2">
      <c r="A200" s="669"/>
      <c r="B200"/>
      <c r="C200"/>
    </row>
    <row r="201" spans="1:3" x14ac:dyDescent="0.2">
      <c r="A201" s="669"/>
      <c r="B201"/>
      <c r="C201"/>
    </row>
    <row r="202" spans="1:3" x14ac:dyDescent="0.2">
      <c r="A202" s="669"/>
      <c r="B202"/>
      <c r="C202"/>
    </row>
    <row r="203" spans="1:3" x14ac:dyDescent="0.2">
      <c r="A203" s="669"/>
      <c r="B203"/>
      <c r="C203"/>
    </row>
    <row r="204" spans="1:3" x14ac:dyDescent="0.2">
      <c r="A204" s="669"/>
      <c r="B204"/>
      <c r="C204"/>
    </row>
    <row r="205" spans="1:3" x14ac:dyDescent="0.2">
      <c r="A205" s="669"/>
      <c r="B205"/>
      <c r="C205"/>
    </row>
    <row r="206" spans="1:3" x14ac:dyDescent="0.2">
      <c r="A206" s="669"/>
      <c r="B206"/>
      <c r="C206"/>
    </row>
    <row r="207" spans="1:3" x14ac:dyDescent="0.2">
      <c r="A207" s="669"/>
      <c r="B207"/>
      <c r="C207"/>
    </row>
    <row r="208" spans="1:3" x14ac:dyDescent="0.2">
      <c r="A208" s="669"/>
      <c r="B208"/>
      <c r="C208"/>
    </row>
    <row r="209" spans="1:3" x14ac:dyDescent="0.2">
      <c r="A209" s="669"/>
      <c r="B209"/>
      <c r="C209"/>
    </row>
    <row r="210" spans="1:3" x14ac:dyDescent="0.2">
      <c r="A210" s="669"/>
      <c r="B210"/>
      <c r="C210"/>
    </row>
    <row r="211" spans="1:3" x14ac:dyDescent="0.2">
      <c r="A211" s="669"/>
      <c r="B211"/>
      <c r="C211"/>
    </row>
    <row r="212" spans="1:3" x14ac:dyDescent="0.2">
      <c r="A212" s="669"/>
      <c r="B212"/>
      <c r="C212"/>
    </row>
    <row r="213" spans="1:3" x14ac:dyDescent="0.2">
      <c r="A213" s="669"/>
      <c r="B213"/>
      <c r="C213"/>
    </row>
    <row r="214" spans="1:3" x14ac:dyDescent="0.2">
      <c r="A214" s="669"/>
      <c r="B214"/>
      <c r="C214"/>
    </row>
    <row r="215" spans="1:3" x14ac:dyDescent="0.2">
      <c r="A215" s="669"/>
      <c r="B215"/>
      <c r="C215"/>
    </row>
    <row r="216" spans="1:3" x14ac:dyDescent="0.2">
      <c r="A216" s="669"/>
      <c r="B216"/>
      <c r="C216"/>
    </row>
    <row r="217" spans="1:3" x14ac:dyDescent="0.2">
      <c r="A217" s="669"/>
      <c r="B217"/>
      <c r="C217"/>
    </row>
    <row r="218" spans="1:3" x14ac:dyDescent="0.2">
      <c r="A218" s="669"/>
      <c r="B218"/>
      <c r="C218"/>
    </row>
    <row r="219" spans="1:3" x14ac:dyDescent="0.2">
      <c r="A219" s="669"/>
      <c r="B219"/>
      <c r="C219"/>
    </row>
    <row r="220" spans="1:3" x14ac:dyDescent="0.2">
      <c r="A220" s="669"/>
      <c r="B220"/>
      <c r="C220"/>
    </row>
    <row r="221" spans="1:3" x14ac:dyDescent="0.2">
      <c r="A221" s="669"/>
      <c r="B221"/>
      <c r="C221"/>
    </row>
    <row r="222" spans="1:3" x14ac:dyDescent="0.2">
      <c r="A222" s="669"/>
      <c r="B222"/>
      <c r="C222"/>
    </row>
    <row r="223" spans="1:3" x14ac:dyDescent="0.2">
      <c r="A223" s="669"/>
      <c r="B223"/>
      <c r="C223"/>
    </row>
    <row r="224" spans="1:3" x14ac:dyDescent="0.2">
      <c r="A224" s="669"/>
      <c r="B224"/>
      <c r="C224"/>
    </row>
    <row r="225" spans="1:3" x14ac:dyDescent="0.2">
      <c r="A225" s="669"/>
      <c r="B225"/>
      <c r="C225"/>
    </row>
    <row r="226" spans="1:3" x14ac:dyDescent="0.2">
      <c r="A226" s="669"/>
      <c r="B226"/>
      <c r="C226"/>
    </row>
    <row r="227" spans="1:3" x14ac:dyDescent="0.2">
      <c r="A227" s="669"/>
      <c r="B227"/>
      <c r="C227"/>
    </row>
    <row r="228" spans="1:3" x14ac:dyDescent="0.2">
      <c r="A228" s="669"/>
      <c r="B228"/>
      <c r="C228"/>
    </row>
    <row r="229" spans="1:3" x14ac:dyDescent="0.2">
      <c r="A229" s="669"/>
      <c r="B229"/>
      <c r="C229"/>
    </row>
    <row r="230" spans="1:3" x14ac:dyDescent="0.2">
      <c r="A230" s="669"/>
      <c r="B230"/>
      <c r="C230"/>
    </row>
    <row r="231" spans="1:3" x14ac:dyDescent="0.2">
      <c r="A231" s="669"/>
      <c r="B231"/>
      <c r="C231"/>
    </row>
    <row r="232" spans="1:3" x14ac:dyDescent="0.2">
      <c r="A232" s="669"/>
      <c r="B232"/>
      <c r="C232"/>
    </row>
    <row r="233" spans="1:3" x14ac:dyDescent="0.2">
      <c r="A233" s="669"/>
      <c r="B233"/>
      <c r="C233"/>
    </row>
    <row r="234" spans="1:3" x14ac:dyDescent="0.2">
      <c r="A234" s="669"/>
      <c r="B234"/>
      <c r="C234"/>
    </row>
    <row r="235" spans="1:3" x14ac:dyDescent="0.2">
      <c r="A235" s="669"/>
      <c r="B235"/>
      <c r="C235"/>
    </row>
    <row r="236" spans="1:3" x14ac:dyDescent="0.2">
      <c r="A236" s="669"/>
      <c r="B236"/>
      <c r="C236"/>
    </row>
    <row r="237" spans="1:3" x14ac:dyDescent="0.2">
      <c r="A237" s="669"/>
      <c r="B237"/>
      <c r="C237"/>
    </row>
    <row r="238" spans="1:3" x14ac:dyDescent="0.2">
      <c r="A238" s="669"/>
      <c r="B238"/>
      <c r="C238"/>
    </row>
    <row r="239" spans="1:3" x14ac:dyDescent="0.2">
      <c r="A239" s="669"/>
      <c r="B239"/>
      <c r="C239"/>
    </row>
    <row r="240" spans="1:3" x14ac:dyDescent="0.2">
      <c r="A240" s="669"/>
      <c r="B240"/>
      <c r="C240"/>
    </row>
    <row r="241" spans="1:3" x14ac:dyDescent="0.2">
      <c r="A241" s="669"/>
      <c r="B241"/>
      <c r="C241"/>
    </row>
    <row r="242" spans="1:3" x14ac:dyDescent="0.2">
      <c r="A242" s="669"/>
      <c r="B242"/>
      <c r="C242"/>
    </row>
    <row r="243" spans="1:3" x14ac:dyDescent="0.2">
      <c r="A243" s="669"/>
      <c r="B243"/>
      <c r="C243"/>
    </row>
    <row r="244" spans="1:3" x14ac:dyDescent="0.2">
      <c r="A244" s="669"/>
      <c r="B244"/>
      <c r="C244"/>
    </row>
    <row r="245" spans="1:3" x14ac:dyDescent="0.2">
      <c r="A245" s="669"/>
      <c r="B245"/>
      <c r="C245"/>
    </row>
    <row r="246" spans="1:3" x14ac:dyDescent="0.2">
      <c r="A246" s="669"/>
      <c r="B246"/>
      <c r="C246"/>
    </row>
    <row r="247" spans="1:3" x14ac:dyDescent="0.2">
      <c r="A247" s="669"/>
      <c r="B247"/>
      <c r="C247"/>
    </row>
    <row r="248" spans="1:3" x14ac:dyDescent="0.2">
      <c r="A248" s="669"/>
      <c r="B248"/>
      <c r="C248"/>
    </row>
    <row r="249" spans="1:3" x14ac:dyDescent="0.2">
      <c r="A249" s="669"/>
      <c r="B249"/>
      <c r="C249"/>
    </row>
    <row r="250" spans="1:3" x14ac:dyDescent="0.2">
      <c r="A250" s="669"/>
      <c r="B250"/>
      <c r="C250"/>
    </row>
    <row r="251" spans="1:3" x14ac:dyDescent="0.2">
      <c r="A251" s="669"/>
      <c r="B251"/>
      <c r="C251"/>
    </row>
    <row r="252" spans="1:3" x14ac:dyDescent="0.2">
      <c r="A252" s="669"/>
      <c r="B252"/>
      <c r="C252"/>
    </row>
    <row r="253" spans="1:3" x14ac:dyDescent="0.2">
      <c r="A253" s="669"/>
      <c r="B253"/>
      <c r="C253"/>
    </row>
    <row r="254" spans="1:3" x14ac:dyDescent="0.2">
      <c r="A254" s="669"/>
      <c r="B254"/>
      <c r="C254"/>
    </row>
    <row r="255" spans="1:3" x14ac:dyDescent="0.2">
      <c r="A255" s="669"/>
      <c r="B255"/>
      <c r="C255"/>
    </row>
    <row r="256" spans="1:3" x14ac:dyDescent="0.2">
      <c r="A256" s="669"/>
      <c r="B256"/>
      <c r="C256"/>
    </row>
    <row r="257" spans="1:3" x14ac:dyDescent="0.2">
      <c r="A257" s="669"/>
      <c r="B257"/>
      <c r="C257"/>
    </row>
    <row r="258" spans="1:3" x14ac:dyDescent="0.2">
      <c r="A258" s="669"/>
      <c r="B258"/>
      <c r="C258"/>
    </row>
    <row r="259" spans="1:3" x14ac:dyDescent="0.2">
      <c r="A259" s="669"/>
      <c r="B259"/>
      <c r="C259"/>
    </row>
    <row r="260" spans="1:3" x14ac:dyDescent="0.2">
      <c r="A260" s="669"/>
      <c r="B260"/>
      <c r="C260"/>
    </row>
    <row r="261" spans="1:3" x14ac:dyDescent="0.2">
      <c r="A261" s="669"/>
      <c r="B261"/>
      <c r="C261"/>
    </row>
    <row r="262" spans="1:3" x14ac:dyDescent="0.2">
      <c r="A262" s="669"/>
      <c r="B262"/>
      <c r="C262"/>
    </row>
    <row r="263" spans="1:3" x14ac:dyDescent="0.2">
      <c r="A263" s="669"/>
      <c r="B263"/>
      <c r="C263"/>
    </row>
    <row r="264" spans="1:3" x14ac:dyDescent="0.2">
      <c r="A264" s="669"/>
      <c r="B264"/>
      <c r="C264"/>
    </row>
    <row r="265" spans="1:3" x14ac:dyDescent="0.2">
      <c r="A265" s="669"/>
      <c r="B265"/>
      <c r="C265"/>
    </row>
    <row r="266" spans="1:3" x14ac:dyDescent="0.2">
      <c r="A266" s="669"/>
      <c r="B266"/>
      <c r="C266"/>
    </row>
    <row r="267" spans="1:3" x14ac:dyDescent="0.2">
      <c r="A267" s="669"/>
      <c r="B267"/>
      <c r="C267"/>
    </row>
    <row r="268" spans="1:3" x14ac:dyDescent="0.2">
      <c r="A268" s="669"/>
      <c r="B268"/>
      <c r="C268"/>
    </row>
    <row r="269" spans="1:3" x14ac:dyDescent="0.2">
      <c r="A269" s="669"/>
      <c r="B269"/>
      <c r="C269"/>
    </row>
    <row r="270" spans="1:3" x14ac:dyDescent="0.2">
      <c r="A270" s="669"/>
      <c r="B270"/>
      <c r="C270"/>
    </row>
    <row r="271" spans="1:3" x14ac:dyDescent="0.2">
      <c r="A271" s="669"/>
      <c r="B271"/>
      <c r="C271"/>
    </row>
    <row r="272" spans="1:3" x14ac:dyDescent="0.2">
      <c r="A272" s="669"/>
      <c r="B272"/>
      <c r="C272"/>
    </row>
    <row r="273" spans="1:3" x14ac:dyDescent="0.2">
      <c r="A273" s="669"/>
      <c r="B273"/>
      <c r="C273"/>
    </row>
    <row r="274" spans="1:3" x14ac:dyDescent="0.2">
      <c r="A274" s="669"/>
      <c r="B274"/>
      <c r="C274"/>
    </row>
    <row r="275" spans="1:3" x14ac:dyDescent="0.2">
      <c r="A275" s="669"/>
      <c r="B275"/>
      <c r="C275"/>
    </row>
    <row r="276" spans="1:3" x14ac:dyDescent="0.2">
      <c r="A276" s="669"/>
      <c r="B276"/>
      <c r="C276"/>
    </row>
    <row r="277" spans="1:3" x14ac:dyDescent="0.2">
      <c r="A277" s="669"/>
      <c r="B277"/>
      <c r="C277"/>
    </row>
    <row r="278" spans="1:3" x14ac:dyDescent="0.2">
      <c r="A278" s="669"/>
      <c r="B278"/>
      <c r="C278"/>
    </row>
    <row r="279" spans="1:3" x14ac:dyDescent="0.2">
      <c r="A279" s="669"/>
      <c r="B279"/>
      <c r="C279"/>
    </row>
    <row r="280" spans="1:3" x14ac:dyDescent="0.2">
      <c r="A280" s="669"/>
      <c r="B280"/>
      <c r="C280"/>
    </row>
    <row r="281" spans="1:3" x14ac:dyDescent="0.2">
      <c r="A281" s="669"/>
      <c r="B281"/>
      <c r="C281"/>
    </row>
    <row r="282" spans="1:3" x14ac:dyDescent="0.2">
      <c r="A282" s="669"/>
      <c r="B282"/>
      <c r="C282"/>
    </row>
    <row r="283" spans="1:3" x14ac:dyDescent="0.2">
      <c r="A283" s="669"/>
      <c r="B283"/>
      <c r="C283"/>
    </row>
    <row r="284" spans="1:3" x14ac:dyDescent="0.2">
      <c r="A284" s="669"/>
      <c r="B284"/>
      <c r="C284"/>
    </row>
    <row r="285" spans="1:3" x14ac:dyDescent="0.2">
      <c r="A285" s="669"/>
      <c r="B285"/>
      <c r="C285"/>
    </row>
    <row r="286" spans="1:3" x14ac:dyDescent="0.2">
      <c r="A286" s="669"/>
      <c r="B286"/>
      <c r="C286"/>
    </row>
    <row r="287" spans="1:3" x14ac:dyDescent="0.2">
      <c r="A287" s="669"/>
      <c r="B287"/>
      <c r="C287"/>
    </row>
    <row r="288" spans="1:3" x14ac:dyDescent="0.2">
      <c r="A288" s="669"/>
      <c r="B288"/>
      <c r="C288"/>
    </row>
    <row r="289" spans="1:3" x14ac:dyDescent="0.2">
      <c r="A289" s="669"/>
      <c r="B289"/>
      <c r="C289"/>
    </row>
    <row r="290" spans="1:3" x14ac:dyDescent="0.2">
      <c r="A290" s="669"/>
      <c r="B290"/>
      <c r="C290"/>
    </row>
    <row r="291" spans="1:3" x14ac:dyDescent="0.2">
      <c r="A291" s="669"/>
      <c r="B291"/>
      <c r="C291"/>
    </row>
    <row r="292" spans="1:3" x14ac:dyDescent="0.2">
      <c r="A292" s="669"/>
      <c r="B292"/>
      <c r="C292"/>
    </row>
    <row r="293" spans="1:3" x14ac:dyDescent="0.2">
      <c r="A293" s="669"/>
      <c r="B293"/>
      <c r="C293"/>
    </row>
    <row r="294" spans="1:3" x14ac:dyDescent="0.2">
      <c r="A294" s="669"/>
      <c r="B294"/>
      <c r="C294"/>
    </row>
    <row r="295" spans="1:3" x14ac:dyDescent="0.2">
      <c r="A295" s="669"/>
      <c r="B295"/>
      <c r="C295"/>
    </row>
    <row r="296" spans="1:3" x14ac:dyDescent="0.2">
      <c r="A296" s="669"/>
      <c r="B296"/>
      <c r="C296"/>
    </row>
    <row r="297" spans="1:3" x14ac:dyDescent="0.2">
      <c r="A297" s="669"/>
      <c r="B297"/>
      <c r="C297"/>
    </row>
    <row r="298" spans="1:3" x14ac:dyDescent="0.2">
      <c r="A298" s="669"/>
      <c r="B298"/>
      <c r="C298"/>
    </row>
    <row r="299" spans="1:3" x14ac:dyDescent="0.2">
      <c r="A299" s="669"/>
      <c r="B299"/>
      <c r="C299"/>
    </row>
    <row r="300" spans="1:3" x14ac:dyDescent="0.2">
      <c r="A300" s="669"/>
      <c r="B300"/>
      <c r="C300"/>
    </row>
    <row r="301" spans="1:3" x14ac:dyDescent="0.2">
      <c r="A301" s="669"/>
      <c r="B301"/>
      <c r="C301"/>
    </row>
    <row r="302" spans="1:3" x14ac:dyDescent="0.2">
      <c r="A302" s="669"/>
      <c r="B302"/>
      <c r="C302"/>
    </row>
    <row r="303" spans="1:3" x14ac:dyDescent="0.2">
      <c r="A303" s="669"/>
      <c r="B303"/>
      <c r="C303"/>
    </row>
    <row r="304" spans="1:3" x14ac:dyDescent="0.2">
      <c r="A304" s="669"/>
      <c r="B304"/>
      <c r="C304"/>
    </row>
    <row r="305" spans="1:3" x14ac:dyDescent="0.2">
      <c r="A305" s="669"/>
      <c r="B305"/>
      <c r="C305"/>
    </row>
    <row r="306" spans="1:3" x14ac:dyDescent="0.2">
      <c r="A306" s="669"/>
      <c r="B306"/>
      <c r="C306"/>
    </row>
    <row r="307" spans="1:3" x14ac:dyDescent="0.2">
      <c r="A307" s="669"/>
      <c r="B307"/>
      <c r="C307"/>
    </row>
    <row r="308" spans="1:3" x14ac:dyDescent="0.2">
      <c r="A308" s="669"/>
      <c r="B308"/>
      <c r="C308"/>
    </row>
    <row r="309" spans="1:3" x14ac:dyDescent="0.2">
      <c r="A309" s="669"/>
      <c r="B309"/>
      <c r="C309"/>
    </row>
    <row r="310" spans="1:3" x14ac:dyDescent="0.2">
      <c r="A310" s="669"/>
      <c r="B310"/>
      <c r="C310"/>
    </row>
    <row r="311" spans="1:3" x14ac:dyDescent="0.2">
      <c r="A311" s="669"/>
      <c r="B311"/>
      <c r="C311"/>
    </row>
    <row r="312" spans="1:3" x14ac:dyDescent="0.2">
      <c r="A312" s="669"/>
      <c r="B312"/>
      <c r="C312"/>
    </row>
    <row r="313" spans="1:3" x14ac:dyDescent="0.2">
      <c r="A313" s="669"/>
      <c r="B313"/>
      <c r="C313"/>
    </row>
    <row r="314" spans="1:3" x14ac:dyDescent="0.2">
      <c r="A314" s="669"/>
      <c r="B314"/>
      <c r="C314"/>
    </row>
    <row r="315" spans="1:3" x14ac:dyDescent="0.2">
      <c r="A315" s="669"/>
      <c r="B315"/>
      <c r="C315"/>
    </row>
    <row r="316" spans="1:3" x14ac:dyDescent="0.2">
      <c r="A316" s="669"/>
      <c r="B316"/>
      <c r="C316"/>
    </row>
    <row r="317" spans="1:3" x14ac:dyDescent="0.2">
      <c r="A317" s="669"/>
      <c r="B317"/>
      <c r="C317"/>
    </row>
    <row r="318" spans="1:3" x14ac:dyDescent="0.2">
      <c r="A318" s="669"/>
      <c r="B318"/>
      <c r="C318"/>
    </row>
    <row r="319" spans="1:3" x14ac:dyDescent="0.2">
      <c r="A319" s="669"/>
      <c r="B319"/>
      <c r="C319"/>
    </row>
    <row r="320" spans="1:3" x14ac:dyDescent="0.2">
      <c r="A320" s="669"/>
      <c r="B320"/>
      <c r="C320"/>
    </row>
    <row r="321" spans="1:3" x14ac:dyDescent="0.2">
      <c r="A321" s="669"/>
      <c r="B321"/>
      <c r="C321"/>
    </row>
    <row r="322" spans="1:3" x14ac:dyDescent="0.2">
      <c r="A322" s="669"/>
      <c r="B322"/>
      <c r="C322"/>
    </row>
    <row r="323" spans="1:3" x14ac:dyDescent="0.2">
      <c r="A323" s="669"/>
      <c r="B323"/>
      <c r="C323"/>
    </row>
    <row r="324" spans="1:3" x14ac:dyDescent="0.2">
      <c r="A324" s="669"/>
      <c r="B324"/>
      <c r="C324"/>
    </row>
    <row r="325" spans="1:3" x14ac:dyDescent="0.2">
      <c r="A325" s="669"/>
      <c r="B325"/>
      <c r="C325"/>
    </row>
    <row r="326" spans="1:3" x14ac:dyDescent="0.2">
      <c r="A326" s="669"/>
      <c r="B326"/>
      <c r="C326"/>
    </row>
    <row r="327" spans="1:3" x14ac:dyDescent="0.2">
      <c r="A327" s="669"/>
      <c r="B327"/>
      <c r="C327"/>
    </row>
    <row r="328" spans="1:3" x14ac:dyDescent="0.2">
      <c r="A328" s="669"/>
      <c r="B328"/>
      <c r="C328"/>
    </row>
    <row r="329" spans="1:3" x14ac:dyDescent="0.2">
      <c r="A329" s="669"/>
      <c r="B329"/>
      <c r="C329"/>
    </row>
    <row r="330" spans="1:3" x14ac:dyDescent="0.2">
      <c r="A330" s="669"/>
      <c r="B330"/>
      <c r="C330"/>
    </row>
    <row r="331" spans="1:3" x14ac:dyDescent="0.2">
      <c r="A331" s="669"/>
      <c r="B331"/>
      <c r="C331"/>
    </row>
    <row r="332" spans="1:3" x14ac:dyDescent="0.2">
      <c r="A332" s="669"/>
      <c r="B332"/>
      <c r="C332"/>
    </row>
    <row r="333" spans="1:3" x14ac:dyDescent="0.2">
      <c r="A333" s="669"/>
      <c r="B333"/>
      <c r="C333"/>
    </row>
    <row r="334" spans="1:3" x14ac:dyDescent="0.2">
      <c r="A334" s="669"/>
      <c r="B334"/>
      <c r="C334"/>
    </row>
    <row r="335" spans="1:3" x14ac:dyDescent="0.2">
      <c r="A335" s="669"/>
      <c r="B335"/>
      <c r="C335"/>
    </row>
    <row r="336" spans="1:3" x14ac:dyDescent="0.2">
      <c r="A336" s="669"/>
      <c r="B336"/>
      <c r="C336"/>
    </row>
    <row r="337" spans="1:3" x14ac:dyDescent="0.2">
      <c r="A337" s="669"/>
      <c r="B337"/>
      <c r="C337"/>
    </row>
    <row r="338" spans="1:3" x14ac:dyDescent="0.2">
      <c r="A338" s="669"/>
      <c r="B338"/>
      <c r="C338"/>
    </row>
    <row r="339" spans="1:3" x14ac:dyDescent="0.2">
      <c r="A339" s="669"/>
      <c r="B339"/>
      <c r="C339"/>
    </row>
    <row r="340" spans="1:3" x14ac:dyDescent="0.2">
      <c r="A340" s="669"/>
      <c r="B340"/>
      <c r="C340"/>
    </row>
    <row r="341" spans="1:3" x14ac:dyDescent="0.2">
      <c r="A341" s="669"/>
      <c r="B341"/>
      <c r="C341"/>
    </row>
    <row r="342" spans="1:3" x14ac:dyDescent="0.2">
      <c r="A342" s="669"/>
      <c r="B342"/>
      <c r="C342"/>
    </row>
    <row r="343" spans="1:3" x14ac:dyDescent="0.2">
      <c r="A343" s="669"/>
      <c r="B343"/>
      <c r="C343"/>
    </row>
    <row r="344" spans="1:3" x14ac:dyDescent="0.2">
      <c r="A344" s="669"/>
      <c r="B344"/>
      <c r="C344"/>
    </row>
    <row r="345" spans="1:3" x14ac:dyDescent="0.2">
      <c r="A345" s="669"/>
      <c r="B345"/>
      <c r="C345"/>
    </row>
    <row r="346" spans="1:3" x14ac:dyDescent="0.2">
      <c r="A346" s="669"/>
      <c r="B346"/>
      <c r="C346"/>
    </row>
    <row r="347" spans="1:3" x14ac:dyDescent="0.2">
      <c r="A347" s="669"/>
      <c r="B347"/>
      <c r="C347"/>
    </row>
    <row r="348" spans="1:3" x14ac:dyDescent="0.2">
      <c r="A348" s="669"/>
      <c r="B348"/>
      <c r="C348"/>
    </row>
    <row r="349" spans="1:3" x14ac:dyDescent="0.2">
      <c r="A349" s="669"/>
      <c r="B349"/>
      <c r="C349"/>
    </row>
    <row r="350" spans="1:3" x14ac:dyDescent="0.2">
      <c r="A350" s="669"/>
      <c r="B350"/>
      <c r="C350"/>
    </row>
    <row r="351" spans="1:3" x14ac:dyDescent="0.2">
      <c r="A351" s="669"/>
      <c r="B351"/>
      <c r="C351"/>
    </row>
    <row r="352" spans="1:3" x14ac:dyDescent="0.2">
      <c r="A352" s="669"/>
      <c r="B352"/>
      <c r="C352"/>
    </row>
    <row r="353" spans="1:3" x14ac:dyDescent="0.2">
      <c r="A353" s="669"/>
      <c r="B353"/>
      <c r="C353"/>
    </row>
    <row r="354" spans="1:3" x14ac:dyDescent="0.2">
      <c r="A354" s="669"/>
      <c r="B354"/>
      <c r="C354"/>
    </row>
    <row r="355" spans="1:3" x14ac:dyDescent="0.2">
      <c r="A355" s="669"/>
      <c r="B355"/>
      <c r="C355"/>
    </row>
    <row r="356" spans="1:3" x14ac:dyDescent="0.2">
      <c r="A356" s="669"/>
      <c r="B356"/>
      <c r="C356"/>
    </row>
    <row r="357" spans="1:3" x14ac:dyDescent="0.2">
      <c r="A357" s="669"/>
      <c r="B357"/>
      <c r="C357"/>
    </row>
    <row r="358" spans="1:3" x14ac:dyDescent="0.2">
      <c r="A358" s="669"/>
      <c r="B358"/>
      <c r="C358"/>
    </row>
    <row r="359" spans="1:3" x14ac:dyDescent="0.2">
      <c r="A359" s="669"/>
      <c r="B359"/>
      <c r="C359"/>
    </row>
    <row r="360" spans="1:3" x14ac:dyDescent="0.2">
      <c r="A360" s="669"/>
      <c r="B360"/>
      <c r="C360"/>
    </row>
    <row r="361" spans="1:3" x14ac:dyDescent="0.2">
      <c r="A361" s="669"/>
      <c r="B361"/>
      <c r="C361"/>
    </row>
    <row r="362" spans="1:3" x14ac:dyDescent="0.2">
      <c r="A362" s="669"/>
      <c r="B362"/>
      <c r="C362"/>
    </row>
    <row r="363" spans="1:3" x14ac:dyDescent="0.2">
      <c r="A363" s="669"/>
      <c r="B363"/>
      <c r="C363"/>
    </row>
    <row r="364" spans="1:3" x14ac:dyDescent="0.2">
      <c r="A364" s="669"/>
      <c r="B364"/>
      <c r="C364"/>
    </row>
    <row r="365" spans="1:3" x14ac:dyDescent="0.2">
      <c r="A365" s="669"/>
      <c r="B365"/>
      <c r="C365"/>
    </row>
    <row r="366" spans="1:3" x14ac:dyDescent="0.2">
      <c r="A366" s="669"/>
      <c r="B366"/>
      <c r="C366"/>
    </row>
    <row r="367" spans="1:3" x14ac:dyDescent="0.2">
      <c r="A367" s="669"/>
      <c r="B367"/>
      <c r="C367"/>
    </row>
    <row r="368" spans="1:3" x14ac:dyDescent="0.2">
      <c r="A368" s="669"/>
      <c r="B368"/>
      <c r="C368"/>
    </row>
    <row r="369" spans="1:3" x14ac:dyDescent="0.2">
      <c r="A369" s="669"/>
      <c r="B369"/>
      <c r="C369"/>
    </row>
    <row r="370" spans="1:3" x14ac:dyDescent="0.2">
      <c r="A370" s="669"/>
      <c r="B370"/>
      <c r="C370"/>
    </row>
    <row r="371" spans="1:3" x14ac:dyDescent="0.2">
      <c r="A371" s="669"/>
      <c r="B371"/>
      <c r="C371"/>
    </row>
    <row r="372" spans="1:3" x14ac:dyDescent="0.2">
      <c r="A372" s="669"/>
      <c r="B372"/>
      <c r="C372"/>
    </row>
    <row r="373" spans="1:3" x14ac:dyDescent="0.2">
      <c r="A373" s="669"/>
      <c r="B373"/>
      <c r="C373"/>
    </row>
    <row r="374" spans="1:3" x14ac:dyDescent="0.2">
      <c r="A374" s="669"/>
      <c r="B374"/>
      <c r="C374"/>
    </row>
    <row r="375" spans="1:3" x14ac:dyDescent="0.2">
      <c r="A375" s="669"/>
      <c r="B375"/>
      <c r="C375"/>
    </row>
    <row r="376" spans="1:3" x14ac:dyDescent="0.2">
      <c r="A376" s="669"/>
      <c r="B376"/>
      <c r="C376"/>
    </row>
    <row r="377" spans="1:3" x14ac:dyDescent="0.2">
      <c r="A377" s="669"/>
      <c r="B377"/>
      <c r="C377"/>
    </row>
    <row r="378" spans="1:3" x14ac:dyDescent="0.2">
      <c r="A378" s="669"/>
      <c r="B378"/>
      <c r="C378"/>
    </row>
    <row r="379" spans="1:3" x14ac:dyDescent="0.2">
      <c r="A379" s="669"/>
      <c r="B379"/>
      <c r="C379"/>
    </row>
    <row r="380" spans="1:3" x14ac:dyDescent="0.2">
      <c r="A380" s="669"/>
      <c r="B380"/>
      <c r="C380"/>
    </row>
    <row r="381" spans="1:3" x14ac:dyDescent="0.2">
      <c r="A381" s="669"/>
      <c r="B381"/>
      <c r="C381"/>
    </row>
    <row r="382" spans="1:3" x14ac:dyDescent="0.2">
      <c r="A382" s="669"/>
      <c r="B382"/>
      <c r="C382"/>
    </row>
    <row r="383" spans="1:3" x14ac:dyDescent="0.2">
      <c r="A383" s="669"/>
      <c r="B383"/>
      <c r="C383"/>
    </row>
    <row r="384" spans="1:3" x14ac:dyDescent="0.2">
      <c r="A384" s="669"/>
      <c r="B384"/>
      <c r="C384"/>
    </row>
    <row r="385" spans="1:3" x14ac:dyDescent="0.2">
      <c r="A385" s="669"/>
      <c r="B385"/>
      <c r="C385"/>
    </row>
    <row r="386" spans="1:3" x14ac:dyDescent="0.2">
      <c r="A386" s="669"/>
      <c r="B386"/>
      <c r="C386"/>
    </row>
    <row r="387" spans="1:3" x14ac:dyDescent="0.2">
      <c r="A387" s="669"/>
      <c r="B387"/>
      <c r="C387"/>
    </row>
    <row r="388" spans="1:3" x14ac:dyDescent="0.2">
      <c r="A388" s="669"/>
      <c r="B388"/>
      <c r="C388"/>
    </row>
    <row r="389" spans="1:3" x14ac:dyDescent="0.2">
      <c r="A389" s="669"/>
      <c r="B389"/>
      <c r="C389"/>
    </row>
    <row r="390" spans="1:3" x14ac:dyDescent="0.2">
      <c r="A390" s="669"/>
      <c r="B390"/>
      <c r="C390"/>
    </row>
    <row r="391" spans="1:3" x14ac:dyDescent="0.2">
      <c r="A391" s="669"/>
      <c r="B391"/>
      <c r="C391"/>
    </row>
    <row r="392" spans="1:3" x14ac:dyDescent="0.2">
      <c r="A392" s="669"/>
      <c r="B392"/>
      <c r="C392"/>
    </row>
    <row r="393" spans="1:3" x14ac:dyDescent="0.2">
      <c r="A393" s="669"/>
      <c r="B393"/>
      <c r="C393"/>
    </row>
    <row r="394" spans="1:3" x14ac:dyDescent="0.2">
      <c r="A394" s="669"/>
      <c r="B394"/>
      <c r="C394"/>
    </row>
    <row r="395" spans="1:3" x14ac:dyDescent="0.2">
      <c r="A395" s="669"/>
      <c r="B395"/>
      <c r="C395"/>
    </row>
    <row r="396" spans="1:3" x14ac:dyDescent="0.2">
      <c r="A396" s="669"/>
      <c r="B396"/>
      <c r="C396"/>
    </row>
    <row r="397" spans="1:3" x14ac:dyDescent="0.2">
      <c r="A397" s="669"/>
      <c r="B397"/>
      <c r="C397"/>
    </row>
    <row r="398" spans="1:3" x14ac:dyDescent="0.2">
      <c r="A398" s="669"/>
      <c r="B398"/>
      <c r="C398"/>
    </row>
    <row r="399" spans="1:3" x14ac:dyDescent="0.2">
      <c r="A399" s="669"/>
      <c r="B399"/>
      <c r="C399"/>
    </row>
    <row r="400" spans="1:3" x14ac:dyDescent="0.2">
      <c r="A400" s="669"/>
      <c r="B400"/>
      <c r="C400"/>
    </row>
    <row r="401" spans="1:3" x14ac:dyDescent="0.2">
      <c r="A401" s="669"/>
      <c r="B401"/>
      <c r="C401"/>
    </row>
    <row r="402" spans="1:3" x14ac:dyDescent="0.2">
      <c r="A402" s="669"/>
      <c r="B402"/>
      <c r="C402"/>
    </row>
    <row r="403" spans="1:3" x14ac:dyDescent="0.2">
      <c r="A403" s="669"/>
      <c r="B403"/>
      <c r="C403"/>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960</v>
      </c>
      <c r="J1" t="s">
        <v>961</v>
      </c>
      <c r="K1" t="s">
        <v>962</v>
      </c>
      <c r="L1" t="s">
        <v>963</v>
      </c>
      <c r="M1" t="s">
        <v>964</v>
      </c>
      <c r="O1" s="39" t="s">
        <v>399</v>
      </c>
      <c r="P1" t="s">
        <v>953</v>
      </c>
      <c r="Q1" t="s">
        <v>954</v>
      </c>
      <c r="R1" t="s">
        <v>955</v>
      </c>
      <c r="S1" t="s">
        <v>956</v>
      </c>
      <c r="T1" t="s">
        <v>957</v>
      </c>
      <c r="U1" t="s">
        <v>958</v>
      </c>
      <c r="V1" t="s">
        <v>959</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952</v>
      </c>
      <c r="B1" s="333"/>
      <c r="C1" s="524" t="s">
        <v>50</v>
      </c>
      <c r="D1" s="525"/>
      <c r="E1" s="525"/>
      <c r="F1" s="525"/>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26" t="s">
        <v>102</v>
      </c>
      <c r="K3" s="527"/>
      <c r="L3" s="528"/>
      <c r="M3" s="316"/>
      <c r="N3" s="543" t="s">
        <v>91</v>
      </c>
      <c r="O3" s="543"/>
      <c r="P3" s="543"/>
      <c r="Q3" s="543"/>
      <c r="R3" s="543"/>
      <c r="S3" s="543"/>
      <c r="T3" s="494"/>
    </row>
    <row r="4" spans="1:22" s="291" customFormat="1" x14ac:dyDescent="0.2">
      <c r="A4" s="334"/>
      <c r="B4" s="144"/>
      <c r="C4" s="145" t="s">
        <v>230</v>
      </c>
      <c r="D4" s="298" t="str">
        <f>IF(Condition="","",Condition)</f>
        <v/>
      </c>
      <c r="E4" s="316"/>
      <c r="F4" s="316"/>
      <c r="G4" s="316"/>
      <c r="H4" s="316"/>
      <c r="I4" s="316"/>
      <c r="J4" s="531" t="s">
        <v>1</v>
      </c>
      <c r="K4" s="532"/>
      <c r="L4" s="146">
        <f>IFERROR(Survey!N2,0)</f>
        <v>0</v>
      </c>
      <c r="M4" s="316"/>
      <c r="N4" s="147" t="s">
        <v>90</v>
      </c>
      <c r="O4" s="148" t="s">
        <v>89</v>
      </c>
      <c r="P4" s="529" t="s">
        <v>100</v>
      </c>
      <c r="Q4" s="530"/>
      <c r="R4" s="147" t="s">
        <v>137</v>
      </c>
      <c r="S4" s="147" t="s">
        <v>141</v>
      </c>
      <c r="T4" s="494"/>
    </row>
    <row r="5" spans="1:22" s="291" customFormat="1" x14ac:dyDescent="0.2">
      <c r="A5" s="334"/>
      <c r="B5" s="144"/>
      <c r="C5" s="145" t="s">
        <v>41</v>
      </c>
      <c r="D5" s="547" t="e">
        <f>companyName</f>
        <v>#N/A</v>
      </c>
      <c r="E5" s="548"/>
      <c r="F5" s="548"/>
      <c r="G5" s="548"/>
      <c r="H5" s="549"/>
      <c r="I5" s="299"/>
      <c r="J5" s="531" t="s">
        <v>2</v>
      </c>
      <c r="K5" s="532"/>
      <c r="L5" s="146">
        <f>IFERROR(Survey!N3,0)</f>
        <v>0</v>
      </c>
      <c r="M5" s="316"/>
      <c r="N5" s="462">
        <v>1</v>
      </c>
      <c r="O5" s="149"/>
      <c r="P5" s="505" t="str">
        <f>VLOOKUP(N5,Alerts[],3,FALSE)</f>
        <v/>
      </c>
      <c r="Q5" s="506"/>
      <c r="R5" s="463" t="str" cm="1">
        <f t="array" ref="R5">IFZERO(VLOOKUP(N5,Alerts[],4,FALSE),"")</f>
        <v/>
      </c>
      <c r="S5" s="150" t="str" cm="1">
        <f t="array" ref="S5">IFZERO(VLOOKUP(N5,Alerts[],5,FALSE),"")</f>
        <v/>
      </c>
      <c r="T5" s="494"/>
    </row>
    <row r="6" spans="1:22" s="291" customFormat="1" x14ac:dyDescent="0.2">
      <c r="A6" s="334"/>
      <c r="B6" s="144"/>
      <c r="C6" s="145" t="s">
        <v>40</v>
      </c>
      <c r="D6" s="544" t="e">
        <f>VLOOKUP("assetName",WorkItemDetails[],2,FALSE)</f>
        <v>#N/A</v>
      </c>
      <c r="E6" s="545"/>
      <c r="F6" s="545"/>
      <c r="G6" s="545"/>
      <c r="H6" s="546"/>
      <c r="J6" s="531" t="s">
        <v>101</v>
      </c>
      <c r="K6" s="532"/>
      <c r="L6" s="146">
        <f>L4-L5</f>
        <v>0</v>
      </c>
      <c r="M6" s="316"/>
      <c r="N6" s="462">
        <v>2</v>
      </c>
      <c r="O6" s="149"/>
      <c r="P6" s="505" t="str">
        <f>VLOOKUP(N6,Alerts[],3,FALSE)</f>
        <v/>
      </c>
      <c r="Q6" s="506"/>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05" t="str">
        <f>VLOOKUP(N7,Alerts[],3,FALSE)</f>
        <v/>
      </c>
      <c r="Q7" s="506"/>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05" t="str">
        <f>VLOOKUP(N8,Alerts[],3,FALSE)</f>
        <v/>
      </c>
      <c r="Q8" s="506"/>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2">
        <v>5</v>
      </c>
      <c r="O9" s="149"/>
      <c r="P9" s="505" t="str">
        <f>VLOOKUP(N9,Alerts[],3,FALSE)</f>
        <v/>
      </c>
      <c r="Q9" s="506"/>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05" t="str">
        <f>VLOOKUP(N10,Alerts[],3,FALSE)</f>
        <v/>
      </c>
      <c r="Q10" s="506"/>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05" t="str">
        <f>VLOOKUP(N11,Alerts[],3,FALSE)</f>
        <v/>
      </c>
      <c r="Q11" s="506"/>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05" t="str">
        <f>VLOOKUP(N12,Alerts[],3,FALSE)</f>
        <v/>
      </c>
      <c r="Q12" s="506"/>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323</v>
      </c>
      <c r="K13" s="541" t="str">
        <f>IFERROR(VLOOKUP("PoNumber",WorkItemDetails[],2,FALSE),"")</f>
        <v/>
      </c>
      <c r="L13" s="542"/>
      <c r="M13" s="316"/>
      <c r="N13" s="462">
        <v>9</v>
      </c>
      <c r="O13" s="149"/>
      <c r="P13" s="505" t="str">
        <f>VLOOKUP(N13,Alerts[],3,FALSE)</f>
        <v/>
      </c>
      <c r="Q13" s="506"/>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50"/>
      <c r="L14" s="551"/>
      <c r="M14" s="316"/>
      <c r="N14" s="462">
        <v>10</v>
      </c>
      <c r="O14" s="149"/>
      <c r="P14" s="505" t="str">
        <f>VLOOKUP(N14,Alerts[],3,FALSE)</f>
        <v/>
      </c>
      <c r="Q14" s="506"/>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35"/>
      <c r="L15" s="536"/>
      <c r="M15" s="316"/>
      <c r="N15" s="462">
        <v>11</v>
      </c>
      <c r="O15" s="149"/>
      <c r="P15" s="505" t="str">
        <f>VLOOKUP(N15,Alerts[],3,FALSE)</f>
        <v/>
      </c>
      <c r="Q15" s="506"/>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55" t="s">
        <v>163</v>
      </c>
      <c r="K16" s="556"/>
      <c r="L16" s="297"/>
      <c r="M16" s="316"/>
      <c r="N16" s="462">
        <v>12</v>
      </c>
      <c r="O16" s="149"/>
      <c r="P16" s="505" t="str">
        <f>VLOOKUP(N16,Alerts[],3,FALSE)</f>
        <v/>
      </c>
      <c r="Q16" s="506"/>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55" t="s">
        <v>164</v>
      </c>
      <c r="K17" s="556"/>
      <c r="L17" s="160" t="str">
        <f>IF(K15="SIM Load Hot",TEXT(D26,"hh:mm"),"")</f>
        <v/>
      </c>
      <c r="M17" s="316"/>
      <c r="N17" s="462">
        <v>13</v>
      </c>
      <c r="O17" s="149"/>
      <c r="P17" s="505" t="str">
        <f>VLOOKUP(N17,Alerts[],3,FALSE)</f>
        <v/>
      </c>
      <c r="Q17" s="506"/>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07" t="s">
        <v>19</v>
      </c>
      <c r="H18" s="508"/>
      <c r="I18" s="317"/>
      <c r="J18" s="342"/>
      <c r="K18" s="316"/>
      <c r="L18" s="317"/>
      <c r="M18" s="316"/>
      <c r="N18" s="462">
        <v>14</v>
      </c>
      <c r="O18" s="149"/>
      <c r="P18" s="505" t="str">
        <f>VLOOKUP(N18,Alerts[],3,FALSE)</f>
        <v/>
      </c>
      <c r="Q18" s="506"/>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33" t="str">
        <f>IF(K15="Salt",0, IF(OR(K15="Hot",K15="SIM Load Hot"),IF(OR(D26="",D28=""),"N/A",IF(ISBLANK(D26),"N/A",D28-D26)),"N/A"))</f>
        <v>N/A</v>
      </c>
      <c r="H19" s="534"/>
      <c r="I19" s="343" t="str">
        <f>IF(G19="N/A","N/A",IF(G19=0,"&lt;2",ROUND(IF(LEN(G19)&gt;3,G19*1440,RIGHT(TEXT(G19,"hh:mm"),2)),0))&amp;" MINUTES")</f>
        <v>N/A</v>
      </c>
      <c r="J19" s="496">
        <f>V21</f>
        <v>40</v>
      </c>
      <c r="K19" s="316"/>
      <c r="L19" s="317"/>
      <c r="M19" s="316"/>
      <c r="N19" s="462">
        <v>15</v>
      </c>
      <c r="O19" s="149"/>
      <c r="P19" s="505" t="str">
        <f>VLOOKUP(N19,Alerts[],3,FALSE)</f>
        <v/>
      </c>
      <c r="Q19" s="506"/>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37" t="str">
        <f>"SAT Tolerance (per " &amp; IF(E20, "AMS2750", "BAC5621") &amp; "):"</f>
        <v>SAT Tolerance (per AMS2750):</v>
      </c>
      <c r="C20" s="538"/>
      <c r="D20" s="412" t="e">
        <f>G94</f>
        <v>#N/A</v>
      </c>
      <c r="E20" s="477" t="b">
        <v>1</v>
      </c>
      <c r="F20" s="316"/>
      <c r="G20" s="316"/>
      <c r="H20" s="316"/>
      <c r="I20" s="317"/>
      <c r="J20" s="316"/>
      <c r="K20" s="316"/>
      <c r="L20" s="478">
        <v>1</v>
      </c>
      <c r="M20" s="316"/>
      <c r="N20" s="462">
        <v>16</v>
      </c>
      <c r="O20" s="149"/>
      <c r="P20" s="505" t="str">
        <f>VLOOKUP(N20,Alerts[],3,FALSE)</f>
        <v/>
      </c>
      <c r="Q20" s="506"/>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05" t="str">
        <f>VLOOKUP(N21,Alerts[],3,FALSE)</f>
        <v/>
      </c>
      <c r="Q21" s="506"/>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05" t="str">
        <f>VLOOKUP(N22,Alerts[],3,FALSE)</f>
        <v/>
      </c>
      <c r="Q22" s="506"/>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63" t="s">
        <v>371</v>
      </c>
      <c r="H23" s="564"/>
      <c r="I23" s="564"/>
      <c r="J23" s="564"/>
      <c r="K23" s="565"/>
      <c r="L23" s="317"/>
      <c r="M23" s="316"/>
      <c r="N23" s="462">
        <v>19</v>
      </c>
      <c r="O23" s="149"/>
      <c r="P23" s="505" t="str">
        <f>VLOOKUP(N23,Alerts[],3,FALSE)</f>
        <v/>
      </c>
      <c r="Q23" s="506"/>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39" t="s">
        <v>552</v>
      </c>
      <c r="C24" s="540"/>
      <c r="D24" s="295">
        <v>1</v>
      </c>
      <c r="E24" s="316"/>
      <c r="F24" s="163" t="s">
        <v>98</v>
      </c>
      <c r="G24" s="566"/>
      <c r="H24" s="567"/>
      <c r="I24" s="567"/>
      <c r="J24" s="567"/>
      <c r="K24" s="568"/>
      <c r="L24" s="317"/>
      <c r="M24" s="316"/>
      <c r="N24" s="462">
        <v>20</v>
      </c>
      <c r="O24" s="149"/>
      <c r="P24" s="505" t="str">
        <f>VLOOKUP(N24,Alerts[],3,FALSE)</f>
        <v/>
      </c>
      <c r="Q24" s="506"/>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66"/>
      <c r="H25" s="567"/>
      <c r="I25" s="567"/>
      <c r="J25" s="567"/>
      <c r="K25" s="568"/>
      <c r="L25" s="317"/>
      <c r="M25" s="316"/>
      <c r="N25" s="462">
        <v>21</v>
      </c>
      <c r="O25" s="149"/>
      <c r="P25" s="505" t="str">
        <f>VLOOKUP(N25,Alerts[],3,FALSE)</f>
        <v/>
      </c>
      <c r="Q25" s="506"/>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05" t="str">
        <f>VLOOKUP(N26,Alerts[],3,FALSE)</f>
        <v/>
      </c>
      <c r="Q26" s="506"/>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61" t="str">
        <f>IF(ISBLANK(D6),"",IF(CheckRec="x","CHECK INSTRUMENT CAL DATES!!!!             CHECK INSTRUMENT CAL DATES!!!!",""))</f>
        <v/>
      </c>
      <c r="I27" s="562"/>
      <c r="J27" s="562"/>
      <c r="K27" s="562"/>
      <c r="L27" s="317"/>
      <c r="M27" s="316"/>
      <c r="N27" s="462">
        <v>23</v>
      </c>
      <c r="O27" s="149"/>
      <c r="P27" s="505" t="str">
        <f>VLOOKUP(N27,Alerts[],3,FALSE)</f>
        <v/>
      </c>
      <c r="Q27" s="506"/>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61"/>
      <c r="I28" s="562"/>
      <c r="J28" s="562"/>
      <c r="K28" s="562"/>
      <c r="L28" s="317"/>
      <c r="M28" s="316"/>
      <c r="N28" s="462">
        <v>24</v>
      </c>
      <c r="O28" s="149"/>
      <c r="P28" s="505" t="str">
        <f>VLOOKUP(N28,Alerts[],3,FALSE)</f>
        <v/>
      </c>
      <c r="Q28" s="506"/>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05" t="str">
        <f>VLOOKUP(N29,Alerts[],3,FALSE)</f>
        <v/>
      </c>
      <c r="Q29" s="506"/>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05" t="str">
        <f>VLOOKUP(N30,Alerts[],3,FALSE)</f>
        <v/>
      </c>
      <c r="Q30" s="506"/>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05" t="str">
        <f>VLOOKUP(N31,Alerts[],3,FALSE)</f>
        <v/>
      </c>
      <c r="Q31" s="506"/>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05" t="str">
        <f>VLOOKUP(N32,Alerts[],3,FALSE)</f>
        <v/>
      </c>
      <c r="Q32" s="506"/>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05" t="str">
        <f>VLOOKUP(N33,Alerts[],3,FALSE)</f>
        <v/>
      </c>
      <c r="Q33" s="506"/>
      <c r="R33" s="463" t="str" cm="1">
        <f t="array" ref="R33">IFZERO(VLOOKUP(N33,Alerts[],4,FALSE),"")</f>
        <v/>
      </c>
      <c r="S33" s="150" t="str" cm="1">
        <f t="array" ref="S33">IFZERO(VLOOKUP(N33,Alerts[],5,FALSE),"")</f>
        <v/>
      </c>
      <c r="T33" s="494"/>
    </row>
    <row r="34" spans="1:23" s="291" customFormat="1" ht="12.75" customHeight="1" x14ac:dyDescent="0.2">
      <c r="A34" s="334"/>
      <c r="B34" s="526" t="s">
        <v>49</v>
      </c>
      <c r="C34" s="527"/>
      <c r="D34" s="527"/>
      <c r="E34" s="527"/>
      <c r="F34" s="527"/>
      <c r="G34" s="527"/>
      <c r="H34" s="527"/>
      <c r="I34" s="527"/>
      <c r="J34" s="527"/>
      <c r="K34" s="527"/>
      <c r="L34" s="528"/>
      <c r="M34" s="316"/>
      <c r="N34" s="462">
        <v>30</v>
      </c>
      <c r="O34" s="149"/>
      <c r="P34" s="505" t="str">
        <f>VLOOKUP(N34,Alerts[],3,FALSE)</f>
        <v/>
      </c>
      <c r="Q34" s="506"/>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05" t="str">
        <f>VLOOKUP(N35,Alerts[],3,FALSE)</f>
        <v/>
      </c>
      <c r="Q35" s="506"/>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05" t="str">
        <f>VLOOKUP(N36,Alerts[],3,FALSE)</f>
        <v/>
      </c>
      <c r="Q36" s="506"/>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05" t="str">
        <f>VLOOKUP(N37,Alerts[],3,FALSE)</f>
        <v/>
      </c>
      <c r="Q37" s="506"/>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05" t="str">
        <f>VLOOKUP(N38,Alerts[],3,FALSE)</f>
        <v/>
      </c>
      <c r="Q38" s="506"/>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05" t="str">
        <f>VLOOKUP(N39,Alerts[],3,FALSE)</f>
        <v/>
      </c>
      <c r="Q39" s="506"/>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05" t="str">
        <f>VLOOKUP(N40,Alerts[],3,FALSE)</f>
        <v/>
      </c>
      <c r="Q40" s="506"/>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05" t="str">
        <f>VLOOKUP(N41,Alerts[],3,FALSE)</f>
        <v/>
      </c>
      <c r="Q41" s="506"/>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05" t="str">
        <f>VLOOKUP(N42,Alerts[],3,FALSE)</f>
        <v/>
      </c>
      <c r="Q42" s="506"/>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05" t="str">
        <f>VLOOKUP(N43,Alerts[],3,FALSE)</f>
        <v/>
      </c>
      <c r="Q43" s="506"/>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05" t="str">
        <f>VLOOKUP(N44,Alerts[],3,FALSE)</f>
        <v/>
      </c>
      <c r="Q44" s="506"/>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52" t="s">
        <v>33</v>
      </c>
      <c r="E46" s="553"/>
      <c r="F46" s="553"/>
      <c r="G46" s="553"/>
      <c r="H46" s="553"/>
      <c r="I46" s="554"/>
      <c r="J46" s="360"/>
      <c r="K46" s="360"/>
      <c r="L46" s="360"/>
      <c r="M46" s="569" t="s">
        <v>328</v>
      </c>
      <c r="N46" s="570"/>
      <c r="O46" s="571"/>
      <c r="P46" s="572"/>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59" t="s">
        <v>331</v>
      </c>
      <c r="Q47" s="559"/>
      <c r="R47" s="432" t="s">
        <v>332</v>
      </c>
      <c r="S47" s="320"/>
      <c r="T47" s="320"/>
      <c r="U47" s="320"/>
    </row>
    <row r="48" spans="1:23" x14ac:dyDescent="0.2">
      <c r="A48" s="334"/>
      <c r="B48" s="358"/>
      <c r="C48" s="430" t="s">
        <v>34</v>
      </c>
      <c r="D48" s="303"/>
      <c r="E48" s="303"/>
      <c r="F48" s="303"/>
      <c r="G48" s="303"/>
      <c r="H48" s="303"/>
      <c r="I48" s="303"/>
      <c r="J48" s="360"/>
      <c r="K48" s="360"/>
      <c r="L48" s="360"/>
      <c r="M48" s="560" t="s">
        <v>333</v>
      </c>
      <c r="N48" s="560"/>
      <c r="O48" s="362"/>
      <c r="P48" s="518" t="s">
        <v>380</v>
      </c>
      <c r="Q48" s="519"/>
      <c r="R48" s="520"/>
      <c r="S48" s="363"/>
      <c r="T48" s="321"/>
      <c r="U48" s="518" t="s">
        <v>383</v>
      </c>
      <c r="V48" s="519"/>
      <c r="W48" s="520"/>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21" t="s">
        <v>385</v>
      </c>
      <c r="Q49" s="522"/>
      <c r="R49" s="523"/>
      <c r="S49" s="433"/>
      <c r="T49" s="322"/>
      <c r="U49" s="521" t="s">
        <v>384</v>
      </c>
      <c r="V49" s="522"/>
      <c r="W49" s="523"/>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09" t="s">
        <v>336</v>
      </c>
      <c r="Q50" s="510"/>
      <c r="R50" s="511"/>
      <c r="S50" s="366"/>
      <c r="T50" s="323"/>
      <c r="U50" s="509" t="s">
        <v>336</v>
      </c>
      <c r="V50" s="510"/>
      <c r="W50" s="511"/>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21" t="s">
        <v>381</v>
      </c>
      <c r="Q51" s="522"/>
      <c r="R51" s="523"/>
      <c r="S51" s="433"/>
      <c r="T51" s="324"/>
      <c r="U51" s="521" t="s">
        <v>386</v>
      </c>
      <c r="V51" s="522"/>
      <c r="W51" s="523"/>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09" t="s">
        <v>336</v>
      </c>
      <c r="Q52" s="510"/>
      <c r="R52" s="511"/>
      <c r="S52" s="366"/>
      <c r="T52" s="325"/>
      <c r="U52" s="509" t="s">
        <v>336</v>
      </c>
      <c r="V52" s="510"/>
      <c r="W52" s="511"/>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12" t="s">
        <v>382</v>
      </c>
      <c r="Q53" s="513"/>
      <c r="R53" s="514"/>
      <c r="S53" s="434"/>
      <c r="T53" s="326"/>
      <c r="U53" s="512" t="s">
        <v>387</v>
      </c>
      <c r="V53" s="513"/>
      <c r="W53" s="514"/>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15"/>
      <c r="Q54" s="516"/>
      <c r="R54" s="517"/>
      <c r="S54" s="371"/>
      <c r="T54" s="327"/>
      <c r="U54" s="515"/>
      <c r="V54" s="516"/>
      <c r="W54" s="517"/>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52" t="s">
        <v>158</v>
      </c>
      <c r="D58" s="553"/>
      <c r="E58" s="553"/>
      <c r="F58" s="553"/>
      <c r="G58" s="553"/>
      <c r="H58" s="553"/>
      <c r="I58" s="553"/>
      <c r="J58" s="553"/>
      <c r="K58" s="557"/>
      <c r="L58" s="558"/>
      <c r="M58" s="320"/>
      <c r="N58" s="320"/>
      <c r="O58" s="320"/>
      <c r="P58" s="320"/>
      <c r="Q58" s="320"/>
      <c r="R58" s="320"/>
      <c r="S58" s="320"/>
      <c r="T58" s="320"/>
      <c r="U58" s="320"/>
    </row>
    <row r="59" spans="1:24" x14ac:dyDescent="0.2">
      <c r="A59" s="334"/>
      <c r="B59" s="355"/>
      <c r="C59" s="552" t="s">
        <v>161</v>
      </c>
      <c r="D59" s="553"/>
      <c r="E59" s="553"/>
      <c r="F59" s="553"/>
      <c r="G59" s="553"/>
      <c r="H59" s="553"/>
      <c r="I59" s="553"/>
      <c r="J59" s="553"/>
      <c r="K59" s="553"/>
      <c r="L59" s="554"/>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tW2ayeibteS5gmcBhepvynP70tZIkhv90I2yGfJU+gV1lu6fcpg6wP7gpbyImB8TnJUITZM1c1aSRaSvCNr2TQ==" saltValue="iynYDrnzWk0MbYjwi+ScZg=="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conditionalFormatting sqref="O5:O44">
    <cfRule type="expression" dxfId="67"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dTmS9CEZHL9SFC1NU1Ou4enyy/QKFHt7752V1qviFCxT+oca4ZLfYMqM0yyEVjSKb4yGu2SdQmZbNmCFWORYaw==" saltValue="mlsQHSTw34+lxhsrl7503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qrQF8bx+CYrkl+fG/Z7FyR7LotAh7afGdZzGOvtft4jSV/GObm3me2tn1jBgeJYl/BPfOkC+647CPWfntUbrcQ==" saltValue="946Htji4En5skULTG7GUO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sETxENk9LgJwXAawtUUx4i+8iA1yCzBOncnHGMk1xdtcPDYi0jGQu3YfMSs58d3WkbOiMBPeeegXJbBCUZVFDA==" saltValue="1HiWCQ7Hmn234FMFwP3YPw=="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L9" sqref="L9:O1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2" t="s">
        <v>116</v>
      </c>
      <c r="E1" s="592"/>
      <c r="F1" s="592"/>
      <c r="G1" s="592"/>
      <c r="H1" s="592"/>
      <c r="I1" s="592"/>
      <c r="J1" s="592"/>
      <c r="K1" s="592"/>
      <c r="L1" s="592"/>
      <c r="M1" s="592"/>
    </row>
    <row r="2" spans="1:18" ht="23.25" customHeight="1" x14ac:dyDescent="0.3">
      <c r="C2" s="242"/>
      <c r="D2" s="242" t="s">
        <v>321</v>
      </c>
      <c r="E2" s="242"/>
      <c r="F2" s="242"/>
      <c r="G2" s="242"/>
      <c r="H2" s="242"/>
      <c r="I2" s="242"/>
      <c r="J2" s="242"/>
      <c r="K2" s="242"/>
      <c r="L2" s="242"/>
      <c r="M2" s="242"/>
    </row>
    <row r="3" spans="1:18" ht="23.25" x14ac:dyDescent="0.35">
      <c r="C3" s="593"/>
      <c r="D3" s="593"/>
      <c r="E3" s="593"/>
      <c r="F3" s="593"/>
      <c r="G3" s="593"/>
      <c r="H3" s="593"/>
      <c r="I3" s="593"/>
      <c r="J3" s="593"/>
      <c r="K3" s="593"/>
      <c r="L3" s="593"/>
      <c r="M3" s="593"/>
    </row>
    <row r="4" spans="1:18" ht="23.25" x14ac:dyDescent="0.35">
      <c r="C4" s="226"/>
      <c r="D4" s="226"/>
      <c r="E4" s="226"/>
      <c r="F4" s="226"/>
      <c r="G4" s="226"/>
      <c r="H4" s="226"/>
      <c r="I4" s="226"/>
      <c r="J4" s="226"/>
      <c r="K4" s="226"/>
      <c r="L4" s="226"/>
      <c r="M4" s="226"/>
    </row>
    <row r="5" spans="1:18" ht="23.25" x14ac:dyDescent="0.35">
      <c r="C5" s="610" t="s">
        <v>6</v>
      </c>
      <c r="D5" s="610"/>
      <c r="E5" s="610"/>
      <c r="F5" s="610"/>
      <c r="G5" s="610"/>
      <c r="H5" s="610"/>
      <c r="I5" s="610"/>
      <c r="J5" s="610"/>
      <c r="K5" s="610"/>
      <c r="L5" s="610"/>
      <c r="M5" s="610"/>
    </row>
    <row r="6" spans="1:18" ht="23.25" x14ac:dyDescent="0.35">
      <c r="C6" s="227"/>
      <c r="D6" s="227"/>
      <c r="E6" s="576" t="str">
        <f>IFERROR(CONCATENATE("Report Number: ", WorkItemNumber),"")</f>
        <v/>
      </c>
      <c r="F6" s="576"/>
      <c r="G6" s="576"/>
      <c r="H6" s="576"/>
      <c r="I6" s="576"/>
      <c r="J6" s="576"/>
      <c r="K6" s="576"/>
      <c r="L6" s="227"/>
      <c r="M6" s="227"/>
    </row>
    <row r="7" spans="1:18" ht="18.75" customHeight="1" x14ac:dyDescent="0.3">
      <c r="G7" s="588"/>
      <c r="H7" s="588"/>
      <c r="I7" s="201"/>
      <c r="R7" t="str">
        <f>CONCATENATE("Page ",Main!L9," of ",Main!L10)</f>
        <v xml:space="preserve">Page  of </v>
      </c>
    </row>
    <row r="8" spans="1:18" ht="18" customHeight="1" x14ac:dyDescent="0.25">
      <c r="G8" s="605"/>
      <c r="H8" s="605"/>
      <c r="J8" s="81"/>
      <c r="K8" s="228" t="s">
        <v>318</v>
      </c>
      <c r="L8" s="589">
        <f>FormNumber</f>
        <v>0</v>
      </c>
      <c r="M8" s="589"/>
      <c r="N8" s="589"/>
      <c r="O8" s="589"/>
    </row>
    <row r="9" spans="1:18" ht="18" customHeight="1" x14ac:dyDescent="0.25">
      <c r="A9" s="228" t="s">
        <v>275</v>
      </c>
      <c r="B9" s="34" t="e">
        <f>Main!D5</f>
        <v>#N/A</v>
      </c>
      <c r="J9" s="81"/>
      <c r="K9" s="228" t="s">
        <v>319</v>
      </c>
      <c r="L9" s="590" t="str">
        <f>"JGI WP4100, "&amp;CalMethod</f>
        <v xml:space="preserve">JGI WP4100, </v>
      </c>
      <c r="M9" s="590"/>
      <c r="N9" s="590"/>
      <c r="O9" s="590"/>
    </row>
    <row r="10" spans="1:18" ht="18" customHeight="1" x14ac:dyDescent="0.25">
      <c r="A10" s="90"/>
      <c r="B10" s="223" t="str" cm="1">
        <f t="array" ref="B10">IFZERO('Customer Table'!R2,"")</f>
        <v/>
      </c>
      <c r="J10" s="81"/>
      <c r="K10" s="228"/>
      <c r="L10" s="590"/>
      <c r="M10" s="590"/>
      <c r="N10" s="590"/>
      <c r="O10" s="590"/>
    </row>
    <row r="11" spans="1:18" ht="18" customHeight="1" x14ac:dyDescent="0.25">
      <c r="A11" s="90"/>
      <c r="B11" s="223" t="str" cm="1">
        <f t="array" ref="B11">IFZERO('Customer Table'!S2,"")</f>
        <v/>
      </c>
      <c r="J11" s="81"/>
      <c r="K11" s="228" t="s">
        <v>320</v>
      </c>
      <c r="L11" s="589">
        <f>TolSource</f>
        <v>0</v>
      </c>
      <c r="M11" s="589"/>
      <c r="N11" s="589"/>
      <c r="O11" s="589"/>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7">
        <f>SerialNumber</f>
        <v>0</v>
      </c>
      <c r="C16" s="607"/>
      <c r="D16" s="607"/>
      <c r="E16" s="607"/>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596">
        <f>Class</f>
        <v>0</v>
      </c>
      <c r="C18" s="596"/>
      <c r="D18" s="596"/>
      <c r="E18" s="596"/>
      <c r="G18" s="228" t="s">
        <v>285</v>
      </c>
      <c r="H18" s="232">
        <f>CubicFeet</f>
        <v>0</v>
      </c>
      <c r="M18" s="228" t="s">
        <v>289</v>
      </c>
      <c r="N18" s="232" t="str">
        <f>Main!G18</f>
        <v>ACCEPTED</v>
      </c>
      <c r="O18" s="207"/>
    </row>
    <row r="19" spans="1:19" ht="18" customHeight="1" x14ac:dyDescent="0.25">
      <c r="A19" s="218"/>
      <c r="B19" s="597"/>
      <c r="C19" s="597"/>
      <c r="D19" s="597"/>
      <c r="E19" s="597"/>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08">
        <f>Controller</f>
        <v>0</v>
      </c>
      <c r="C21" s="608"/>
      <c r="D21" s="608"/>
      <c r="E21" s="608"/>
      <c r="F21" s="219" t="s">
        <v>292</v>
      </c>
      <c r="G21" s="608">
        <f>ContSN</f>
        <v>0</v>
      </c>
      <c r="H21" s="608"/>
      <c r="I21" s="608"/>
      <c r="J21" s="219" t="s">
        <v>293</v>
      </c>
      <c r="K21" s="231">
        <f>ContTol</f>
        <v>0</v>
      </c>
      <c r="L21" s="205"/>
      <c r="M21" s="219" t="s">
        <v>294</v>
      </c>
      <c r="N21" s="244" t="str">
        <f>Main!G27</f>
        <v/>
      </c>
      <c r="O21" s="206"/>
    </row>
    <row r="22" spans="1:19" ht="18" customHeight="1" x14ac:dyDescent="0.25">
      <c r="A22" s="237" t="s">
        <v>291</v>
      </c>
      <c r="B22" s="609">
        <f>_xlnm.Recorder</f>
        <v>0</v>
      </c>
      <c r="C22" s="609"/>
      <c r="D22" s="609"/>
      <c r="E22" s="609"/>
      <c r="F22" s="220" t="s">
        <v>292</v>
      </c>
      <c r="G22" s="609">
        <f>RecSN</f>
        <v>0</v>
      </c>
      <c r="H22" s="609"/>
      <c r="I22" s="609"/>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6" t="s">
        <v>303</v>
      </c>
      <c r="D27" s="606"/>
      <c r="E27" s="606"/>
      <c r="F27" s="606"/>
      <c r="G27" s="606"/>
      <c r="H27" s="606"/>
      <c r="I27" s="606"/>
      <c r="J27" s="606"/>
      <c r="K27" s="606"/>
      <c r="L27" s="606"/>
      <c r="M27" s="606"/>
      <c r="N27" s="208"/>
      <c r="O27" s="209"/>
    </row>
    <row r="28" spans="1:19" ht="8.1" customHeight="1" x14ac:dyDescent="0.2"/>
    <row r="29" spans="1:19" ht="18" customHeight="1" x14ac:dyDescent="0.2">
      <c r="A29" s="602" t="s">
        <v>273</v>
      </c>
      <c r="B29" s="603"/>
      <c r="C29" s="604"/>
      <c r="D29" s="602" t="s">
        <v>304</v>
      </c>
      <c r="E29" s="603"/>
      <c r="F29" s="603"/>
      <c r="G29" s="604"/>
      <c r="H29" s="602" t="s">
        <v>274</v>
      </c>
      <c r="I29" s="603"/>
      <c r="J29" s="603"/>
      <c r="K29" s="604"/>
      <c r="L29" s="602" t="s">
        <v>257</v>
      </c>
      <c r="M29" s="603"/>
      <c r="N29" s="603"/>
      <c r="O29" s="604"/>
    </row>
    <row r="30" spans="1:19" ht="18" customHeight="1" x14ac:dyDescent="0.2">
      <c r="A30" s="224"/>
      <c r="B30" s="214" t="s">
        <v>967</v>
      </c>
      <c r="C30" s="225"/>
      <c r="D30" s="599" t="str">
        <f>CONCATENATE(Main!D22,Unit," / ",Main!D23,"% RH")</f>
        <v>°F / % RH</v>
      </c>
      <c r="E30" s="600"/>
      <c r="F30" s="600"/>
      <c r="G30" s="601"/>
      <c r="H30" s="599">
        <f>OvenLocation</f>
        <v>0</v>
      </c>
      <c r="I30" s="600"/>
      <c r="J30" s="600"/>
      <c r="K30" s="601"/>
      <c r="L30" s="599">
        <f>Condition</f>
        <v>0</v>
      </c>
      <c r="M30" s="600"/>
      <c r="N30" s="600"/>
      <c r="O30" s="601"/>
    </row>
    <row r="31" spans="1:19" ht="18" customHeight="1" x14ac:dyDescent="0.2"/>
    <row r="32" spans="1:19" ht="18" customHeight="1" x14ac:dyDescent="0.25">
      <c r="A32" s="247" t="s">
        <v>305</v>
      </c>
      <c r="B32" s="591" t="s">
        <v>306</v>
      </c>
      <c r="C32" s="591"/>
      <c r="D32" s="247" t="s">
        <v>269</v>
      </c>
      <c r="E32" s="247" t="s">
        <v>268</v>
      </c>
      <c r="F32" s="247" t="s">
        <v>307</v>
      </c>
      <c r="G32" s="81"/>
      <c r="H32" s="81"/>
      <c r="I32" s="247" t="s">
        <v>305</v>
      </c>
      <c r="J32" s="591" t="s">
        <v>306</v>
      </c>
      <c r="K32" s="591"/>
      <c r="L32" s="247" t="s">
        <v>269</v>
      </c>
      <c r="M32" s="247" t="s">
        <v>268</v>
      </c>
      <c r="N32" s="247" t="s">
        <v>307</v>
      </c>
    </row>
    <row r="33" spans="1:14" ht="18" customHeight="1" x14ac:dyDescent="0.2">
      <c r="A33" s="248" t="str">
        <f>IF(B33="","",1)</f>
        <v/>
      </c>
      <c r="B33" s="588" t="str">
        <f>IF(Main!O5="","",Main!O5)</f>
        <v/>
      </c>
      <c r="C33" s="588"/>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8" t="str">
        <f>IF(Main!O25="","",Main!O25)</f>
        <v/>
      </c>
      <c r="K33" s="588"/>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8" t="str">
        <f>IF(Main!O6="","",Main!O6)</f>
        <v/>
      </c>
      <c r="C34" s="588"/>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8" t="str">
        <f>IF(Main!O26="","",Main!O26)</f>
        <v/>
      </c>
      <c r="K34" s="588"/>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8" t="str">
        <f>IF(Main!O7="","",Main!O7)</f>
        <v/>
      </c>
      <c r="C35" s="588"/>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8" t="str">
        <f>IF(Main!O27="","",Main!O27)</f>
        <v/>
      </c>
      <c r="K35" s="588"/>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8" t="str">
        <f>IF(Main!O8="","",Main!O8)</f>
        <v/>
      </c>
      <c r="C36" s="588"/>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8" t="str">
        <f>IF(Main!O28="","",Main!O28)</f>
        <v/>
      </c>
      <c r="K36" s="588"/>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8" t="str">
        <f>IF(Main!O9="","",Main!O9)</f>
        <v/>
      </c>
      <c r="C37" s="588"/>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8" t="str">
        <f>IF(Main!O29="","",Main!O29)</f>
        <v/>
      </c>
      <c r="K37" s="588"/>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8" t="str">
        <f>IF(Main!O10="","",Main!O10)</f>
        <v/>
      </c>
      <c r="C38" s="588"/>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8" t="str">
        <f>IF(Main!O30="","",Main!O30)</f>
        <v/>
      </c>
      <c r="K38" s="588"/>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8" t="str">
        <f>IF(Main!O11="","",Main!O11)</f>
        <v/>
      </c>
      <c r="C39" s="588"/>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8" t="str">
        <f>IF(Main!O31="","",Main!O31)</f>
        <v/>
      </c>
      <c r="K39" s="588"/>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8" t="str">
        <f>IF(Main!O12="","",Main!O12)</f>
        <v/>
      </c>
      <c r="C40" s="588"/>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8" t="str">
        <f>IF(Main!O32="","",Main!O32)</f>
        <v/>
      </c>
      <c r="K40" s="588"/>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8" t="str">
        <f>IF(Main!O13="","",Main!O13)</f>
        <v/>
      </c>
      <c r="C41" s="588"/>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8" t="str">
        <f>IF(Main!O33="","",Main!O33)</f>
        <v/>
      </c>
      <c r="K41" s="588"/>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8" t="str">
        <f>IF(Main!O14="","",Main!O14)</f>
        <v/>
      </c>
      <c r="C42" s="588"/>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8" t="str">
        <f>IF(Main!O34="","",Main!O34)</f>
        <v/>
      </c>
      <c r="K42" s="588"/>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8" t="str">
        <f>IF(Main!O15="","",Main!O15)</f>
        <v/>
      </c>
      <c r="C43" s="588"/>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8" t="str">
        <f>IF(Main!O35="","",Main!O35)</f>
        <v/>
      </c>
      <c r="K43" s="588"/>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8" t="str">
        <f>IF(Main!O16="","",Main!O16)</f>
        <v/>
      </c>
      <c r="C44" s="588"/>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8" t="str">
        <f>IF(Main!O36="","",Main!O36)</f>
        <v/>
      </c>
      <c r="K44" s="588"/>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8" t="str">
        <f>IF(Main!O17="","",Main!O17)</f>
        <v/>
      </c>
      <c r="C45" s="588"/>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8" t="str">
        <f>IF(Main!O37="","",Main!O37)</f>
        <v/>
      </c>
      <c r="K45" s="588"/>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8" t="str">
        <f>IF(Main!O18="","",Main!O18)</f>
        <v/>
      </c>
      <c r="C46" s="588"/>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8" t="str">
        <f>IF(Main!O38="","",Main!O38)</f>
        <v/>
      </c>
      <c r="K46" s="588"/>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8" t="str">
        <f>IF(Main!O19="","",Main!O19)</f>
        <v/>
      </c>
      <c r="C47" s="588"/>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8" t="str">
        <f>IF(Main!O39="","",Main!O39)</f>
        <v/>
      </c>
      <c r="K47" s="588"/>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8" t="str">
        <f>IF(Main!O20="","",Main!O20)</f>
        <v/>
      </c>
      <c r="C48" s="588"/>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8" t="str">
        <f>IF(Main!O40="","",Main!O40)</f>
        <v/>
      </c>
      <c r="K48" s="588"/>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8" t="str">
        <f>IF(Main!O21="","",Main!O21)</f>
        <v/>
      </c>
      <c r="C49" s="588"/>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8" t="str">
        <f>IF(Main!O41="","",Main!O41)</f>
        <v/>
      </c>
      <c r="K49" s="588"/>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8" t="str">
        <f>IF(Main!O22="","",Main!O22)</f>
        <v/>
      </c>
      <c r="C50" s="588"/>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8" t="str">
        <f>IF(Main!O42="","",Main!O42)</f>
        <v/>
      </c>
      <c r="K50" s="588"/>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8" t="str">
        <f>IF(Main!O23="","",Main!O23)</f>
        <v/>
      </c>
      <c r="C51" s="588"/>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8" t="str">
        <f>IF(Main!O43="","",Main!O43)</f>
        <v/>
      </c>
      <c r="K51" s="588"/>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8" t="str">
        <f>IF(Main!O24="","",Main!O24)</f>
        <v/>
      </c>
      <c r="C52" s="588"/>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8" t="str">
        <f>IF(Main!O44="","",Main!O44)</f>
        <v/>
      </c>
      <c r="K52" s="588"/>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5" t="s">
        <v>308</v>
      </c>
      <c r="C53" s="595"/>
      <c r="D53" s="595"/>
      <c r="E53" s="595"/>
      <c r="F53" s="595"/>
      <c r="G53" s="595"/>
      <c r="H53" s="595"/>
      <c r="I53" s="595"/>
      <c r="J53" s="595"/>
      <c r="K53" s="595"/>
      <c r="L53" s="595"/>
      <c r="M53" s="595"/>
      <c r="N53" s="595"/>
    </row>
    <row r="54" spans="1:20" ht="18" customHeight="1" x14ac:dyDescent="0.25">
      <c r="A54" s="250" t="s">
        <v>309</v>
      </c>
      <c r="B54" s="590" t="str">
        <f>CONCATENATE(Main!G23,"  ",FurnaceSpecificComments,Main!V24)</f>
        <v xml:space="preserve">Found in tolerance.  No adjustment required.  </v>
      </c>
      <c r="C54" s="590"/>
      <c r="D54" s="590"/>
      <c r="E54" s="590"/>
      <c r="F54" s="590"/>
      <c r="G54" s="590"/>
      <c r="H54" s="590"/>
      <c r="I54" s="590"/>
      <c r="J54" s="590"/>
      <c r="K54" s="590"/>
      <c r="L54" s="590"/>
      <c r="M54" s="590"/>
      <c r="N54" s="590"/>
      <c r="O54" s="590"/>
    </row>
    <row r="55" spans="1:20" ht="18" customHeight="1" x14ac:dyDescent="0.25">
      <c r="A55" s="78"/>
      <c r="B55" s="590"/>
      <c r="C55" s="590"/>
      <c r="D55" s="590"/>
      <c r="E55" s="590"/>
      <c r="F55" s="590"/>
      <c r="G55" s="590"/>
      <c r="H55" s="590"/>
      <c r="I55" s="590"/>
      <c r="J55" s="590"/>
      <c r="K55" s="590"/>
      <c r="L55" s="590"/>
      <c r="M55" s="590"/>
      <c r="N55" s="590"/>
      <c r="O55" s="590"/>
    </row>
    <row r="56" spans="1:20" ht="18" customHeight="1" x14ac:dyDescent="0.25">
      <c r="A56" s="78"/>
      <c r="B56" s="590"/>
      <c r="C56" s="590"/>
      <c r="D56" s="590"/>
      <c r="E56" s="590"/>
      <c r="F56" s="590"/>
      <c r="G56" s="590"/>
      <c r="H56" s="590"/>
      <c r="I56" s="590"/>
      <c r="J56" s="590"/>
      <c r="K56" s="590"/>
      <c r="L56" s="590"/>
      <c r="M56" s="590"/>
      <c r="N56" s="590"/>
      <c r="O56" s="590"/>
    </row>
    <row r="57" spans="1:20" ht="18" customHeight="1" x14ac:dyDescent="0.25">
      <c r="A57" s="78"/>
      <c r="B57" s="590"/>
      <c r="C57" s="590"/>
      <c r="D57" s="590"/>
      <c r="E57" s="590"/>
      <c r="F57" s="590"/>
      <c r="G57" s="590"/>
      <c r="H57" s="590"/>
      <c r="I57" s="590"/>
      <c r="J57" s="590"/>
      <c r="K57" s="590"/>
      <c r="L57" s="590"/>
      <c r="M57" s="590"/>
      <c r="N57" s="590"/>
      <c r="O57" s="590"/>
    </row>
    <row r="58" spans="1:20" ht="18" customHeight="1" x14ac:dyDescent="0.25">
      <c r="A58" s="78"/>
      <c r="B58" s="590"/>
      <c r="C58" s="590"/>
      <c r="D58" s="590"/>
      <c r="E58" s="590"/>
      <c r="F58" s="590"/>
      <c r="G58" s="590"/>
      <c r="H58" s="590"/>
      <c r="I58" s="590"/>
      <c r="J58" s="590"/>
      <c r="K58" s="590"/>
      <c r="L58" s="590"/>
      <c r="M58" s="590"/>
      <c r="N58" s="590"/>
      <c r="O58" s="590"/>
    </row>
    <row r="59" spans="1:20" ht="18" customHeight="1" x14ac:dyDescent="0.25">
      <c r="A59" s="78"/>
      <c r="B59" s="590"/>
      <c r="C59" s="590"/>
      <c r="D59" s="590"/>
      <c r="E59" s="590"/>
      <c r="F59" s="590"/>
      <c r="G59" s="590"/>
      <c r="H59" s="590"/>
      <c r="I59" s="590"/>
      <c r="J59" s="590"/>
      <c r="K59" s="590"/>
      <c r="L59" s="590"/>
      <c r="M59" s="590"/>
      <c r="N59" s="590"/>
      <c r="O59" s="590"/>
    </row>
    <row r="60" spans="1:20" ht="18" customHeight="1" x14ac:dyDescent="0.2">
      <c r="A60" s="594" t="s">
        <v>317</v>
      </c>
      <c r="B60" s="594"/>
      <c r="C60" s="594"/>
      <c r="D60" s="594"/>
      <c r="E60" s="594"/>
      <c r="F60" s="594"/>
      <c r="G60" s="594"/>
      <c r="H60" s="594"/>
      <c r="I60" s="594"/>
      <c r="J60" s="594"/>
      <c r="K60" s="594"/>
      <c r="L60" s="594"/>
      <c r="M60" s="594"/>
      <c r="N60" s="594"/>
      <c r="O60" s="594"/>
    </row>
    <row r="61" spans="1:20" ht="18" customHeight="1" x14ac:dyDescent="0.2">
      <c r="A61" s="598" t="s">
        <v>310</v>
      </c>
      <c r="B61" s="598"/>
      <c r="C61" s="598"/>
      <c r="D61" s="598"/>
      <c r="E61" s="598"/>
      <c r="F61" s="587" t="s">
        <v>311</v>
      </c>
      <c r="G61" s="587"/>
      <c r="H61" s="587"/>
      <c r="I61" s="587" t="s">
        <v>312</v>
      </c>
      <c r="J61" s="587"/>
      <c r="K61" s="587" t="s">
        <v>313</v>
      </c>
      <c r="L61" s="587"/>
      <c r="M61" s="587" t="s">
        <v>314</v>
      </c>
      <c r="N61" s="587"/>
      <c r="O61" s="587"/>
      <c r="R61" s="39" t="s">
        <v>855</v>
      </c>
      <c r="T61" s="39" t="s">
        <v>856</v>
      </c>
    </row>
    <row r="62" spans="1:20" ht="18" customHeight="1" x14ac:dyDescent="0.2">
      <c r="A62" s="577" t="str">
        <f>IF(F62="","",CONCATENATE(T62," - ",R62))</f>
        <v/>
      </c>
      <c r="B62" s="578"/>
      <c r="C62" s="578"/>
      <c r="D62" s="578"/>
      <c r="E62" s="579"/>
      <c r="F62" s="577" t="str" cm="1">
        <f t="array" ref="F62">IFERROR(
  _xlfn.XLOOKUP(
    Main!D9,
    _xlfn._xlws.FILTER(AssetPool[asset_tag], AssetPool[root_category_name]="DAQ Modules"),
    _xlfn._xlws.FILTER(AssetPool[serial_number], AssetPool[root_category_name]="DAQ Modules")
  ),
  ""
)</f>
        <v/>
      </c>
      <c r="G62" s="578"/>
      <c r="H62" s="579"/>
      <c r="I62" s="583" t="str">
        <f>IF(F62="","",Main!D12)</f>
        <v/>
      </c>
      <c r="J62" s="584"/>
      <c r="K62" s="583" t="str">
        <f>IF(F62="","",Main!D13)</f>
        <v/>
      </c>
      <c r="L62" s="584"/>
      <c r="M62" s="612" t="str">
        <f>IF(F62="","",REPLACE(Main!D14,3,1,""))</f>
        <v/>
      </c>
      <c r="N62" s="613"/>
      <c r="O62" s="614"/>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80" t="str">
        <f t="shared" ref="A63:A68" si="0">IF(Q63="","",CONCATENATE(T63," - ",R63))</f>
        <v/>
      </c>
      <c r="B63" s="581"/>
      <c r="C63" s="581"/>
      <c r="D63" s="581"/>
      <c r="E63" s="582"/>
      <c r="F63" s="580" t="str">
        <f>IF(Main!D48="","",Main!D48)</f>
        <v/>
      </c>
      <c r="G63" s="581"/>
      <c r="H63" s="582"/>
      <c r="I63" s="585" t="str">
        <f>IF(Q63="","",Main!D49)</f>
        <v/>
      </c>
      <c r="J63" s="586"/>
      <c r="K63" s="585" t="str">
        <f>IF(Q63="","",Main!D50)</f>
        <v/>
      </c>
      <c r="L63" s="586"/>
      <c r="M63" s="580" t="str">
        <f>IF(Q63="","",Main!D54)</f>
        <v/>
      </c>
      <c r="N63" s="581"/>
      <c r="O63" s="582"/>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80" t="str">
        <f t="shared" si="0"/>
        <v/>
      </c>
      <c r="B64" s="581"/>
      <c r="C64" s="581"/>
      <c r="D64" s="581"/>
      <c r="E64" s="582"/>
      <c r="F64" s="580" t="str">
        <f>IF(Main!E48="","",Main!E48)</f>
        <v/>
      </c>
      <c r="G64" s="581"/>
      <c r="H64" s="582"/>
      <c r="I64" s="585" t="str">
        <f>IF(Q64="","",Main!E49)</f>
        <v/>
      </c>
      <c r="J64" s="586"/>
      <c r="K64" s="585" t="str">
        <f>IF(Q64="","",Main!E50)</f>
        <v/>
      </c>
      <c r="L64" s="586"/>
      <c r="M64" s="580" t="str">
        <f>IF(Q64="","",Main!E54)</f>
        <v/>
      </c>
      <c r="N64" s="581"/>
      <c r="O64" s="582"/>
      <c r="Q64" t="str">
        <f>IF(CERT!F64="","",3)</f>
        <v/>
      </c>
      <c r="R64" s="205" t="str">
        <f>IFERROR(_xlfn.XLOOKUP(F64,AssetPool[serial_number],AssetPool[manufacturer_part_number]),"")</f>
        <v/>
      </c>
      <c r="T64" s="205" t="str">
        <f>IFERROR(_xlfn.XLOOKUP(F64,AssetPool[serial_number],AssetPool[category_name]),"")</f>
        <v/>
      </c>
    </row>
    <row r="65" spans="1:20" ht="18" customHeight="1" x14ac:dyDescent="0.2">
      <c r="A65" s="580" t="str">
        <f t="shared" si="0"/>
        <v/>
      </c>
      <c r="B65" s="581"/>
      <c r="C65" s="581"/>
      <c r="D65" s="581"/>
      <c r="E65" s="582"/>
      <c r="F65" s="580" t="str">
        <f>IF(Main!F48="","",Main!F48)</f>
        <v/>
      </c>
      <c r="G65" s="581"/>
      <c r="H65" s="582"/>
      <c r="I65" s="585" t="str">
        <f>IF(Q65="","",Main!F49)</f>
        <v/>
      </c>
      <c r="J65" s="586"/>
      <c r="K65" s="585" t="str">
        <f>IF(Q65="","",Main!F50)</f>
        <v/>
      </c>
      <c r="L65" s="586"/>
      <c r="M65" s="580" t="str">
        <f>IF(Q65="","",Main!F54)</f>
        <v/>
      </c>
      <c r="N65" s="581"/>
      <c r="O65" s="582"/>
      <c r="Q65" t="str">
        <f>IF(CERT!F65="","",4)</f>
        <v/>
      </c>
      <c r="R65" s="205" t="str">
        <f>IFERROR(_xlfn.XLOOKUP(F65,AssetPool[serial_number],AssetPool[manufacturer_part_number]),"")</f>
        <v/>
      </c>
      <c r="T65" s="205" t="str">
        <f>IFERROR(_xlfn.XLOOKUP(F65,AssetPool[serial_number],AssetPool[category_name]),"")</f>
        <v/>
      </c>
    </row>
    <row r="66" spans="1:20" ht="18" customHeight="1" x14ac:dyDescent="0.2">
      <c r="A66" s="580" t="str">
        <f t="shared" si="0"/>
        <v/>
      </c>
      <c r="B66" s="581"/>
      <c r="C66" s="581"/>
      <c r="D66" s="581"/>
      <c r="E66" s="582"/>
      <c r="F66" s="580" t="str">
        <f>IF(Main!G48="","",Main!G48)</f>
        <v/>
      </c>
      <c r="G66" s="581"/>
      <c r="H66" s="582"/>
      <c r="I66" s="585" t="str">
        <f>IF(Q66="","",Main!G49)</f>
        <v/>
      </c>
      <c r="J66" s="586"/>
      <c r="K66" s="585" t="str">
        <f>IF(Q66="","",Main!G50)</f>
        <v/>
      </c>
      <c r="L66" s="586"/>
      <c r="M66" s="580" t="str">
        <f>IF(Q66="","",Main!G54)</f>
        <v/>
      </c>
      <c r="N66" s="581"/>
      <c r="O66" s="582"/>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80" t="str">
        <f t="shared" si="0"/>
        <v/>
      </c>
      <c r="B67" s="581"/>
      <c r="C67" s="581"/>
      <c r="D67" s="581"/>
      <c r="E67" s="582"/>
      <c r="F67" s="580" t="str">
        <f>IF(Main!H48="","",Main!H48)</f>
        <v/>
      </c>
      <c r="G67" s="581"/>
      <c r="H67" s="582"/>
      <c r="I67" s="585" t="str">
        <f>IF(Q67="","",Main!H49)</f>
        <v/>
      </c>
      <c r="J67" s="586"/>
      <c r="K67" s="585" t="str">
        <f>IF(Q67="","",Main!H50)</f>
        <v/>
      </c>
      <c r="L67" s="586"/>
      <c r="M67" s="580" t="str">
        <f>IF(Q67="","",Main!H54)</f>
        <v/>
      </c>
      <c r="N67" s="581"/>
      <c r="O67" s="582"/>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80" t="str">
        <f t="shared" si="0"/>
        <v/>
      </c>
      <c r="B68" s="581"/>
      <c r="C68" s="581"/>
      <c r="D68" s="581"/>
      <c r="E68" s="582"/>
      <c r="F68" s="580" t="str">
        <f>IF(Main!I48="","",Main!I48)</f>
        <v/>
      </c>
      <c r="G68" s="581"/>
      <c r="H68" s="582"/>
      <c r="I68" s="585" t="str">
        <f>IF(Q68="","",Main!I49)</f>
        <v/>
      </c>
      <c r="J68" s="586"/>
      <c r="K68" s="585" t="str">
        <f>IF(Q68="","",Main!I50)</f>
        <v/>
      </c>
      <c r="L68" s="586"/>
      <c r="M68" s="580" t="str">
        <f>IF(Q68="","",Main!I54)</f>
        <v/>
      </c>
      <c r="N68" s="581"/>
      <c r="O68" s="582"/>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9" t="str">
        <f>IF(T69="","",CONCATENATE(T69," - ",R69))</f>
        <v/>
      </c>
      <c r="B69" s="600"/>
      <c r="C69" s="600"/>
      <c r="D69" s="600"/>
      <c r="E69" s="601"/>
      <c r="F69" s="599" t="str">
        <f>IF(Main!J48="","",Main!J48)</f>
        <v/>
      </c>
      <c r="G69" s="600"/>
      <c r="H69" s="601"/>
      <c r="I69" s="615" t="str">
        <f>IF(Q69="","",Main!J49)</f>
        <v/>
      </c>
      <c r="J69" s="616"/>
      <c r="K69" s="615" t="str">
        <f>IF(Q69="","",Main!J50)</f>
        <v/>
      </c>
      <c r="L69" s="616"/>
      <c r="M69" s="599" t="str">
        <f>IF(Q69="","",Main!J54)</f>
        <v/>
      </c>
      <c r="N69" s="600"/>
      <c r="O69" s="601"/>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11" t="s">
        <v>369</v>
      </c>
      <c r="B71" s="611"/>
      <c r="C71" s="611"/>
      <c r="D71" s="611"/>
      <c r="E71" s="611"/>
      <c r="F71" s="611"/>
      <c r="G71" s="611"/>
      <c r="H71" s="611"/>
      <c r="I71" s="611"/>
      <c r="J71" s="611"/>
      <c r="K71" s="611"/>
      <c r="L71" s="611"/>
      <c r="M71" s="611"/>
      <c r="N71" s="611"/>
      <c r="O71" s="611"/>
    </row>
    <row r="72" spans="1:20" ht="18" customHeight="1" x14ac:dyDescent="0.2">
      <c r="A72" s="611"/>
      <c r="B72" s="611"/>
      <c r="C72" s="611"/>
      <c r="D72" s="611"/>
      <c r="E72" s="611"/>
      <c r="F72" s="611"/>
      <c r="G72" s="611"/>
      <c r="H72" s="611"/>
      <c r="I72" s="611"/>
      <c r="J72" s="611"/>
      <c r="K72" s="611"/>
      <c r="L72" s="611"/>
      <c r="M72" s="611"/>
      <c r="N72" s="611"/>
      <c r="O72" s="611"/>
    </row>
    <row r="73" spans="1:20" ht="18" customHeight="1" x14ac:dyDescent="0.2">
      <c r="A73" s="611"/>
      <c r="B73" s="611"/>
      <c r="C73" s="611"/>
      <c r="D73" s="611"/>
      <c r="E73" s="611"/>
      <c r="F73" s="611"/>
      <c r="G73" s="611"/>
      <c r="H73" s="611"/>
      <c r="I73" s="611"/>
      <c r="J73" s="611"/>
      <c r="K73" s="611"/>
      <c r="L73" s="611"/>
      <c r="M73" s="611"/>
      <c r="N73" s="611"/>
      <c r="O73" s="611"/>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b+2PoZfqXzdK0A0q6wjlYubianQBT5Xk5fq55PjxtuUmxqMnGcAgAxQRrs2IPTTb76Hr+N4nGQrY4UMGZNLs1g==" saltValue="C0DaDXXRIs1+vqUhCJypD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xigPiNFQy78baCUamnwSsbd04KOWeIiu/MDh/pMcna9XPmDdHnfOHhtXSjbgQrOfD04MHWhFBCMhPByGZkSQVw==" saltValue="sFGHoUzkmK+GyQWn0VfGA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6" priority="1">
      <formula>AND(ROW() &gt;= $Q$1, ROW() &lt;= $Q$2)</formula>
    </cfRule>
    <cfRule type="cellIs" dxfId="65" priority="2" stopIfTrue="1" operator="between">
      <formula>$E$1</formula>
      <formula>$E$2</formula>
    </cfRule>
    <cfRule type="cellIs" dxfId="64" priority="3" stopIfTrue="1" operator="greaterThan">
      <formula>$C$2</formula>
    </cfRule>
    <cfRule type="cellIs" dxfId="63" priority="4" stopIfTrue="1" operator="lessThan">
      <formula>$C$1</formula>
    </cfRule>
    <cfRule type="cellIs" dxfId="62"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dxFYLA/cZzkkh/ops1oV4YKx5Bf4C/3Y6Q0Jco6HK3vrKqVM7c1WYb9vdKI7/LFRqIIK3IFPenw03XdjJyMTKw==" saltValue="+njh2e0G3dO/mo3kiLLpZ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1" priority="2" stopIfTrue="1" operator="between">
      <formula>$E$1</formula>
      <formula>$E$2</formula>
    </cfRule>
    <cfRule type="cellIs" dxfId="60" priority="3" stopIfTrue="1" operator="greaterThan">
      <formula>$C$2</formula>
    </cfRule>
    <cfRule type="cellIs" dxfId="59" priority="4" stopIfTrue="1" operator="lessThan">
      <formula>$C$1</formula>
    </cfRule>
    <cfRule type="cellIs" dxfId="58" priority="5" stopIfTrue="1" operator="greaterThanOrEqual">
      <formula>$C$1</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4308YsFMtOFjcuRQimG2/Q9zrY6Hs2cV33bim/4qYZo40OCHPB6sBCcyQXm56kOLUOavDNSCOGwTGV1I3SjAkw==" saltValue="TeKD7EsNdkW2PLmp6YWP8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6" priority="2" stopIfTrue="1" operator="between">
      <formula>$E$1</formula>
      <formula>$E$2</formula>
    </cfRule>
    <cfRule type="cellIs" dxfId="55" priority="3" stopIfTrue="1" operator="greaterThan">
      <formula>$C$2</formula>
    </cfRule>
    <cfRule type="cellIs" dxfId="54" priority="4" stopIfTrue="1" operator="lessThan">
      <formula>$C$1</formula>
    </cfRule>
    <cfRule type="cellIs" dxfId="53" priority="6" stopIfTrue="1" operator="greaterThanOrEqual">
      <formula>$C$1</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uyCJ4WNWYAjl4J3UnhZzpXvc6YltbNafSd14I4S6grnfi9L0F/ICJKdJSPoX69pDFI8e1gg97DghJOGid0pfaQ==" saltValue="ii/ifykloSoaXKpwCM0agQ==" spinCount="100000" sheet="1" objects="1" scenarios="1" selectLockedCells="1" autoFilter="0"/>
  <mergeCells count="2">
    <mergeCell ref="D32:M34"/>
    <mergeCell ref="C37:M40"/>
  </mergeCells>
  <phoneticPr fontId="20" type="noConversion"/>
  <conditionalFormatting sqref="C45">
    <cfRule type="expression" dxfId="51" priority="65">
      <formula>ISNUMBER(SEARCH(".",C45))</formula>
    </cfRule>
    <cfRule type="expression" dxfId="50" priority="66">
      <formula>ISERROR(SEARCH(".",C45))</formula>
    </cfRule>
  </conditionalFormatting>
  <conditionalFormatting sqref="D14:D18">
    <cfRule type="expression" dxfId="49" priority="63">
      <formula>ISERROR(SEARCH(1,$D$19))</formula>
    </cfRule>
    <cfRule type="expression" dxfId="48" priority="64">
      <formula>ISNUMBER(SEARCH(1,$D$19))</formula>
    </cfRule>
  </conditionalFormatting>
  <conditionalFormatting sqref="G14:G18">
    <cfRule type="expression" dxfId="47" priority="61">
      <formula>ISERROR(SEARCH(1,$G$19))</formula>
    </cfRule>
    <cfRule type="expression" dxfId="46" priority="62">
      <formula>ISNUMBER(SEARCH(1,$G$19))</formula>
    </cfRule>
  </conditionalFormatting>
  <conditionalFormatting sqref="J14:J18">
    <cfRule type="expression" dxfId="45" priority="57">
      <formula>ISERROR(SEARCH(1,$J$19))</formula>
    </cfRule>
    <cfRule type="expression" dxfId="44" priority="58">
      <formula>ISNUMBER(SEARCH(1,$J$19))</formula>
    </cfRule>
  </conditionalFormatting>
  <conditionalFormatting sqref="M14:M18">
    <cfRule type="expression" dxfId="43" priority="53">
      <formula>ISERROR(SEARCH(1,$M$19))</formula>
    </cfRule>
    <cfRule type="expression" dxfId="42" priority="54">
      <formula>ISNUMBER(SEARCH(1,$M$19))</formula>
    </cfRule>
  </conditionalFormatting>
  <conditionalFormatting sqref="G26:G30">
    <cfRule type="expression" dxfId="41" priority="45">
      <formula>ISERROR(SEARCH(1,$G$31))</formula>
    </cfRule>
    <cfRule type="expression" dxfId="40" priority="46">
      <formula>ISNUMBER(SEARCH(1,$G$31))</formula>
    </cfRule>
  </conditionalFormatting>
  <conditionalFormatting sqref="J26:J30">
    <cfRule type="expression" dxfId="39" priority="41">
      <formula>ISERROR(SEARCH(1,$J$31))</formula>
    </cfRule>
    <cfRule type="expression" dxfId="38" priority="42">
      <formula>ISNUMBER(SEARCH(1,$J$31))</formula>
    </cfRule>
  </conditionalFormatting>
  <conditionalFormatting sqref="M26:M30">
    <cfRule type="expression" dxfId="37" priority="37">
      <formula>ISERROR(SEARCH(1,$M$31))</formula>
    </cfRule>
    <cfRule type="expression" dxfId="36" priority="38">
      <formula>ISNUMBER(SEARCH(1,$M$31))</formula>
    </cfRule>
  </conditionalFormatting>
  <conditionalFormatting sqref="D26:D30">
    <cfRule type="expression" dxfId="35" priority="33">
      <formula>ISERROR(SEARCH(1,$D$19))</formula>
    </cfRule>
    <cfRule type="expression" dxfId="34" priority="34">
      <formula>ISNUMBER(SEARCH(1,$D$19))</formula>
    </cfRule>
  </conditionalFormatting>
  <conditionalFormatting sqref="D11:D13">
    <cfRule type="expression" dxfId="33" priority="31">
      <formula>ISERROR(SEARCH(1,$G$19))</formula>
    </cfRule>
    <cfRule type="expression" dxfId="32" priority="32">
      <formula>ISNUMBER(SEARCH(1,$G$19))</formula>
    </cfRule>
  </conditionalFormatting>
  <conditionalFormatting sqref="D10">
    <cfRule type="expression" dxfId="31" priority="29">
      <formula>ISERROR(SEARCH(1,$G$19))</formula>
    </cfRule>
    <cfRule type="expression" dxfId="30" priority="30">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7" t="s">
        <v>345</v>
      </c>
      <c r="I28" s="657"/>
      <c r="J28" s="657"/>
      <c r="K28" s="657"/>
      <c r="L28" s="657"/>
      <c r="M28" s="657"/>
      <c r="N28" s="657"/>
      <c r="O28" s="657"/>
      <c r="P28" s="657"/>
      <c r="Q28" s="657"/>
      <c r="R28" s="657"/>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63" t="s">
        <v>347</v>
      </c>
      <c r="K29" s="664"/>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58" t="s">
        <v>333</v>
      </c>
      <c r="I30" s="658"/>
      <c r="J30" s="665" t="s">
        <v>380</v>
      </c>
      <c r="K30" s="666"/>
      <c r="L30" s="667"/>
      <c r="M30" s="266"/>
      <c r="O30" s="659" t="s">
        <v>383</v>
      </c>
      <c r="P30" s="660"/>
      <c r="Q30" s="661"/>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48" t="s">
        <v>388</v>
      </c>
      <c r="K31" s="649"/>
      <c r="L31" s="650"/>
      <c r="M31" s="267" t="str">
        <f>IF(Main!S49="","",Main!S49)</f>
        <v/>
      </c>
      <c r="O31" s="569" t="s">
        <v>390</v>
      </c>
      <c r="P31" s="570"/>
      <c r="Q31" s="662"/>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1" t="s">
        <v>336</v>
      </c>
      <c r="K32" s="652"/>
      <c r="L32" s="653"/>
      <c r="M32" s="262"/>
      <c r="O32" s="651" t="s">
        <v>336</v>
      </c>
      <c r="P32" s="652"/>
      <c r="Q32" s="653"/>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4" t="s">
        <v>389</v>
      </c>
      <c r="K33" s="655"/>
      <c r="L33" s="656"/>
      <c r="M33" s="261" t="str">
        <f>IF(Main!S51="","",Main!S51)</f>
        <v/>
      </c>
      <c r="O33" s="654" t="s">
        <v>391</v>
      </c>
      <c r="P33" s="655"/>
      <c r="Q33" s="656"/>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1" t="s">
        <v>336</v>
      </c>
      <c r="K34" s="652"/>
      <c r="L34" s="653"/>
      <c r="O34" s="651" t="s">
        <v>336</v>
      </c>
      <c r="P34" s="652"/>
      <c r="Q34" s="653"/>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40" t="s">
        <v>392</v>
      </c>
      <c r="K35" s="641"/>
      <c r="L35" s="642"/>
      <c r="M35" s="270" t="str">
        <f>IF(Main!S53="","",Main!S53)</f>
        <v/>
      </c>
      <c r="O35" s="640" t="s">
        <v>393</v>
      </c>
      <c r="P35" s="641"/>
      <c r="Q35" s="642"/>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43"/>
      <c r="K36" s="644"/>
      <c r="L36" s="645"/>
      <c r="M36" s="265"/>
      <c r="O36" s="643"/>
      <c r="P36" s="644"/>
      <c r="Q36" s="645"/>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F7SzH8uv4RT41bia4pUnqIanLddUFPNRWyqxdILpxpgdWNKzQb0pbhyXzVaqRQ5GHsdCIaBtcxQoP1Gf0Xx9PA==" saltValue="hpBO6Ur4bPCIRD0JZGZnS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hGZ8DPsC29dBSDOc9ktk1+dDm41aRvS1FQSavbmQDo+kVL5gtUAg7dNFsIk9N78iji/eaPGD9z36Rh+yeE627A==" saltValue="FsxwKFhL5+BOQDVC59OXC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5"/>
      <c r="C1" s="605"/>
      <c r="D1" s="605"/>
      <c r="E1" s="35" t="s">
        <v>156</v>
      </c>
      <c r="G1" s="605" t="s">
        <v>68</v>
      </c>
      <c r="H1" s="605"/>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HAfZTfkO7l9Mso2i1YvWgZhQubatPrm7/N431jeoZMmmZbxYLQmsPHPXxQAdMP6orsD5NIjdSn7Znzoc2eYxmQ==" saltValue="O5hesxpc+IhW6kF6zheew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2025-07-17T22:11:29Z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