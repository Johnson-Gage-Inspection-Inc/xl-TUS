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queryTables/queryTable10.xml" ContentType="application/vnd.openxmlformats-officedocument.spreadsheetml.queryTable+xml"/>
  <Override PartName="/xl/tables/table14.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9.xml" ContentType="application/vnd.openxmlformats-officedocument.spreadsheetml.table+xml"/>
  <Override PartName="/xl/queryTables/queryTable11.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omments2.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B7242ECE-A9CA-45D5-99B1-AC0397306FFD}"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Alerts" sheetId="93" state="hidden" r:id="rId5"/>
    <sheet name="WireCertData" sheetId="69" state="hidden" r:id="rId6"/>
    <sheet name="Wire Ranges" sheetId="67" state="hidden" r:id="rId7"/>
    <sheet name="FilteredTimeSeries" sheetId="90" state="hidden" r:id="rId8"/>
    <sheet name="CorrectionFactors" sheetId="92" state="hidden" r:id="rId9"/>
    <sheet name="AllDaqbookOffsets" sheetId="78" state="hidden" r:id="rId10"/>
    <sheet name="Uncertainty" sheetId="95" state="hidden" r:id="rId11"/>
    <sheet name="UncBudgets" sheetId="86" state="hidden" r:id="rId12"/>
    <sheet name="CMCs" sheetId="85" state="hidden" r:id="rId13"/>
    <sheet name="Main" sheetId="8" r:id="rId14"/>
    <sheet name="DaqBook_RAW_Data" sheetId="9" r:id="rId15"/>
    <sheet name="Packet_Content" sheetId="19" r:id="rId16"/>
    <sheet name="CERT" sheetId="26" r:id="rId17"/>
    <sheet name="Header_Info" sheetId="77" state="hidden"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Access_Data" sheetId="1" r:id="rId29"/>
    <sheet name="Standards_Info" sheetId="12" state="hidden" r:id="rId30"/>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tbl"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lpha">Uncertainty!$B$7</definedName>
    <definedName name="AssetId" comment="Client Asset Id">WorkItemDetails!$D$2</definedName>
    <definedName name="Assets_GetAssetByAssetPool" localSheetId="19"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Uncertainty!$B$2</definedName>
    <definedName name="ExpendableWireData">Main!$C$47:$I$57</definedName>
    <definedName name="ExternalData_1" localSheetId="4" hidden="1">Alerts!$A$1:$E$161</definedName>
    <definedName name="ExternalData_1" localSheetId="20" hidden="1">DaqbookServiceRecords!$A$1:$B$40</definedName>
    <definedName name="ExternalData_1" localSheetId="3" hidden="1">Employee!$A$1:$D$2</definedName>
    <definedName name="ExternalData_1" localSheetId="21" hidden="1">Employees!$A$1:$D$55</definedName>
    <definedName name="ExternalData_1" localSheetId="7" hidden="1">FilteredTimeSeries!$A$1:$C$161</definedName>
    <definedName name="ExternalData_1" localSheetId="17" hidden="1">Header_Info!$A$1:$AO$405</definedName>
    <definedName name="ExternalData_1" localSheetId="11" hidden="1">UncBudgets!$A$1:$I$13</definedName>
    <definedName name="ExternalData_1" localSheetId="10" hidden="1">Uncertainty!$D$1:$M$17</definedName>
    <definedName name="ExternalData_1" localSheetId="5" hidden="1">WireCertData!$A$1:$AL$67</definedName>
    <definedName name="ExternalData_1" localSheetId="2" hidden="1">WireOffsets!$A$1:$C$35</definedName>
    <definedName name="ExternalData_1" localSheetId="0" hidden="1">WireSets!$A$1:$K$28</definedName>
    <definedName name="ExternalData_1" localSheetId="1" hidden="1">WorkItemDetails!$A$1:$B$20</definedName>
    <definedName name="ExternalData_2" localSheetId="9" hidden="1">AllDaqbookOffsets!$A$1:$E$7556</definedName>
    <definedName name="ExternalData_2" localSheetId="8" hidden="1">'CorrectionFactors'!$A$1:$F$11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Uncertainty!$B$6</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5">Packet_Content!$A$1:$I$43</definedName>
    <definedName name="_xlnm.Print_Area" localSheetId="26">TUS_Worksheet!$A$1:$R$56</definedName>
    <definedName name="Query___customers" localSheetId="18"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95" l="1"/>
  <c r="B6" i="95"/>
  <c r="B4" i="95" a="1"/>
  <c r="B4" i="95" s="1"/>
  <c r="B5" i="95" s="1"/>
  <c r="B7" i="95" s="1"/>
  <c r="J5" i="93"/>
  <c r="J6" i="93"/>
  <c r="J7" i="93"/>
  <c r="J8" i="93"/>
  <c r="J9" i="93"/>
  <c r="J10" i="93"/>
  <c r="J11" i="93"/>
  <c r="J12" i="93"/>
  <c r="J13" i="93"/>
  <c r="J14" i="93"/>
  <c r="J15" i="93"/>
  <c r="J16" i="93"/>
  <c r="J17" i="93"/>
  <c r="J18" i="93"/>
  <c r="J19" i="93"/>
  <c r="J20" i="93"/>
  <c r="J21" i="93"/>
  <c r="J22" i="93"/>
  <c r="J23" i="93"/>
  <c r="J24" i="93"/>
  <c r="J25" i="93"/>
  <c r="J26" i="93"/>
  <c r="J27" i="93"/>
  <c r="J28" i="93"/>
  <c r="J29" i="93"/>
  <c r="J30" i="93"/>
  <c r="J31" i="93"/>
  <c r="J32" i="93"/>
  <c r="J33" i="93"/>
  <c r="J34" i="93"/>
  <c r="J35" i="93"/>
  <c r="J36" i="93"/>
  <c r="J37" i="93"/>
  <c r="J38" i="93"/>
  <c r="J39" i="93"/>
  <c r="J40" i="93"/>
  <c r="J41" i="93"/>
  <c r="J42" i="93"/>
  <c r="J43" i="93"/>
  <c r="J4" i="93"/>
  <c r="K3" i="93"/>
  <c r="H3" i="93" s="1"/>
  <c r="K2" i="93"/>
  <c r="H2" i="93" s="1"/>
  <c r="P42" i="8" s="1"/>
  <c r="B3" i="95"/>
  <c r="B2" i="95"/>
  <c r="C11" i="5"/>
  <c r="C13" i="5" s="1"/>
  <c r="D25" i="5"/>
  <c r="E25" i="5"/>
  <c r="F25" i="5"/>
  <c r="G25" i="5"/>
  <c r="H25" i="5"/>
  <c r="I25" i="5"/>
  <c r="J25" i="5"/>
  <c r="K25" i="5"/>
  <c r="L25" i="5"/>
  <c r="M25" i="5"/>
  <c r="N25" i="5"/>
  <c r="C25" i="5"/>
  <c r="D19" i="5"/>
  <c r="E19" i="5"/>
  <c r="F19" i="5"/>
  <c r="G19" i="5"/>
  <c r="H19" i="5"/>
  <c r="I19" i="5"/>
  <c r="J19" i="5"/>
  <c r="K19" i="5"/>
  <c r="L19" i="5"/>
  <c r="M19" i="5"/>
  <c r="N19" i="5"/>
  <c r="O19" i="5"/>
  <c r="P19" i="5"/>
  <c r="C19" i="5"/>
  <c r="D13" i="5"/>
  <c r="E13" i="5"/>
  <c r="F13" i="5"/>
  <c r="G13" i="5"/>
  <c r="H13" i="5"/>
  <c r="I13" i="5"/>
  <c r="J13" i="5"/>
  <c r="K13" i="5"/>
  <c r="L13" i="5"/>
  <c r="M13" i="5"/>
  <c r="N13" i="5"/>
  <c r="O13" i="5"/>
  <c r="P13"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B12" i="26" a="1"/>
  <c r="R6" i="8" a="1"/>
  <c r="R14" i="8" a="1"/>
  <c r="R22" i="8" a="1"/>
  <c r="R30" i="8" a="1"/>
  <c r="R38" i="8" a="1"/>
  <c r="R23" i="8" a="1"/>
  <c r="S15" i="8" a="1"/>
  <c r="S39" i="8" a="1"/>
  <c r="R32" i="8" a="1"/>
  <c r="S32" i="8" a="1"/>
  <c r="R25" i="8" a="1"/>
  <c r="R41" i="8" a="1"/>
  <c r="S25" i="8" a="1"/>
  <c r="R26" i="8" a="1"/>
  <c r="R42" i="8" a="1"/>
  <c r="S34" i="8" a="1"/>
  <c r="R27" i="8" a="1"/>
  <c r="R43" i="8" a="1"/>
  <c r="S35" i="8" a="1"/>
  <c r="R36" i="8" a="1"/>
  <c r="S28" i="8" a="1"/>
  <c r="R21" i="8" a="1"/>
  <c r="S13" i="8" a="1"/>
  <c r="S30" i="8" a="1"/>
  <c r="R7" i="8" a="1"/>
  <c r="R15" i="8" a="1"/>
  <c r="R31" i="8" a="1"/>
  <c r="S7" i="8" a="1"/>
  <c r="S31" i="8" a="1"/>
  <c r="R24" i="8" a="1"/>
  <c r="R40" i="8" a="1"/>
  <c r="S24" i="8" a="1"/>
  <c r="R33" i="8" a="1"/>
  <c r="S9" i="8" a="1"/>
  <c r="S41" i="8" a="1"/>
  <c r="R18" i="8" a="1"/>
  <c r="S18" i="8" a="1"/>
  <c r="S42" i="8" a="1"/>
  <c r="R19" i="8" a="1"/>
  <c r="S27" i="8" a="1"/>
  <c r="R12" i="8" a="1"/>
  <c r="S20" i="8" a="1"/>
  <c r="R13" i="8" a="1"/>
  <c r="S29" i="8" a="1"/>
  <c r="S22" i="8" a="1"/>
  <c r="S38" i="8" a="1"/>
  <c r="R39" i="8" a="1"/>
  <c r="S23" i="8" a="1"/>
  <c r="R8" i="8" a="1"/>
  <c r="S16" i="8" a="1"/>
  <c r="S40" i="8" a="1"/>
  <c r="R17" i="8" a="1"/>
  <c r="S17" i="8" a="1"/>
  <c r="S33" i="8" a="1"/>
  <c r="R10" i="8" a="1"/>
  <c r="S26" i="8" a="1"/>
  <c r="R11" i="8" a="1"/>
  <c r="R35" i="8" a="1"/>
  <c r="R20" i="8" a="1"/>
  <c r="S12" i="8" a="1"/>
  <c r="R29" i="8" a="1"/>
  <c r="S21" i="8" a="1"/>
  <c r="R9" i="8" a="1"/>
  <c r="R44" i="8" a="1"/>
  <c r="R37" i="8" a="1"/>
  <c r="R16" i="8" a="1"/>
  <c r="R28" i="8" a="1"/>
  <c r="S37" i="8" a="1"/>
  <c r="R34" i="8" a="1"/>
  <c r="S19" i="8" a="1"/>
  <c r="S36" i="8" a="1"/>
  <c r="S8" i="8" a="1"/>
  <c r="S43" i="8" a="1"/>
  <c r="S44" i="8" a="1"/>
  <c r="S10" i="8" a="1"/>
  <c r="S11" i="8" a="1"/>
  <c r="S5" i="8" a="1"/>
  <c r="R5" i="8" a="1"/>
  <c r="B9" i="95" l="1"/>
  <c r="B12" i="26"/>
  <c r="L2" i="93"/>
  <c r="L3" i="93"/>
  <c r="P40" i="8"/>
  <c r="P32" i="8"/>
  <c r="P41" i="8"/>
  <c r="P35" i="8"/>
  <c r="P25" i="8"/>
  <c r="P12" i="8"/>
  <c r="P18" i="8"/>
  <c r="P34" i="8"/>
  <c r="P38" i="8"/>
  <c r="P24" i="8"/>
  <c r="P21" i="8"/>
  <c r="P16" i="8"/>
  <c r="P39" i="8"/>
  <c r="P36" i="8"/>
  <c r="P31" i="8"/>
  <c r="P29" i="8"/>
  <c r="P26" i="8"/>
  <c r="P23" i="8"/>
  <c r="P22" i="8"/>
  <c r="P20" i="8"/>
  <c r="P10" i="8"/>
  <c r="P9" i="8"/>
  <c r="P7" i="8"/>
  <c r="P6" i="8"/>
  <c r="P28" i="8"/>
  <c r="P13" i="8"/>
  <c r="P8" i="8"/>
  <c r="P37" i="8"/>
  <c r="P33" i="8"/>
  <c r="P30" i="8"/>
  <c r="P27" i="8"/>
  <c r="P5" i="8"/>
  <c r="P11" i="8"/>
  <c r="P14" i="8"/>
  <c r="P43" i="8"/>
  <c r="P19" i="8"/>
  <c r="P17" i="8"/>
  <c r="P15" i="8"/>
  <c r="S11" i="8"/>
  <c r="S10" i="8"/>
  <c r="S44" i="8"/>
  <c r="S43" i="8"/>
  <c r="S8" i="8"/>
  <c r="S36" i="8"/>
  <c r="S19" i="8"/>
  <c r="R34" i="8"/>
  <c r="S37" i="8"/>
  <c r="R28" i="8"/>
  <c r="R16" i="8"/>
  <c r="R37" i="8"/>
  <c r="R44" i="8"/>
  <c r="R9" i="8"/>
  <c r="S21" i="8"/>
  <c r="R29" i="8"/>
  <c r="S12" i="8"/>
  <c r="R20" i="8"/>
  <c r="R35" i="8"/>
  <c r="R11" i="8"/>
  <c r="S26" i="8"/>
  <c r="R10" i="8"/>
  <c r="S33" i="8"/>
  <c r="S17" i="8"/>
  <c r="R17" i="8"/>
  <c r="S40" i="8"/>
  <c r="S16" i="8"/>
  <c r="R8" i="8"/>
  <c r="S23" i="8"/>
  <c r="R39" i="8"/>
  <c r="S38" i="8"/>
  <c r="S22" i="8"/>
  <c r="S29" i="8"/>
  <c r="R13" i="8"/>
  <c r="S20" i="8"/>
  <c r="R12" i="8"/>
  <c r="S27" i="8"/>
  <c r="R19" i="8"/>
  <c r="S42" i="8"/>
  <c r="S18" i="8"/>
  <c r="R18" i="8"/>
  <c r="S41" i="8"/>
  <c r="S9" i="8"/>
  <c r="R33" i="8"/>
  <c r="S24" i="8"/>
  <c r="R40" i="8"/>
  <c r="R24" i="8"/>
  <c r="S31" i="8"/>
  <c r="S7" i="8"/>
  <c r="R31" i="8"/>
  <c r="R15" i="8"/>
  <c r="R7" i="8"/>
  <c r="S30" i="8"/>
  <c r="S13" i="8"/>
  <c r="R21" i="8"/>
  <c r="S28" i="8"/>
  <c r="R36" i="8"/>
  <c r="S35" i="8"/>
  <c r="R43" i="8"/>
  <c r="R27" i="8"/>
  <c r="S34" i="8"/>
  <c r="R42" i="8"/>
  <c r="R26" i="8"/>
  <c r="S25" i="8"/>
  <c r="R41" i="8"/>
  <c r="R25" i="8"/>
  <c r="S32" i="8"/>
  <c r="R32" i="8"/>
  <c r="S39" i="8"/>
  <c r="S15" i="8"/>
  <c r="R23" i="8"/>
  <c r="R38" i="8"/>
  <c r="R30" i="8"/>
  <c r="R22" i="8"/>
  <c r="R14" i="8"/>
  <c r="R6" i="8"/>
  <c r="S5" i="8"/>
  <c r="R5" i="8"/>
  <c r="I2" i="93"/>
  <c r="L4" i="8" s="1"/>
  <c r="I3" i="93"/>
  <c r="L5" i="8" s="1"/>
  <c r="M26" i="26"/>
  <c r="S14" i="8" a="1"/>
  <c r="S6" i="8" a="1"/>
  <c r="S6" i="8" l="1"/>
  <c r="S14" i="8"/>
  <c r="N24" i="26"/>
  <c r="N26" i="26"/>
  <c r="B14" i="13" l="1" a="1"/>
  <c r="B14" i="13" s="1"/>
  <c r="B14" i="14" a="1"/>
  <c r="B14" i="14" s="1"/>
  <c r="B14" i="15" a="1"/>
  <c r="B14" i="15" s="1"/>
  <c r="B1" i="15"/>
  <c r="H83" i="8"/>
  <c r="H86" i="8" s="1"/>
  <c r="H89" i="8" l="1"/>
  <c r="H88" i="8"/>
  <c r="H91" i="8"/>
  <c r="H90" i="8"/>
  <c r="H87" i="8"/>
  <c r="G93" i="8" l="1"/>
  <c r="G94" i="8" s="1"/>
  <c r="N52" i="8"/>
  <c r="N53" i="8"/>
  <c r="N51" i="8"/>
  <c r="N50" i="8"/>
  <c r="N49" i="8"/>
  <c r="F8" i="8" s="1"/>
  <c r="D4" i="8"/>
  <c r="E2" i="71"/>
  <c r="D2" i="71"/>
  <c r="D29" i="8"/>
  <c r="B12" i="15" a="1"/>
  <c r="B12" i="15" s="1"/>
  <c r="B12" i="14" a="1"/>
  <c r="B12" i="14" s="1"/>
  <c r="B12" i="13" a="1"/>
  <c r="B12" i="13" s="1"/>
  <c r="O13" i="13"/>
  <c r="D7" i="8" l="1" a="1"/>
  <c r="D7" i="8" s="1"/>
  <c r="AG2" i="12" a="1"/>
  <c r="AG2" i="12" s="1"/>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A2" i="12" l="1"/>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A2" i="1"/>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B1" i="1"/>
  <c r="A1" i="1"/>
  <c r="M21" i="4"/>
  <c r="L21" i="4"/>
  <c r="J21" i="4"/>
  <c r="I21" i="4"/>
  <c r="G21" i="4"/>
  <c r="F21" i="4"/>
  <c r="D21" i="4"/>
  <c r="C21" i="4"/>
  <c r="M9" i="4"/>
  <c r="L9" i="4"/>
  <c r="J9" i="4"/>
  <c r="I9" i="4"/>
  <c r="G9" i="4"/>
  <c r="F9" i="4"/>
  <c r="D9" i="4"/>
  <c r="C9" i="4"/>
  <c r="A8" i="4"/>
  <c r="K5" i="4"/>
  <c r="E5" i="4"/>
  <c r="K4" i="4"/>
  <c r="E4" i="4"/>
  <c r="K3" i="4"/>
  <c r="E3" i="4"/>
  <c r="D10" i="19"/>
  <c r="D9" i="19"/>
  <c r="P44" i="8"/>
  <c r="L36" i="8"/>
  <c r="K36" i="8"/>
  <c r="J36" i="8"/>
  <c r="I36" i="8"/>
  <c r="H36" i="8"/>
  <c r="D31" i="8"/>
  <c r="E26" i="8"/>
  <c r="L6" i="8"/>
  <c r="AO10" i="1" l="1" a="1"/>
  <c r="AO10" i="1" s="1"/>
  <c r="A10" i="1" a="1"/>
  <c r="A10" i="1" s="1"/>
  <c r="U10" i="1" a="1"/>
  <c r="U10" i="1" s="1"/>
  <c r="A14" i="13" a="1"/>
  <c r="A14" i="13" s="1"/>
  <c r="A14" i="15" a="1"/>
  <c r="A14" i="15" s="1"/>
  <c r="A14" i="14" a="1"/>
  <c r="A14" i="14" s="1"/>
  <c r="B2" i="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S13" i="4" a="1"/>
  <c r="S13" i="4" s="1"/>
  <c r="S20" i="4" a="1"/>
  <c r="S20" i="4" s="1"/>
  <c r="A18" i="4" s="1"/>
  <c r="S21" i="4" a="1"/>
  <c r="S21" i="4" s="1"/>
  <c r="S14" i="4" a="1"/>
  <c r="S14" i="4" s="1"/>
  <c r="S19" i="4" a="1"/>
  <c r="S19" i="4" s="1"/>
  <c r="A17" i="4" s="1"/>
  <c r="S12" i="4" a="1"/>
  <c r="S12" i="4" s="1"/>
  <c r="S15" i="4" a="1"/>
  <c r="S15" i="4" s="1"/>
  <c r="S17" i="4" a="1"/>
  <c r="S17" i="4" s="1"/>
  <c r="A15" i="4" s="1"/>
  <c r="S22" i="4" a="1"/>
  <c r="S22" i="4" s="1"/>
  <c r="S16" i="4" a="1"/>
  <c r="S16" i="4" s="1"/>
  <c r="S18" i="4" a="1"/>
  <c r="S18" i="4" s="1"/>
  <c r="A16" i="4" s="1"/>
  <c r="E2" i="14"/>
  <c r="E1" i="14"/>
  <c r="E2" i="15"/>
  <c r="E1" i="15"/>
  <c r="C2" i="14"/>
  <c r="C1" i="14"/>
  <c r="C2" i="15"/>
  <c r="C1" i="15"/>
  <c r="C25" i="4" l="1"/>
  <c r="E25" i="4" s="1"/>
  <c r="C52" i="1"/>
  <c r="G13" i="8" s="1"/>
  <c r="D52" i="1"/>
  <c r="G14" i="8" s="1"/>
  <c r="B52" i="1"/>
  <c r="G12" i="8" s="1"/>
  <c r="B31" i="1"/>
  <c r="P2" i="14"/>
  <c r="Q2" i="14" s="1"/>
  <c r="A12" i="4"/>
  <c r="C12" i="4" s="1"/>
  <c r="P1" i="14"/>
  <c r="Q1" i="14" s="1"/>
  <c r="A13" i="4"/>
  <c r="I13" i="4" s="1"/>
  <c r="K13" i="4" s="1"/>
  <c r="P1" i="15"/>
  <c r="Q1" i="15" s="1"/>
  <c r="A11" i="4"/>
  <c r="C11" i="4" s="1"/>
  <c r="P2" i="13"/>
  <c r="Q2" i="13" s="1"/>
  <c r="P2" i="15"/>
  <c r="Q2" i="15" s="1"/>
  <c r="A10" i="4"/>
  <c r="C10" i="4" s="1"/>
  <c r="P1" i="13"/>
  <c r="Q1" i="13" s="1"/>
  <c r="H19" i="4"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I25" i="4"/>
  <c r="K25" i="4" s="1"/>
  <c r="C28" i="4"/>
  <c r="E28" i="4" s="1"/>
  <c r="G26" i="4" a="1"/>
  <c r="G26" i="4" s="1"/>
  <c r="D26" i="4" a="1"/>
  <c r="D26" i="4" s="1"/>
  <c r="M26" i="4" a="1"/>
  <c r="M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N26" i="4" l="1"/>
  <c r="F12" i="4"/>
  <c r="I12" i="4"/>
  <c r="K12" i="4" s="1"/>
  <c r="F11" i="4"/>
  <c r="L13" i="4"/>
  <c r="N13" i="4" s="1"/>
  <c r="F13" i="4"/>
  <c r="C13" i="4"/>
  <c r="I11" i="4"/>
  <c r="K11" i="4" s="1"/>
  <c r="L12" i="4"/>
  <c r="N12" i="4" s="1"/>
  <c r="F10" i="4"/>
  <c r="I10" i="4"/>
  <c r="K10" i="4" s="1"/>
  <c r="L11" i="4"/>
  <c r="N11" i="4" s="1"/>
  <c r="L10" i="4"/>
  <c r="N10" i="4" s="1"/>
  <c r="E26" i="4"/>
  <c r="J14" i="4" a="1"/>
  <c r="J14" i="4" s="1"/>
  <c r="D14" i="4" a="1"/>
  <c r="D14" i="4" s="1"/>
  <c r="M14" i="4" a="1"/>
  <c r="M14" i="4" s="1"/>
  <c r="C14" i="4"/>
  <c r="L14" i="4"/>
  <c r="I14" i="4"/>
  <c r="F14" i="4"/>
  <c r="H14" i="4" s="1"/>
  <c r="K14" i="4" l="1"/>
  <c r="E14" i="4"/>
  <c r="N14" i="4"/>
  <c r="F30" i="4" l="1"/>
  <c r="H30" i="4" s="1"/>
  <c r="F26" i="4"/>
  <c r="H26" i="4" s="1"/>
  <c r="F29" i="4"/>
  <c r="H29" i="4" s="1"/>
  <c r="F28" i="4"/>
  <c r="H28" i="4" s="1"/>
  <c r="F27" i="4"/>
  <c r="H27" i="4" s="1"/>
  <c r="I31" i="1" l="1"/>
  <c r="I30" i="1"/>
  <c r="I27" i="1" s="1"/>
  <c r="O31" i="1"/>
  <c r="O30" i="1"/>
  <c r="O27" i="1" s="1"/>
  <c r="L31" i="1"/>
  <c r="L30" i="1"/>
  <c r="H30" i="1"/>
  <c r="H31" i="1"/>
  <c r="M31" i="1"/>
  <c r="M30" i="1"/>
  <c r="E30" i="1"/>
  <c r="E27" i="1" s="1"/>
  <c r="E31" i="1"/>
  <c r="J30" i="1"/>
  <c r="J27" i="1" s="1"/>
  <c r="J31" i="1"/>
  <c r="F31" i="1"/>
  <c r="F30" i="1"/>
  <c r="K31" i="1"/>
  <c r="K30" i="1"/>
  <c r="D30" i="1"/>
  <c r="D27" i="1" s="1"/>
  <c r="D31" i="1"/>
  <c r="N31" i="1"/>
  <c r="N30" i="1"/>
  <c r="C31" i="1"/>
  <c r="C30" i="1"/>
  <c r="B30" i="1"/>
  <c r="G31" i="1"/>
  <c r="G30" i="1"/>
  <c r="G27" i="1" s="1"/>
  <c r="F25" i="4" l="1"/>
  <c r="H25" i="4" s="1"/>
  <c r="J29" i="1"/>
  <c r="J28" i="1"/>
  <c r="D41" i="26"/>
  <c r="M27" i="1"/>
  <c r="M29" i="1" s="1"/>
  <c r="H11" i="4"/>
  <c r="E11" i="4"/>
  <c r="L27" i="1"/>
  <c r="L29" i="1" s="1"/>
  <c r="I29" i="1"/>
  <c r="I28" i="1"/>
  <c r="D40" i="26"/>
  <c r="B27" i="1"/>
  <c r="F34" i="26"/>
  <c r="F38" i="26"/>
  <c r="K27" i="1"/>
  <c r="K29" i="1" s="1"/>
  <c r="F27" i="1"/>
  <c r="F29" i="1" s="1"/>
  <c r="F22" i="4"/>
  <c r="U4" i="4" a="1"/>
  <c r="U4" i="4" s="1"/>
  <c r="R8" i="4" s="1"/>
  <c r="O25" i="4" s="1"/>
  <c r="T4" i="4" a="1"/>
  <c r="T4" i="4" s="1"/>
  <c r="R7" i="4" s="1"/>
  <c r="O24" i="4" s="1"/>
  <c r="F44" i="26"/>
  <c r="F23" i="4"/>
  <c r="H23" i="4" s="1"/>
  <c r="F43" i="26"/>
  <c r="F40" i="26"/>
  <c r="G29" i="1"/>
  <c r="D38" i="26"/>
  <c r="G28" i="1"/>
  <c r="F33" i="26"/>
  <c r="N27" i="1"/>
  <c r="N29" i="1" s="1"/>
  <c r="F35" i="26"/>
  <c r="F42" i="26"/>
  <c r="F37" i="26"/>
  <c r="T2" i="4" a="1"/>
  <c r="T2" i="4" s="1"/>
  <c r="R3" i="4" s="1"/>
  <c r="O12" i="4" s="1"/>
  <c r="U2" i="4" a="1"/>
  <c r="U2" i="4" s="1"/>
  <c r="R4" i="4" s="1"/>
  <c r="O13" i="4" s="1"/>
  <c r="F36" i="26"/>
  <c r="H12" i="4"/>
  <c r="E12" i="4"/>
  <c r="F39" i="26"/>
  <c r="O29" i="1"/>
  <c r="O28" i="1"/>
  <c r="D46" i="26"/>
  <c r="C27" i="1"/>
  <c r="F45" i="26"/>
  <c r="D29" i="1"/>
  <c r="D35" i="26"/>
  <c r="D28" i="1"/>
  <c r="H13" i="4"/>
  <c r="E13" i="4"/>
  <c r="F41" i="26"/>
  <c r="E29" i="1"/>
  <c r="D36" i="26"/>
  <c r="E28" i="1"/>
  <c r="F24" i="4"/>
  <c r="H24" i="4" s="1"/>
  <c r="H27" i="1"/>
  <c r="F46" i="26"/>
  <c r="A34" i="1" l="1"/>
  <c r="H22" i="4"/>
  <c r="U3" i="4" s="1" a="1"/>
  <c r="U3" i="4" s="1"/>
  <c r="R6" i="4" s="1"/>
  <c r="O23" i="4" s="1"/>
  <c r="H10" i="4"/>
  <c r="U1" i="4" s="1" a="1"/>
  <c r="U1" i="4" s="1"/>
  <c r="E10" i="4"/>
  <c r="T1" i="4" s="1" a="1"/>
  <c r="T1" i="4" s="1"/>
  <c r="R1" i="4" s="1"/>
  <c r="L37" i="1" a="1"/>
  <c r="C29" i="1"/>
  <c r="E34" i="26" s="1"/>
  <c r="B29" i="1"/>
  <c r="E45" i="26"/>
  <c r="E44" i="26"/>
  <c r="D42" i="26"/>
  <c r="K28" i="1"/>
  <c r="D39" i="26"/>
  <c r="H28" i="1"/>
  <c r="H29" i="1"/>
  <c r="E38" i="26"/>
  <c r="E37" i="26"/>
  <c r="E43" i="26"/>
  <c r="E36" i="26"/>
  <c r="E35" i="26"/>
  <c r="D34" i="26"/>
  <c r="C28" i="1"/>
  <c r="N19" i="4"/>
  <c r="F28" i="1"/>
  <c r="D37" i="26"/>
  <c r="E40" i="26"/>
  <c r="D43" i="26"/>
  <c r="L28" i="1"/>
  <c r="E41" i="26"/>
  <c r="E46" i="26"/>
  <c r="K19" i="4"/>
  <c r="D45" i="26"/>
  <c r="N28" i="1"/>
  <c r="E42" i="26"/>
  <c r="D33" i="26"/>
  <c r="B28" i="1"/>
  <c r="M28" i="1"/>
  <c r="D44" i="26"/>
  <c r="J37" i="1" l="1" a="1"/>
  <c r="J37" i="1" s="1"/>
  <c r="A33" i="1"/>
  <c r="L37" i="1"/>
  <c r="O10" i="4"/>
  <c r="G6" i="4"/>
  <c r="R2" i="4"/>
  <c r="O11" i="4" s="1"/>
  <c r="E19" i="4"/>
  <c r="E33" i="26"/>
  <c r="E39" i="26"/>
  <c r="F32" i="8" l="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52" i="26"/>
  <c r="N51" i="26"/>
  <c r="AA27" i="1"/>
  <c r="AA29" i="1" s="1"/>
  <c r="AX29" i="1"/>
  <c r="AX28" i="1"/>
  <c r="L49" i="26"/>
  <c r="AT27" i="1"/>
  <c r="AT29" i="1" s="1"/>
  <c r="AU27" i="1"/>
  <c r="AU29" i="1" s="1"/>
  <c r="Y29" i="1"/>
  <c r="Y28" i="1"/>
  <c r="D50" i="26"/>
  <c r="F51" i="26"/>
  <c r="AG29" i="1"/>
  <c r="L38" i="26"/>
  <c r="AG28" i="1"/>
  <c r="BA29" i="1"/>
  <c r="L52" i="26"/>
  <c r="BA28" i="1"/>
  <c r="N35" i="26"/>
  <c r="N37" i="26"/>
  <c r="AZ27" i="1"/>
  <c r="AZ29" i="1" s="1"/>
  <c r="N33" i="26"/>
  <c r="F52" i="26"/>
  <c r="AH29" i="1"/>
  <c r="L39" i="26"/>
  <c r="AH28" i="1"/>
  <c r="N49" i="26"/>
  <c r="N45" i="26"/>
  <c r="N46" i="26"/>
  <c r="F50" i="26"/>
  <c r="AD29" i="1"/>
  <c r="M35" i="26" s="1"/>
  <c r="AD28" i="1"/>
  <c r="L35" i="26"/>
  <c r="N39" i="26"/>
  <c r="N34" i="26"/>
  <c r="AP29" i="1"/>
  <c r="L41" i="26"/>
  <c r="AP28" i="1"/>
  <c r="N47" i="26"/>
  <c r="N44" i="26"/>
  <c r="F48" i="26"/>
  <c r="AE29" i="1"/>
  <c r="L36" i="26"/>
  <c r="AE28" i="1"/>
  <c r="V29" i="1"/>
  <c r="D47" i="26"/>
  <c r="V28" i="1"/>
  <c r="N48" i="26"/>
  <c r="AY29" i="1"/>
  <c r="AY28" i="1"/>
  <c r="L50" i="26"/>
  <c r="F49" i="26"/>
  <c r="N40" i="26"/>
  <c r="N43" i="26"/>
  <c r="N42" i="26"/>
  <c r="N38" i="26"/>
  <c r="AF29" i="1"/>
  <c r="AF28" i="1"/>
  <c r="L37" i="26"/>
  <c r="AB27" i="1"/>
  <c r="AB29" i="1" s="1"/>
  <c r="AC29" i="1"/>
  <c r="L34" i="26"/>
  <c r="AC28" i="1"/>
  <c r="N41" i="26"/>
  <c r="AV29" i="1"/>
  <c r="AV28" i="1"/>
  <c r="L47" i="26"/>
  <c r="AS29" i="1"/>
  <c r="L44" i="26"/>
  <c r="AS28" i="1"/>
  <c r="W29" i="1"/>
  <c r="D48" i="26"/>
  <c r="W28" i="1"/>
  <c r="N36" i="26"/>
  <c r="F47" i="26"/>
  <c r="AW29" i="1"/>
  <c r="AW28" i="1"/>
  <c r="L48" i="26"/>
  <c r="N50" i="26"/>
  <c r="X29" i="1"/>
  <c r="X28" i="1"/>
  <c r="D49" i="26"/>
  <c r="AI27" i="1"/>
  <c r="AR29" i="1"/>
  <c r="L43" i="26"/>
  <c r="AR28" i="1"/>
  <c r="AQ29" i="1"/>
  <c r="AQ28" i="1"/>
  <c r="L42" i="26"/>
  <c r="L51" i="1" l="1" a="1"/>
  <c r="L51" i="1" s="1"/>
  <c r="AO34" i="1"/>
  <c r="L65" i="1" a="1"/>
  <c r="L65" i="1" s="1"/>
  <c r="M46" i="26"/>
  <c r="E52" i="26"/>
  <c r="M50" i="26"/>
  <c r="E47" i="26"/>
  <c r="M33" i="26"/>
  <c r="M39" i="26"/>
  <c r="E50" i="26"/>
  <c r="L45" i="26"/>
  <c r="AT28" i="1"/>
  <c r="M49" i="26"/>
  <c r="E49" i="26"/>
  <c r="M36" i="26"/>
  <c r="J65" i="1" a="1"/>
  <c r="J65" i="1" s="1"/>
  <c r="AO33" i="1"/>
  <c r="M41" i="26"/>
  <c r="M45" i="26"/>
  <c r="M42" i="26"/>
  <c r="M43" i="26"/>
  <c r="M48" i="26"/>
  <c r="E48" i="26"/>
  <c r="M44" i="26"/>
  <c r="M47" i="26"/>
  <c r="AB28" i="1"/>
  <c r="L33" i="26"/>
  <c r="M37" i="26"/>
  <c r="M51" i="26"/>
  <c r="AI28" i="1"/>
  <c r="L40" i="26"/>
  <c r="M34" i="26"/>
  <c r="AI29" i="1"/>
  <c r="U34" i="1"/>
  <c r="L51" i="26"/>
  <c r="AZ28" i="1"/>
  <c r="M52" i="26"/>
  <c r="M38" i="26"/>
  <c r="AU28" i="1"/>
  <c r="L46" i="26"/>
  <c r="D52" i="26"/>
  <c r="AA28" i="1"/>
  <c r="E51" i="26"/>
  <c r="M40" i="26" l="1"/>
  <c r="U33" i="1"/>
  <c r="F34" i="1" s="1"/>
  <c r="J51" i="1" a="1"/>
  <c r="J51" i="1" s="1"/>
  <c r="J34" i="1"/>
  <c r="K34" i="1"/>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436E2E08-6CFA-4CD6-851F-0D2A4CE3A5BD}" keepAlive="1" name="Query - CorrectedDataWide" description="Connection to the 'CorrectedDataWide' query in the workbook." type="5" refreshedVersion="8" background="1" saveData="1">
    <dbPr connection="Provider=Microsoft.Mashup.OleDb.1;Data Source=$Workbook$;Location=CorrectedDataWide;Extended Properties=&quot;&quot;" command="SELECT * FROM [CorrectedDataWide]"/>
  </connection>
  <connection id="6" xr16:uid="{77736F66-3094-4013-89BD-71610E480B14}" keepAlive="1" name="Query - CorrectedTimeSeries" description="Connection to the 'CorrectedTimeSeries' query in the workbook." type="5" refreshedVersion="8" background="1" saveData="1">
    <dbPr connection="Provider=Microsoft.Mashup.OleDb.1;Data Source=$Workbook$;Location=CorrectedTimeSeries;Extended Properties=&quot;&quot;" command="SELECT * FROM [CorrectedTimeSeries]"/>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3"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<sst xmlns="http://schemas.openxmlformats.org/spreadsheetml/2006/main" count="1964" uniqueCount="954">
  <si>
    <t>Johnson Gage &amp; Inspection, Inc.</t>
  </si>
  <si>
    <t>LOW</t>
  </si>
  <si>
    <t>HIGH</t>
  </si>
  <si>
    <t>NORM</t>
  </si>
  <si>
    <t>Highest Deviation:</t>
  </si>
  <si>
    <t>Lowest Deviation:</t>
  </si>
  <si>
    <t xml:space="preserve">Unit: </t>
  </si>
  <si>
    <t xml:space="preserve">Customer: </t>
  </si>
  <si>
    <t xml:space="preserve">Temperature: </t>
  </si>
  <si>
    <t>Uncert:</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</si>
  <si>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</si>
  <si>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</si>
  <si>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</si>
  <si>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</si>
  <si>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</si>
  <si>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</si>
  <si>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</si>
  <si>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</si>
  <si>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</si>
  <si>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</si>
  <si>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</si>
  <si>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</si>
  <si>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</si>
  <si>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</si>
  <si>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</si>
  <si>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</si>
  <si>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</si>
  <si>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</si>
  <si>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</si>
  <si>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</si>
  <si>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</si>
  <si>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</si>
  <si>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</si>
  <si>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</si>
  <si>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</si>
  <si>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</si>
  <si>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</si>
  <si>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</si>
  <si>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</si>
  <si>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</si>
  <si>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</si>
  <si>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</si>
  <si>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</si>
  <si>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</si>
  <si>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</si>
  <si>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</si>
  <si>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</si>
  <si>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</si>
  <si>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</si>
  <si>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</si>
  <si>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</si>
  <si>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</si>
  <si>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</si>
  <si>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</si>
  <si>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</si>
  <si>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</si>
  <si>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</si>
  <si>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</si>
  <si>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</si>
  <si>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</si>
  <si>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</si>
  <si>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</si>
  <si>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</si>
  <si>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</si>
  <si>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</si>
  <si>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</si>
  <si>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</si>
  <si>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</si>
  <si>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</si>
  <si>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</si>
  <si>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</si>
  <si>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</si>
  <si>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</si>
  <si>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</si>
  <si>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</si>
  <si>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</si>
  <si>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</si>
  <si>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</si>
  <si>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</si>
  <si>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</si>
  <si>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</si>
  <si>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</si>
  <si>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</si>
  <si>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</si>
  <si>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</si>
  <si>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</si>
  <si>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</si>
  <si>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</si>
  <si>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</si>
  <si>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</si>
  <si>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</si>
  <si>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</si>
  <si>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</si>
  <si>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</si>
  <si>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</si>
  <si>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</si>
  <si>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</si>
  <si>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</si>
  <si>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</si>
  <si>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</si>
  <si>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</si>
  <si>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</si>
  <si>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</si>
  <si>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</si>
  <si>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</si>
  <si>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</si>
  <si>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</si>
  <si>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</si>
  <si>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</si>
  <si>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</si>
  <si>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</si>
  <si>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</si>
  <si>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</si>
  <si>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</si>
  <si>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</si>
  <si>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</si>
  <si>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</si>
  <si>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</si>
  <si>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</si>
  <si>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</si>
  <si>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</si>
  <si>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</si>
  <si>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</si>
  <si>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</si>
  <si>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</si>
  <si>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</si>
  <si>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</si>
  <si>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</si>
  <si>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</si>
  <si>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</si>
  <si>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</si>
  <si>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</si>
  <si>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</si>
  <si>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</si>
  <si>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</si>
  <si>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</si>
  <si>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</si>
  <si>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</si>
  <si>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</si>
  <si>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</si>
  <si>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</si>
  <si>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</si>
  <si>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</si>
  <si>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</si>
  <si>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</si>
  <si>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</si>
  <si>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</si>
  <si>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</si>
  <si>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</si>
  <si>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</si>
  <si>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</si>
  <si>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</si>
  <si>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</si>
  <si>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</si>
  <si>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</si>
  <si>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</si>
  <si>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</si>
  <si>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</si>
  <si>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</si>
  <si>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</si>
  <si>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</si>
  <si>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</si>
  <si>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</si>
  <si>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</si>
  <si>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</si>
  <si>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</si>
  <si>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</si>
  <si>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</si>
  <si>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</si>
  <si>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</si>
  <si>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</si>
  <si>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</si>
  <si>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</si>
  <si>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</si>
  <si>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</si>
  <si>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</si>
  <si>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</si>
  <si>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</si>
  <si>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</si>
  <si>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</si>
  <si>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</si>
  <si>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</si>
  <si>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</si>
  <si>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</si>
  <si>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</si>
  <si>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</si>
  <si>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</si>
  <si>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</si>
  <si>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</si>
  <si>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</si>
  <si>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</si>
  <si>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</si>
  <si>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</si>
  <si>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</si>
  <si>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</si>
  <si>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</si>
  <si>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</si>
  <si>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</si>
  <si>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</si>
  <si>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</si>
  <si>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</si>
  <si>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</si>
  <si>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</si>
  <si>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</si>
  <si>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</si>
  <si>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</si>
  <si>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</si>
  <si>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</si>
  <si>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</si>
  <si>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</si>
  <si>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</si>
  <si>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</si>
  <si>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</si>
  <si>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</si>
  <si>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</si>
  <si>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</si>
  <si>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</si>
  <si>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</si>
  <si>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</si>
  <si>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</si>
  <si>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</si>
  <si>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</si>
  <si>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</si>
  <si>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</si>
  <si>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</si>
  <si>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</si>
  <si>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</si>
  <si>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</si>
  <si>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</si>
  <si>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</si>
  <si>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</si>
  <si>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</si>
  <si>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</si>
  <si>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</si>
  <si>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</si>
  <si>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</si>
  <si>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</si>
  <si>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</si>
  <si>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</si>
  <si>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</si>
  <si>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</si>
  <si>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</si>
  <si>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</si>
  <si>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</si>
  <si>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</si>
  <si>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</si>
  <si>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</si>
  <si>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</si>
  <si>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</si>
  <si>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</si>
  <si>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</si>
  <si>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</si>
  <si>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</si>
  <si>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</si>
  <si>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</si>
  <si>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</si>
  <si>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</si>
  <si>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</si>
  <si>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</si>
  <si>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</si>
  <si>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</si>
  <si>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</si>
  <si>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</si>
  <si>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</si>
  <si>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</si>
  <si>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</si>
  <si>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</si>
  <si>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</si>
  <si>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</si>
  <si>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</si>
  <si>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</si>
  <si>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</si>
  <si>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</si>
  <si>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</si>
  <si>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</si>
  <si>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</si>
  <si>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</si>
  <si>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</si>
  <si>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</si>
  <si>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</si>
  <si>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</si>
  <si>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</si>
  <si>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</si>
  <si>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</si>
  <si>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</si>
  <si>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</si>
  <si>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</si>
  <si>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</si>
  <si>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</si>
  <si>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</si>
  <si>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</si>
  <si>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</si>
  <si>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</si>
  <si>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</si>
  <si>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</si>
  <si>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</si>
  <si>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</si>
  <si>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</si>
  <si>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</si>
  <si>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</si>
  <si>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</si>
  <si>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</si>
  <si>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</si>
  <si>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</si>
  <si>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</si>
  <si>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</si>
  <si>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</si>
  <si>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</si>
  <si>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</si>
  <si>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</si>
  <si>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</si>
  <si>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</si>
  <si>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</si>
  <si>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</si>
  <si>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</si>
  <si>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</si>
  <si>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</si>
  <si>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</si>
  <si>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</si>
  <si>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</si>
  <si>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</si>
  <si>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</si>
  <si>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</si>
  <si>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</si>
  <si>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</si>
  <si>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</si>
  <si>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</si>
  <si>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</si>
  <si>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</si>
  <si>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</si>
  <si>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</si>
  <si>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</si>
  <si>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</si>
  <si>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</si>
  <si>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</si>
  <si>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</si>
  <si>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</si>
  <si>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</si>
  <si>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</si>
  <si>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</si>
  <si>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</si>
  <si>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</si>
  <si>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</si>
  <si>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</si>
  <si>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</si>
  <si>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</si>
  <si>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</si>
  <si>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</si>
  <si>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</si>
  <si>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</si>
  <si>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</si>
  <si>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</si>
  <si>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</si>
  <si>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</si>
  <si>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</si>
  <si>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</si>
  <si>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</si>
  <si>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</si>
  <si>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</si>
  <si>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</si>
  <si>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</si>
  <si>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</si>
  <si>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</si>
  <si>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</si>
  <si>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</si>
  <si>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</si>
  <si>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</si>
  <si>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</si>
  <si>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</si>
  <si>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</si>
  <si>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</si>
  <si>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</si>
  <si>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</si>
  <si>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</si>
  <si>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</si>
  <si>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</si>
  <si>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</si>
  <si>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</si>
  <si>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</si>
  <si>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</si>
  <si>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</si>
  <si>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</si>
  <si>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</si>
  <si>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</si>
  <si>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</si>
  <si>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</si>
  <si>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</si>
  <si>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</si>
  <si>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</si>
  <si>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</si>
  <si>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</si>
  <si>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</si>
  <si>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</si>
  <si>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</si>
  <si>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</si>
  <si>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</si>
  <si>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</si>
  <si>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</si>
  <si>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</si>
  <si>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</si>
  <si>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</si>
  <si>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</si>
  <si>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</si>
  <si>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</si>
  <si>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</si>
  <si>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</si>
  <si>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</si>
  <si>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</si>
  <si>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</si>
  <si>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</si>
  <si>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</si>
  <si>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</si>
  <si>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</si>
  <si>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</si>
  <si>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</si>
  <si>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</si>
  <si>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</si>
  <si>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</si>
  <si>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</si>
  <si>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</si>
  <si>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</si>
  <si>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</si>
  <si>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</si>
  <si>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</si>
  <si>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</si>
  <si>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</si>
  <si>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</si>
  <si>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</si>
  <si>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</si>
  <si>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</si>
  <si>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</si>
  <si>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</si>
  <si>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</si>
  <si>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</si>
  <si>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</si>
  <si>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</si>
  <si>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</si>
  <si>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</si>
  <si>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</si>
  <si>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</si>
  <si>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</si>
  <si>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</si>
  <si>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</si>
  <si>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</si>
  <si>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</si>
  <si>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</si>
  <si>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</si>
  <si>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</si>
  <si>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</si>
  <si>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</si>
  <si>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</si>
  <si>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</si>
  <si>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</si>
  <si>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</si>
  <si>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</si>
  <si>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</si>
  <si>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</si>
  <si>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</si>
  <si>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</si>
  <si>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</si>
  <si>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</si>
  <si>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</si>
  <si>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</si>
  <si>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</si>
  <si>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</si>
  <si>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</si>
  <si>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</si>
  <si>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</si>
  <si>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</si>
  <si>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</si>
  <si>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</si>
  <si>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</si>
  <si>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</si>
  <si>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</si>
  <si>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</si>
  <si>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</si>
  <si>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</si>
  <si>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</si>
  <si>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</si>
  <si>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</si>
  <si>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</si>
  <si>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</si>
  <si>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</si>
  <si>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</si>
  <si>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</si>
  <si>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</si>
  <si>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</si>
  <si>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</si>
  <si>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</si>
  <si>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</si>
  <si>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</si>
  <si>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</si>
  <si>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</si>
  <si>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</si>
  <si>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</si>
  <si>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</si>
  <si>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</si>
  <si>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</si>
  <si>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</si>
  <si>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</si>
  <si>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</si>
  <si>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</si>
  <si>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</si>
  <si>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</si>
  <si>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</si>
  <si>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</si>
  <si>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</si>
  <si>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</si>
  <si>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</si>
  <si>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</si>
  <si>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</si>
  <si>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</si>
  <si>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</si>
  <si>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</si>
  <si>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</si>
  <si>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</si>
  <si>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</si>
  <si>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</si>
  <si>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</si>
  <si>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</si>
  <si>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</si>
  <si>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</si>
  <si>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</si>
  <si>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</si>
  <si>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</si>
  <si>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</si>
  <si>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</si>
  <si>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</si>
  <si>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</si>
  <si>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</si>
  <si>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</si>
  <si>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</si>
  <si>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</si>
  <si>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</si>
  <si>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</si>
  <si>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</si>
  <si>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</si>
  <si>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</si>
  <si>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</si>
  <si>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</si>
  <si>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</si>
  <si>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</si>
  <si>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</si>
  <si>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</si>
  <si>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</si>
  <si>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</si>
  <si>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</si>
  <si>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</si>
  <si>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</si>
  <si>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</si>
  <si>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</si>
  <si>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</si>
  <si>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</si>
  <si>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</si>
  <si>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</si>
  <si>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</si>
  <si>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</si>
  <si>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</si>
  <si>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</si>
  <si>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</si>
  <si>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</si>
  <si>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</si>
  <si>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</si>
  <si>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</si>
  <si>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</si>
  <si>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</si>
  <si>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</si>
  <si>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</si>
  <si>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</si>
  <si>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</si>
  <si>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</si>
  <si>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</si>
  <si>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</si>
  <si>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</si>
  <si>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</si>
  <si>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</si>
  <si>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</si>
  <si>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</si>
  <si>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</si>
  <si>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</si>
  <si>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</si>
  <si>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</si>
  <si>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</si>
  <si>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</si>
  <si>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</si>
  <si>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</si>
  <si>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</si>
  <si>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</si>
  <si>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</si>
  <si>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</si>
  <si>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</si>
  <si>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</si>
  <si>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</si>
  <si>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</si>
  <si>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</si>
  <si>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</si>
  <si>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</si>
  <si>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</si>
  <si>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</si>
  <si>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</si>
  <si>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</si>
  <si>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</si>
  <si>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</si>
  <si>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</si>
  <si>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</si>
  <si>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</si>
  <si>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</si>
  <si>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</si>
  <si>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</si>
  <si>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</si>
  <si>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</si>
  <si>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</si>
  <si>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</si>
  <si>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</si>
  <si>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</si>
  <si>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</si>
  <si>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</si>
  <si>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</si>
  <si>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</si>
  <si>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</si>
  <si>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</si>
  <si>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</si>
  <si>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</si>
  <si>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</si>
  <si>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</si>
  <si>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</si>
  <si>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</si>
  <si>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</si>
  <si>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</si>
  <si>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</si>
  <si>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</si>
  <si>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</si>
  <si>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</si>
  <si>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</si>
  <si>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</si>
  <si>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</si>
  <si>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</si>
  <si>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</si>
  <si>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</si>
  <si>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</si>
  <si>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</si>
  <si>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</si>
  <si>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</si>
  <si>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</si>
  <si>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</si>
  <si>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</si>
  <si>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</si>
  <si>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</si>
  <si>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</si>
  <si>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</si>
  <si>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</si>
  <si>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</si>
  <si>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</si>
  <si>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</si>
  <si>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</si>
  <si>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</si>
  <si>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</si>
  <si>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</si>
  <si>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</si>
  <si>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</si>
  <si>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</si>
  <si>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</si>
  <si>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</si>
  <si>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</si>
  <si>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</si>
  <si>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</si>
  <si>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</si>
  <si>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</si>
  <si>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</si>
  <si>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</si>
  <si>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</si>
  <si>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</si>
  <si>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</si>
  <si>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</si>
  <si>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</si>
  <si>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</si>
  <si>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</si>
  <si>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</si>
  <si>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</si>
  <si>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</si>
  <si>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</si>
  <si>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</si>
  <si>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</si>
  <si>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</si>
  <si>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</si>
  <si>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</si>
  <si>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</si>
  <si>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</si>
  <si>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</si>
  <si>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</si>
  <si>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</si>
  <si>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</si>
  <si>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</si>
  <si>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</si>
  <si>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</si>
  <si>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</si>
  <si>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</si>
  <si>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</si>
  <si>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</si>
  <si>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</si>
  <si>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</si>
  <si>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</si>
  <si>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</si>
  <si>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</si>
  <si>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</si>
  <si>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</si>
  <si>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</si>
  <si>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</si>
  <si>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</si>
  <si>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</si>
  <si>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</si>
  <si>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</si>
  <si>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</si>
  <si>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</si>
  <si>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</si>
  <si>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</si>
  <si>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</si>
  <si>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</si>
  <si>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</si>
  <si>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</si>
  <si>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</si>
  <si>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</si>
  <si>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</si>
  <si>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</si>
  <si>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</si>
  <si>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</si>
  <si>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</si>
  <si>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</si>
  <si>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</si>
  <si>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</si>
  <si>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</si>
  <si>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</si>
  <si>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</si>
  <si>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</si>
  <si>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</si>
  <si>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</si>
  <si>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</si>
  <si>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</si>
  <si>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</si>
  <si>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</si>
  <si>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</si>
  <si>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</si>
  <si>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</si>
  <si>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</si>
  <si>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</si>
  <si>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</si>
  <si>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</si>
  <si>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</si>
  <si>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</si>
  <si>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</si>
  <si>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</si>
  <si>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</si>
  <si>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</si>
  <si>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</si>
  <si>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</si>
  <si>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</si>
  <si>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</si>
  <si>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</si>
  <si>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</si>
  <si>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</si>
  <si>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</si>
  <si>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</si>
  <si>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</si>
  <si>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</si>
  <si>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</si>
  <si>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</si>
  <si>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</si>
  <si>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</si>
  <si>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</si>
  <si>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</si>
  <si>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</si>
  <si>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</si>
  <si>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</si>
  <si>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</si>
  <si>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</si>
  <si>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</si>
  <si>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</si>
  <si>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</si>
  <si>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</si>
  <si>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</si>
  <si>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</si>
  <si>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</si>
  <si>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</si>
  <si>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</si>
  <si>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</si>
  <si>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</si>
  <si>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</si>
  <si>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</si>
  <si>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</si>
  <si>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</si>
  <si>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</si>
  <si>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</si>
  <si>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</si>
  <si>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</si>
  <si>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</si>
  <si>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</si>
  <si>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</si>
  <si>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</si>
  <si>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</si>
  <si>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</si>
  <si>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</si>
  <si>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</si>
  <si>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</si>
  <si>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</si>
  <si>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</si>
  <si>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</si>
  <si>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</si>
  <si>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</si>
  <si>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</si>
  <si>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</si>
  <si>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</si>
  <si>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</si>
  <si>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</si>
  <si>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</si>
  <si>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</si>
  <si>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</si>
  <si>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</si>
  <si>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</si>
  <si>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</si>
  <si>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</si>
  <si>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</si>
  <si>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</si>
  <si>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</si>
  <si>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</si>
  <si>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</si>
  <si>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</si>
  <si>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</si>
  <si>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</si>
  <si>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</si>
  <si>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</si>
  <si>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</si>
  <si>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</si>
  <si>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</si>
  <si>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</si>
  <si>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</si>
  <si>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</si>
  <si>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</si>
  <si>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</si>
  <si>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</si>
  <si>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</si>
  <si>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</si>
  <si>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</si>
  <si>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</si>
  <si>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</si>
  <si>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</si>
  <si>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</si>
  <si>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</si>
  <si>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</si>
  <si>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</si>
  <si>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</si>
  <si>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</si>
  <si>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</si>
  <si>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</si>
  <si>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</si>
  <si>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</si>
  <si>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</si>
  <si>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</si>
  <si>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</si>
  <si>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</si>
  <si>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</si>
  <si>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</si>
  <si>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</si>
  <si>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</si>
  <si>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</si>
  <si>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</si>
  <si>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</si>
  <si>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</si>
  <si>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</si>
  <si>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</si>
  <si>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</si>
  <si>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</si>
  <si>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</si>
  <si>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</si>
  <si>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</si>
  <si>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</si>
  <si>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</si>
  <si>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</si>
  <si>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</si>
  <si>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</si>
  <si>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</si>
  <si>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</si>
  <si>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</si>
  <si>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</si>
  <si>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</si>
  <si>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</si>
  <si>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</si>
  <si>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</si>
  <si>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</si>
  <si>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</si>
  <si>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</si>
  <si>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</si>
  <si>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</si>
  <si>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</si>
  <si>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</si>
  <si>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</si>
  <si>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</si>
  <si>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</si>
  <si>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</si>
  <si>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</si>
  <si>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</si>
  <si>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</si>
  <si>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</si>
  <si>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</si>
  <si>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</si>
  <si>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</si>
  <si>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</si>
  <si>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</si>
  <si>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</si>
  <si>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</si>
  <si>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</si>
  <si>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</si>
  <si>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</si>
  <si>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</si>
  <si>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</si>
  <si>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</si>
  <si>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</si>
  <si>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</si>
  <si>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</si>
  <si>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</si>
  <si>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</si>
  <si>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</si>
  <si>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</si>
  <si>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</si>
  <si>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</si>
  <si>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</si>
  <si>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</si>
  <si>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</si>
  <si>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</si>
  <si>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</si>
  <si>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</si>
  <si>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</si>
  <si>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</si>
  <si>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</si>
  <si>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</si>
  <si>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</si>
  <si>
    <t>Dropped</t>
  </si>
  <si>
    <t>Temp</t>
  </si>
  <si>
    <t>assetId</t>
  </si>
  <si>
    <t>clientCompanyId</t>
  </si>
  <si>
    <t>AMS Class</t>
  </si>
  <si>
    <t>SAT Multiplier</t>
  </si>
  <si>
    <t>BaseTempFactor</t>
  </si>
  <si>
    <t>TestPoint</t>
  </si>
  <si>
    <t>Pool standard deviation</t>
  </si>
  <si>
    <t>Base2</t>
  </si>
  <si>
    <t>Degrees of Freedom</t>
  </si>
  <si>
    <t>Expanded uncertainty</t>
  </si>
  <si>
    <t>Scope</t>
  </si>
  <si>
    <t>coverage factor (k)</t>
  </si>
  <si>
    <t>Measurement Uncertainty</t>
  </si>
  <si>
    <t>Alert</t>
  </si>
  <si>
    <t>Uncertainty Calculation</t>
  </si>
  <si>
    <t>Other alerts:</t>
  </si>
  <si>
    <t>Humidity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</si>
</sst>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
      <b/>
      <u/>
      <sz val="10"/>
      <color theme="0"/>
      <name val="Arial"/>
      <family val="2"/>
    </font>
  </fonts>
  <fills count="17">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2" fillId="0" borderId="0" applyNumberFormat="0" applyFill="0" applyBorder="0" applyAlignment="0" applyProtection="0"/>
  </cellStyleXfs>
  <cellXfs count="67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0" fontId="86" fillId="5" borderId="7" xfId="0" applyFont="1" applyFill="1" applyBorder="1" applyAlignment="1">
      <alignment horizontal="left"/>
    </xf>
    <xf numFmtId="0" fontId="87" fillId="5" borderId="17" xfId="0" applyFont="1" applyFill="1" applyBorder="1" applyAlignment="1">
      <alignment horizontal="left"/>
    </xf>
    <xf numFmtId="0" fontId="86" fillId="5" borderId="4" xfId="0" applyFont="1" applyFill="1" applyBorder="1"/>
    <xf numFmtId="172" fontId="86" fillId="5" borderId="4" xfId="0" applyNumberFormat="1" applyFont="1" applyFill="1" applyBorder="1"/>
    <xf numFmtId="0" fontId="87" fillId="5" borderId="12" xfId="0" applyFont="1" applyFill="1" applyBorder="1" applyAlignment="1">
      <alignment horizontal="left"/>
    </xf>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1"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4" fillId="4" borderId="7" xfId="0" applyNumberFormat="1" applyFont="1" applyFill="1" applyBorder="1" applyAlignment="1">
      <alignment horizontal="left" vertical="top"/>
    </xf>
    <xf numFmtId="1" fontId="94"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9" fillId="4" borderId="4" xfId="0" applyFont="1" applyFill="1" applyBorder="1" applyAlignment="1">
      <alignment horizontal="left" vertical="top"/>
    </xf>
    <xf numFmtId="0" fontId="89"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100" fillId="8" borderId="4" xfId="0" applyFont="1" applyFill="1" applyBorder="1" applyAlignment="1">
      <alignment horizontal="left"/>
    </xf>
    <xf numFmtId="0" fontId="101" fillId="8" borderId="4" xfId="0" applyFont="1" applyFill="1" applyBorder="1" applyAlignment="1">
      <alignment horizontal="right"/>
    </xf>
    <xf numFmtId="0" fontId="101" fillId="8" borderId="7" xfId="0" applyFont="1" applyFill="1" applyBorder="1"/>
    <xf numFmtId="0" fontId="101" fillId="8" borderId="13" xfId="0" applyFont="1" applyFill="1" applyBorder="1"/>
    <xf numFmtId="0" fontId="101" fillId="8" borderId="16" xfId="0" applyFont="1" applyFill="1" applyBorder="1"/>
    <xf numFmtId="0" fontId="100" fillId="8" borderId="4" xfId="0" applyFont="1" applyFill="1" applyBorder="1"/>
    <xf numFmtId="0" fontId="76" fillId="2" borderId="0" xfId="0" applyFont="1" applyFill="1" applyAlignment="1" applyProtection="1">
      <alignment horizontal="left" vertical="top"/>
      <protection locked="0"/>
    </xf>
    <xf numFmtId="0" fontId="101" fillId="8" borderId="7" xfId="0" applyFont="1" applyFill="1" applyBorder="1" applyAlignment="1">
      <alignment horizontal="left"/>
    </xf>
    <xf numFmtId="0" fontId="101" fillId="8" borderId="13" xfId="0" applyFont="1" applyFill="1" applyBorder="1" applyAlignment="1">
      <alignment horizontal="right"/>
    </xf>
    <xf numFmtId="0" fontId="101" fillId="8" borderId="12" xfId="0" applyFont="1" applyFill="1" applyBorder="1" applyAlignment="1">
      <alignment horizontal="right"/>
    </xf>
    <xf numFmtId="0" fontId="100"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10" fillId="0" borderId="0" xfId="1" applyFont="1"/>
    <xf numFmtId="0" fontId="110" fillId="0" borderId="0" xfId="1" applyFont="1" applyAlignment="1">
      <alignment horizontal="center"/>
    </xf>
    <xf numFmtId="0" fontId="109" fillId="0" borderId="0" xfId="1" applyFont="1"/>
    <xf numFmtId="0" fontId="111"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3" fillId="0" borderId="15" xfId="0" applyNumberFormat="1" applyFont="1" applyBorder="1"/>
    <xf numFmtId="181" fontId="113" fillId="0" borderId="0" xfId="0" applyNumberFormat="1" applyFont="1"/>
    <xf numFmtId="0" fontId="113" fillId="0" borderId="0" xfId="0" applyFont="1"/>
    <xf numFmtId="0" fontId="65" fillId="0" borderId="9" xfId="0" applyFont="1" applyBorder="1"/>
    <xf numFmtId="0" fontId="65" fillId="0" borderId="18" xfId="0" applyFont="1" applyBorder="1"/>
    <xf numFmtId="0" fontId="117" fillId="0" borderId="0" xfId="0" applyFont="1" applyAlignment="1">
      <alignment horizontal="center"/>
    </xf>
    <xf numFmtId="0" fontId="118" fillId="0" borderId="0" xfId="0" applyFont="1"/>
    <xf numFmtId="0" fontId="42" fillId="0" borderId="0" xfId="0" applyFont="1" applyAlignment="1">
      <alignment horizontal="right"/>
    </xf>
    <xf numFmtId="0" fontId="120" fillId="0" borderId="0" xfId="0" applyFont="1"/>
    <xf numFmtId="0" fontId="113" fillId="0" borderId="15" xfId="0" applyFont="1" applyBorder="1" applyAlignment="1">
      <alignment horizontal="left"/>
    </xf>
    <xf numFmtId="0" fontId="113" fillId="0" borderId="15" xfId="0" applyFont="1" applyBorder="1"/>
    <xf numFmtId="0" fontId="113"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3" fillId="0" borderId="21" xfId="0" applyFont="1" applyBorder="1" applyAlignment="1">
      <alignment horizontal="left"/>
    </xf>
    <xf numFmtId="180" fontId="113"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3" fillId="0" borderId="15" xfId="0" applyNumberFormat="1" applyFont="1" applyBorder="1"/>
    <xf numFmtId="166" fontId="113" fillId="0" borderId="0" xfId="0" applyNumberFormat="1" applyFont="1"/>
    <xf numFmtId="0" fontId="116" fillId="0" borderId="0" xfId="0" applyFont="1"/>
    <xf numFmtId="0" fontId="121" fillId="0" borderId="0" xfId="0" applyFont="1"/>
    <xf numFmtId="0" fontId="113" fillId="0" borderId="21" xfId="0" applyFont="1" applyBorder="1"/>
    <xf numFmtId="180" fontId="113" fillId="0" borderId="15" xfId="0" applyNumberFormat="1" applyFont="1" applyBorder="1" applyAlignment="1">
      <alignment horizontal="left"/>
    </xf>
    <xf numFmtId="180" fontId="113" fillId="0" borderId="21" xfId="0" applyNumberFormat="1" applyFont="1" applyBorder="1" applyAlignment="1">
      <alignment horizontal="left"/>
    </xf>
    <xf numFmtId="0" fontId="124"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20" fillId="0" borderId="0" xfId="0" applyFont="1" applyAlignment="1">
      <alignment horizontal="left"/>
    </xf>
    <xf numFmtId="182" fontId="54" fillId="0" borderId="0" xfId="1" applyNumberFormat="1" applyAlignment="1">
      <alignment horizontal="left"/>
    </xf>
    <xf numFmtId="0" fontId="131"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3" fillId="0" borderId="0" xfId="1" applyFont="1"/>
    <xf numFmtId="0" fontId="134" fillId="0" borderId="0" xfId="1" applyFont="1"/>
    <xf numFmtId="0" fontId="133" fillId="0" borderId="0" xfId="1" applyFont="1" applyAlignment="1">
      <alignment horizontal="center"/>
    </xf>
    <xf numFmtId="0" fontId="134" fillId="0" borderId="0" xfId="1" applyFont="1" applyAlignment="1">
      <alignment horizontal="center"/>
    </xf>
    <xf numFmtId="0" fontId="135" fillId="0" borderId="0" xfId="0" applyFont="1"/>
    <xf numFmtId="172" fontId="84" fillId="5" borderId="4" xfId="0" applyNumberFormat="1" applyFont="1" applyFill="1" applyBorder="1" applyAlignment="1">
      <alignment horizontal="left"/>
    </xf>
    <xf numFmtId="0" fontId="133"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9"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8"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7" fillId="0" borderId="0" xfId="0" applyNumberFormat="1" applyFont="1"/>
    <xf numFmtId="1" fontId="138" fillId="0" borderId="0" xfId="0" applyNumberFormat="1" applyFont="1"/>
    <xf numFmtId="0" fontId="138"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5"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8"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8"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2" fillId="2" borderId="0" xfId="0" applyNumberFormat="1" applyFont="1" applyFill="1"/>
    <xf numFmtId="0" fontId="80" fillId="2" borderId="0" xfId="0" applyFont="1" applyFill="1" applyAlignment="1">
      <alignment horizontal="right" wrapText="1"/>
    </xf>
    <xf numFmtId="0" fontId="93" fillId="2" borderId="0" xfId="0" applyFont="1" applyFill="1"/>
    <xf numFmtId="172" fontId="88" fillId="2" borderId="0" xfId="0" applyNumberFormat="1" applyFont="1" applyFill="1"/>
    <xf numFmtId="178" fontId="83" fillId="2" borderId="0" xfId="0" applyNumberFormat="1" applyFont="1" applyFill="1"/>
    <xf numFmtId="175" fontId="128" fillId="2" borderId="0" xfId="0" applyNumberFormat="1" applyFont="1" applyFill="1"/>
    <xf numFmtId="1" fontId="79" fillId="2" borderId="0" xfId="0" applyNumberFormat="1" applyFont="1" applyFill="1"/>
    <xf numFmtId="0" fontId="127" fillId="2" borderId="0" xfId="0" applyFont="1" applyFill="1"/>
    <xf numFmtId="0" fontId="129" fillId="2" borderId="0" xfId="0" applyFont="1" applyFill="1"/>
    <xf numFmtId="176" fontId="128" fillId="2" borderId="0" xfId="0" applyNumberFormat="1" applyFont="1" applyFill="1"/>
    <xf numFmtId="0" fontId="95" fillId="2" borderId="0" xfId="0" applyFont="1" applyFill="1" applyAlignment="1">
      <alignment horizontal="left"/>
    </xf>
    <xf numFmtId="0" fontId="95" fillId="2" borderId="0" xfId="0" applyFont="1" applyFill="1"/>
    <xf numFmtId="0" fontId="96"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8"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7" fillId="2" borderId="0" xfId="0" applyFont="1" applyFill="1"/>
    <xf numFmtId="0" fontId="28" fillId="9" borderId="0" xfId="0" applyFont="1" applyFill="1" applyAlignment="1">
      <alignment horizontal="center" vertical="top" wrapText="1"/>
    </xf>
    <xf numFmtId="0" fontId="108" fillId="2" borderId="0" xfId="0" applyFont="1" applyFill="1"/>
    <xf numFmtId="0" fontId="23" fillId="9" borderId="20" xfId="0" applyFont="1" applyFill="1" applyBorder="1" applyAlignment="1">
      <alignment horizontal="center"/>
    </xf>
    <xf numFmtId="0" fontId="99" fillId="2" borderId="0" xfId="0" applyFont="1" applyFill="1" applyAlignment="1">
      <alignment horizontal="left" vertical="top"/>
    </xf>
    <xf numFmtId="0" fontId="107" fillId="2" borderId="0" xfId="0" applyFont="1" applyFill="1"/>
    <xf numFmtId="164" fontId="7" fillId="9" borderId="20" xfId="0" applyNumberFormat="1" applyFont="1" applyFill="1" applyBorder="1"/>
    <xf numFmtId="0" fontId="98" fillId="2" borderId="0" xfId="0" applyFont="1" applyFill="1" applyAlignment="1">
      <alignment wrapText="1"/>
    </xf>
    <xf numFmtId="0" fontId="57" fillId="2" borderId="0" xfId="0" applyFont="1" applyFill="1"/>
    <xf numFmtId="0" fontId="125" fillId="2" borderId="0" xfId="0" applyFont="1" applyFill="1"/>
    <xf numFmtId="0" fontId="126" fillId="2" borderId="0" xfId="0" applyFont="1" applyFill="1" applyAlignment="1">
      <alignment horizontal="right"/>
    </xf>
    <xf numFmtId="0" fontId="102"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9" fillId="2" borderId="0" xfId="0" applyFont="1" applyFill="1" applyAlignment="1">
      <alignment horizontal="right" wrapText="1"/>
    </xf>
    <xf numFmtId="0" fontId="103" fillId="2" borderId="0" xfId="0" applyFont="1" applyFill="1" applyAlignment="1">
      <alignment horizontal="right" wrapText="1"/>
    </xf>
    <xf numFmtId="0" fontId="103" fillId="2" borderId="0" xfId="0" applyFont="1" applyFill="1" applyAlignment="1">
      <alignment horizontal="left" vertical="top"/>
    </xf>
    <xf numFmtId="0" fontId="103" fillId="2" borderId="0" xfId="0" applyFont="1" applyFill="1" applyAlignment="1">
      <alignment horizontal="left"/>
    </xf>
    <xf numFmtId="0" fontId="103" fillId="2" borderId="0" xfId="0" applyFont="1" applyFill="1"/>
    <xf numFmtId="164" fontId="104"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5" fillId="2" borderId="0" xfId="0" applyFont="1" applyFill="1" applyAlignment="1">
      <alignment horizontal="right" wrapText="1"/>
    </xf>
    <xf numFmtId="0" fontId="106" fillId="2" borderId="0" xfId="0" applyFont="1" applyFill="1" applyAlignment="1">
      <alignment horizontal="left" vertical="top"/>
    </xf>
    <xf numFmtId="0" fontId="106" fillId="2" borderId="0" xfId="0" applyFont="1" applyFill="1" applyAlignment="1">
      <alignment horizontal="left"/>
    </xf>
    <xf numFmtId="0" fontId="106" fillId="2" borderId="0" xfId="0" applyFont="1" applyFill="1"/>
    <xf numFmtId="0" fontId="106" fillId="2" borderId="0" xfId="0" applyFont="1" applyFill="1" applyAlignment="1">
      <alignment horizontal="right" wrapText="1"/>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164" fontId="103"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2" fillId="0" borderId="0" xfId="6"/>
    <xf numFmtId="169" fontId="91"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8" fillId="11" borderId="7" xfId="0" applyNumberFormat="1" applyFont="1" applyFill="1" applyBorder="1"/>
    <xf numFmtId="164" fontId="108" fillId="11" borderId="13" xfId="0" applyNumberFormat="1" applyFont="1" applyFill="1" applyBorder="1"/>
    <xf numFmtId="164" fontId="130" fillId="11" borderId="12" xfId="0" applyNumberFormat="1" applyFont="1" applyFill="1" applyBorder="1" applyAlignment="1">
      <alignment horizontal="right"/>
    </xf>
    <xf numFmtId="0" fontId="108" fillId="11" borderId="7" xfId="0" applyFont="1" applyFill="1" applyBorder="1"/>
    <xf numFmtId="0" fontId="108" fillId="11" borderId="13" xfId="0" applyFont="1" applyFill="1" applyBorder="1"/>
    <xf numFmtId="0" fontId="130" fillId="11" borderId="12" xfId="0" applyFont="1" applyFill="1" applyBorder="1" applyAlignment="1">
      <alignment horizontal="right"/>
    </xf>
    <xf numFmtId="0" fontId="107" fillId="11" borderId="7" xfId="0" applyFont="1" applyFill="1" applyBorder="1"/>
    <xf numFmtId="0" fontId="107"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6"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0" fontId="28" fillId="4" borderId="12" xfId="0" applyFont="1" applyFill="1" applyBorder="1" applyAlignment="1">
      <alignment horizontal="right" wrapText="1"/>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90" fillId="4" borderId="7" xfId="0" applyFont="1" applyFill="1" applyBorder="1" applyAlignment="1">
      <alignment horizontal="right"/>
    </xf>
    <xf numFmtId="0" fontId="90"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9" fillId="13" borderId="7" xfId="0" applyNumberFormat="1" applyFont="1" applyFill="1" applyBorder="1" applyAlignment="1" applyProtection="1">
      <alignment horizontal="left"/>
      <protection locked="0"/>
    </xf>
    <xf numFmtId="176" fontId="89"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5"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2" fillId="0" borderId="0" xfId="0" applyFont="1" applyAlignment="1">
      <alignment horizontal="left" vertical="top"/>
    </xf>
    <xf numFmtId="0" fontId="117"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4" fillId="12" borderId="21" xfId="0" applyFont="1" applyFill="1" applyBorder="1" applyAlignment="1">
      <alignment horizontal="center"/>
    </xf>
    <xf numFmtId="0" fontId="114" fillId="12" borderId="14" xfId="0" applyFont="1" applyFill="1" applyBorder="1" applyAlignment="1">
      <alignment horizontal="center"/>
    </xf>
    <xf numFmtId="0" fontId="114" fillId="12" borderId="15" xfId="0" applyFont="1" applyFill="1" applyBorder="1" applyAlignment="1">
      <alignment horizontal="center"/>
    </xf>
    <xf numFmtId="0" fontId="114" fillId="12" borderId="16" xfId="0" applyFont="1" applyFill="1" applyBorder="1" applyAlignment="1">
      <alignment horizontal="center"/>
    </xf>
    <xf numFmtId="0" fontId="0" fillId="0" borderId="0" xfId="0" applyAlignment="1">
      <alignment horizontal="center"/>
    </xf>
    <xf numFmtId="0" fontId="123" fillId="0" borderId="21" xfId="0" applyFont="1" applyBorder="1" applyAlignment="1">
      <alignment horizontal="center"/>
    </xf>
    <xf numFmtId="0" fontId="113" fillId="0" borderId="0" xfId="0" applyFont="1" applyAlignment="1">
      <alignment horizontal="left" vertical="top" wrapText="1"/>
    </xf>
    <xf numFmtId="0" fontId="113" fillId="0" borderId="0" xfId="0" applyFont="1" applyAlignment="1">
      <alignment horizontal="left"/>
    </xf>
    <xf numFmtId="0" fontId="113" fillId="0" borderId="15" xfId="0" applyFont="1" applyBorder="1" applyAlignment="1">
      <alignment horizontal="left"/>
    </xf>
    <xf numFmtId="0" fontId="113" fillId="0" borderId="21" xfId="0" applyFont="1" applyBorder="1" applyAlignment="1">
      <alignment horizontal="left"/>
    </xf>
    <xf numFmtId="0" fontId="119"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4" fillId="12" borderId="0" xfId="0" applyFont="1" applyFill="1" applyAlignment="1">
      <alignment horizontal="center"/>
    </xf>
    <xf numFmtId="0" fontId="113"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2" fillId="0" borderId="7" xfId="0" applyNumberFormat="1" applyFont="1" applyBorder="1" applyAlignment="1">
      <alignment horizontal="center"/>
    </xf>
    <xf numFmtId="164" fontId="132" fillId="0" borderId="13" xfId="0" applyNumberFormat="1" applyFont="1" applyBorder="1" applyAlignment="1">
      <alignment horizontal="center"/>
    </xf>
    <xf numFmtId="164" fontId="132"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2" fillId="0" borderId="7" xfId="0" applyFont="1" applyBorder="1" applyAlignment="1">
      <alignment horizontal="center" vertical="top" wrapText="1"/>
    </xf>
    <xf numFmtId="0" fontId="132" fillId="0" borderId="13" xfId="0" applyFont="1" applyBorder="1" applyAlignment="1">
      <alignment horizontal="center" vertical="top" wrapText="1"/>
    </xf>
    <xf numFmtId="0" fontId="132"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2" fillId="0" borderId="7" xfId="0" applyFont="1" applyBorder="1" applyAlignment="1">
      <alignment horizontal="center"/>
    </xf>
    <xf numFmtId="0" fontId="132" fillId="0" borderId="13" xfId="0" applyFont="1" applyBorder="1" applyAlignment="1">
      <alignment horizontal="center"/>
    </xf>
    <xf numFmtId="0" fontId="132"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xf numFmtId="21" fontId="7" fillId="0" borderId="0" xfId="3" applyNumberFormat="1" applyFont="1" applyFill="1" applyProtection="1">
      <protection locked="0"/>
    </xf>
    <xf numFmtId="0" fontId="105" fillId="2" borderId="0" xfId="0" applyFont="1" applyFill="1" applyAlignment="1" applyProtection="1">
      <alignment horizontal="right" wrapText="1"/>
      <protection hidden="1"/>
    </xf>
    <xf numFmtId="0" fontId="55" fillId="16" borderId="30" xfId="0" applyFont="1" applyFill="1" applyBorder="1"/>
    <xf numFmtId="166" fontId="55"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7" fillId="0" borderId="0" xfId="0" applyNumberFormat="1" applyFont="1" applyAlignment="1">
      <alignment horizontal="right"/>
    </xf>
    <xf numFmtId="0" fontId="37" fillId="0" borderId="0" xfId="0" applyFont="1" applyAlignment="1">
      <alignment horizontal="right"/>
    </xf>
    <xf numFmtId="0" fontId="0" fillId="0" borderId="0" xfId="0" applyNumberFormat="1"/>
    <xf numFmtId="0" fontId="139" fillId="14" borderId="0" xfId="0" applyFont="1" applyFill="1" applyBorder="1" applyAlignment="1">
      <alignment horizontal="center"/>
    </xf>
    <xf numFmtId="0" fontId="139" fillId="14" borderId="33" xfId="0" applyFont="1" applyFill="1" applyBorder="1" applyAlignment="1">
      <alignment horizontal="center"/>
    </xf>
    <xf numFmtId="165" fontId="55" fillId="15" borderId="32" xfId="0" applyNumberFormat="1" applyFont="1" applyFill="1" applyBorder="1"/>
    <xf numFmtId="0" fontId="55" fillId="15" borderId="32" xfId="0" applyFont="1" applyFill="1" applyBorder="1"/>
    <xf numFmtId="184" fontId="55" fillId="15" borderId="32" xfId="0" applyNumberFormat="1" applyFont="1" applyFill="1" applyBorder="1"/>
    <xf numFmtId="165" fontId="55" fillId="16" borderId="30" xfId="0" applyNumberFormat="1" applyFont="1" applyFill="1" applyBorder="1"/>
    <xf numFmtId="184" fontId="55" fillId="16" borderId="30" xfId="0" applyNumberFormat="1" applyFont="1" applyFill="1" applyBorder="1"/>
    <xf numFmtId="1" fontId="55" fillId="15" borderId="34" xfId="0" applyNumberFormat="1" applyFont="1" applyFill="1" applyBorder="1"/>
    <xf numFmtId="1" fontId="55" fillId="16" borderId="31" xfId="0" applyNumberFormat="1" applyFont="1" applyFill="1" applyBorder="1"/>
    <xf numFmtId="0" fontId="25" fillId="0" borderId="0" xfId="0" applyFont="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60">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4" formatCode="[$-F400]h:mm:ss\ AM/PM"/>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66" formatCode="0\°\F"/>
    </dxf>
    <dxf>
      <numFmt numFmtId="166" formatCode="0\°\F"/>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466725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638175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485775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 xr16:uid="{C59199BF-AD65-40A6-ACA9-9DDB26A2164D}" autoFormatId="16" applyNumberFormats="0" applyBorderFormats="0" applyFontFormats="0" applyPatternFormats="0" applyAlignmentFormats="0" applyWidthHeightFormats="0">
  <queryTableRefresh nextId="6">
    <queryTableFields count="5">
      <queryTableField id="1" name="Time" tableColumnId="1"/>
      <queryTableField id="2" name="TestPoint" tableColumnId="2"/>
      <queryTableField id="3" name="RawReading" tableColumnId="3"/>
      <queryTableField id="4" name="CummulativeOffset" tableColumnId="4"/>
      <queryTableField id="5" name="CorrectedTemp"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2"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F5BD51F4-376C-4959-82BC-84CA33B6B099}" autoFormatId="16" applyNumberFormats="0" applyBorderFormats="0" applyFontFormats="0" applyPatternFormats="0" applyAlignmentFormats="0" applyWidthHeightFormats="0">
  <queryTableRefresh nextId="21">
    <queryTableFields count="10">
      <queryTableField id="2" name="1" tableColumnId="2"/>
      <queryTableField id="12" name="2" tableColumnId="12"/>
      <queryTableField id="13" name="3" tableColumnId="13"/>
      <queryTableField id="14" name="4" tableColumnId="14"/>
      <queryTableField id="15" name="5" tableColumnId="15"/>
      <queryTableField id="16" name="6" tableColumnId="16"/>
      <queryTableField id="17" name="7" tableColumnId="17"/>
      <queryTableField id="18" name="8" tableColumnId="18"/>
      <queryTableField id="19" name="9" tableColumnId="19"/>
      <queryTableField id="20" name="10" tableColumnId="2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3"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71"/>
    <tableColumn id="2" xr3:uid="{D07D770F-21F7-425E-8CCA-AA85FFD513A3}" uniqueName="2" name="serial_number" queryTableFieldId="2" dataDxfId="70"/>
    <tableColumn id="3" xr3:uid="{D963BD5C-EE98-4CDD-ABAE-5315BBDA1135}" uniqueName="3" name="asset_tag" queryTableFieldId="3" dataDxfId="69"/>
    <tableColumn id="4" xr3:uid="{44F03B5B-6C09-4D5C-B2E2-D809B4EDF2B0}" uniqueName="4" name="custom_order_number" queryTableFieldId="4" dataDxfId="68"/>
    <tableColumn id="5" xr3:uid="{412A70E1-7452-417E-A3A9-BD3499EBD33C}" uniqueName="5" name="service_date" queryTableFieldId="5" dataDxfId="67"/>
    <tableColumn id="6" xr3:uid="{B359FFDA-2633-4F67-9E7E-BA0BB88ADA64}" uniqueName="6" name="next_service_date" queryTableFieldId="6" dataDxfId="66"/>
    <tableColumn id="7" xr3:uid="{297A4F29-F6E9-4BD3-A7A2-5F1039480BAE}" uniqueName="7" name="certificate_number" queryTableFieldId="7" dataDxfId="65"/>
    <tableColumn id="8" xr3:uid="{7C740CB9-37DA-435E-A87E-AF050E31623C}" uniqueName="8" name="wire_roll_cert_number" queryTableFieldId="8" dataDxfId="64"/>
    <tableColumn id="9" xr3:uid="{5B17E9FC-0D68-4EA9-9145-B5DC8FAF5A93}" uniqueName="9" name="type" queryTableFieldId="9" dataDxfId="63"/>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dataDxfId="52"/>
    <tableColumn id="2" xr3:uid="{44100894-4C9D-4514-95AC-618BC19E5917}" uniqueName="2" name="Temp" queryTableFieldId="4" dataDxfId="51"/>
    <tableColumn id="3" xr3:uid="{ECB904AC-F679-49D7-806F-647089E4822A}" uniqueName="3" name="Offset" queryTableFieldId="5" dataDxfId="5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59"/>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11C2A9-9F59-4F28-A324-D1489E60BFAF}" name="CorrectedTimeSeries" displayName="CorrectedTimeSeries" ref="A1:E161" tableType="queryTable" totalsRowShown="0">
  <autoFilter ref="A1:E161" xr:uid="{A111C2A9-9F59-4F28-A324-D1489E60BFAF}"/>
  <tableColumns count="5">
    <tableColumn id="1" xr3:uid="{78CC3373-6142-4D23-BB0C-629B2DDF9DA4}" uniqueName="1" name="Time" queryTableFieldId="1" dataDxfId="45"/>
    <tableColumn id="2" xr3:uid="{15DB8116-9859-4B30-930A-7118FC8C6C27}" uniqueName="2" name="TestPoint" queryTableFieldId="2"/>
    <tableColumn id="3" xr3:uid="{7C32B832-3050-4D0F-BF4F-A63215D80670}" uniqueName="3" name="RawReading" queryTableFieldId="3"/>
    <tableColumn id="4" xr3:uid="{342EB63D-E94A-4D57-AF6B-2BB1C3CD3880}" uniqueName="4" name="CummulativeOffset" queryTableFieldId="4"/>
    <tableColumn id="5" xr3:uid="{F3D43FEE-7FC4-4621-900B-824AF439F7D1}" uniqueName="5" name="CorrectedTemp"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H1:L43" totalsRowShown="0" headerRowDxfId="47">
  <autoFilter ref="H1:L43" xr:uid="{9D856FA7-F1CB-468E-B497-8047E09A4802}"/>
  <tableColumns count="5">
    <tableColumn id="1" xr3:uid="{8220363B-CED5-4E53-9128-C106D2E1B538}" name="TestPoint" dataDxfId="46">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8">
  <autoFilter ref="A1:C9" xr:uid="{8AF992F3-27EF-4265-960D-70EC6F74FAFA}"/>
  <sortState xmlns:xlrd2="http://schemas.microsoft.com/office/spreadsheetml/2017/richdata2" ref="A2:C9">
    <sortCondition ref="B1:B9"/>
  </sortState>
  <tableColumns count="3">
    <tableColumn id="1" xr3:uid="{1F7D0D09-7152-4679-B25C-65CF0E0AB2D4}" name="Type" dataDxfId="157"/>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Time" queryTableFieldId="1" dataDxfId="57"/>
    <tableColumn id="2" xr3:uid="{7F91B585-8A01-4519-AAE4-C7EE373A67E8}" uniqueName="2" name="TestPoint" queryTableFieldId="2"/>
    <tableColumn id="3" xr3:uid="{9AA002EE-A20C-4368-A762-5389EA773944}" uniqueName="3" name="Temp" queryTableFieldId="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11" tableType="queryTable" totalsRowShown="0">
  <autoFilter ref="A1:F11"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dataDxfId="49"/>
    <tableColumn id="5" xr3:uid="{8C3B2595-3D87-4CE9-8B3F-223828BB281B}" uniqueName="5" name="TCOffset" queryTableFieldId="5" dataDxfId="48"/>
    <tableColumn id="6" xr3:uid="{CA8BEAB3-F465-4C3A-BCD2-C003ADCD2D7D}" uniqueName="6" name="CummulativeOffset" queryTableFieldId="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56"/>
    <tableColumn id="3" xr3:uid="{2724CA85-C781-4E38-A0DA-097BFEEFE8B1}" uniqueName="3" name="Temp" queryTableFieldId="3" dataDxfId="55"/>
    <tableColumn id="6" xr3:uid="{12D5EB84-2052-49F7-A25B-127266D7FB89}" uniqueName="6" name="traceability_no" queryTableFieldId="6" dataDxfId="54"/>
    <tableColumn id="5" xr3:uid="{D8FBA668-C3CE-41DC-B112-B2663A4558F7}" uniqueName="5" name="Offset" queryTableFieldId="5" dataDxfId="5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D9BEF17-9B43-4234-B3CE-7426E045DC16}" name="CorrectedDataWide" displayName="CorrectedDataWide" ref="D1:M17" tableType="queryTable" totalsRowShown="0">
  <autoFilter ref="D1:M17" xr:uid="{5D9BEF17-9B43-4234-B3CE-7426E045DC16}"/>
  <tableColumns count="10">
    <tableColumn id="2" xr3:uid="{18763CA8-64B3-46C9-B8E5-5ABF32A2F365}" uniqueName="2" name="1" queryTableFieldId="2"/>
    <tableColumn id="12" xr3:uid="{4FD08187-A8FE-4098-B29E-39278E89EBE5}" uniqueName="12" name="2" queryTableFieldId="12"/>
    <tableColumn id="13" xr3:uid="{AB682DD8-7B7B-4B4E-A8C2-362EF1EA7F1F}" uniqueName="13" name="3" queryTableFieldId="13"/>
    <tableColumn id="14" xr3:uid="{5ABF844C-D473-416F-A0EC-E5B5F101A579}" uniqueName="14" name="4" queryTableFieldId="14"/>
    <tableColumn id="15" xr3:uid="{02FABEA6-926E-488C-ABBB-7078AE2C04FB}" uniqueName="15" name="5" queryTableFieldId="15"/>
    <tableColumn id="16" xr3:uid="{1E4AC234-FA35-4E65-A79E-33A84CC0060C}" uniqueName="16" name="6" queryTableFieldId="16"/>
    <tableColumn id="17" xr3:uid="{493D7EC8-C40C-4D9E-A3B9-ACDF0D33033C}" uniqueName="17" name="7" queryTableFieldId="17"/>
    <tableColumn id="18" xr3:uid="{CEBD9617-A5B7-4AB6-8E0A-A1777DD266D2}" uniqueName="18" name="8" queryTableFieldId="18"/>
    <tableColumn id="19" xr3:uid="{30DF60EA-8A5F-4A2B-B7F5-3CDC7CF15C35}" uniqueName="19" name="9" queryTableFieldId="19"/>
    <tableColumn id="20" xr3:uid="{812B5E65-FB8B-496D-85C4-B9D489E1B900}" uniqueName="20" name="10" queryTableFieldId="2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76"/>
    <tableColumn id="5" xr3:uid="{27363C9A-3D85-416E-8BCC-52B2C8D77A72}" uniqueName="5" name="Uncert Units" queryTableFieldId="5" dataDxfId="7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0"/>
    <tableColumn id="9" xr3:uid="{70463AB5-A50D-48D5-9E26-8919276C1D2D}" uniqueName="9" name="Mult 2" queryTableFieldId="9"/>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80">
  <autoFilter ref="A3:C8" xr:uid="{5AC13131-9A1C-4C12-B4F9-A393708ED370}"/>
  <tableColumns count="3">
    <tableColumn id="1" xr3:uid="{97181276-3609-45C8-AD82-B2880A7AEDE4}" name="Min" dataDxfId="79"/>
    <tableColumn id="2" xr3:uid="{FCA9B2A8-03BC-4152-9483-74D5E30011E8}" name="Max" dataDxfId="78"/>
    <tableColumn id="3" xr3:uid="{53EFB432-094F-4AB8-B706-DACB84CFAD58}" name="CMC" dataDxfId="77"/>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59"/>
    <tableColumn id="3" xr3:uid="{E88E0260-3227-45C4-8780-42D2D8D460DF}" name="SAT TOL" dataDxfId="58">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6" dataDxfId="155" tableBorderDxfId="154">
  <autoFilter ref="AG2:AS3" xr:uid="{B114758F-16E1-4C54-AA0B-E7F64DE85242}"/>
  <tableColumns count="13">
    <tableColumn id="1" xr3:uid="{0D0312AF-C987-4CC8-97F8-A45434AD138A}" name="Time" dataDxfId="153" dataCellStyle="Normal 3"/>
    <tableColumn id="2" xr3:uid="{E5CD88A1-1988-41C9-8D07-30908E60C0B6}" name="29" dataDxfId="152"/>
    <tableColumn id="3" xr3:uid="{52334E52-C590-4A01-82BC-CCC9DA2C2817}" name="30" dataDxfId="151"/>
    <tableColumn id="4" xr3:uid="{145DAD22-055B-47E2-958D-C0E0B68ECCC8}" name="31" dataDxfId="150"/>
    <tableColumn id="5" xr3:uid="{09C3BF4E-C2AE-4497-AAA2-CF5A8A70B030}" name="32" dataDxfId="149"/>
    <tableColumn id="6" xr3:uid="{E9F444F5-7F75-4B80-BC2D-E9E92BB7C32D}" name="33" dataDxfId="148"/>
    <tableColumn id="7" xr3:uid="{C42F56B6-C38E-41DC-811A-50AF69D04B80}" name="34" dataDxfId="147"/>
    <tableColumn id="8" xr3:uid="{1930235F-D2C0-482D-8CC0-6B3AC765E7EA}" name="35" dataDxfId="146"/>
    <tableColumn id="9" xr3:uid="{6FCF613B-A86F-4DC6-9CC5-0A1E44E3DFE0}" name="36" dataDxfId="145"/>
    <tableColumn id="10" xr3:uid="{19EA3429-FD7E-4BA0-96B7-70F520D9FE0F}" name="37" dataDxfId="144"/>
    <tableColumn id="11" xr3:uid="{A5D0DAE1-1017-4DE3-AEA6-1BAF97E0FBDC}" name="38" dataDxfId="143"/>
    <tableColumn id="12" xr3:uid="{ABC8E507-1120-436F-9E9F-E3A8852E2E1A}" name="39" dataDxfId="142"/>
    <tableColumn id="13" xr3:uid="{C69AC669-10C2-4E64-9F60-B4AA135FB3DF}" name="40" dataDxfId="14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0" tableBorderDxfId="139">
  <autoFilter ref="Q2:AE3" xr:uid="{6D9D14EA-1966-4240-9028-DABDD72BB7BC}"/>
  <tableColumns count="15">
    <tableColumn id="1" xr3:uid="{F199066A-0899-4173-8784-FC618D5EFA3C}" name="Time" dataDxfId="138" dataCellStyle="Normal 3"/>
    <tableColumn id="2" xr3:uid="{DB040280-BEC7-49AA-A925-A050027B33E3}" name="15" dataDxfId="137"/>
    <tableColumn id="3" xr3:uid="{5D74EEBF-1FB4-4DF9-8EDD-C656F929ADA2}" name="16" dataDxfId="136"/>
    <tableColumn id="4" xr3:uid="{B1176DF8-22B4-4741-A534-22D0C72EF1F0}" name="17" dataDxfId="135"/>
    <tableColumn id="5" xr3:uid="{1E29EA65-5182-4B3E-817F-0D30B2884EC7}" name="18" dataDxfId="134"/>
    <tableColumn id="6" xr3:uid="{AF53AEFB-F310-4F08-91BC-82FB0F484ECA}" name="19" dataDxfId="133"/>
    <tableColumn id="7" xr3:uid="{EE472F61-D1B5-43CF-A661-FA1D47001C17}" name="20" dataDxfId="132"/>
    <tableColumn id="8" xr3:uid="{841D54C1-AB74-4CB1-8C7F-C38D11EFAD3F}" name="21" dataDxfId="131"/>
    <tableColumn id="9" xr3:uid="{F1FB485B-DEAA-4958-8C40-80934EA1437F}" name="22" dataDxfId="130"/>
    <tableColumn id="10" xr3:uid="{5C552A76-BD54-46C5-93AD-8F25289FA051}" name="23" dataDxfId="129"/>
    <tableColumn id="11" xr3:uid="{B20FA5F1-0522-49D0-9B5A-34570A8AE6EA}" name="24" dataDxfId="128"/>
    <tableColumn id="12" xr3:uid="{0BC87A98-B9AC-4CD6-9F9B-D04190073E2A}" name="25" dataDxfId="127"/>
    <tableColumn id="13" xr3:uid="{D62EA80B-BBE3-4A29-89AB-EE04C6E03547}" name="26" dataDxfId="126"/>
    <tableColumn id="14" xr3:uid="{6D7DE537-763F-40F1-AC16-33F228CBC8D1}" name="27" dataDxfId="125"/>
    <tableColumn id="15" xr3:uid="{F8FA9620-DB21-4BAE-8D97-FF38B70679C9}" name="28" dataDxfId="12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3" dataDxfId="122" tableBorderDxfId="121">
  <autoFilter ref="A2:O3" xr:uid="{73A9D9BA-FF58-4A3F-98F7-9A835492E25D}"/>
  <tableColumns count="15">
    <tableColumn id="1" xr3:uid="{73B888B4-4146-4E26-9B39-0FC537A113C8}" name="Time" dataDxfId="120" dataCellStyle="Normal 3"/>
    <tableColumn id="2" xr3:uid="{6F1EF879-7C87-4A56-A394-30C6E5BDB32A}" name="1" dataDxfId="119" dataCellStyle="Normal 3"/>
    <tableColumn id="3" xr3:uid="{B2FA8A6A-D50A-41E8-942A-379C757B6A2B}" name="2" dataDxfId="118" dataCellStyle="Normal 3"/>
    <tableColumn id="4" xr3:uid="{F92FE975-D84B-4B73-B49D-3B746FAA3D21}" name="3" dataDxfId="117" dataCellStyle="Normal 3"/>
    <tableColumn id="5" xr3:uid="{7820E0E9-F621-4361-A572-234B3CB7F864}" name="4" dataDxfId="116" dataCellStyle="Normal 3"/>
    <tableColumn id="6" xr3:uid="{A46C0BCA-2139-4CD3-B02F-C4D3F8E65309}" name="5" dataDxfId="115" dataCellStyle="Normal 3"/>
    <tableColumn id="7" xr3:uid="{334BDF50-1D79-41BC-BA09-7B69018332AE}" name="6" dataDxfId="114" dataCellStyle="Normal 3"/>
    <tableColumn id="8" xr3:uid="{6C11BC6A-3E21-4CDE-9CD4-C8EBCF50B6DB}" name="7" dataDxfId="113" dataCellStyle="Normal 3"/>
    <tableColumn id="9" xr3:uid="{1EEEA607-5177-4C19-A1BC-B12D19FF055B}" name="8" dataDxfId="112" dataCellStyle="Normal 3"/>
    <tableColumn id="10" xr3:uid="{ACF909CE-C221-4157-9298-18F2C140C147}" name="9" dataDxfId="111" dataCellStyle="Normal 3"/>
    <tableColumn id="11" xr3:uid="{182688D3-AD0D-4518-A7FE-0C281ABCDF76}" name="10" dataDxfId="110" dataCellStyle="Normal 3"/>
    <tableColumn id="12" xr3:uid="{54AFFA30-00C2-440A-92A2-139F62F751BE}" name="11" dataDxfId="109"/>
    <tableColumn id="13" xr3:uid="{DCF0B43C-F320-4031-91C6-8514285AF6CA}" name="12" dataDxfId="108"/>
    <tableColumn id="14" xr3:uid="{53A56FC8-0536-4D94-A335-FFCBCBEAF45E}" name="13" dataDxfId="107"/>
    <tableColumn id="15" xr3:uid="{F49FEB6E-05C2-4E90-A6CE-A0C9C694642A}" name="14" dataDxfId="10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05"/>
    <tableColumn id="7" xr3:uid="{3E130632-D63E-485B-AA7F-FF01BB115CD8}" uniqueName="7" name="AddressLine2" queryTableFieldId="7" dataDxfId="104"/>
    <tableColumn id="8" xr3:uid="{B07B805E-B475-4FEF-A83E-C870164F0C1C}" uniqueName="8" name="AddressLine3" queryTableFieldId="8" dataDxfId="103"/>
    <tableColumn id="9" xr3:uid="{3603DEDD-08A6-4233-A5D5-79D5A1A0055E}" uniqueName="9" name="FormNumber" queryTableFieldId="9" dataDxfId="102"/>
    <tableColumn id="10" xr3:uid="{B63B6E05-D199-4BCD-9A28-28B5F5832CE0}" uniqueName="10" name="CalibrationMethod" queryTableFieldId="10" dataDxfId="101"/>
    <tableColumn id="11" xr3:uid="{EC51B02C-FD97-492B-BF24-15D683C6ED4C}" uniqueName="11" name="ToleranceSource" queryTableFieldId="11" dataDxfId="100"/>
    <tableColumn id="12" xr3:uid="{706BF144-B069-4B3F-AFB9-7848E93D758C}" uniqueName="12" name="Item" queryTableFieldId="12" dataDxfId="9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98"/>
    <tableColumn id="18" xr3:uid="{2B4941C4-9755-4A0D-86C3-2C668815DEF2}" uniqueName="18" name="Tolerance" queryTableFieldId="18" dataDxfId="97"/>
    <tableColumn id="19" xr3:uid="{756D3CB6-E1A4-4B24-93A7-8AB4732E9BE6}" uniqueName="19" name="HeatingMethod" queryTableFieldId="19" dataDxfId="96"/>
    <tableColumn id="20" xr3:uid="{A46E5597-E3E9-444B-8D64-D35898DCC2B4}" uniqueName="20" name="WorkingZoneSize" queryTableFieldId="20" dataDxfId="9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94"/>
    <tableColumn id="32" xr3:uid="{1852EB3E-F034-42EA-8A35-98DDD1845F7B}" uniqueName="32" name="TestLocation" queryTableFieldId="32" dataDxfId="93"/>
    <tableColumn id="33" xr3:uid="{15129CDA-47B3-4B02-8524-3F9672DC4216}" uniqueName="33" name="OvenLocation" queryTableFieldId="33" dataDxfId="92"/>
    <tableColumn id="34" xr3:uid="{F4A9D00F-E54E-4736-976C-15166BF81AEF}" uniqueName="34" name="Condition" queryTableFieldId="34" dataDxfId="9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9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89" dataDxfId="88">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74"/>
    <tableColumn id="19" xr3:uid="{31D68568-B5E1-4705-9496-19F08F967786}" uniqueName="19" name="Address2" queryTableFieldId="19" dataDxfId="7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72"/>
    <tableColumn id="2" xr3:uid="{95339291-2A8D-485F-84D8-6C671DD7D038}" uniqueName="2" name="company_id" queryTableFieldId="23"/>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7" dataDxfId="8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62"/>
    <tableColumn id="12" xr3:uid="{C13B0E02-FD03-4438-B98A-E6A8ED8A9F13}" uniqueName="12" name="manufacturer_part_number" queryTableFieldId="25"/>
    <tableColumn id="11" xr3:uid="{48BC425D-225D-4DB3-A151-D583A73AA082}" uniqueName="11" name="notes" queryTableFieldId="11" dataDxfId="61"/>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4" dataDxfId="83" headerRowCellStyle="Normal 2" dataCellStyle="Normal 2">
  <autoFilter ref="U11:V25" xr:uid="{DCCFF26E-EC5C-4962-98DB-A7DA1F3C8CE2}"/>
  <tableColumns count="2">
    <tableColumn id="1" xr3:uid="{DFC40837-B092-4826-9847-4A23BE22020F}" name="4" dataDxfId="82" dataCellStyle="Normal 2"/>
    <tableColumn id="2" xr3:uid="{0711DB07-19DA-4D5E-A417-C242A0304453}" name="10" dataDxfId="8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16.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6" Type="http://schemas.openxmlformats.org/officeDocument/2006/relationships/comments" Target="../comments2.xml"/><Relationship Id="rId5" Type="http://schemas.openxmlformats.org/officeDocument/2006/relationships/table" Target="../tables/table24.xml"/><Relationship Id="rId4" Type="http://schemas.openxmlformats.org/officeDocument/2006/relationships/vmlDrawing" Target="../drawings/vmlDrawing3.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4"/>
      <c r="B2" s="94"/>
      <c r="C2" s="94"/>
      <c r="D2" s="94"/>
      <c r="E2" s="105"/>
      <c r="F2" s="105"/>
      <c r="G2" s="94"/>
      <c r="H2" s="94"/>
      <c r="I2" s="94"/>
      <c r="J2"/>
      <c r="K2"/>
    </row>
    <row r="3" spans="1:11" x14ac:dyDescent="0.2">
      <c r="A3" s="164"/>
      <c r="B3" s="94"/>
      <c r="C3" s="94"/>
      <c r="D3" s="94"/>
      <c r="E3" s="105"/>
      <c r="F3" s="105"/>
      <c r="G3" s="94"/>
      <c r="H3" s="94"/>
      <c r="I3" s="94"/>
      <c r="J3"/>
      <c r="K3"/>
    </row>
    <row r="4" spans="1:11" x14ac:dyDescent="0.2">
      <c r="A4" s="164"/>
      <c r="B4" s="94"/>
      <c r="C4" s="94"/>
      <c r="D4" s="94"/>
      <c r="E4" s="105"/>
      <c r="F4" s="105"/>
      <c r="G4" s="94"/>
      <c r="H4" s="94"/>
      <c r="I4" s="94"/>
      <c r="J4"/>
      <c r="K4"/>
    </row>
    <row r="5" spans="1:11" x14ac:dyDescent="0.2">
      <c r="A5" s="164"/>
      <c r="B5" s="94"/>
      <c r="C5" s="94"/>
      <c r="D5" s="94"/>
      <c r="E5" s="105"/>
      <c r="F5" s="105"/>
      <c r="G5" s="94"/>
      <c r="H5" s="94"/>
      <c r="I5" s="94"/>
      <c r="J5"/>
      <c r="K5"/>
    </row>
    <row r="6" spans="1:11" x14ac:dyDescent="0.2">
      <c r="A6" s="164"/>
      <c r="B6" s="94"/>
      <c r="C6" s="94"/>
      <c r="D6" s="94"/>
      <c r="E6" s="105"/>
      <c r="F6" s="105"/>
      <c r="G6" s="94"/>
      <c r="H6" s="94"/>
      <c r="I6" s="94"/>
      <c r="J6"/>
      <c r="K6"/>
    </row>
    <row r="7" spans="1:11" x14ac:dyDescent="0.2">
      <c r="A7" s="164"/>
      <c r="B7" s="94"/>
      <c r="C7" s="94"/>
      <c r="D7" s="94"/>
      <c r="E7" s="105"/>
      <c r="F7" s="105"/>
      <c r="G7" s="94"/>
      <c r="H7" s="94"/>
      <c r="I7" s="94"/>
      <c r="J7"/>
      <c r="K7"/>
    </row>
    <row r="8" spans="1:11" x14ac:dyDescent="0.2">
      <c r="A8" s="164"/>
      <c r="B8" s="94"/>
      <c r="C8" s="94"/>
      <c r="D8" s="94"/>
      <c r="E8" s="105"/>
      <c r="F8" s="105"/>
      <c r="G8" s="94"/>
      <c r="H8" s="94"/>
      <c r="I8" s="94"/>
      <c r="J8"/>
      <c r="K8"/>
    </row>
    <row r="9" spans="1:11" x14ac:dyDescent="0.2">
      <c r="A9" s="164"/>
      <c r="B9" s="94"/>
      <c r="C9" s="94"/>
      <c r="D9" s="94"/>
      <c r="E9" s="105"/>
      <c r="F9" s="105"/>
      <c r="G9" s="94"/>
      <c r="H9" s="94"/>
      <c r="I9" s="94"/>
      <c r="J9"/>
      <c r="K9"/>
    </row>
    <row r="10" spans="1:11" x14ac:dyDescent="0.2">
      <c r="A10" s="164"/>
      <c r="B10" s="94"/>
      <c r="C10" s="94"/>
      <c r="D10" s="94"/>
      <c r="E10" s="105"/>
      <c r="F10" s="105"/>
      <c r="G10" s="94"/>
      <c r="H10" s="94"/>
      <c r="I10" s="94"/>
      <c r="J10"/>
      <c r="K10"/>
    </row>
    <row r="11" spans="1:11" x14ac:dyDescent="0.2">
      <c r="A11" s="164"/>
      <c r="B11" s="94"/>
      <c r="C11" s="94"/>
      <c r="D11" s="94"/>
      <c r="E11" s="105"/>
      <c r="F11" s="105"/>
      <c r="G11" s="94"/>
      <c r="H11" s="94"/>
      <c r="I11" s="94"/>
      <c r="J11"/>
      <c r="K11"/>
    </row>
    <row r="12" spans="1:11" x14ac:dyDescent="0.2">
      <c r="A12" s="164"/>
      <c r="B12" s="94"/>
      <c r="C12" s="94"/>
      <c r="D12" s="94"/>
      <c r="E12" s="105"/>
      <c r="F12" s="105"/>
      <c r="G12" s="94"/>
      <c r="H12" s="94"/>
      <c r="I12" s="94"/>
      <c r="J12"/>
      <c r="K12"/>
    </row>
    <row r="13" spans="1:11" x14ac:dyDescent="0.2">
      <c r="A13" s="164"/>
      <c r="B13" s="94"/>
      <c r="C13" s="94"/>
      <c r="D13" s="94"/>
      <c r="E13" s="105"/>
      <c r="F13" s="105"/>
      <c r="G13" s="94"/>
      <c r="H13" s="94"/>
      <c r="I13" s="94"/>
      <c r="J13"/>
      <c r="K13"/>
    </row>
    <row r="14" spans="1:11" x14ac:dyDescent="0.2">
      <c r="A14" s="164"/>
      <c r="B14" s="94"/>
      <c r="C14" s="94"/>
      <c r="D14" s="94"/>
      <c r="E14" s="105"/>
      <c r="F14" s="105"/>
      <c r="G14" s="94"/>
      <c r="H14" s="94"/>
      <c r="I14" s="94"/>
      <c r="J14"/>
      <c r="K14"/>
    </row>
    <row r="15" spans="1:11" x14ac:dyDescent="0.2">
      <c r="A15" s="164"/>
      <c r="B15" s="94"/>
      <c r="C15" s="94"/>
      <c r="D15" s="94"/>
      <c r="E15" s="105"/>
      <c r="F15" s="105"/>
      <c r="G15" s="94"/>
      <c r="H15" s="94"/>
      <c r="I15" s="94"/>
      <c r="J15"/>
      <c r="K15"/>
    </row>
    <row r="16" spans="1:11" x14ac:dyDescent="0.2">
      <c r="A16" s="164"/>
      <c r="B16" s="94"/>
      <c r="C16" s="94"/>
      <c r="D16" s="94"/>
      <c r="E16" s="105"/>
      <c r="F16" s="105"/>
      <c r="G16" s="94"/>
      <c r="H16" s="94"/>
      <c r="I16" s="94"/>
      <c r="J16"/>
      <c r="K16"/>
    </row>
    <row r="17" spans="1:11" x14ac:dyDescent="0.2">
      <c r="A17" s="164"/>
      <c r="B17" s="94"/>
      <c r="C17" s="94"/>
      <c r="D17" s="94"/>
      <c r="E17" s="105"/>
      <c r="F17" s="105"/>
      <c r="G17" s="94"/>
      <c r="H17" s="94"/>
      <c r="I17" s="94"/>
      <c r="J17"/>
      <c r="K17"/>
    </row>
    <row r="18" spans="1:11" x14ac:dyDescent="0.2">
      <c r="A18" s="164"/>
      <c r="B18" s="94"/>
      <c r="C18" s="94"/>
      <c r="D18" s="94"/>
      <c r="E18" s="105"/>
      <c r="F18" s="105"/>
      <c r="G18" s="94"/>
      <c r="H18" s="94"/>
      <c r="I18" s="94"/>
      <c r="J18"/>
      <c r="K18"/>
    </row>
    <row r="19" spans="1:11" x14ac:dyDescent="0.2">
      <c r="A19" s="164"/>
      <c r="B19" s="94"/>
      <c r="C19" s="94"/>
      <c r="D19" s="94"/>
      <c r="E19" s="105"/>
      <c r="F19" s="105"/>
      <c r="G19" s="94"/>
      <c r="H19" s="94"/>
      <c r="I19" s="94"/>
      <c r="J19"/>
      <c r="K19"/>
    </row>
    <row r="20" spans="1:11" x14ac:dyDescent="0.2">
      <c r="A20" s="164"/>
      <c r="B20" s="94"/>
      <c r="C20" s="94"/>
      <c r="D20" s="94"/>
      <c r="E20" s="105"/>
      <c r="F20" s="105"/>
      <c r="G20" s="94"/>
      <c r="H20" s="94"/>
      <c r="I20" s="94"/>
      <c r="J20"/>
      <c r="K20"/>
    </row>
    <row r="21" spans="1:11" x14ac:dyDescent="0.2">
      <c r="A21" s="164"/>
      <c r="B21" s="94"/>
      <c r="C21" s="94"/>
      <c r="D21" s="94"/>
      <c r="E21" s="105"/>
      <c r="F21" s="105"/>
      <c r="G21" s="94"/>
      <c r="H21" s="94"/>
      <c r="I21" s="94"/>
      <c r="J21"/>
      <c r="K21"/>
    </row>
    <row r="22" spans="1:11" x14ac:dyDescent="0.2">
      <c r="A22" s="164"/>
      <c r="B22" s="94"/>
      <c r="C22" s="94"/>
      <c r="D22" s="94"/>
      <c r="E22" s="105"/>
      <c r="F22" s="105"/>
      <c r="G22" s="94"/>
      <c r="H22" s="94"/>
      <c r="I22" s="94"/>
      <c r="J22"/>
      <c r="K22"/>
    </row>
    <row r="23" spans="1:11" x14ac:dyDescent="0.2">
      <c r="A23" s="164"/>
      <c r="B23" s="94"/>
      <c r="C23" s="94"/>
      <c r="D23" s="94"/>
      <c r="E23" s="105"/>
      <c r="F23" s="105"/>
      <c r="G23" s="94"/>
      <c r="H23" s="94"/>
      <c r="I23" s="94"/>
      <c r="J23"/>
      <c r="K23"/>
    </row>
    <row r="24" spans="1:11" x14ac:dyDescent="0.2">
      <c r="A24" s="164"/>
      <c r="B24" s="94"/>
      <c r="C24" s="94"/>
      <c r="D24" s="94"/>
      <c r="E24" s="105"/>
      <c r="F24" s="105"/>
      <c r="G24" s="94"/>
      <c r="H24" s="94"/>
      <c r="I24" s="94"/>
    </row>
    <row r="25" spans="1:11" x14ac:dyDescent="0.2">
      <c r="A25" s="164"/>
      <c r="B25" s="94"/>
      <c r="C25" s="94"/>
      <c r="D25" s="94"/>
      <c r="E25" s="105"/>
      <c r="F25" s="105"/>
      <c r="G25" s="94"/>
      <c r="H25" s="94"/>
      <c r="I25" s="94"/>
      <c r="J25"/>
      <c r="K25"/>
    </row>
    <row r="26" spans="1:11" x14ac:dyDescent="0.2">
      <c r="A26" s="164"/>
      <c r="B26" s="94"/>
      <c r="C26" s="94"/>
      <c r="D26" s="94"/>
      <c r="E26" s="105"/>
      <c r="F26" s="105"/>
      <c r="G26" s="94"/>
      <c r="H26" s="94"/>
      <c r="I26" s="94"/>
      <c r="J26"/>
      <c r="K26"/>
    </row>
    <row r="27" spans="1:11" x14ac:dyDescent="0.2">
      <c r="A27" s="164"/>
      <c r="B27" s="94"/>
      <c r="C27" s="94"/>
      <c r="D27" s="94"/>
      <c r="E27" s="105"/>
      <c r="F27" s="105"/>
      <c r="G27" s="94"/>
      <c r="H27" s="94"/>
      <c r="I27" s="94"/>
      <c r="J27"/>
      <c r="K27"/>
    </row>
    <row r="28" spans="1:11" x14ac:dyDescent="0.2">
      <c r="A28" s="164"/>
      <c r="B28" s="94"/>
      <c r="C28" s="94"/>
      <c r="D28" s="94"/>
      <c r="E28" s="105"/>
      <c r="F28" s="105"/>
      <c r="G28" s="94"/>
      <c r="H28" s="94"/>
      <c r="I28" s="94"/>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election activeCell="B28" sqref="B28"/>
    </sheetView>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41" t="s">
        <v>937</v>
      </c>
      <c r="E1" s="41" t="s">
        <v>938</v>
      </c>
    </row>
    <row r="2" spans="1:5" x14ac:dyDescent="0.2">
      <c r="A2"/>
      <c r="B2"/>
      <c r="D2">
        <f>VLOOKUP(D1,WorkItemDetails[],2,FALSE)</f>
        <v>1276494</v>
      </c>
      <c r="E2">
        <f>VLOOKUP(E1,WorkItemDetails[],2,FALSE)</f>
        <v>57283</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s="663"/>
      <c r="B2" s="663"/>
      <c r="C2" s="663"/>
    </row>
    <row r="3" spans="1:3" x14ac:dyDescent="0.2">
      <c r="A3" s="663"/>
      <c r="B3" s="663"/>
      <c r="C3" s="663"/>
    </row>
    <row r="4" spans="1:3" x14ac:dyDescent="0.2">
      <c r="A4" s="663"/>
      <c r="B4" s="663"/>
      <c r="C4" s="663"/>
    </row>
    <row r="5" spans="1:3" x14ac:dyDescent="0.2">
      <c r="A5" s="663"/>
      <c r="B5" s="663"/>
      <c r="C5" s="663"/>
    </row>
    <row r="6" spans="1:3" x14ac:dyDescent="0.2">
      <c r="A6" s="663"/>
      <c r="B6" s="663"/>
      <c r="C6" s="663"/>
    </row>
    <row r="7" spans="1:3" x14ac:dyDescent="0.2">
      <c r="A7" s="663"/>
      <c r="B7" s="663"/>
      <c r="C7" s="663"/>
    </row>
    <row r="8" spans="1:3" x14ac:dyDescent="0.2">
      <c r="A8" s="663"/>
      <c r="B8" s="663"/>
      <c r="C8" s="663"/>
    </row>
    <row r="9" spans="1:3" x14ac:dyDescent="0.2">
      <c r="A9" s="663"/>
      <c r="B9" s="663"/>
      <c r="C9" s="663"/>
    </row>
    <row r="10" spans="1:3" x14ac:dyDescent="0.2">
      <c r="A10" s="663"/>
      <c r="B10" s="663"/>
      <c r="C10" s="663"/>
    </row>
    <row r="11" spans="1:3" x14ac:dyDescent="0.2">
      <c r="A11" s="663"/>
      <c r="B11" s="663"/>
      <c r="C11" s="663"/>
    </row>
    <row r="12" spans="1:3" x14ac:dyDescent="0.2">
      <c r="A12" s="663"/>
      <c r="B12" s="663"/>
      <c r="C12" s="663"/>
    </row>
    <row r="13" spans="1:3" x14ac:dyDescent="0.2">
      <c r="A13" s="663"/>
      <c r="B13" s="663"/>
      <c r="C13" s="663"/>
    </row>
    <row r="14" spans="1:3" x14ac:dyDescent="0.2">
      <c r="A14" s="663"/>
      <c r="B14" s="663"/>
      <c r="C14" s="663"/>
    </row>
    <row r="15" spans="1:3" x14ac:dyDescent="0.2">
      <c r="A15" s="663"/>
      <c r="B15" s="663"/>
      <c r="C15" s="663"/>
    </row>
    <row r="16" spans="1:3" x14ac:dyDescent="0.2">
      <c r="A16" s="663"/>
      <c r="B16" s="663"/>
      <c r="C16" s="663"/>
    </row>
    <row r="17" spans="1:3" x14ac:dyDescent="0.2">
      <c r="A17" s="663"/>
      <c r="B17" s="663"/>
      <c r="C17" s="663"/>
    </row>
    <row r="18" spans="1:3" x14ac:dyDescent="0.2">
      <c r="A18" s="663"/>
      <c r="B18" s="663"/>
      <c r="C18" s="663"/>
    </row>
    <row r="19" spans="1:3" x14ac:dyDescent="0.2">
      <c r="A19" s="663"/>
      <c r="B19" s="663"/>
      <c r="C19" s="663"/>
    </row>
    <row r="20" spans="1:3" x14ac:dyDescent="0.2">
      <c r="A20" s="663"/>
      <c r="B20" s="663"/>
      <c r="C20" s="663"/>
    </row>
    <row r="21" spans="1:3" x14ac:dyDescent="0.2">
      <c r="A21" s="663"/>
      <c r="B21" s="663"/>
      <c r="C21" s="663"/>
    </row>
    <row r="22" spans="1:3" x14ac:dyDescent="0.2">
      <c r="A22" s="663"/>
      <c r="B22" s="663"/>
      <c r="C22" s="663"/>
    </row>
    <row r="23" spans="1:3" x14ac:dyDescent="0.2">
      <c r="A23" s="663"/>
      <c r="B23" s="663"/>
      <c r="C23" s="663"/>
    </row>
    <row r="24" spans="1:3" x14ac:dyDescent="0.2">
      <c r="A24" s="663"/>
      <c r="B24" s="663"/>
      <c r="C24" s="663"/>
    </row>
    <row r="25" spans="1:3" x14ac:dyDescent="0.2">
      <c r="A25" s="663"/>
      <c r="B25" s="663"/>
      <c r="C25" s="663"/>
    </row>
    <row r="26" spans="1:3" x14ac:dyDescent="0.2">
      <c r="A26" s="663"/>
      <c r="B26" s="663"/>
      <c r="C26" s="663"/>
    </row>
    <row r="27" spans="1:3" x14ac:dyDescent="0.2">
      <c r="A27" s="663"/>
      <c r="B27" s="663"/>
      <c r="C27" s="663"/>
    </row>
    <row r="28" spans="1:3" x14ac:dyDescent="0.2">
      <c r="A28" s="663"/>
      <c r="B28" s="663"/>
      <c r="C28" s="663"/>
    </row>
    <row r="29" spans="1:3" x14ac:dyDescent="0.2">
      <c r="A29" s="663"/>
      <c r="B29" s="663"/>
      <c r="C29" s="663"/>
    </row>
    <row r="30" spans="1:3" x14ac:dyDescent="0.2">
      <c r="A30" s="663"/>
      <c r="B30" s="663"/>
      <c r="C30" s="663"/>
    </row>
    <row r="31" spans="1:3" x14ac:dyDescent="0.2">
      <c r="A31" s="663"/>
      <c r="B31" s="663"/>
      <c r="C31" s="663"/>
    </row>
    <row r="32" spans="1:3" x14ac:dyDescent="0.2">
      <c r="A32" s="663"/>
      <c r="B32" s="663"/>
      <c r="C32" s="663"/>
    </row>
    <row r="33" spans="1:3" x14ac:dyDescent="0.2">
      <c r="A33" s="663"/>
      <c r="B33" s="663"/>
      <c r="C33" s="663"/>
    </row>
    <row r="34" spans="1:3" x14ac:dyDescent="0.2">
      <c r="A34" s="663"/>
      <c r="B34" s="663"/>
      <c r="C34" s="663"/>
    </row>
    <row r="35" spans="1:3" x14ac:dyDescent="0.2">
      <c r="A35" s="663"/>
      <c r="B35" s="663"/>
      <c r="C35" s="663"/>
    </row>
  </sheetData>
  <phoneticPr fontId="2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E075C-7ED2-41E8-8429-E053FB55151B}">
  <sheetPr codeName="Sheet22"/>
  <dimension ref="A1:L161"/>
  <sheetViews>
    <sheetView workbookViewId="0">
      <selection activeCell="G14" sqref="G14"/>
    </sheetView>
  </sheetViews>
  <sheetFormatPr defaultRowHeight="12.75" x14ac:dyDescent="0.2"/>
  <cols>
    <col min="1" max="2" width="11.7109375" bestFit="1" customWidth="1"/>
    <col min="3" max="3" width="14.85546875" bestFit="1" customWidth="1"/>
    <col min="4" max="4" width="20.7109375" bestFit="1" customWidth="1"/>
    <col min="5" max="5" width="17.42578125" bestFit="1" customWidth="1"/>
    <col min="7" max="7" width="16" bestFit="1" customWidth="1"/>
    <col min="8" max="8" width="11.5703125" customWidth="1"/>
    <col min="9" max="9" width="11.7109375" customWidth="1"/>
    <col min="10" max="10" width="7.42578125" customWidth="1"/>
    <col min="11" max="11" width="8.28515625" customWidth="1"/>
    <col min="12" max="12" width="11.5703125" bestFit="1" customWidth="1"/>
  </cols>
  <sheetData>
    <row r="1" spans="1:12" ht="13.5" thickBot="1" x14ac:dyDescent="0.25">
      <c r="A1"/>
      <c r="B1"/>
      <c r="C1"/>
      <c r="D1"/>
      <c r="E1"/>
      <c r="G1" s="41"/>
      <c r="H1" s="664" t="s">
        <v>942</v>
      </c>
      <c r="I1" s="665" t="s">
        <v>20</v>
      </c>
      <c r="J1" s="665" t="s">
        <v>950</v>
      </c>
      <c r="K1" s="665" t="s">
        <v>936</v>
      </c>
      <c r="L1" s="665" t="s">
        <v>19</v>
      </c>
    </row>
    <row r="2" spans="1:12" ht="13.5" thickTop="1" x14ac:dyDescent="0.2">
      <c r="A2" s="477"/>
      <c r="B2"/>
      <c r="C2"/>
      <c r="D2"/>
      <c r="E2"/>
      <c r="G2" s="44" t="s">
        <v>4</v>
      </c>
      <c r="H2" s="671">
        <f>_xlfn.XLOOKUP(K2,CorrectedTimeSeries[CorrectedTemp],CorrectedTimeSeries[TestPoint])</f>
        <v>10</v>
      </c>
      <c r="I2" s="666">
        <f>K2-Temperature</f>
        <v>102</v>
      </c>
      <c r="J2" s="667" t="s">
        <v>277</v>
      </c>
      <c r="K2" s="666">
        <f>MAX(CorrectedTimeSeries[CorrectedTemp])</f>
        <v>102</v>
      </c>
      <c r="L2" s="668">
        <f>_xlfn.XLOOKUP(K2,CorrectedTimeSeries[CorrectedTemp],CorrectedTimeSeries[Time])</f>
        <v>0.4236111111111111</v>
      </c>
    </row>
    <row r="3" spans="1:12" x14ac:dyDescent="0.2">
      <c r="A3" s="477"/>
      <c r="B3"/>
      <c r="C3"/>
      <c r="D3"/>
      <c r="E3"/>
      <c r="G3" s="44" t="s">
        <v>5</v>
      </c>
      <c r="H3" s="672">
        <f>_xlfn.XLOOKUP(K3,CorrectedTimeSeries[CorrectedTemp],CorrectedTimeSeries[TestPoint])</f>
        <v>2</v>
      </c>
      <c r="I3" s="669">
        <f>K3-Temperature</f>
        <v>100.3</v>
      </c>
      <c r="J3" s="657" t="s">
        <v>278</v>
      </c>
      <c r="K3" s="669">
        <f>MIN(CorrectedTimeSeries[CorrectedTemp])</f>
        <v>100.3</v>
      </c>
      <c r="L3" s="670">
        <f>_xlfn.XLOOKUP(K3,CorrectedTimeSeries[CorrectedTemp],CorrectedTimeSeries[Time])</f>
        <v>0.40277777777777779</v>
      </c>
    </row>
    <row r="4" spans="1:12" x14ac:dyDescent="0.2">
      <c r="A4" s="477"/>
      <c r="B4"/>
      <c r="C4"/>
      <c r="D4"/>
      <c r="E4"/>
      <c r="G4" s="44" t="s">
        <v>952</v>
      </c>
      <c r="H4" s="164">
        <v>1</v>
      </c>
      <c r="J4" t="str">
        <f>IF(Main!O5="","",IF(COUNTIF(CorrectedTimeSeries[TestPoint], Alerts[[#This Row],[TestPoint]])=0, "DROPPED", ""))</f>
        <v/>
      </c>
    </row>
    <row r="5" spans="1:12" x14ac:dyDescent="0.2">
      <c r="A5" s="477"/>
      <c r="B5"/>
      <c r="C5"/>
      <c r="D5"/>
      <c r="E5"/>
      <c r="H5" s="164">
        <v>2</v>
      </c>
      <c r="J5" t="str">
        <f>IF(Main!O6="","",IF(COUNTIF(CorrectedTimeSeries[TestPoint], Alerts[[#This Row],[TestPoint]])=0, "DROPPED", ""))</f>
        <v/>
      </c>
    </row>
    <row r="6" spans="1:12" x14ac:dyDescent="0.2">
      <c r="A6" s="477"/>
      <c r="B6"/>
      <c r="C6"/>
      <c r="D6"/>
      <c r="E6"/>
      <c r="H6" s="164">
        <v>3</v>
      </c>
      <c r="J6" t="str">
        <f>IF(Main!O7="","",IF(COUNTIF(CorrectedTimeSeries[TestPoint], Alerts[[#This Row],[TestPoint]])=0, "DROPPED", ""))</f>
        <v/>
      </c>
    </row>
    <row r="7" spans="1:12" x14ac:dyDescent="0.2">
      <c r="A7" s="477"/>
      <c r="B7"/>
      <c r="C7"/>
      <c r="D7"/>
      <c r="E7"/>
      <c r="H7" s="164">
        <v>4</v>
      </c>
      <c r="J7" t="str">
        <f>IF(Main!O8="","",IF(COUNTIF(CorrectedTimeSeries[TestPoint], Alerts[[#This Row],[TestPoint]])=0, "DROPPED", ""))</f>
        <v/>
      </c>
    </row>
    <row r="8" spans="1:12" x14ac:dyDescent="0.2">
      <c r="A8" s="477"/>
      <c r="B8"/>
      <c r="C8"/>
      <c r="D8"/>
      <c r="E8"/>
      <c r="H8" s="164">
        <v>5</v>
      </c>
      <c r="J8" t="str">
        <f>IF(Main!O9="","",IF(COUNTIF(CorrectedTimeSeries[TestPoint], Alerts[[#This Row],[TestPoint]])=0, "DROPPED", ""))</f>
        <v/>
      </c>
    </row>
    <row r="9" spans="1:12" x14ac:dyDescent="0.2">
      <c r="A9" s="477"/>
      <c r="B9"/>
      <c r="C9"/>
      <c r="D9"/>
      <c r="E9"/>
      <c r="H9" s="164">
        <v>6</v>
      </c>
      <c r="J9" t="str">
        <f>IF(Main!O10="","",IF(COUNTIF(CorrectedTimeSeries[TestPoint], Alerts[[#This Row],[TestPoint]])=0, "DROPPED", ""))</f>
        <v/>
      </c>
    </row>
    <row r="10" spans="1:12" x14ac:dyDescent="0.2">
      <c r="A10" s="477"/>
      <c r="B10"/>
      <c r="C10"/>
      <c r="D10"/>
      <c r="E10"/>
      <c r="H10" s="164">
        <v>7</v>
      </c>
      <c r="J10" t="str">
        <f>IF(Main!O11="","",IF(COUNTIF(CorrectedTimeSeries[TestPoint], Alerts[[#This Row],[TestPoint]])=0, "DROPPED", ""))</f>
        <v/>
      </c>
    </row>
    <row r="11" spans="1:12" x14ac:dyDescent="0.2">
      <c r="A11" s="477"/>
      <c r="B11"/>
      <c r="C11"/>
      <c r="D11"/>
      <c r="E11"/>
      <c r="H11" s="164">
        <v>8</v>
      </c>
      <c r="J11" t="str">
        <f>IF(Main!O12="","",IF(COUNTIF(CorrectedTimeSeries[TestPoint], Alerts[[#This Row],[TestPoint]])=0, "DROPPED", ""))</f>
        <v/>
      </c>
    </row>
    <row r="12" spans="1:12" x14ac:dyDescent="0.2">
      <c r="A12" s="477"/>
      <c r="B12"/>
      <c r="C12"/>
      <c r="D12"/>
      <c r="E12"/>
      <c r="H12" s="164">
        <v>9</v>
      </c>
      <c r="J12" t="str">
        <f>IF(Main!O13="","",IF(COUNTIF(CorrectedTimeSeries[TestPoint], Alerts[[#This Row],[TestPoint]])=0, "DROPPED", ""))</f>
        <v/>
      </c>
    </row>
    <row r="13" spans="1:12" x14ac:dyDescent="0.2">
      <c r="A13" s="477"/>
      <c r="B13"/>
      <c r="C13"/>
      <c r="D13"/>
      <c r="E13"/>
      <c r="H13" s="164">
        <v>10</v>
      </c>
      <c r="J13" t="str">
        <f>IF(Main!O14="","",IF(COUNTIF(CorrectedTimeSeries[TestPoint], Alerts[[#This Row],[TestPoint]])=0, "DROPPED", ""))</f>
        <v/>
      </c>
    </row>
    <row r="14" spans="1:12" x14ac:dyDescent="0.2">
      <c r="A14" s="477"/>
      <c r="B14"/>
      <c r="C14"/>
      <c r="D14"/>
      <c r="E14"/>
      <c r="H14" s="164">
        <v>11</v>
      </c>
      <c r="J14" t="str">
        <f>IF(Main!O15="","",IF(COUNTIF(CorrectedTimeSeries[TestPoint], Alerts[[#This Row],[TestPoint]])=0, "DROPPED", ""))</f>
        <v/>
      </c>
    </row>
    <row r="15" spans="1:12" x14ac:dyDescent="0.2">
      <c r="A15" s="477"/>
      <c r="B15"/>
      <c r="C15"/>
      <c r="D15"/>
      <c r="E15"/>
      <c r="H15" s="164">
        <v>12</v>
      </c>
      <c r="J15" t="str">
        <f>IF(Main!O16="","",IF(COUNTIF(CorrectedTimeSeries[TestPoint], Alerts[[#This Row],[TestPoint]])=0, "DROPPED", ""))</f>
        <v/>
      </c>
    </row>
    <row r="16" spans="1:12" x14ac:dyDescent="0.2">
      <c r="A16" s="477"/>
      <c r="B16"/>
      <c r="C16"/>
      <c r="D16"/>
      <c r="E16"/>
      <c r="H16" s="164">
        <v>13</v>
      </c>
      <c r="J16" t="str">
        <f>IF(Main!O17="","",IF(COUNTIF(CorrectedTimeSeries[TestPoint], Alerts[[#This Row],[TestPoint]])=0, "DROPPED", ""))</f>
        <v/>
      </c>
    </row>
    <row r="17" spans="1:10" x14ac:dyDescent="0.2">
      <c r="A17" s="477"/>
      <c r="B17"/>
      <c r="C17"/>
      <c r="D17"/>
      <c r="E17"/>
      <c r="H17" s="164">
        <v>14</v>
      </c>
      <c r="J17" t="str">
        <f>IF(Main!O18="","",IF(COUNTIF(CorrectedTimeSeries[TestPoint], Alerts[[#This Row],[TestPoint]])=0, "DROPPED", ""))</f>
        <v/>
      </c>
    </row>
    <row r="18" spans="1:10" x14ac:dyDescent="0.2">
      <c r="A18" s="477"/>
      <c r="B18"/>
      <c r="C18"/>
      <c r="D18"/>
      <c r="E18"/>
      <c r="H18" s="164">
        <v>15</v>
      </c>
      <c r="J18" t="str">
        <f>IF(Main!O19="","",IF(COUNTIF(CorrectedTimeSeries[TestPoint], Alerts[[#This Row],[TestPoint]])=0, "DROPPED", ""))</f>
        <v/>
      </c>
    </row>
    <row r="19" spans="1:10" x14ac:dyDescent="0.2">
      <c r="A19" s="477"/>
      <c r="B19"/>
      <c r="C19"/>
      <c r="D19"/>
      <c r="E19"/>
      <c r="H19" s="164">
        <v>16</v>
      </c>
      <c r="J19" t="str">
        <f>IF(Main!O20="","",IF(COUNTIF(CorrectedTimeSeries[TestPoint], Alerts[[#This Row],[TestPoint]])=0, "DROPPED", ""))</f>
        <v/>
      </c>
    </row>
    <row r="20" spans="1:10" x14ac:dyDescent="0.2">
      <c r="A20" s="477"/>
      <c r="B20"/>
      <c r="C20"/>
      <c r="D20"/>
      <c r="E20"/>
      <c r="H20" s="164">
        <v>17</v>
      </c>
      <c r="J20" t="str">
        <f>IF(Main!O21="","",IF(COUNTIF(CorrectedTimeSeries[TestPoint], Alerts[[#This Row],[TestPoint]])=0, "DROPPED", ""))</f>
        <v/>
      </c>
    </row>
    <row r="21" spans="1:10" x14ac:dyDescent="0.2">
      <c r="A21" s="477"/>
      <c r="B21"/>
      <c r="C21"/>
      <c r="D21"/>
      <c r="E21"/>
      <c r="H21" s="164">
        <v>18</v>
      </c>
      <c r="J21" t="str">
        <f>IF(Main!O22="","",IF(COUNTIF(CorrectedTimeSeries[TestPoint], Alerts[[#This Row],[TestPoint]])=0, "DROPPED", ""))</f>
        <v/>
      </c>
    </row>
    <row r="22" spans="1:10" x14ac:dyDescent="0.2">
      <c r="A22" s="477"/>
      <c r="B22"/>
      <c r="C22"/>
      <c r="D22"/>
      <c r="E22"/>
      <c r="H22" s="164">
        <v>19</v>
      </c>
      <c r="J22" t="str">
        <f>IF(Main!O23="","",IF(COUNTIF(CorrectedTimeSeries[TestPoint], Alerts[[#This Row],[TestPoint]])=0, "DROPPED", ""))</f>
        <v/>
      </c>
    </row>
    <row r="23" spans="1:10" x14ac:dyDescent="0.2">
      <c r="A23" s="477"/>
      <c r="B23"/>
      <c r="C23"/>
      <c r="D23"/>
      <c r="E23"/>
      <c r="H23" s="164">
        <v>20</v>
      </c>
      <c r="J23" t="str">
        <f>IF(Main!O24="","",IF(COUNTIF(CorrectedTimeSeries[TestPoint], Alerts[[#This Row],[TestPoint]])=0, "DROPPED", ""))</f>
        <v/>
      </c>
    </row>
    <row r="24" spans="1:10" x14ac:dyDescent="0.2">
      <c r="A24" s="477"/>
      <c r="B24"/>
      <c r="C24"/>
      <c r="D24"/>
      <c r="E24"/>
      <c r="H24" s="164">
        <v>21</v>
      </c>
      <c r="J24" t="str">
        <f>IF(Main!O25="","",IF(COUNTIF(CorrectedTimeSeries[TestPoint], Alerts[[#This Row],[TestPoint]])=0, "DROPPED", ""))</f>
        <v/>
      </c>
    </row>
    <row r="25" spans="1:10" x14ac:dyDescent="0.2">
      <c r="A25" s="477"/>
      <c r="B25"/>
      <c r="C25"/>
      <c r="D25"/>
      <c r="E25"/>
      <c r="H25" s="164">
        <v>22</v>
      </c>
      <c r="J25" t="str">
        <f>IF(Main!O26="","",IF(COUNTIF(CorrectedTimeSeries[TestPoint], Alerts[[#This Row],[TestPoint]])=0, "DROPPED", ""))</f>
        <v/>
      </c>
    </row>
    <row r="26" spans="1:10" x14ac:dyDescent="0.2">
      <c r="A26" s="477"/>
      <c r="B26"/>
      <c r="C26"/>
      <c r="D26"/>
      <c r="E26"/>
      <c r="H26" s="164">
        <v>23</v>
      </c>
      <c r="J26" t="str">
        <f>IF(Main!O27="","",IF(COUNTIF(CorrectedTimeSeries[TestPoint], Alerts[[#This Row],[TestPoint]])=0, "DROPPED", ""))</f>
        <v/>
      </c>
    </row>
    <row r="27" spans="1:10" x14ac:dyDescent="0.2">
      <c r="A27" s="477"/>
      <c r="B27"/>
      <c r="C27"/>
      <c r="D27"/>
      <c r="E27"/>
      <c r="H27" s="164">
        <v>24</v>
      </c>
      <c r="J27" t="str">
        <f>IF(Main!O28="","",IF(COUNTIF(CorrectedTimeSeries[TestPoint], Alerts[[#This Row],[TestPoint]])=0, "DROPPED", ""))</f>
        <v/>
      </c>
    </row>
    <row r="28" spans="1:10" x14ac:dyDescent="0.2">
      <c r="A28" s="477"/>
      <c r="B28"/>
      <c r="C28"/>
      <c r="D28"/>
      <c r="E28"/>
      <c r="H28" s="164">
        <v>25</v>
      </c>
      <c r="J28" t="str">
        <f>IF(Main!O29="","",IF(COUNTIF(CorrectedTimeSeries[TestPoint], Alerts[[#This Row],[TestPoint]])=0, "DROPPED", ""))</f>
        <v/>
      </c>
    </row>
    <row r="29" spans="1:10" x14ac:dyDescent="0.2">
      <c r="A29" s="477"/>
      <c r="B29"/>
      <c r="C29"/>
      <c r="D29"/>
      <c r="E29"/>
      <c r="H29" s="164">
        <v>26</v>
      </c>
      <c r="J29" t="str">
        <f>IF(Main!O30="","",IF(COUNTIF(CorrectedTimeSeries[TestPoint], Alerts[[#This Row],[TestPoint]])=0, "DROPPED", ""))</f>
        <v/>
      </c>
    </row>
    <row r="30" spans="1:10" x14ac:dyDescent="0.2">
      <c r="A30" s="477"/>
      <c r="B30"/>
      <c r="C30"/>
      <c r="D30"/>
      <c r="E30"/>
      <c r="H30" s="164">
        <v>27</v>
      </c>
      <c r="J30" t="str">
        <f>IF(Main!O31="","",IF(COUNTIF(CorrectedTimeSeries[TestPoint], Alerts[[#This Row],[TestPoint]])=0, "DROPPED", ""))</f>
        <v/>
      </c>
    </row>
    <row r="31" spans="1:10" x14ac:dyDescent="0.2">
      <c r="A31" s="477"/>
      <c r="B31"/>
      <c r="C31"/>
      <c r="D31"/>
      <c r="E31"/>
      <c r="H31" s="164">
        <v>28</v>
      </c>
      <c r="J31" t="str">
        <f>IF(Main!O32="","",IF(COUNTIF(CorrectedTimeSeries[TestPoint], Alerts[[#This Row],[TestPoint]])=0, "DROPPED", ""))</f>
        <v/>
      </c>
    </row>
    <row r="32" spans="1:10" x14ac:dyDescent="0.2">
      <c r="A32" s="477"/>
      <c r="B32"/>
      <c r="C32"/>
      <c r="D32"/>
      <c r="E32"/>
      <c r="H32" s="164">
        <v>29</v>
      </c>
      <c r="J32" t="str">
        <f>IF(Main!O33="","",IF(COUNTIF(CorrectedTimeSeries[TestPoint], Alerts[[#This Row],[TestPoint]])=0, "DROPPED", ""))</f>
        <v/>
      </c>
    </row>
    <row r="33" spans="1:10" x14ac:dyDescent="0.2">
      <c r="A33" s="477"/>
      <c r="B33"/>
      <c r="C33"/>
      <c r="D33"/>
      <c r="E33"/>
      <c r="H33" s="164">
        <v>30</v>
      </c>
      <c r="J33" t="str">
        <f>IF(Main!O34="","",IF(COUNTIF(CorrectedTimeSeries[TestPoint], Alerts[[#This Row],[TestPoint]])=0, "DROPPED", ""))</f>
        <v/>
      </c>
    </row>
    <row r="34" spans="1:10" x14ac:dyDescent="0.2">
      <c r="A34" s="477"/>
      <c r="B34"/>
      <c r="C34"/>
      <c r="D34"/>
      <c r="E34"/>
      <c r="H34" s="164">
        <v>31</v>
      </c>
      <c r="J34" t="str">
        <f>IF(Main!O35="","",IF(COUNTIF(CorrectedTimeSeries[TestPoint], Alerts[[#This Row],[TestPoint]])=0, "DROPPED", ""))</f>
        <v/>
      </c>
    </row>
    <row r="35" spans="1:10" x14ac:dyDescent="0.2">
      <c r="A35" s="477"/>
      <c r="B35"/>
      <c r="C35"/>
      <c r="D35"/>
      <c r="E35"/>
      <c r="H35" s="164">
        <v>32</v>
      </c>
      <c r="J35" t="str">
        <f>IF(Main!O36="","",IF(COUNTIF(CorrectedTimeSeries[TestPoint], Alerts[[#This Row],[TestPoint]])=0, "DROPPED", ""))</f>
        <v/>
      </c>
    </row>
    <row r="36" spans="1:10" x14ac:dyDescent="0.2">
      <c r="A36" s="477"/>
      <c r="B36"/>
      <c r="C36"/>
      <c r="D36"/>
      <c r="E36"/>
      <c r="H36" s="164">
        <v>33</v>
      </c>
      <c r="J36" t="str">
        <f>IF(Main!O37="","",IF(COUNTIF(CorrectedTimeSeries[TestPoint], Alerts[[#This Row],[TestPoint]])=0, "DROPPED", ""))</f>
        <v/>
      </c>
    </row>
    <row r="37" spans="1:10" x14ac:dyDescent="0.2">
      <c r="A37" s="477"/>
      <c r="B37"/>
      <c r="C37"/>
      <c r="D37"/>
      <c r="E37"/>
      <c r="H37" s="164">
        <v>34</v>
      </c>
      <c r="J37" t="str">
        <f>IF(Main!O38="","",IF(COUNTIF(CorrectedTimeSeries[TestPoint], Alerts[[#This Row],[TestPoint]])=0, "DROPPED", ""))</f>
        <v/>
      </c>
    </row>
    <row r="38" spans="1:10" x14ac:dyDescent="0.2">
      <c r="A38" s="477"/>
      <c r="B38"/>
      <c r="C38"/>
      <c r="D38"/>
      <c r="E38"/>
      <c r="H38" s="164">
        <v>35</v>
      </c>
      <c r="J38" t="str">
        <f>IF(Main!O39="","",IF(COUNTIF(CorrectedTimeSeries[TestPoint], Alerts[[#This Row],[TestPoint]])=0, "DROPPED", ""))</f>
        <v/>
      </c>
    </row>
    <row r="39" spans="1:10" x14ac:dyDescent="0.2">
      <c r="A39" s="477"/>
      <c r="B39"/>
      <c r="C39"/>
      <c r="D39"/>
      <c r="E39"/>
      <c r="H39" s="164">
        <v>36</v>
      </c>
      <c r="J39" t="str">
        <f>IF(Main!O40="","",IF(COUNTIF(CorrectedTimeSeries[TestPoint], Alerts[[#This Row],[TestPoint]])=0, "DROPPED", ""))</f>
        <v/>
      </c>
    </row>
    <row r="40" spans="1:10" x14ac:dyDescent="0.2">
      <c r="A40" s="477"/>
      <c r="B40"/>
      <c r="C40"/>
      <c r="D40"/>
      <c r="E40"/>
      <c r="H40" s="164">
        <v>37</v>
      </c>
      <c r="J40" t="str">
        <f>IF(Main!O41="","",IF(COUNTIF(CorrectedTimeSeries[TestPoint], Alerts[[#This Row],[TestPoint]])=0, "DROPPED", ""))</f>
        <v/>
      </c>
    </row>
    <row r="41" spans="1:10" x14ac:dyDescent="0.2">
      <c r="A41" s="477"/>
      <c r="B41"/>
      <c r="C41"/>
      <c r="D41"/>
      <c r="E41"/>
      <c r="H41" s="164">
        <v>38</v>
      </c>
      <c r="J41" t="str">
        <f>IF(Main!O42="","",IF(COUNTIF(CorrectedTimeSeries[TestPoint], Alerts[[#This Row],[TestPoint]])=0, "DROPPED", ""))</f>
        <v/>
      </c>
    </row>
    <row r="42" spans="1:10" x14ac:dyDescent="0.2">
      <c r="A42" s="477"/>
      <c r="B42"/>
      <c r="C42"/>
      <c r="D42"/>
      <c r="E42"/>
      <c r="H42" s="164">
        <v>39</v>
      </c>
      <c r="J42" t="str">
        <f>IF(Main!O43="","",IF(COUNTIF(CorrectedTimeSeries[TestPoint], Alerts[[#This Row],[TestPoint]])=0, "DROPPED", ""))</f>
        <v/>
      </c>
    </row>
    <row r="43" spans="1:10" x14ac:dyDescent="0.2">
      <c r="A43" s="477"/>
      <c r="B43"/>
      <c r="C43"/>
      <c r="D43"/>
      <c r="E43"/>
      <c r="H43" s="164">
        <v>40</v>
      </c>
      <c r="J43" t="str">
        <f>IF(Main!O44="","",IF(COUNTIF(CorrectedTimeSeries[TestPoint], Alerts[[#This Row],[TestPoint]])=0, "DROPPED", ""))</f>
        <v/>
      </c>
    </row>
    <row r="44" spans="1:10" x14ac:dyDescent="0.2">
      <c r="A44" s="477"/>
      <c r="B44"/>
      <c r="C44"/>
      <c r="D44"/>
      <c r="E44"/>
    </row>
    <row r="45" spans="1:10" x14ac:dyDescent="0.2">
      <c r="A45" s="477"/>
      <c r="B45"/>
      <c r="C45"/>
      <c r="D45"/>
      <c r="E45"/>
    </row>
    <row r="46" spans="1:10" x14ac:dyDescent="0.2">
      <c r="A46" s="477"/>
      <c r="B46"/>
      <c r="C46"/>
      <c r="D46"/>
      <c r="E46"/>
    </row>
    <row r="47" spans="1:10" x14ac:dyDescent="0.2">
      <c r="A47" s="477"/>
      <c r="B47"/>
      <c r="C47"/>
      <c r="D47"/>
      <c r="E47"/>
    </row>
    <row r="48" spans="1:10" x14ac:dyDescent="0.2">
      <c r="A48" s="477"/>
      <c r="B48"/>
      <c r="C48"/>
      <c r="D48"/>
      <c r="E48"/>
    </row>
    <row r="49" spans="1:5" x14ac:dyDescent="0.2">
      <c r="A49" s="477"/>
      <c r="B49"/>
      <c r="C49"/>
      <c r="D49"/>
      <c r="E49"/>
    </row>
    <row r="50" spans="1:5" x14ac:dyDescent="0.2">
      <c r="A50" s="477"/>
      <c r="B50"/>
      <c r="C50"/>
      <c r="D50"/>
      <c r="E50"/>
    </row>
    <row r="51" spans="1:5" x14ac:dyDescent="0.2">
      <c r="A51" s="477"/>
      <c r="B51"/>
      <c r="C51"/>
      <c r="D51"/>
      <c r="E51"/>
    </row>
    <row r="52" spans="1:5" x14ac:dyDescent="0.2">
      <c r="A52" s="477"/>
      <c r="B52"/>
      <c r="C52"/>
      <c r="D52"/>
      <c r="E52"/>
    </row>
    <row r="53" spans="1:5" x14ac:dyDescent="0.2">
      <c r="A53" s="477"/>
      <c r="B53"/>
      <c r="C53"/>
      <c r="D53"/>
      <c r="E53"/>
    </row>
    <row r="54" spans="1:5" x14ac:dyDescent="0.2">
      <c r="A54" s="477"/>
      <c r="B54"/>
      <c r="C54"/>
      <c r="D54"/>
      <c r="E54"/>
    </row>
    <row r="55" spans="1:5" x14ac:dyDescent="0.2">
      <c r="A55" s="477"/>
      <c r="B55"/>
      <c r="C55"/>
      <c r="D55"/>
      <c r="E55"/>
    </row>
    <row r="56" spans="1:5" x14ac:dyDescent="0.2">
      <c r="A56" s="477"/>
      <c r="B56"/>
      <c r="C56"/>
      <c r="D56"/>
      <c r="E56"/>
    </row>
    <row r="57" spans="1:5" x14ac:dyDescent="0.2">
      <c r="A57" s="477"/>
      <c r="B57"/>
      <c r="C57"/>
      <c r="D57"/>
      <c r="E57"/>
    </row>
    <row r="58" spans="1:5" x14ac:dyDescent="0.2">
      <c r="A58" s="477"/>
      <c r="B58"/>
      <c r="C58"/>
      <c r="D58"/>
      <c r="E58"/>
    </row>
    <row r="59" spans="1:5" x14ac:dyDescent="0.2">
      <c r="A59" s="477"/>
      <c r="B59"/>
      <c r="C59"/>
      <c r="D59"/>
      <c r="E59"/>
    </row>
    <row r="60" spans="1:5" x14ac:dyDescent="0.2">
      <c r="A60" s="477"/>
      <c r="B60"/>
      <c r="C60"/>
      <c r="D60"/>
      <c r="E60"/>
    </row>
    <row r="61" spans="1:5" x14ac:dyDescent="0.2">
      <c r="A61" s="477"/>
      <c r="B61"/>
      <c r="C61"/>
      <c r="D61"/>
      <c r="E61"/>
    </row>
    <row r="62" spans="1:5" x14ac:dyDescent="0.2">
      <c r="A62" s="477"/>
      <c r="B62"/>
      <c r="C62"/>
      <c r="D62"/>
      <c r="E62"/>
    </row>
    <row r="63" spans="1:5" x14ac:dyDescent="0.2">
      <c r="A63" s="477"/>
      <c r="B63"/>
      <c r="C63"/>
      <c r="D63"/>
      <c r="E63"/>
    </row>
    <row r="64" spans="1:5" x14ac:dyDescent="0.2">
      <c r="A64" s="477"/>
      <c r="B64"/>
      <c r="C64"/>
      <c r="D64"/>
      <c r="E64"/>
    </row>
    <row r="65" spans="1:5" x14ac:dyDescent="0.2">
      <c r="A65" s="477"/>
      <c r="B65"/>
      <c r="C65"/>
      <c r="D65"/>
      <c r="E65"/>
    </row>
    <row r="66" spans="1:5" x14ac:dyDescent="0.2">
      <c r="A66" s="477"/>
      <c r="B66"/>
      <c r="C66"/>
      <c r="D66"/>
      <c r="E66"/>
    </row>
    <row r="67" spans="1:5" x14ac:dyDescent="0.2">
      <c r="A67" s="477"/>
      <c r="B67"/>
      <c r="C67"/>
      <c r="D67"/>
      <c r="E67"/>
    </row>
    <row r="68" spans="1:5" x14ac:dyDescent="0.2">
      <c r="A68" s="477"/>
      <c r="B68"/>
      <c r="C68"/>
      <c r="D68"/>
      <c r="E68"/>
    </row>
    <row r="69" spans="1:5" x14ac:dyDescent="0.2">
      <c r="A69" s="477"/>
      <c r="B69"/>
      <c r="C69"/>
      <c r="D69"/>
      <c r="E69"/>
    </row>
    <row r="70" spans="1:5" x14ac:dyDescent="0.2">
      <c r="A70" s="477"/>
      <c r="B70"/>
      <c r="C70"/>
      <c r="D70"/>
      <c r="E70"/>
    </row>
    <row r="71" spans="1:5" x14ac:dyDescent="0.2">
      <c r="A71" s="477"/>
      <c r="B71"/>
      <c r="C71"/>
      <c r="D71"/>
      <c r="E71"/>
    </row>
    <row r="72" spans="1:5" x14ac:dyDescent="0.2">
      <c r="A72" s="477"/>
      <c r="B72"/>
      <c r="C72"/>
      <c r="D72"/>
      <c r="E72"/>
    </row>
    <row r="73" spans="1:5" x14ac:dyDescent="0.2">
      <c r="A73" s="477"/>
      <c r="B73"/>
      <c r="C73"/>
      <c r="D73"/>
      <c r="E73"/>
    </row>
    <row r="74" spans="1:5" x14ac:dyDescent="0.2">
      <c r="A74" s="477"/>
      <c r="B74"/>
      <c r="C74"/>
      <c r="D74"/>
      <c r="E74"/>
    </row>
    <row r="75" spans="1:5" x14ac:dyDescent="0.2">
      <c r="A75" s="477"/>
      <c r="B75"/>
      <c r="C75"/>
      <c r="D75"/>
      <c r="E75"/>
    </row>
    <row r="76" spans="1:5" x14ac:dyDescent="0.2">
      <c r="A76" s="477"/>
      <c r="B76"/>
      <c r="C76"/>
      <c r="D76"/>
      <c r="E76"/>
    </row>
    <row r="77" spans="1:5" x14ac:dyDescent="0.2">
      <c r="A77" s="477"/>
      <c r="B77"/>
      <c r="C77"/>
      <c r="D77"/>
      <c r="E77"/>
    </row>
    <row r="78" spans="1:5" x14ac:dyDescent="0.2">
      <c r="A78" s="477"/>
      <c r="B78"/>
      <c r="C78"/>
      <c r="D78"/>
      <c r="E78"/>
    </row>
    <row r="79" spans="1:5" x14ac:dyDescent="0.2">
      <c r="A79" s="477"/>
      <c r="B79"/>
      <c r="C79"/>
      <c r="D79"/>
      <c r="E79"/>
    </row>
    <row r="80" spans="1:5" x14ac:dyDescent="0.2">
      <c r="A80" s="477"/>
      <c r="B80"/>
      <c r="C80"/>
      <c r="D80"/>
      <c r="E80"/>
    </row>
    <row r="81" spans="1:5" x14ac:dyDescent="0.2">
      <c r="A81" s="477"/>
      <c r="B81"/>
      <c r="C81"/>
      <c r="D81"/>
      <c r="E81"/>
    </row>
    <row r="82" spans="1:5" x14ac:dyDescent="0.2">
      <c r="A82" s="477"/>
      <c r="B82"/>
      <c r="C82"/>
      <c r="D82"/>
      <c r="E82"/>
    </row>
    <row r="83" spans="1:5" x14ac:dyDescent="0.2">
      <c r="A83" s="477"/>
      <c r="B83"/>
      <c r="C83"/>
      <c r="D83"/>
      <c r="E83"/>
    </row>
    <row r="84" spans="1:5" x14ac:dyDescent="0.2">
      <c r="A84" s="477"/>
      <c r="B84"/>
      <c r="C84"/>
      <c r="D84"/>
      <c r="E84"/>
    </row>
    <row r="85" spans="1:5" x14ac:dyDescent="0.2">
      <c r="A85" s="477"/>
      <c r="B85"/>
      <c r="C85"/>
      <c r="D85"/>
      <c r="E85"/>
    </row>
    <row r="86" spans="1:5" x14ac:dyDescent="0.2">
      <c r="A86" s="477"/>
      <c r="B86"/>
      <c r="C86"/>
      <c r="D86"/>
      <c r="E86"/>
    </row>
    <row r="87" spans="1:5" x14ac:dyDescent="0.2">
      <c r="A87" s="477"/>
      <c r="B87"/>
      <c r="C87"/>
      <c r="D87"/>
      <c r="E87"/>
    </row>
    <row r="88" spans="1:5" x14ac:dyDescent="0.2">
      <c r="A88" s="477"/>
      <c r="B88"/>
      <c r="C88"/>
      <c r="D88"/>
      <c r="E88"/>
    </row>
    <row r="89" spans="1:5" x14ac:dyDescent="0.2">
      <c r="A89" s="477"/>
      <c r="B89"/>
      <c r="C89"/>
      <c r="D89"/>
      <c r="E89"/>
    </row>
    <row r="90" spans="1:5" x14ac:dyDescent="0.2">
      <c r="A90" s="477"/>
      <c r="B90"/>
      <c r="C90"/>
      <c r="D90"/>
      <c r="E90"/>
    </row>
    <row r="91" spans="1:5" x14ac:dyDescent="0.2">
      <c r="A91" s="477"/>
      <c r="B91"/>
      <c r="C91"/>
      <c r="D91"/>
      <c r="E91"/>
    </row>
    <row r="92" spans="1:5" x14ac:dyDescent="0.2">
      <c r="A92" s="477"/>
      <c r="B92"/>
      <c r="C92"/>
      <c r="D92"/>
      <c r="E92"/>
    </row>
    <row r="93" spans="1:5" x14ac:dyDescent="0.2">
      <c r="A93" s="477"/>
      <c r="B93"/>
      <c r="C93"/>
      <c r="D93"/>
      <c r="E93"/>
    </row>
    <row r="94" spans="1:5" x14ac:dyDescent="0.2">
      <c r="A94" s="477"/>
      <c r="B94"/>
      <c r="C94"/>
      <c r="D94"/>
      <c r="E94"/>
    </row>
    <row r="95" spans="1:5" x14ac:dyDescent="0.2">
      <c r="A95" s="477"/>
      <c r="B95"/>
      <c r="C95"/>
      <c r="D95"/>
      <c r="E95"/>
    </row>
    <row r="96" spans="1:5" x14ac:dyDescent="0.2">
      <c r="A96" s="477"/>
      <c r="B96"/>
      <c r="C96"/>
      <c r="D96"/>
      <c r="E96"/>
    </row>
    <row r="97" spans="1:5" x14ac:dyDescent="0.2">
      <c r="A97" s="477"/>
      <c r="B97"/>
      <c r="C97"/>
      <c r="D97"/>
      <c r="E97"/>
    </row>
    <row r="98" spans="1:5" x14ac:dyDescent="0.2">
      <c r="A98" s="477"/>
      <c r="B98"/>
      <c r="C98"/>
      <c r="D98"/>
      <c r="E98"/>
    </row>
    <row r="99" spans="1:5" x14ac:dyDescent="0.2">
      <c r="A99" s="477"/>
      <c r="B99"/>
      <c r="C99"/>
      <c r="D99"/>
      <c r="E99"/>
    </row>
    <row r="100" spans="1:5" x14ac:dyDescent="0.2">
      <c r="A100" s="477"/>
      <c r="B100"/>
      <c r="C100"/>
      <c r="D100"/>
      <c r="E100"/>
    </row>
    <row r="101" spans="1:5" x14ac:dyDescent="0.2">
      <c r="A101" s="477"/>
      <c r="B101"/>
      <c r="C101"/>
      <c r="D101"/>
      <c r="E101"/>
    </row>
    <row r="102" spans="1:5" x14ac:dyDescent="0.2">
      <c r="A102" s="477"/>
      <c r="B102"/>
      <c r="C102"/>
      <c r="D102"/>
      <c r="E102"/>
    </row>
    <row r="103" spans="1:5" x14ac:dyDescent="0.2">
      <c r="A103" s="477"/>
      <c r="B103"/>
      <c r="C103"/>
      <c r="D103"/>
      <c r="E103"/>
    </row>
    <row r="104" spans="1:5" x14ac:dyDescent="0.2">
      <c r="A104" s="477"/>
      <c r="B104"/>
      <c r="C104"/>
      <c r="D104"/>
      <c r="E104"/>
    </row>
    <row r="105" spans="1:5" x14ac:dyDescent="0.2">
      <c r="A105" s="477"/>
      <c r="B105"/>
      <c r="C105"/>
      <c r="D105"/>
      <c r="E105"/>
    </row>
    <row r="106" spans="1:5" x14ac:dyDescent="0.2">
      <c r="A106" s="477"/>
      <c r="B106"/>
      <c r="C106"/>
      <c r="D106"/>
      <c r="E106"/>
    </row>
    <row r="107" spans="1:5" x14ac:dyDescent="0.2">
      <c r="A107" s="477"/>
      <c r="B107"/>
      <c r="C107"/>
      <c r="D107"/>
      <c r="E107"/>
    </row>
    <row r="108" spans="1:5" x14ac:dyDescent="0.2">
      <c r="A108" s="477"/>
      <c r="B108"/>
      <c r="C108"/>
      <c r="D108"/>
      <c r="E108"/>
    </row>
    <row r="109" spans="1:5" x14ac:dyDescent="0.2">
      <c r="A109" s="477"/>
      <c r="B109"/>
      <c r="C109"/>
      <c r="D109"/>
      <c r="E109"/>
    </row>
    <row r="110" spans="1:5" x14ac:dyDescent="0.2">
      <c r="A110" s="477"/>
      <c r="B110"/>
      <c r="C110"/>
      <c r="D110"/>
      <c r="E110"/>
    </row>
    <row r="111" spans="1:5" x14ac:dyDescent="0.2">
      <c r="A111" s="477"/>
      <c r="B111"/>
      <c r="C111"/>
      <c r="D111"/>
      <c r="E111"/>
    </row>
    <row r="112" spans="1:5" x14ac:dyDescent="0.2">
      <c r="A112" s="477"/>
      <c r="B112"/>
      <c r="C112"/>
      <c r="D112"/>
      <c r="E112"/>
    </row>
    <row r="113" spans="1:5" x14ac:dyDescent="0.2">
      <c r="A113" s="477"/>
      <c r="B113"/>
      <c r="C113"/>
      <c r="D113"/>
      <c r="E113"/>
    </row>
    <row r="114" spans="1:5" x14ac:dyDescent="0.2">
      <c r="A114" s="477"/>
      <c r="B114"/>
      <c r="C114"/>
      <c r="D114"/>
      <c r="E114"/>
    </row>
    <row r="115" spans="1:5" x14ac:dyDescent="0.2">
      <c r="A115" s="477"/>
      <c r="B115"/>
      <c r="C115"/>
      <c r="D115"/>
      <c r="E115"/>
    </row>
    <row r="116" spans="1:5" x14ac:dyDescent="0.2">
      <c r="A116" s="477"/>
      <c r="B116"/>
      <c r="C116"/>
      <c r="D116"/>
      <c r="E116"/>
    </row>
    <row r="117" spans="1:5" x14ac:dyDescent="0.2">
      <c r="A117" s="477"/>
      <c r="B117"/>
      <c r="C117"/>
      <c r="D117"/>
      <c r="E117"/>
    </row>
    <row r="118" spans="1:5" x14ac:dyDescent="0.2">
      <c r="A118" s="477"/>
      <c r="B118"/>
      <c r="C118"/>
      <c r="D118"/>
      <c r="E118"/>
    </row>
    <row r="119" spans="1:5" x14ac:dyDescent="0.2">
      <c r="A119" s="477"/>
      <c r="B119"/>
      <c r="C119"/>
      <c r="D119"/>
      <c r="E119"/>
    </row>
    <row r="120" spans="1:5" x14ac:dyDescent="0.2">
      <c r="A120" s="477"/>
      <c r="B120"/>
      <c r="C120"/>
      <c r="D120"/>
      <c r="E120"/>
    </row>
    <row r="121" spans="1:5" x14ac:dyDescent="0.2">
      <c r="A121" s="477"/>
      <c r="B121"/>
      <c r="C121"/>
      <c r="D121"/>
      <c r="E121"/>
    </row>
    <row r="122" spans="1:5" x14ac:dyDescent="0.2">
      <c r="A122" s="477"/>
      <c r="B122"/>
      <c r="C122"/>
      <c r="D122"/>
      <c r="E122"/>
    </row>
    <row r="123" spans="1:5" x14ac:dyDescent="0.2">
      <c r="A123" s="477"/>
      <c r="B123"/>
      <c r="C123"/>
      <c r="D123"/>
      <c r="E123"/>
    </row>
    <row r="124" spans="1:5" x14ac:dyDescent="0.2">
      <c r="A124" s="477"/>
      <c r="B124"/>
      <c r="C124"/>
      <c r="D124"/>
      <c r="E124"/>
    </row>
    <row r="125" spans="1:5" x14ac:dyDescent="0.2">
      <c r="A125" s="477"/>
      <c r="B125"/>
      <c r="C125"/>
      <c r="D125"/>
      <c r="E125"/>
    </row>
    <row r="126" spans="1:5" x14ac:dyDescent="0.2">
      <c r="A126" s="477"/>
      <c r="B126"/>
      <c r="C126"/>
      <c r="D126"/>
      <c r="E126"/>
    </row>
    <row r="127" spans="1:5" x14ac:dyDescent="0.2">
      <c r="A127" s="477"/>
      <c r="B127"/>
      <c r="C127"/>
      <c r="D127"/>
      <c r="E127"/>
    </row>
    <row r="128" spans="1:5" x14ac:dyDescent="0.2">
      <c r="A128" s="477"/>
      <c r="B128"/>
      <c r="C128"/>
      <c r="D128"/>
      <c r="E128"/>
    </row>
    <row r="129" spans="1:5" x14ac:dyDescent="0.2">
      <c r="A129" s="477"/>
      <c r="B129"/>
      <c r="C129"/>
      <c r="D129"/>
      <c r="E129"/>
    </row>
    <row r="130" spans="1:5" x14ac:dyDescent="0.2">
      <c r="A130" s="477"/>
      <c r="B130"/>
      <c r="C130"/>
      <c r="D130"/>
      <c r="E130"/>
    </row>
    <row r="131" spans="1:5" x14ac:dyDescent="0.2">
      <c r="A131" s="477"/>
      <c r="B131"/>
      <c r="C131"/>
      <c r="D131"/>
      <c r="E131"/>
    </row>
    <row r="132" spans="1:5" x14ac:dyDescent="0.2">
      <c r="A132" s="477"/>
      <c r="B132"/>
      <c r="C132"/>
      <c r="D132"/>
      <c r="E132"/>
    </row>
    <row r="133" spans="1:5" x14ac:dyDescent="0.2">
      <c r="A133" s="477"/>
      <c r="B133"/>
      <c r="C133"/>
      <c r="D133"/>
      <c r="E133"/>
    </row>
    <row r="134" spans="1:5" x14ac:dyDescent="0.2">
      <c r="A134" s="477"/>
      <c r="B134"/>
      <c r="C134"/>
      <c r="D134"/>
      <c r="E134"/>
    </row>
    <row r="135" spans="1:5" x14ac:dyDescent="0.2">
      <c r="A135" s="477"/>
      <c r="B135"/>
      <c r="C135"/>
      <c r="D135"/>
      <c r="E135"/>
    </row>
    <row r="136" spans="1:5" x14ac:dyDescent="0.2">
      <c r="A136" s="477"/>
      <c r="B136"/>
      <c r="C136"/>
      <c r="D136"/>
      <c r="E136"/>
    </row>
    <row r="137" spans="1:5" x14ac:dyDescent="0.2">
      <c r="A137" s="477"/>
      <c r="B137"/>
      <c r="C137"/>
      <c r="D137"/>
      <c r="E137"/>
    </row>
    <row r="138" spans="1:5" x14ac:dyDescent="0.2">
      <c r="A138" s="477"/>
      <c r="B138"/>
      <c r="C138"/>
      <c r="D138"/>
      <c r="E138"/>
    </row>
    <row r="139" spans="1:5" x14ac:dyDescent="0.2">
      <c r="A139" s="477"/>
      <c r="B139"/>
      <c r="C139"/>
      <c r="D139"/>
      <c r="E139"/>
    </row>
    <row r="140" spans="1:5" x14ac:dyDescent="0.2">
      <c r="A140" s="477"/>
      <c r="B140"/>
      <c r="C140"/>
      <c r="D140"/>
      <c r="E140"/>
    </row>
    <row r="141" spans="1:5" x14ac:dyDescent="0.2">
      <c r="A141" s="477"/>
      <c r="B141"/>
      <c r="C141"/>
      <c r="D141"/>
      <c r="E141"/>
    </row>
    <row r="142" spans="1:5" x14ac:dyDescent="0.2">
      <c r="A142" s="477"/>
      <c r="B142"/>
      <c r="C142"/>
      <c r="D142"/>
      <c r="E142"/>
    </row>
    <row r="143" spans="1:5" x14ac:dyDescent="0.2">
      <c r="A143" s="477"/>
      <c r="B143"/>
      <c r="C143"/>
      <c r="D143"/>
      <c r="E143"/>
    </row>
    <row r="144" spans="1:5" x14ac:dyDescent="0.2">
      <c r="A144" s="477"/>
      <c r="B144"/>
      <c r="C144"/>
      <c r="D144"/>
      <c r="E144"/>
    </row>
    <row r="145" spans="1:5" x14ac:dyDescent="0.2">
      <c r="A145" s="477"/>
      <c r="B145"/>
      <c r="C145"/>
      <c r="D145"/>
      <c r="E145"/>
    </row>
    <row r="146" spans="1:5" x14ac:dyDescent="0.2">
      <c r="A146" s="477"/>
      <c r="B146"/>
      <c r="C146"/>
      <c r="D146"/>
      <c r="E146"/>
    </row>
    <row r="147" spans="1:5" x14ac:dyDescent="0.2">
      <c r="A147" s="477"/>
      <c r="B147"/>
      <c r="C147"/>
      <c r="D147"/>
      <c r="E147"/>
    </row>
    <row r="148" spans="1:5" x14ac:dyDescent="0.2">
      <c r="A148" s="477"/>
      <c r="B148"/>
      <c r="C148"/>
      <c r="D148"/>
      <c r="E148"/>
    </row>
    <row r="149" spans="1:5" x14ac:dyDescent="0.2">
      <c r="A149" s="477"/>
      <c r="B149"/>
      <c r="C149"/>
      <c r="D149"/>
      <c r="E149"/>
    </row>
    <row r="150" spans="1:5" x14ac:dyDescent="0.2">
      <c r="A150" s="477"/>
      <c r="B150"/>
      <c r="C150"/>
      <c r="D150"/>
      <c r="E150"/>
    </row>
    <row r="151" spans="1:5" x14ac:dyDescent="0.2">
      <c r="A151" s="477"/>
      <c r="B151"/>
      <c r="C151"/>
      <c r="D151"/>
      <c r="E151"/>
    </row>
    <row r="152" spans="1:5" x14ac:dyDescent="0.2">
      <c r="A152" s="477"/>
      <c r="B152"/>
      <c r="C152"/>
      <c r="D152"/>
      <c r="E152"/>
    </row>
    <row r="153" spans="1:5" x14ac:dyDescent="0.2">
      <c r="A153" s="477"/>
      <c r="B153"/>
      <c r="C153"/>
      <c r="D153"/>
      <c r="E153"/>
    </row>
    <row r="154" spans="1:5" x14ac:dyDescent="0.2">
      <c r="A154" s="477"/>
      <c r="B154"/>
      <c r="C154"/>
      <c r="D154"/>
      <c r="E154"/>
    </row>
    <row r="155" spans="1:5" x14ac:dyDescent="0.2">
      <c r="A155" s="477"/>
      <c r="B155"/>
      <c r="C155"/>
      <c r="D155"/>
      <c r="E155"/>
    </row>
    <row r="156" spans="1:5" x14ac:dyDescent="0.2">
      <c r="A156" s="477"/>
      <c r="B156"/>
      <c r="C156"/>
      <c r="D156"/>
      <c r="E156"/>
    </row>
    <row r="157" spans="1:5" x14ac:dyDescent="0.2">
      <c r="A157" s="477"/>
      <c r="B157"/>
      <c r="C157"/>
      <c r="D157"/>
      <c r="E157"/>
    </row>
    <row r="158" spans="1:5" x14ac:dyDescent="0.2">
      <c r="A158" s="477"/>
      <c r="B158"/>
      <c r="C158"/>
      <c r="D158"/>
      <c r="E158"/>
    </row>
    <row r="159" spans="1:5" x14ac:dyDescent="0.2">
      <c r="A159" s="477"/>
      <c r="B159"/>
      <c r="C159"/>
      <c r="D159"/>
      <c r="E159"/>
    </row>
    <row r="160" spans="1:5" x14ac:dyDescent="0.2">
      <c r="A160" s="477"/>
      <c r="B160"/>
      <c r="C160"/>
      <c r="D160"/>
      <c r="E160"/>
    </row>
    <row r="161" spans="1:5" x14ac:dyDescent="0.2">
      <c r="A161" s="477"/>
      <c r="B161"/>
      <c r="C161"/>
      <c r="D161"/>
      <c r="E161"/>
    </row>
  </sheetData>
  <pageMargins left="0.7" right="0.7" top="0.75" bottom="0.75" header="0.3" footer="0.3"/>
  <ignoredErrors>
    <ignoredError sqref="H4:H43" calculatedColumn="1"/>
    <ignoredError sqref="H2:H3" evalError="1" calculatedColumn="1"/>
    <ignoredError sqref="L2:L3" evalError="1"/>
  </ignoredErrors>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416</v>
      </c>
      <c r="B1" t="s">
        <v>557</v>
      </c>
      <c r="C1" t="s">
        <v>558</v>
      </c>
      <c r="D1" t="s">
        <v>559</v>
      </c>
      <c r="E1" t="s">
        <v>560</v>
      </c>
      <c r="F1" t="s">
        <v>555</v>
      </c>
      <c r="G1" t="s">
        <v>545</v>
      </c>
      <c r="H1" t="s">
        <v>526</v>
      </c>
      <c r="I1" t="s">
        <v>546</v>
      </c>
      <c r="J1" t="s">
        <v>531</v>
      </c>
      <c r="K1" t="s">
        <v>532</v>
      </c>
      <c r="L1" t="s">
        <v>533</v>
      </c>
      <c r="M1" t="s">
        <v>547</v>
      </c>
      <c r="N1" t="s">
        <v>414</v>
      </c>
      <c r="O1" t="s">
        <v>415</v>
      </c>
      <c r="P1" t="s">
        <v>417</v>
      </c>
      <c r="Q1" t="s">
        <v>535</v>
      </c>
      <c r="R1" t="s">
        <v>536</v>
      </c>
      <c r="S1" t="s">
        <v>537</v>
      </c>
      <c r="T1" t="s">
        <v>534</v>
      </c>
      <c r="U1" t="s">
        <v>548</v>
      </c>
      <c r="V1" t="s">
        <v>549</v>
      </c>
      <c r="W1" t="s">
        <v>538</v>
      </c>
      <c r="X1" t="s">
        <v>539</v>
      </c>
      <c r="Y1" t="s">
        <v>540</v>
      </c>
      <c r="Z1" t="s">
        <v>527</v>
      </c>
      <c r="AA1" t="s">
        <v>528</v>
      </c>
      <c r="AB1" t="s">
        <v>529</v>
      </c>
      <c r="AC1" t="s">
        <v>530</v>
      </c>
      <c r="AD1" t="s">
        <v>418</v>
      </c>
      <c r="AE1" t="s">
        <v>419</v>
      </c>
      <c r="AF1" t="s">
        <v>543</v>
      </c>
      <c r="AG1" t="s">
        <v>544</v>
      </c>
      <c r="AH1" t="s">
        <v>541</v>
      </c>
      <c r="AI1" t="s">
        <v>542</v>
      </c>
      <c r="AJ1" t="s">
        <v>556</v>
      </c>
      <c r="AK1" t="s">
        <v>561</v>
      </c>
      <c r="AL1" t="s">
        <v>562</v>
      </c>
    </row>
    <row r="2" spans="1:38" x14ac:dyDescent="0.2">
      <c r="A2">
        <v>1235344</v>
      </c>
      <c r="B2">
        <v>6864835</v>
      </c>
      <c r="C2">
        <v>7653243</v>
      </c>
      <c r="E2" t="b">
        <v>0</v>
      </c>
      <c r="G2" t="s">
        <v>585</v>
      </c>
      <c r="I2" t="s">
        <v>586</v>
      </c>
      <c r="J2" t="s">
        <v>550</v>
      </c>
      <c r="K2" t="s">
        <v>550</v>
      </c>
      <c r="L2" t="s">
        <v>550</v>
      </c>
      <c r="M2" t="s">
        <v>587</v>
      </c>
      <c r="N2" t="s">
        <v>420</v>
      </c>
      <c r="O2" t="s">
        <v>334</v>
      </c>
      <c r="P2" t="s">
        <v>120</v>
      </c>
      <c r="V2" t="s">
        <v>588</v>
      </c>
      <c r="Y2" t="s">
        <v>589</v>
      </c>
      <c r="AD2" t="s">
        <v>333</v>
      </c>
      <c r="AE2" t="s">
        <v>421</v>
      </c>
      <c r="AJ2" t="s">
        <v>590</v>
      </c>
      <c r="AK2" t="s">
        <v>591</v>
      </c>
      <c r="AL2" t="s">
        <v>592</v>
      </c>
    </row>
    <row r="3" spans="1:38" x14ac:dyDescent="0.2">
      <c r="A3">
        <v>1235555</v>
      </c>
      <c r="B3">
        <v>8036587</v>
      </c>
      <c r="C3">
        <v>7589603</v>
      </c>
      <c r="E3" t="b">
        <v>0</v>
      </c>
      <c r="F3">
        <v>72040</v>
      </c>
      <c r="G3" t="s">
        <v>593</v>
      </c>
      <c r="H3">
        <v>1</v>
      </c>
      <c r="I3" t="s">
        <v>594</v>
      </c>
      <c r="J3" t="s">
        <v>551</v>
      </c>
      <c r="K3" t="s">
        <v>550</v>
      </c>
      <c r="L3" t="s">
        <v>552</v>
      </c>
      <c r="M3" t="s">
        <v>595</v>
      </c>
      <c r="N3" t="s">
        <v>464</v>
      </c>
      <c r="O3" t="s">
        <v>226</v>
      </c>
      <c r="P3" t="s">
        <v>442</v>
      </c>
      <c r="S3" t="s">
        <v>596</v>
      </c>
      <c r="U3" t="s">
        <v>597</v>
      </c>
      <c r="V3" t="s">
        <v>598</v>
      </c>
      <c r="W3" t="s">
        <v>459</v>
      </c>
      <c r="X3" t="s">
        <v>553</v>
      </c>
      <c r="Y3" t="s">
        <v>599</v>
      </c>
      <c r="Z3" t="s">
        <v>565</v>
      </c>
      <c r="AB3" t="s">
        <v>591</v>
      </c>
      <c r="AD3" t="s">
        <v>554</v>
      </c>
      <c r="AE3" t="s">
        <v>554</v>
      </c>
      <c r="AF3">
        <v>0</v>
      </c>
      <c r="AG3">
        <v>0</v>
      </c>
      <c r="AH3">
        <v>46</v>
      </c>
      <c r="AI3">
        <v>0</v>
      </c>
      <c r="AJ3" t="s">
        <v>567</v>
      </c>
      <c r="AK3" t="s">
        <v>591</v>
      </c>
      <c r="AL3" t="s">
        <v>600</v>
      </c>
    </row>
    <row r="4" spans="1:38" x14ac:dyDescent="0.2">
      <c r="A4">
        <v>1235388</v>
      </c>
      <c r="B4">
        <v>7537859</v>
      </c>
      <c r="C4">
        <v>187510</v>
      </c>
      <c r="E4" t="b">
        <v>0</v>
      </c>
      <c r="F4">
        <v>62285</v>
      </c>
      <c r="G4" t="s">
        <v>601</v>
      </c>
      <c r="H4">
        <v>1</v>
      </c>
      <c r="I4" t="s">
        <v>602</v>
      </c>
      <c r="J4" t="s">
        <v>551</v>
      </c>
      <c r="K4" t="s">
        <v>550</v>
      </c>
      <c r="L4" t="s">
        <v>552</v>
      </c>
      <c r="M4" t="s">
        <v>603</v>
      </c>
      <c r="N4" t="s">
        <v>424</v>
      </c>
      <c r="O4" t="s">
        <v>234</v>
      </c>
      <c r="P4" t="s">
        <v>425</v>
      </c>
      <c r="S4" t="s">
        <v>604</v>
      </c>
      <c r="U4" t="s">
        <v>605</v>
      </c>
      <c r="V4" t="s">
        <v>606</v>
      </c>
      <c r="W4" t="s">
        <v>607</v>
      </c>
      <c r="X4" t="s">
        <v>553</v>
      </c>
      <c r="Y4" t="s">
        <v>599</v>
      </c>
      <c r="Z4" t="s">
        <v>565</v>
      </c>
      <c r="AA4" t="s">
        <v>27</v>
      </c>
      <c r="AB4" t="s">
        <v>608</v>
      </c>
      <c r="AD4" t="s">
        <v>233</v>
      </c>
      <c r="AE4" t="s">
        <v>426</v>
      </c>
      <c r="AF4">
        <v>0</v>
      </c>
      <c r="AG4">
        <v>0</v>
      </c>
      <c r="AH4">
        <v>70</v>
      </c>
      <c r="AI4">
        <v>0</v>
      </c>
      <c r="AJ4" t="s">
        <v>567</v>
      </c>
      <c r="AK4" t="s">
        <v>608</v>
      </c>
      <c r="AL4" t="s">
        <v>568</v>
      </c>
    </row>
    <row r="5" spans="1:38" x14ac:dyDescent="0.2">
      <c r="A5">
        <v>1235682</v>
      </c>
      <c r="B5">
        <v>7943647</v>
      </c>
      <c r="C5">
        <v>187508</v>
      </c>
      <c r="E5" t="b">
        <v>0</v>
      </c>
      <c r="F5">
        <v>69999</v>
      </c>
      <c r="G5" t="s">
        <v>609</v>
      </c>
      <c r="H5">
        <v>1</v>
      </c>
      <c r="I5" t="s">
        <v>610</v>
      </c>
      <c r="J5" t="s">
        <v>551</v>
      </c>
      <c r="K5" t="s">
        <v>552</v>
      </c>
      <c r="L5" t="s">
        <v>552</v>
      </c>
      <c r="M5" t="s">
        <v>611</v>
      </c>
      <c r="N5" t="s">
        <v>493</v>
      </c>
      <c r="O5" t="s">
        <v>52</v>
      </c>
      <c r="S5" t="s">
        <v>563</v>
      </c>
      <c r="U5" t="s">
        <v>612</v>
      </c>
      <c r="V5" t="s">
        <v>613</v>
      </c>
      <c r="W5" t="s">
        <v>459</v>
      </c>
      <c r="X5" t="s">
        <v>553</v>
      </c>
      <c r="Y5" t="s">
        <v>564</v>
      </c>
      <c r="Z5" t="s">
        <v>565</v>
      </c>
      <c r="AA5" t="s">
        <v>27</v>
      </c>
      <c r="AB5" t="s">
        <v>566</v>
      </c>
      <c r="AD5" t="s">
        <v>494</v>
      </c>
      <c r="AE5" t="s">
        <v>439</v>
      </c>
      <c r="AF5">
        <v>0</v>
      </c>
      <c r="AG5">
        <v>0</v>
      </c>
      <c r="AH5">
        <v>392.75</v>
      </c>
      <c r="AI5">
        <v>0</v>
      </c>
      <c r="AJ5" t="s">
        <v>567</v>
      </c>
      <c r="AK5" t="s">
        <v>566</v>
      </c>
      <c r="AL5" t="s">
        <v>568</v>
      </c>
    </row>
    <row r="6" spans="1:38" x14ac:dyDescent="0.2">
      <c r="A6">
        <v>1235426</v>
      </c>
      <c r="B6">
        <v>8035840</v>
      </c>
      <c r="C6">
        <v>187508</v>
      </c>
      <c r="E6" t="b">
        <v>0</v>
      </c>
      <c r="F6">
        <v>72024</v>
      </c>
      <c r="G6" t="s">
        <v>572</v>
      </c>
      <c r="H6">
        <v>1</v>
      </c>
      <c r="I6" t="s">
        <v>573</v>
      </c>
      <c r="J6" t="s">
        <v>551</v>
      </c>
      <c r="K6" t="s">
        <v>552</v>
      </c>
      <c r="L6" t="s">
        <v>552</v>
      </c>
      <c r="M6" t="s">
        <v>614</v>
      </c>
      <c r="N6" t="s">
        <v>437</v>
      </c>
      <c r="O6" t="s">
        <v>59</v>
      </c>
      <c r="S6" t="s">
        <v>563</v>
      </c>
      <c r="U6" t="s">
        <v>615</v>
      </c>
      <c r="V6" t="s">
        <v>616</v>
      </c>
      <c r="W6" t="s">
        <v>459</v>
      </c>
      <c r="X6" t="s">
        <v>553</v>
      </c>
      <c r="Y6" t="s">
        <v>564</v>
      </c>
      <c r="Z6" t="s">
        <v>565</v>
      </c>
      <c r="AA6" t="s">
        <v>27</v>
      </c>
      <c r="AB6" t="s">
        <v>566</v>
      </c>
      <c r="AD6" t="s">
        <v>438</v>
      </c>
      <c r="AE6" t="s">
        <v>439</v>
      </c>
      <c r="AF6">
        <v>0</v>
      </c>
      <c r="AG6">
        <v>0</v>
      </c>
      <c r="AH6">
        <v>392.75</v>
      </c>
      <c r="AI6">
        <v>0</v>
      </c>
      <c r="AJ6" t="s">
        <v>567</v>
      </c>
      <c r="AK6" t="s">
        <v>566</v>
      </c>
      <c r="AL6" t="s">
        <v>568</v>
      </c>
    </row>
    <row r="7" spans="1:38" x14ac:dyDescent="0.2">
      <c r="A7">
        <v>1235686</v>
      </c>
      <c r="B7">
        <v>8143520</v>
      </c>
      <c r="C7">
        <v>187508</v>
      </c>
      <c r="E7" t="b">
        <v>0</v>
      </c>
      <c r="F7">
        <v>73531</v>
      </c>
      <c r="G7" t="s">
        <v>570</v>
      </c>
      <c r="H7">
        <v>1</v>
      </c>
      <c r="I7" t="s">
        <v>571</v>
      </c>
      <c r="J7" t="s">
        <v>551</v>
      </c>
      <c r="K7" t="s">
        <v>552</v>
      </c>
      <c r="L7" t="s">
        <v>552</v>
      </c>
      <c r="M7" t="s">
        <v>617</v>
      </c>
      <c r="N7" t="s">
        <v>495</v>
      </c>
      <c r="O7" t="s">
        <v>60</v>
      </c>
      <c r="S7" t="s">
        <v>563</v>
      </c>
      <c r="U7" t="s">
        <v>618</v>
      </c>
      <c r="V7" t="s">
        <v>619</v>
      </c>
      <c r="W7" t="s">
        <v>459</v>
      </c>
      <c r="X7" t="s">
        <v>553</v>
      </c>
      <c r="Y7" t="s">
        <v>564</v>
      </c>
      <c r="Z7" t="s">
        <v>565</v>
      </c>
      <c r="AA7" t="s">
        <v>27</v>
      </c>
      <c r="AB7" t="s">
        <v>566</v>
      </c>
      <c r="AD7" t="s">
        <v>496</v>
      </c>
      <c r="AE7" t="s">
        <v>497</v>
      </c>
      <c r="AF7">
        <v>0</v>
      </c>
      <c r="AG7">
        <v>0</v>
      </c>
      <c r="AH7">
        <v>392.75</v>
      </c>
      <c r="AI7">
        <v>0</v>
      </c>
      <c r="AJ7" t="s">
        <v>567</v>
      </c>
      <c r="AK7" t="s">
        <v>566</v>
      </c>
      <c r="AL7" t="s">
        <v>568</v>
      </c>
    </row>
    <row r="8" spans="1:38" x14ac:dyDescent="0.2">
      <c r="A8">
        <v>1235630</v>
      </c>
      <c r="B8">
        <v>7925909</v>
      </c>
      <c r="C8">
        <v>187508</v>
      </c>
      <c r="E8" t="b">
        <v>0</v>
      </c>
      <c r="F8">
        <v>69663</v>
      </c>
      <c r="G8" t="s">
        <v>620</v>
      </c>
      <c r="H8">
        <v>1</v>
      </c>
      <c r="I8" t="s">
        <v>621</v>
      </c>
      <c r="J8" t="s">
        <v>551</v>
      </c>
      <c r="K8" t="s">
        <v>552</v>
      </c>
      <c r="L8" t="s">
        <v>552</v>
      </c>
      <c r="M8" t="s">
        <v>622</v>
      </c>
      <c r="N8" t="s">
        <v>482</v>
      </c>
      <c r="O8" t="s">
        <v>114</v>
      </c>
      <c r="S8" t="s">
        <v>563</v>
      </c>
      <c r="U8" t="s">
        <v>623</v>
      </c>
      <c r="V8" t="s">
        <v>624</v>
      </c>
      <c r="W8" t="s">
        <v>459</v>
      </c>
      <c r="X8" t="s">
        <v>553</v>
      </c>
      <c r="Y8" t="s">
        <v>564</v>
      </c>
      <c r="Z8" t="s">
        <v>565</v>
      </c>
      <c r="AA8" t="s">
        <v>27</v>
      </c>
      <c r="AB8" t="s">
        <v>566</v>
      </c>
      <c r="AD8" t="s">
        <v>483</v>
      </c>
      <c r="AE8" t="s">
        <v>439</v>
      </c>
      <c r="AF8">
        <v>0</v>
      </c>
      <c r="AG8">
        <v>0</v>
      </c>
      <c r="AH8">
        <v>392.75</v>
      </c>
      <c r="AI8">
        <v>0</v>
      </c>
      <c r="AJ8" t="s">
        <v>567</v>
      </c>
      <c r="AK8" t="s">
        <v>566</v>
      </c>
      <c r="AL8" t="s">
        <v>568</v>
      </c>
    </row>
    <row r="9" spans="1:38" x14ac:dyDescent="0.2">
      <c r="A9">
        <v>1235561</v>
      </c>
      <c r="B9">
        <v>7925915</v>
      </c>
      <c r="C9">
        <v>187508</v>
      </c>
      <c r="E9" t="b">
        <v>0</v>
      </c>
      <c r="F9">
        <v>69665</v>
      </c>
      <c r="G9" t="s">
        <v>625</v>
      </c>
      <c r="H9">
        <v>1</v>
      </c>
      <c r="I9" t="s">
        <v>626</v>
      </c>
      <c r="J9" t="s">
        <v>551</v>
      </c>
      <c r="K9" t="s">
        <v>552</v>
      </c>
      <c r="L9" t="s">
        <v>552</v>
      </c>
      <c r="M9" t="s">
        <v>627</v>
      </c>
      <c r="N9" t="s">
        <v>465</v>
      </c>
      <c r="O9" t="s">
        <v>118</v>
      </c>
      <c r="S9" t="s">
        <v>563</v>
      </c>
      <c r="U9" t="s">
        <v>623</v>
      </c>
      <c r="V9" t="s">
        <v>628</v>
      </c>
      <c r="W9" t="s">
        <v>459</v>
      </c>
      <c r="X9" t="s">
        <v>553</v>
      </c>
      <c r="Y9" t="s">
        <v>564</v>
      </c>
      <c r="Z9" t="s">
        <v>565</v>
      </c>
      <c r="AA9" t="s">
        <v>27</v>
      </c>
      <c r="AB9" t="s">
        <v>566</v>
      </c>
      <c r="AD9" t="s">
        <v>466</v>
      </c>
      <c r="AE9" t="s">
        <v>467</v>
      </c>
      <c r="AF9">
        <v>0</v>
      </c>
      <c r="AG9">
        <v>0</v>
      </c>
      <c r="AH9">
        <v>392.75</v>
      </c>
      <c r="AI9">
        <v>0</v>
      </c>
      <c r="AJ9" t="s">
        <v>567</v>
      </c>
      <c r="AK9" t="s">
        <v>566</v>
      </c>
      <c r="AL9" t="s">
        <v>568</v>
      </c>
    </row>
    <row r="10" spans="1:38" x14ac:dyDescent="0.2">
      <c r="A10">
        <v>1235543</v>
      </c>
      <c r="B10">
        <v>8075187</v>
      </c>
      <c r="C10">
        <v>187508</v>
      </c>
      <c r="E10" t="b">
        <v>0</v>
      </c>
      <c r="F10">
        <v>72822</v>
      </c>
      <c r="G10" t="s">
        <v>629</v>
      </c>
      <c r="H10">
        <v>1</v>
      </c>
      <c r="I10" t="s">
        <v>630</v>
      </c>
      <c r="J10" t="s">
        <v>551</v>
      </c>
      <c r="K10" t="s">
        <v>552</v>
      </c>
      <c r="L10" t="s">
        <v>552</v>
      </c>
      <c r="M10" t="s">
        <v>631</v>
      </c>
      <c r="N10" t="s">
        <v>462</v>
      </c>
      <c r="O10" t="s">
        <v>117</v>
      </c>
      <c r="S10" t="s">
        <v>563</v>
      </c>
      <c r="U10" t="s">
        <v>632</v>
      </c>
      <c r="V10" t="s">
        <v>633</v>
      </c>
      <c r="W10" t="s">
        <v>459</v>
      </c>
      <c r="X10" t="s">
        <v>553</v>
      </c>
      <c r="Y10" t="s">
        <v>564</v>
      </c>
      <c r="Z10" t="s">
        <v>565</v>
      </c>
      <c r="AA10" t="s">
        <v>27</v>
      </c>
      <c r="AB10" t="s">
        <v>566</v>
      </c>
      <c r="AD10" t="s">
        <v>438</v>
      </c>
      <c r="AE10" t="s">
        <v>463</v>
      </c>
      <c r="AF10">
        <v>0</v>
      </c>
      <c r="AG10">
        <v>0</v>
      </c>
      <c r="AH10">
        <v>392.75</v>
      </c>
      <c r="AI10">
        <v>0</v>
      </c>
      <c r="AJ10" t="s">
        <v>567</v>
      </c>
      <c r="AK10" t="s">
        <v>566</v>
      </c>
      <c r="AL10" t="s">
        <v>568</v>
      </c>
    </row>
    <row r="11" spans="1:38" x14ac:dyDescent="0.2">
      <c r="A11">
        <v>1235622</v>
      </c>
      <c r="B11">
        <v>7925914</v>
      </c>
      <c r="C11">
        <v>187508</v>
      </c>
      <c r="E11" t="b">
        <v>0</v>
      </c>
      <c r="F11">
        <v>69664</v>
      </c>
      <c r="G11" t="s">
        <v>634</v>
      </c>
      <c r="H11">
        <v>1</v>
      </c>
      <c r="I11" t="s">
        <v>635</v>
      </c>
      <c r="J11" t="s">
        <v>551</v>
      </c>
      <c r="K11" t="s">
        <v>552</v>
      </c>
      <c r="L11" t="s">
        <v>552</v>
      </c>
      <c r="M11" t="s">
        <v>636</v>
      </c>
      <c r="N11" t="s">
        <v>477</v>
      </c>
      <c r="O11" t="s">
        <v>162</v>
      </c>
      <c r="S11" t="s">
        <v>563</v>
      </c>
      <c r="U11" t="s">
        <v>623</v>
      </c>
      <c r="V11" t="s">
        <v>637</v>
      </c>
      <c r="W11" t="s">
        <v>459</v>
      </c>
      <c r="X11" t="s">
        <v>553</v>
      </c>
      <c r="Y11" t="s">
        <v>564</v>
      </c>
      <c r="Z11" t="s">
        <v>565</v>
      </c>
      <c r="AA11" t="s">
        <v>27</v>
      </c>
      <c r="AB11" t="s">
        <v>566</v>
      </c>
      <c r="AD11" t="s">
        <v>478</v>
      </c>
      <c r="AE11" t="s">
        <v>479</v>
      </c>
      <c r="AF11">
        <v>0</v>
      </c>
      <c r="AG11">
        <v>0</v>
      </c>
      <c r="AH11">
        <v>392.75</v>
      </c>
      <c r="AI11">
        <v>0</v>
      </c>
      <c r="AJ11" t="s">
        <v>567</v>
      </c>
      <c r="AK11" t="s">
        <v>566</v>
      </c>
      <c r="AL11" t="s">
        <v>568</v>
      </c>
    </row>
    <row r="12" spans="1:38" x14ac:dyDescent="0.2">
      <c r="A12">
        <v>1235403</v>
      </c>
      <c r="B12">
        <v>7975239</v>
      </c>
      <c r="C12">
        <v>187508</v>
      </c>
      <c r="E12" t="b">
        <v>0</v>
      </c>
      <c r="F12">
        <v>70613</v>
      </c>
      <c r="G12" t="s">
        <v>638</v>
      </c>
      <c r="H12">
        <v>3</v>
      </c>
      <c r="I12" t="s">
        <v>639</v>
      </c>
      <c r="J12" t="s">
        <v>551</v>
      </c>
      <c r="K12" t="s">
        <v>552</v>
      </c>
      <c r="L12" t="s">
        <v>552</v>
      </c>
      <c r="M12" t="s">
        <v>640</v>
      </c>
      <c r="N12" t="s">
        <v>432</v>
      </c>
      <c r="O12" t="s">
        <v>183</v>
      </c>
      <c r="P12" t="s">
        <v>112</v>
      </c>
      <c r="S12" t="s">
        <v>641</v>
      </c>
      <c r="U12" t="s">
        <v>642</v>
      </c>
      <c r="V12" t="s">
        <v>643</v>
      </c>
      <c r="W12" t="s">
        <v>459</v>
      </c>
      <c r="X12" t="s">
        <v>553</v>
      </c>
      <c r="Y12" t="s">
        <v>564</v>
      </c>
      <c r="Z12" t="s">
        <v>565</v>
      </c>
      <c r="AA12" t="s">
        <v>27</v>
      </c>
      <c r="AB12" t="s">
        <v>566</v>
      </c>
      <c r="AD12" t="s">
        <v>182</v>
      </c>
      <c r="AE12" t="s">
        <v>433</v>
      </c>
      <c r="AF12">
        <v>0</v>
      </c>
      <c r="AG12">
        <v>0</v>
      </c>
      <c r="AH12">
        <v>418.5</v>
      </c>
      <c r="AI12">
        <v>0</v>
      </c>
      <c r="AJ12" t="s">
        <v>567</v>
      </c>
      <c r="AK12" t="s">
        <v>566</v>
      </c>
      <c r="AL12" t="s">
        <v>568</v>
      </c>
    </row>
    <row r="13" spans="1:38" x14ac:dyDescent="0.2">
      <c r="A13">
        <v>1235569</v>
      </c>
      <c r="B13">
        <v>7975237</v>
      </c>
      <c r="C13">
        <v>187508</v>
      </c>
      <c r="E13" t="b">
        <v>0</v>
      </c>
      <c r="F13">
        <v>70613</v>
      </c>
      <c r="G13" t="s">
        <v>638</v>
      </c>
      <c r="H13">
        <v>1</v>
      </c>
      <c r="I13" t="s">
        <v>644</v>
      </c>
      <c r="J13" t="s">
        <v>551</v>
      </c>
      <c r="K13" t="s">
        <v>552</v>
      </c>
      <c r="L13" t="s">
        <v>552</v>
      </c>
      <c r="M13" t="s">
        <v>645</v>
      </c>
      <c r="N13" t="s">
        <v>472</v>
      </c>
      <c r="O13" t="s">
        <v>185</v>
      </c>
      <c r="P13" t="s">
        <v>473</v>
      </c>
      <c r="S13" t="s">
        <v>641</v>
      </c>
      <c r="U13" t="s">
        <v>642</v>
      </c>
      <c r="V13" t="s">
        <v>646</v>
      </c>
      <c r="W13" t="s">
        <v>459</v>
      </c>
      <c r="X13" t="s">
        <v>553</v>
      </c>
      <c r="Y13" t="s">
        <v>564</v>
      </c>
      <c r="Z13" t="s">
        <v>565</v>
      </c>
      <c r="AA13" t="s">
        <v>27</v>
      </c>
      <c r="AB13" t="s">
        <v>566</v>
      </c>
      <c r="AD13" t="s">
        <v>184</v>
      </c>
      <c r="AE13" t="s">
        <v>433</v>
      </c>
      <c r="AF13">
        <v>0</v>
      </c>
      <c r="AG13">
        <v>0</v>
      </c>
      <c r="AH13">
        <v>418.5</v>
      </c>
      <c r="AI13">
        <v>0</v>
      </c>
      <c r="AJ13" t="s">
        <v>567</v>
      </c>
      <c r="AK13" t="s">
        <v>566</v>
      </c>
      <c r="AL13" t="s">
        <v>568</v>
      </c>
    </row>
    <row r="14" spans="1:38" x14ac:dyDescent="0.2">
      <c r="A14">
        <v>1235743</v>
      </c>
      <c r="B14">
        <v>7975241</v>
      </c>
      <c r="C14">
        <v>187508</v>
      </c>
      <c r="E14" t="b">
        <v>0</v>
      </c>
      <c r="F14">
        <v>70613</v>
      </c>
      <c r="G14" t="s">
        <v>638</v>
      </c>
      <c r="H14">
        <v>5</v>
      </c>
      <c r="I14" t="s">
        <v>647</v>
      </c>
      <c r="J14" t="s">
        <v>551</v>
      </c>
      <c r="K14" t="s">
        <v>552</v>
      </c>
      <c r="L14" t="s">
        <v>552</v>
      </c>
      <c r="M14" t="s">
        <v>648</v>
      </c>
      <c r="N14" t="s">
        <v>499</v>
      </c>
      <c r="O14" t="s">
        <v>501</v>
      </c>
      <c r="P14" t="s">
        <v>500</v>
      </c>
      <c r="S14" t="s">
        <v>641</v>
      </c>
      <c r="U14" t="s">
        <v>642</v>
      </c>
      <c r="V14" t="s">
        <v>649</v>
      </c>
      <c r="W14" t="s">
        <v>459</v>
      </c>
      <c r="X14" t="s">
        <v>553</v>
      </c>
      <c r="Y14" t="s">
        <v>564</v>
      </c>
      <c r="Z14" t="s">
        <v>565</v>
      </c>
      <c r="AA14" t="s">
        <v>27</v>
      </c>
      <c r="AB14" t="s">
        <v>566</v>
      </c>
      <c r="AD14" t="s">
        <v>502</v>
      </c>
      <c r="AE14" t="s">
        <v>433</v>
      </c>
      <c r="AF14">
        <v>0</v>
      </c>
      <c r="AG14">
        <v>0</v>
      </c>
      <c r="AH14">
        <v>418.5</v>
      </c>
      <c r="AI14">
        <v>0</v>
      </c>
      <c r="AJ14" t="s">
        <v>567</v>
      </c>
      <c r="AK14" t="s">
        <v>566</v>
      </c>
      <c r="AL14" t="s">
        <v>568</v>
      </c>
    </row>
    <row r="15" spans="1:38" x14ac:dyDescent="0.2">
      <c r="A15">
        <v>2550412</v>
      </c>
      <c r="B15">
        <v>7975245</v>
      </c>
      <c r="C15">
        <v>187508</v>
      </c>
      <c r="E15" t="b">
        <v>0</v>
      </c>
      <c r="F15">
        <v>70613</v>
      </c>
      <c r="G15" t="s">
        <v>638</v>
      </c>
      <c r="H15">
        <v>9</v>
      </c>
      <c r="I15" t="s">
        <v>650</v>
      </c>
      <c r="J15" t="s">
        <v>551</v>
      </c>
      <c r="K15" t="s">
        <v>552</v>
      </c>
      <c r="L15" t="s">
        <v>552</v>
      </c>
      <c r="M15" t="s">
        <v>651</v>
      </c>
      <c r="N15" t="s">
        <v>516</v>
      </c>
      <c r="O15" t="s">
        <v>517</v>
      </c>
      <c r="P15" t="s">
        <v>392</v>
      </c>
      <c r="S15" t="s">
        <v>641</v>
      </c>
      <c r="U15" t="s">
        <v>642</v>
      </c>
      <c r="V15" t="s">
        <v>652</v>
      </c>
      <c r="W15" t="s">
        <v>459</v>
      </c>
      <c r="X15" t="s">
        <v>553</v>
      </c>
      <c r="Y15" t="s">
        <v>564</v>
      </c>
      <c r="Z15" t="s">
        <v>565</v>
      </c>
      <c r="AA15" t="s">
        <v>27</v>
      </c>
      <c r="AB15" t="s">
        <v>566</v>
      </c>
      <c r="AD15" t="s">
        <v>518</v>
      </c>
      <c r="AE15" t="s">
        <v>519</v>
      </c>
      <c r="AF15">
        <v>0</v>
      </c>
      <c r="AG15">
        <v>0</v>
      </c>
      <c r="AH15">
        <v>418.5</v>
      </c>
      <c r="AI15">
        <v>0</v>
      </c>
      <c r="AJ15" t="s">
        <v>567</v>
      </c>
      <c r="AK15" t="s">
        <v>566</v>
      </c>
      <c r="AL15" t="s">
        <v>568</v>
      </c>
    </row>
    <row r="16" spans="1:38" x14ac:dyDescent="0.2">
      <c r="A16">
        <v>1446161</v>
      </c>
      <c r="B16">
        <v>7975243</v>
      </c>
      <c r="C16">
        <v>187508</v>
      </c>
      <c r="E16" t="b">
        <v>0</v>
      </c>
      <c r="F16">
        <v>70613</v>
      </c>
      <c r="G16" t="s">
        <v>638</v>
      </c>
      <c r="H16">
        <v>7</v>
      </c>
      <c r="I16" t="s">
        <v>653</v>
      </c>
      <c r="J16" t="s">
        <v>551</v>
      </c>
      <c r="K16" t="s">
        <v>552</v>
      </c>
      <c r="L16" t="s">
        <v>552</v>
      </c>
      <c r="M16" t="s">
        <v>654</v>
      </c>
      <c r="N16" t="s">
        <v>508</v>
      </c>
      <c r="O16" t="s">
        <v>510</v>
      </c>
      <c r="P16" t="s">
        <v>509</v>
      </c>
      <c r="S16" t="s">
        <v>641</v>
      </c>
      <c r="U16" t="s">
        <v>642</v>
      </c>
      <c r="V16" t="s">
        <v>655</v>
      </c>
      <c r="W16" t="s">
        <v>459</v>
      </c>
      <c r="X16" t="s">
        <v>553</v>
      </c>
      <c r="Y16" t="s">
        <v>564</v>
      </c>
      <c r="Z16" t="s">
        <v>565</v>
      </c>
      <c r="AA16" t="s">
        <v>27</v>
      </c>
      <c r="AB16" t="s">
        <v>566</v>
      </c>
      <c r="AD16" t="s">
        <v>511</v>
      </c>
      <c r="AE16" t="s">
        <v>433</v>
      </c>
      <c r="AF16">
        <v>0</v>
      </c>
      <c r="AG16">
        <v>0</v>
      </c>
      <c r="AH16">
        <v>418.5</v>
      </c>
      <c r="AI16">
        <v>0</v>
      </c>
      <c r="AJ16" t="s">
        <v>567</v>
      </c>
      <c r="AK16" t="s">
        <v>566</v>
      </c>
      <c r="AL16" t="s">
        <v>568</v>
      </c>
    </row>
    <row r="17" spans="1:38" x14ac:dyDescent="0.2">
      <c r="A17">
        <v>2701517</v>
      </c>
      <c r="B17">
        <v>7975246</v>
      </c>
      <c r="C17">
        <v>187508</v>
      </c>
      <c r="E17" t="b">
        <v>0</v>
      </c>
      <c r="F17">
        <v>70613</v>
      </c>
      <c r="G17" t="s">
        <v>638</v>
      </c>
      <c r="H17">
        <v>10</v>
      </c>
      <c r="I17" t="s">
        <v>656</v>
      </c>
      <c r="J17" t="s">
        <v>551</v>
      </c>
      <c r="K17" t="s">
        <v>552</v>
      </c>
      <c r="L17" t="s">
        <v>552</v>
      </c>
      <c r="M17" t="s">
        <v>657</v>
      </c>
      <c r="N17" t="s">
        <v>521</v>
      </c>
      <c r="O17" t="s">
        <v>523</v>
      </c>
      <c r="P17" t="s">
        <v>522</v>
      </c>
      <c r="S17" t="s">
        <v>641</v>
      </c>
      <c r="U17" t="s">
        <v>642</v>
      </c>
      <c r="V17" t="s">
        <v>658</v>
      </c>
      <c r="W17" t="s">
        <v>459</v>
      </c>
      <c r="X17" t="s">
        <v>553</v>
      </c>
      <c r="Y17" t="s">
        <v>564</v>
      </c>
      <c r="Z17" t="s">
        <v>565</v>
      </c>
      <c r="AA17" t="s">
        <v>27</v>
      </c>
      <c r="AB17" t="s">
        <v>566</v>
      </c>
      <c r="AD17" t="s">
        <v>186</v>
      </c>
      <c r="AE17" t="s">
        <v>433</v>
      </c>
      <c r="AF17">
        <v>0</v>
      </c>
      <c r="AG17">
        <v>0</v>
      </c>
      <c r="AH17">
        <v>418.5</v>
      </c>
      <c r="AI17">
        <v>0</v>
      </c>
      <c r="AJ17" t="s">
        <v>567</v>
      </c>
      <c r="AK17" t="s">
        <v>566</v>
      </c>
      <c r="AL17" t="s">
        <v>568</v>
      </c>
    </row>
    <row r="18" spans="1:38" x14ac:dyDescent="0.2">
      <c r="A18">
        <v>2336905</v>
      </c>
      <c r="B18">
        <v>7975244</v>
      </c>
      <c r="C18">
        <v>187508</v>
      </c>
      <c r="E18" t="b">
        <v>0</v>
      </c>
      <c r="F18">
        <v>70613</v>
      </c>
      <c r="G18" t="s">
        <v>638</v>
      </c>
      <c r="H18">
        <v>8</v>
      </c>
      <c r="I18" t="s">
        <v>659</v>
      </c>
      <c r="J18" t="s">
        <v>551</v>
      </c>
      <c r="K18" t="s">
        <v>552</v>
      </c>
      <c r="L18" t="s">
        <v>552</v>
      </c>
      <c r="M18" t="s">
        <v>660</v>
      </c>
      <c r="N18" t="s">
        <v>512</v>
      </c>
      <c r="O18" t="s">
        <v>514</v>
      </c>
      <c r="P18" t="s">
        <v>513</v>
      </c>
      <c r="S18" t="s">
        <v>641</v>
      </c>
      <c r="U18" t="s">
        <v>642</v>
      </c>
      <c r="V18" t="s">
        <v>661</v>
      </c>
      <c r="W18" t="s">
        <v>459</v>
      </c>
      <c r="X18" t="s">
        <v>553</v>
      </c>
      <c r="Y18" t="s">
        <v>564</v>
      </c>
      <c r="Z18" t="s">
        <v>565</v>
      </c>
      <c r="AA18" t="s">
        <v>27</v>
      </c>
      <c r="AB18" t="s">
        <v>566</v>
      </c>
      <c r="AD18" t="s">
        <v>515</v>
      </c>
      <c r="AE18" t="s">
        <v>433</v>
      </c>
      <c r="AF18">
        <v>0</v>
      </c>
      <c r="AG18">
        <v>0</v>
      </c>
      <c r="AH18">
        <v>418.5</v>
      </c>
      <c r="AI18">
        <v>0</v>
      </c>
      <c r="AJ18" t="s">
        <v>567</v>
      </c>
      <c r="AK18" t="s">
        <v>566</v>
      </c>
      <c r="AL18" t="s">
        <v>568</v>
      </c>
    </row>
    <row r="19" spans="1:38" x14ac:dyDescent="0.2">
      <c r="A19">
        <v>1235639</v>
      </c>
      <c r="B19">
        <v>7975242</v>
      </c>
      <c r="C19">
        <v>187508</v>
      </c>
      <c r="E19" t="b">
        <v>0</v>
      </c>
      <c r="F19">
        <v>70613</v>
      </c>
      <c r="G19" t="s">
        <v>638</v>
      </c>
      <c r="H19">
        <v>6</v>
      </c>
      <c r="I19" t="s">
        <v>662</v>
      </c>
      <c r="J19" t="s">
        <v>551</v>
      </c>
      <c r="K19" t="s">
        <v>552</v>
      </c>
      <c r="L19" t="s">
        <v>552</v>
      </c>
      <c r="M19" t="s">
        <v>663</v>
      </c>
      <c r="N19" t="s">
        <v>484</v>
      </c>
      <c r="O19" t="s">
        <v>181</v>
      </c>
      <c r="P19" t="s">
        <v>485</v>
      </c>
      <c r="S19" t="s">
        <v>641</v>
      </c>
      <c r="U19" t="s">
        <v>642</v>
      </c>
      <c r="V19" t="s">
        <v>664</v>
      </c>
      <c r="W19" t="s">
        <v>459</v>
      </c>
      <c r="X19" t="s">
        <v>553</v>
      </c>
      <c r="Y19" t="s">
        <v>564</v>
      </c>
      <c r="Z19" t="s">
        <v>565</v>
      </c>
      <c r="AA19" t="s">
        <v>27</v>
      </c>
      <c r="AB19" t="s">
        <v>566</v>
      </c>
      <c r="AD19" t="s">
        <v>180</v>
      </c>
      <c r="AE19" t="s">
        <v>433</v>
      </c>
      <c r="AF19">
        <v>0</v>
      </c>
      <c r="AG19">
        <v>0</v>
      </c>
      <c r="AH19">
        <v>418.5</v>
      </c>
      <c r="AI19">
        <v>0</v>
      </c>
      <c r="AJ19" t="s">
        <v>567</v>
      </c>
      <c r="AK19" t="s">
        <v>566</v>
      </c>
      <c r="AL19" t="s">
        <v>568</v>
      </c>
    </row>
    <row r="20" spans="1:38" x14ac:dyDescent="0.2">
      <c r="A20">
        <v>1235626</v>
      </c>
      <c r="B20">
        <v>7975238</v>
      </c>
      <c r="C20">
        <v>187508</v>
      </c>
      <c r="E20" t="b">
        <v>0</v>
      </c>
      <c r="F20">
        <v>70613</v>
      </c>
      <c r="G20" t="s">
        <v>638</v>
      </c>
      <c r="H20">
        <v>2</v>
      </c>
      <c r="I20" t="s">
        <v>665</v>
      </c>
      <c r="J20" t="s">
        <v>551</v>
      </c>
      <c r="K20" t="s">
        <v>552</v>
      </c>
      <c r="L20" t="s">
        <v>552</v>
      </c>
      <c r="M20" t="s">
        <v>666</v>
      </c>
      <c r="N20" t="s">
        <v>480</v>
      </c>
      <c r="O20" t="s">
        <v>189</v>
      </c>
      <c r="P20" t="s">
        <v>481</v>
      </c>
      <c r="S20" t="s">
        <v>641</v>
      </c>
      <c r="U20" t="s">
        <v>642</v>
      </c>
      <c r="V20" t="s">
        <v>667</v>
      </c>
      <c r="W20" t="s">
        <v>459</v>
      </c>
      <c r="X20" t="s">
        <v>553</v>
      </c>
      <c r="Y20" t="s">
        <v>564</v>
      </c>
      <c r="Z20" t="s">
        <v>565</v>
      </c>
      <c r="AA20" t="s">
        <v>27</v>
      </c>
      <c r="AB20" t="s">
        <v>566</v>
      </c>
      <c r="AD20" t="s">
        <v>188</v>
      </c>
      <c r="AE20" t="s">
        <v>433</v>
      </c>
      <c r="AF20">
        <v>0</v>
      </c>
      <c r="AG20">
        <v>0</v>
      </c>
      <c r="AH20">
        <v>418.5</v>
      </c>
      <c r="AI20">
        <v>0</v>
      </c>
      <c r="AJ20" t="s">
        <v>567</v>
      </c>
      <c r="AK20" t="s">
        <v>566</v>
      </c>
      <c r="AL20" t="s">
        <v>568</v>
      </c>
    </row>
    <row r="21" spans="1:38" x14ac:dyDescent="0.2">
      <c r="A21">
        <v>1235522</v>
      </c>
      <c r="B21">
        <v>7975240</v>
      </c>
      <c r="C21">
        <v>187508</v>
      </c>
      <c r="E21" t="b">
        <v>0</v>
      </c>
      <c r="F21">
        <v>70613</v>
      </c>
      <c r="G21" t="s">
        <v>638</v>
      </c>
      <c r="H21">
        <v>4</v>
      </c>
      <c r="I21" t="s">
        <v>668</v>
      </c>
      <c r="J21" t="s">
        <v>551</v>
      </c>
      <c r="K21" t="s">
        <v>552</v>
      </c>
      <c r="L21" t="s">
        <v>552</v>
      </c>
      <c r="M21" t="s">
        <v>669</v>
      </c>
      <c r="N21" t="s">
        <v>458</v>
      </c>
      <c r="O21" t="s">
        <v>187</v>
      </c>
      <c r="P21" t="s">
        <v>459</v>
      </c>
      <c r="S21" t="s">
        <v>641</v>
      </c>
      <c r="U21" t="s">
        <v>642</v>
      </c>
      <c r="V21" t="s">
        <v>670</v>
      </c>
      <c r="W21" t="s">
        <v>459</v>
      </c>
      <c r="X21" t="s">
        <v>553</v>
      </c>
      <c r="Y21" t="s">
        <v>564</v>
      </c>
      <c r="Z21" t="s">
        <v>565</v>
      </c>
      <c r="AA21" t="s">
        <v>27</v>
      </c>
      <c r="AB21" t="s">
        <v>566</v>
      </c>
      <c r="AD21" t="s">
        <v>186</v>
      </c>
      <c r="AE21" t="s">
        <v>433</v>
      </c>
      <c r="AF21">
        <v>0</v>
      </c>
      <c r="AG21">
        <v>0</v>
      </c>
      <c r="AH21">
        <v>418.5</v>
      </c>
      <c r="AI21">
        <v>0</v>
      </c>
      <c r="AJ21" t="s">
        <v>567</v>
      </c>
      <c r="AK21" t="s">
        <v>566</v>
      </c>
      <c r="AL21" t="s">
        <v>568</v>
      </c>
    </row>
    <row r="23" spans="1:38" x14ac:dyDescent="0.2">
      <c r="A23">
        <v>1235770</v>
      </c>
      <c r="B23">
        <v>8030104</v>
      </c>
      <c r="C23">
        <v>187514</v>
      </c>
      <c r="E23" t="b">
        <v>0</v>
      </c>
      <c r="F23">
        <v>71864</v>
      </c>
      <c r="G23" t="s">
        <v>671</v>
      </c>
      <c r="H23">
        <v>1</v>
      </c>
      <c r="I23" t="s">
        <v>672</v>
      </c>
      <c r="J23" t="s">
        <v>551</v>
      </c>
      <c r="K23" t="s">
        <v>552</v>
      </c>
      <c r="L23" t="s">
        <v>552</v>
      </c>
      <c r="M23" t="s">
        <v>673</v>
      </c>
      <c r="N23" t="s">
        <v>503</v>
      </c>
      <c r="O23" t="s">
        <v>504</v>
      </c>
      <c r="U23" t="s">
        <v>674</v>
      </c>
      <c r="V23" t="s">
        <v>675</v>
      </c>
      <c r="W23" t="s">
        <v>509</v>
      </c>
      <c r="X23" t="s">
        <v>553</v>
      </c>
      <c r="Y23" t="s">
        <v>430</v>
      </c>
      <c r="Z23" t="s">
        <v>565</v>
      </c>
      <c r="AB23" t="s">
        <v>676</v>
      </c>
      <c r="AD23" t="s">
        <v>239</v>
      </c>
      <c r="AE23" t="s">
        <v>505</v>
      </c>
      <c r="AF23">
        <v>0</v>
      </c>
      <c r="AG23">
        <v>0</v>
      </c>
      <c r="AH23">
        <v>0</v>
      </c>
      <c r="AI23">
        <v>0</v>
      </c>
      <c r="AJ23" t="s">
        <v>567</v>
      </c>
      <c r="AK23" t="s">
        <v>676</v>
      </c>
      <c r="AL23" t="s">
        <v>568</v>
      </c>
    </row>
    <row r="24" spans="1:38" x14ac:dyDescent="0.2">
      <c r="A24">
        <v>1235767</v>
      </c>
    </row>
    <row r="25" spans="1:38" x14ac:dyDescent="0.2">
      <c r="A25">
        <v>1235772</v>
      </c>
    </row>
    <row r="26" spans="1:38" x14ac:dyDescent="0.2">
      <c r="A26">
        <v>1235660</v>
      </c>
      <c r="B26">
        <v>7612900</v>
      </c>
      <c r="C26">
        <v>187509</v>
      </c>
      <c r="E26" t="b">
        <v>0</v>
      </c>
      <c r="F26">
        <v>64197</v>
      </c>
      <c r="G26" t="s">
        <v>677</v>
      </c>
      <c r="H26">
        <v>1</v>
      </c>
      <c r="I26" t="s">
        <v>678</v>
      </c>
      <c r="J26" t="s">
        <v>551</v>
      </c>
      <c r="K26" t="s">
        <v>552</v>
      </c>
      <c r="L26" t="s">
        <v>552</v>
      </c>
      <c r="M26" t="s">
        <v>679</v>
      </c>
      <c r="N26" t="s">
        <v>205</v>
      </c>
      <c r="O26" t="s">
        <v>490</v>
      </c>
      <c r="U26" t="s">
        <v>680</v>
      </c>
      <c r="V26" t="s">
        <v>681</v>
      </c>
      <c r="W26" t="s">
        <v>112</v>
      </c>
      <c r="X26" t="s">
        <v>553</v>
      </c>
      <c r="Y26" t="s">
        <v>121</v>
      </c>
      <c r="AB26" t="s">
        <v>676</v>
      </c>
      <c r="AD26" t="s">
        <v>241</v>
      </c>
      <c r="AE26" t="s">
        <v>449</v>
      </c>
      <c r="AF26">
        <v>0</v>
      </c>
      <c r="AG26">
        <v>0</v>
      </c>
      <c r="AI26">
        <v>0</v>
      </c>
      <c r="AJ26" t="s">
        <v>567</v>
      </c>
      <c r="AK26" t="s">
        <v>676</v>
      </c>
      <c r="AL26" t="s">
        <v>600</v>
      </c>
    </row>
    <row r="27" spans="1:38" x14ac:dyDescent="0.2">
      <c r="A27">
        <v>1235502</v>
      </c>
      <c r="B27">
        <v>6008756</v>
      </c>
      <c r="C27">
        <v>187514</v>
      </c>
      <c r="E27" t="b">
        <v>0</v>
      </c>
      <c r="F27">
        <v>41783</v>
      </c>
      <c r="G27" t="s">
        <v>682</v>
      </c>
      <c r="H27">
        <v>1</v>
      </c>
      <c r="I27" t="s">
        <v>683</v>
      </c>
      <c r="J27" t="s">
        <v>551</v>
      </c>
      <c r="K27" t="s">
        <v>552</v>
      </c>
      <c r="L27" t="s">
        <v>552</v>
      </c>
      <c r="M27" t="s">
        <v>684</v>
      </c>
      <c r="N27" t="s">
        <v>206</v>
      </c>
      <c r="O27" t="s">
        <v>448</v>
      </c>
      <c r="U27" t="s">
        <v>685</v>
      </c>
      <c r="V27" t="s">
        <v>686</v>
      </c>
      <c r="W27" t="s">
        <v>173</v>
      </c>
      <c r="X27" t="s">
        <v>553</v>
      </c>
      <c r="Y27" t="s">
        <v>121</v>
      </c>
      <c r="Z27" t="s">
        <v>565</v>
      </c>
      <c r="AB27" t="s">
        <v>676</v>
      </c>
      <c r="AD27" t="s">
        <v>242</v>
      </c>
      <c r="AE27" t="s">
        <v>449</v>
      </c>
      <c r="AF27">
        <v>0</v>
      </c>
      <c r="AG27">
        <v>0</v>
      </c>
      <c r="AH27">
        <v>27.5</v>
      </c>
      <c r="AI27">
        <v>0</v>
      </c>
      <c r="AJ27" t="s">
        <v>567</v>
      </c>
      <c r="AK27" t="s">
        <v>676</v>
      </c>
      <c r="AL27" t="s">
        <v>568</v>
      </c>
    </row>
    <row r="28" spans="1:38" x14ac:dyDescent="0.2">
      <c r="A28">
        <v>1235505</v>
      </c>
      <c r="B28">
        <v>7971837</v>
      </c>
      <c r="C28">
        <v>187514</v>
      </c>
      <c r="E28" t="b">
        <v>0</v>
      </c>
      <c r="F28">
        <v>70496</v>
      </c>
      <c r="G28" t="s">
        <v>687</v>
      </c>
      <c r="H28">
        <v>1</v>
      </c>
      <c r="I28" t="s">
        <v>688</v>
      </c>
      <c r="J28" t="s">
        <v>551</v>
      </c>
      <c r="K28" t="s">
        <v>552</v>
      </c>
      <c r="L28" t="s">
        <v>552</v>
      </c>
      <c r="M28" t="s">
        <v>689</v>
      </c>
      <c r="N28" t="s">
        <v>207</v>
      </c>
      <c r="O28" t="s">
        <v>452</v>
      </c>
      <c r="S28" t="s">
        <v>690</v>
      </c>
      <c r="U28" t="s">
        <v>691</v>
      </c>
      <c r="V28" t="s">
        <v>692</v>
      </c>
      <c r="W28" t="s">
        <v>522</v>
      </c>
      <c r="X28" t="s">
        <v>553</v>
      </c>
      <c r="Y28" t="s">
        <v>430</v>
      </c>
      <c r="Z28" t="s">
        <v>565</v>
      </c>
      <c r="AB28" t="s">
        <v>676</v>
      </c>
      <c r="AD28" t="s">
        <v>243</v>
      </c>
      <c r="AE28" t="s">
        <v>449</v>
      </c>
      <c r="AF28">
        <v>0</v>
      </c>
      <c r="AG28">
        <v>0</v>
      </c>
      <c r="AH28">
        <v>75</v>
      </c>
      <c r="AI28">
        <v>0</v>
      </c>
      <c r="AJ28" t="s">
        <v>567</v>
      </c>
      <c r="AK28" t="s">
        <v>676</v>
      </c>
      <c r="AL28" t="s">
        <v>568</v>
      </c>
    </row>
    <row r="29" spans="1:38" x14ac:dyDescent="0.2">
      <c r="A29">
        <v>1235646</v>
      </c>
      <c r="B29">
        <v>6249107</v>
      </c>
      <c r="C29">
        <v>187514</v>
      </c>
      <c r="E29" t="b">
        <v>0</v>
      </c>
      <c r="F29">
        <v>46530</v>
      </c>
      <c r="G29" t="s">
        <v>693</v>
      </c>
      <c r="H29">
        <v>1</v>
      </c>
      <c r="I29" t="s">
        <v>694</v>
      </c>
      <c r="J29" t="s">
        <v>551</v>
      </c>
      <c r="K29" t="s">
        <v>552</v>
      </c>
      <c r="L29" t="s">
        <v>552</v>
      </c>
      <c r="M29" t="s">
        <v>695</v>
      </c>
      <c r="N29" t="s">
        <v>208</v>
      </c>
      <c r="O29" t="s">
        <v>486</v>
      </c>
      <c r="U29" t="s">
        <v>696</v>
      </c>
      <c r="V29" t="s">
        <v>697</v>
      </c>
      <c r="W29" t="s">
        <v>173</v>
      </c>
      <c r="X29" t="s">
        <v>553</v>
      </c>
      <c r="Y29" t="s">
        <v>564</v>
      </c>
      <c r="AB29" t="s">
        <v>676</v>
      </c>
      <c r="AD29" t="s">
        <v>244</v>
      </c>
      <c r="AE29" t="s">
        <v>487</v>
      </c>
      <c r="AF29">
        <v>0</v>
      </c>
      <c r="AG29">
        <v>0</v>
      </c>
      <c r="AI29">
        <v>0</v>
      </c>
      <c r="AJ29" t="s">
        <v>567</v>
      </c>
      <c r="AK29" t="s">
        <v>676</v>
      </c>
      <c r="AL29" t="s">
        <v>568</v>
      </c>
    </row>
    <row r="30" spans="1:38" x14ac:dyDescent="0.2">
      <c r="A30">
        <v>1235659</v>
      </c>
      <c r="B30">
        <v>8065644</v>
      </c>
      <c r="C30">
        <v>187514</v>
      </c>
      <c r="E30" t="b">
        <v>0</v>
      </c>
      <c r="F30">
        <v>72594</v>
      </c>
      <c r="G30" t="s">
        <v>698</v>
      </c>
      <c r="H30">
        <v>1</v>
      </c>
      <c r="I30" t="s">
        <v>699</v>
      </c>
      <c r="J30" t="s">
        <v>551</v>
      </c>
      <c r="K30" t="s">
        <v>552</v>
      </c>
      <c r="L30" t="s">
        <v>552</v>
      </c>
      <c r="M30" t="s">
        <v>700</v>
      </c>
      <c r="N30" t="s">
        <v>209</v>
      </c>
      <c r="O30" t="s">
        <v>488</v>
      </c>
      <c r="U30" t="s">
        <v>701</v>
      </c>
      <c r="V30" t="s">
        <v>702</v>
      </c>
      <c r="W30" t="s">
        <v>473</v>
      </c>
      <c r="X30" t="s">
        <v>553</v>
      </c>
      <c r="Y30" t="s">
        <v>430</v>
      </c>
      <c r="Z30" t="s">
        <v>565</v>
      </c>
      <c r="AB30" t="s">
        <v>676</v>
      </c>
      <c r="AD30" t="s">
        <v>245</v>
      </c>
      <c r="AE30" t="s">
        <v>489</v>
      </c>
      <c r="AF30">
        <v>0</v>
      </c>
      <c r="AG30">
        <v>0</v>
      </c>
      <c r="AH30">
        <v>0</v>
      </c>
      <c r="AI30">
        <v>0</v>
      </c>
      <c r="AJ30" t="s">
        <v>567</v>
      </c>
      <c r="AK30" t="s">
        <v>676</v>
      </c>
      <c r="AL30" t="s">
        <v>568</v>
      </c>
    </row>
    <row r="31" spans="1:38" x14ac:dyDescent="0.2">
      <c r="A31">
        <v>1235504</v>
      </c>
      <c r="B31">
        <v>6820976</v>
      </c>
      <c r="C31">
        <v>187514</v>
      </c>
      <c r="E31" t="b">
        <v>0</v>
      </c>
      <c r="F31">
        <v>50724</v>
      </c>
      <c r="G31" t="s">
        <v>703</v>
      </c>
      <c r="H31">
        <v>1</v>
      </c>
      <c r="I31" t="s">
        <v>704</v>
      </c>
      <c r="J31" t="s">
        <v>551</v>
      </c>
      <c r="K31" t="s">
        <v>552</v>
      </c>
      <c r="L31" t="s">
        <v>552</v>
      </c>
      <c r="M31" t="s">
        <v>705</v>
      </c>
      <c r="N31" t="s">
        <v>210</v>
      </c>
      <c r="O31" t="s">
        <v>451</v>
      </c>
      <c r="U31" t="s">
        <v>706</v>
      </c>
      <c r="V31" t="s">
        <v>707</v>
      </c>
      <c r="W31" t="s">
        <v>500</v>
      </c>
      <c r="X31" t="s">
        <v>553</v>
      </c>
      <c r="Y31" t="s">
        <v>564</v>
      </c>
      <c r="Z31" t="s">
        <v>565</v>
      </c>
      <c r="AB31" t="s">
        <v>676</v>
      </c>
      <c r="AD31" t="s">
        <v>246</v>
      </c>
      <c r="AE31" t="s">
        <v>449</v>
      </c>
      <c r="AF31">
        <v>0</v>
      </c>
      <c r="AG31">
        <v>0</v>
      </c>
      <c r="AH31">
        <v>27.5</v>
      </c>
      <c r="AI31">
        <v>0</v>
      </c>
      <c r="AJ31" t="s">
        <v>567</v>
      </c>
      <c r="AK31" t="s">
        <v>676</v>
      </c>
      <c r="AL31" t="s">
        <v>568</v>
      </c>
    </row>
    <row r="32" spans="1:38" x14ac:dyDescent="0.2">
      <c r="A32">
        <v>1235506</v>
      </c>
      <c r="B32">
        <v>7162110</v>
      </c>
      <c r="C32">
        <v>187514</v>
      </c>
      <c r="E32" t="b">
        <v>0</v>
      </c>
      <c r="F32">
        <v>57050</v>
      </c>
      <c r="G32" t="s">
        <v>708</v>
      </c>
      <c r="H32">
        <v>1</v>
      </c>
      <c r="I32" t="s">
        <v>709</v>
      </c>
      <c r="J32" t="s">
        <v>551</v>
      </c>
      <c r="K32" t="s">
        <v>552</v>
      </c>
      <c r="L32" t="s">
        <v>552</v>
      </c>
      <c r="M32" t="s">
        <v>710</v>
      </c>
      <c r="N32" t="s">
        <v>211</v>
      </c>
      <c r="O32" t="s">
        <v>453</v>
      </c>
      <c r="U32" t="s">
        <v>711</v>
      </c>
      <c r="V32" t="s">
        <v>712</v>
      </c>
      <c r="W32" t="s">
        <v>112</v>
      </c>
      <c r="X32" t="s">
        <v>553</v>
      </c>
      <c r="Y32" t="s">
        <v>564</v>
      </c>
      <c r="AB32" t="s">
        <v>676</v>
      </c>
      <c r="AD32" t="s">
        <v>247</v>
      </c>
      <c r="AE32" t="s">
        <v>449</v>
      </c>
      <c r="AF32">
        <v>0</v>
      </c>
      <c r="AG32">
        <v>0</v>
      </c>
      <c r="AI32">
        <v>0</v>
      </c>
      <c r="AJ32" t="s">
        <v>567</v>
      </c>
      <c r="AK32" t="s">
        <v>676</v>
      </c>
      <c r="AL32" t="s">
        <v>568</v>
      </c>
    </row>
    <row r="33" spans="1:38" x14ac:dyDescent="0.2">
      <c r="A33">
        <v>1235510</v>
      </c>
      <c r="B33">
        <v>6129692</v>
      </c>
      <c r="C33">
        <v>187514</v>
      </c>
      <c r="E33" t="b">
        <v>0</v>
      </c>
      <c r="F33">
        <v>44349</v>
      </c>
      <c r="G33" t="s">
        <v>713</v>
      </c>
      <c r="H33">
        <v>1</v>
      </c>
      <c r="I33" t="s">
        <v>714</v>
      </c>
      <c r="J33" t="s">
        <v>551</v>
      </c>
      <c r="K33" t="s">
        <v>552</v>
      </c>
      <c r="L33" t="s">
        <v>552</v>
      </c>
      <c r="M33" t="s">
        <v>715</v>
      </c>
      <c r="N33" t="s">
        <v>212</v>
      </c>
      <c r="O33" t="s">
        <v>457</v>
      </c>
      <c r="U33" t="s">
        <v>716</v>
      </c>
      <c r="V33" t="s">
        <v>717</v>
      </c>
      <c r="W33" t="s">
        <v>718</v>
      </c>
      <c r="X33" t="s">
        <v>553</v>
      </c>
      <c r="Y33" t="s">
        <v>564</v>
      </c>
      <c r="AB33" t="s">
        <v>676</v>
      </c>
      <c r="AD33" t="s">
        <v>248</v>
      </c>
      <c r="AE33" t="s">
        <v>449</v>
      </c>
      <c r="AF33">
        <v>0</v>
      </c>
      <c r="AG33">
        <v>0</v>
      </c>
      <c r="AI33">
        <v>0</v>
      </c>
      <c r="AJ33" t="s">
        <v>567</v>
      </c>
      <c r="AK33" t="s">
        <v>676</v>
      </c>
      <c r="AL33" t="s">
        <v>568</v>
      </c>
    </row>
    <row r="34" spans="1:38" x14ac:dyDescent="0.2">
      <c r="A34">
        <v>1235590</v>
      </c>
      <c r="B34">
        <v>7948956</v>
      </c>
      <c r="C34">
        <v>187514</v>
      </c>
      <c r="E34" t="b">
        <v>0</v>
      </c>
      <c r="F34">
        <v>70164</v>
      </c>
      <c r="G34" t="s">
        <v>719</v>
      </c>
      <c r="H34">
        <v>1</v>
      </c>
      <c r="I34" t="s">
        <v>720</v>
      </c>
      <c r="J34" t="s">
        <v>721</v>
      </c>
      <c r="K34" t="s">
        <v>552</v>
      </c>
      <c r="L34" t="s">
        <v>552</v>
      </c>
      <c r="M34" t="s">
        <v>722</v>
      </c>
      <c r="N34" t="s">
        <v>214</v>
      </c>
      <c r="O34" t="s">
        <v>213</v>
      </c>
      <c r="U34" t="s">
        <v>723</v>
      </c>
      <c r="X34" t="s">
        <v>553</v>
      </c>
      <c r="Y34" t="s">
        <v>121</v>
      </c>
      <c r="Z34" t="s">
        <v>565</v>
      </c>
      <c r="AD34" t="s">
        <v>249</v>
      </c>
      <c r="AE34" t="s">
        <v>449</v>
      </c>
      <c r="AJ34" t="s">
        <v>567</v>
      </c>
      <c r="AK34" t="s">
        <v>676</v>
      </c>
      <c r="AL34" t="s">
        <v>568</v>
      </c>
    </row>
    <row r="35" spans="1:38" x14ac:dyDescent="0.2">
      <c r="A35">
        <v>1235489</v>
      </c>
      <c r="B35">
        <v>7008912</v>
      </c>
      <c r="C35">
        <v>187510</v>
      </c>
      <c r="E35" t="b">
        <v>0</v>
      </c>
      <c r="F35">
        <v>53750</v>
      </c>
      <c r="G35" t="s">
        <v>724</v>
      </c>
      <c r="H35">
        <v>1</v>
      </c>
      <c r="I35" t="s">
        <v>725</v>
      </c>
      <c r="J35" t="s">
        <v>551</v>
      </c>
      <c r="K35" t="s">
        <v>550</v>
      </c>
      <c r="L35" t="s">
        <v>552</v>
      </c>
      <c r="M35" t="s">
        <v>726</v>
      </c>
      <c r="N35" t="s">
        <v>441</v>
      </c>
      <c r="O35" t="s">
        <v>443</v>
      </c>
      <c r="S35" t="s">
        <v>604</v>
      </c>
      <c r="U35" t="s">
        <v>727</v>
      </c>
      <c r="V35" t="s">
        <v>728</v>
      </c>
      <c r="W35" t="s">
        <v>459</v>
      </c>
      <c r="X35" t="s">
        <v>553</v>
      </c>
      <c r="Y35" t="s">
        <v>121</v>
      </c>
      <c r="Z35" t="s">
        <v>565</v>
      </c>
      <c r="AA35" t="s">
        <v>27</v>
      </c>
      <c r="AB35" t="s">
        <v>608</v>
      </c>
      <c r="AD35" t="s">
        <v>444</v>
      </c>
      <c r="AE35" t="s">
        <v>444</v>
      </c>
      <c r="AF35">
        <v>0</v>
      </c>
      <c r="AG35">
        <v>0</v>
      </c>
      <c r="AH35">
        <v>76.25</v>
      </c>
      <c r="AI35">
        <v>0</v>
      </c>
      <c r="AJ35" t="s">
        <v>567</v>
      </c>
      <c r="AK35" t="s">
        <v>608</v>
      </c>
      <c r="AL35" t="s">
        <v>568</v>
      </c>
    </row>
    <row r="36" spans="1:38" x14ac:dyDescent="0.2">
      <c r="A36">
        <v>1235508</v>
      </c>
      <c r="B36">
        <v>4996970</v>
      </c>
      <c r="C36">
        <v>187508</v>
      </c>
      <c r="E36" t="b">
        <v>0</v>
      </c>
      <c r="F36">
        <v>28336</v>
      </c>
      <c r="G36" t="s">
        <v>729</v>
      </c>
      <c r="H36">
        <v>1</v>
      </c>
      <c r="I36" t="s">
        <v>730</v>
      </c>
      <c r="J36" t="s">
        <v>551</v>
      </c>
      <c r="K36" t="s">
        <v>552</v>
      </c>
      <c r="L36" t="s">
        <v>552</v>
      </c>
      <c r="M36" t="s">
        <v>731</v>
      </c>
      <c r="N36" t="s">
        <v>732</v>
      </c>
      <c r="O36" t="s">
        <v>455</v>
      </c>
      <c r="U36" t="s">
        <v>733</v>
      </c>
      <c r="X36" t="s">
        <v>553</v>
      </c>
      <c r="Y36" t="s">
        <v>121</v>
      </c>
      <c r="Z36" t="s">
        <v>565</v>
      </c>
      <c r="AD36" t="s">
        <v>734</v>
      </c>
      <c r="AE36" t="s">
        <v>428</v>
      </c>
      <c r="AJ36" t="s">
        <v>567</v>
      </c>
      <c r="AK36" t="s">
        <v>566</v>
      </c>
      <c r="AL36" t="s">
        <v>568</v>
      </c>
    </row>
    <row r="37" spans="1:38" x14ac:dyDescent="0.2">
      <c r="A37">
        <v>1235777</v>
      </c>
      <c r="B37">
        <v>5034456</v>
      </c>
      <c r="C37">
        <v>187514</v>
      </c>
      <c r="E37" t="b">
        <v>0</v>
      </c>
      <c r="F37">
        <v>29273</v>
      </c>
      <c r="G37" t="s">
        <v>735</v>
      </c>
      <c r="H37">
        <v>1</v>
      </c>
      <c r="I37" t="s">
        <v>736</v>
      </c>
      <c r="J37" t="s">
        <v>551</v>
      </c>
      <c r="K37" t="s">
        <v>552</v>
      </c>
      <c r="L37" t="s">
        <v>552</v>
      </c>
      <c r="M37" t="s">
        <v>737</v>
      </c>
      <c r="N37" t="s">
        <v>215</v>
      </c>
      <c r="O37" t="s">
        <v>506</v>
      </c>
      <c r="S37" t="s">
        <v>690</v>
      </c>
      <c r="V37" t="s">
        <v>738</v>
      </c>
      <c r="W37" t="s">
        <v>739</v>
      </c>
      <c r="X37" t="s">
        <v>553</v>
      </c>
      <c r="Y37" t="s">
        <v>121</v>
      </c>
      <c r="Z37" t="s">
        <v>565</v>
      </c>
      <c r="AB37" t="s">
        <v>676</v>
      </c>
      <c r="AD37" t="s">
        <v>251</v>
      </c>
      <c r="AE37" t="s">
        <v>507</v>
      </c>
      <c r="AF37">
        <v>0</v>
      </c>
      <c r="AG37">
        <v>0</v>
      </c>
      <c r="AH37">
        <v>27.5</v>
      </c>
      <c r="AI37">
        <v>0</v>
      </c>
      <c r="AJ37" t="s">
        <v>567</v>
      </c>
      <c r="AK37" t="s">
        <v>676</v>
      </c>
      <c r="AL37" t="s">
        <v>568</v>
      </c>
    </row>
    <row r="38" spans="1:38" x14ac:dyDescent="0.2">
      <c r="A38">
        <v>1235400</v>
      </c>
      <c r="B38">
        <v>6119636</v>
      </c>
      <c r="C38">
        <v>187514</v>
      </c>
      <c r="E38" t="b">
        <v>0</v>
      </c>
      <c r="F38">
        <v>44172</v>
      </c>
      <c r="G38" t="s">
        <v>740</v>
      </c>
      <c r="H38">
        <v>1</v>
      </c>
      <c r="I38" t="s">
        <v>741</v>
      </c>
      <c r="J38" t="s">
        <v>551</v>
      </c>
      <c r="K38" t="s">
        <v>552</v>
      </c>
      <c r="L38" t="s">
        <v>552</v>
      </c>
      <c r="M38" t="s">
        <v>742</v>
      </c>
      <c r="N38" t="s">
        <v>216</v>
      </c>
      <c r="O38" t="s">
        <v>427</v>
      </c>
      <c r="U38" t="s">
        <v>743</v>
      </c>
      <c r="V38" t="s">
        <v>744</v>
      </c>
      <c r="W38" t="s">
        <v>718</v>
      </c>
      <c r="X38" t="s">
        <v>553</v>
      </c>
      <c r="Y38" t="s">
        <v>564</v>
      </c>
      <c r="AB38" t="s">
        <v>676</v>
      </c>
      <c r="AD38" t="s">
        <v>252</v>
      </c>
      <c r="AE38" t="s">
        <v>428</v>
      </c>
      <c r="AF38">
        <v>0</v>
      </c>
      <c r="AG38">
        <v>0</v>
      </c>
      <c r="AI38">
        <v>0</v>
      </c>
      <c r="AJ38" t="s">
        <v>567</v>
      </c>
      <c r="AK38" t="s">
        <v>676</v>
      </c>
      <c r="AL38" t="s">
        <v>568</v>
      </c>
    </row>
    <row r="39" spans="1:38" x14ac:dyDescent="0.2">
      <c r="A39">
        <v>1235661</v>
      </c>
      <c r="B39">
        <v>8074219</v>
      </c>
      <c r="C39">
        <v>187514</v>
      </c>
      <c r="E39" t="b">
        <v>0</v>
      </c>
      <c r="F39">
        <v>72769</v>
      </c>
      <c r="G39" t="s">
        <v>745</v>
      </c>
      <c r="H39">
        <v>1</v>
      </c>
      <c r="I39" t="s">
        <v>746</v>
      </c>
      <c r="J39" t="s">
        <v>551</v>
      </c>
      <c r="K39" t="s">
        <v>552</v>
      </c>
      <c r="L39" t="s">
        <v>552</v>
      </c>
      <c r="M39" t="s">
        <v>747</v>
      </c>
      <c r="N39" t="s">
        <v>217</v>
      </c>
      <c r="O39" t="s">
        <v>491</v>
      </c>
      <c r="S39" t="s">
        <v>690</v>
      </c>
      <c r="U39" t="s">
        <v>748</v>
      </c>
      <c r="V39" t="s">
        <v>749</v>
      </c>
      <c r="W39" t="s">
        <v>522</v>
      </c>
      <c r="X39" t="s">
        <v>553</v>
      </c>
      <c r="Y39" t="s">
        <v>564</v>
      </c>
      <c r="Z39" t="s">
        <v>565</v>
      </c>
      <c r="AB39" t="s">
        <v>676</v>
      </c>
      <c r="AD39" t="s">
        <v>253</v>
      </c>
      <c r="AE39" t="s">
        <v>428</v>
      </c>
      <c r="AF39">
        <v>0</v>
      </c>
      <c r="AG39">
        <v>0</v>
      </c>
      <c r="AH39">
        <v>0</v>
      </c>
      <c r="AI39">
        <v>0</v>
      </c>
      <c r="AJ39" t="s">
        <v>567</v>
      </c>
      <c r="AK39" t="s">
        <v>676</v>
      </c>
      <c r="AL39" t="s">
        <v>568</v>
      </c>
    </row>
    <row r="40" spans="1:38" x14ac:dyDescent="0.2">
      <c r="A40">
        <v>1235507</v>
      </c>
      <c r="B40">
        <v>8085736</v>
      </c>
      <c r="C40">
        <v>187514</v>
      </c>
      <c r="E40" t="b">
        <v>0</v>
      </c>
      <c r="F40">
        <v>72935</v>
      </c>
      <c r="G40" t="s">
        <v>750</v>
      </c>
      <c r="H40">
        <v>1</v>
      </c>
      <c r="I40" t="s">
        <v>751</v>
      </c>
      <c r="J40" t="s">
        <v>550</v>
      </c>
      <c r="K40" t="s">
        <v>550</v>
      </c>
      <c r="L40" t="s">
        <v>550</v>
      </c>
      <c r="M40" t="s">
        <v>752</v>
      </c>
      <c r="N40" t="s">
        <v>218</v>
      </c>
      <c r="O40" t="s">
        <v>454</v>
      </c>
      <c r="U40" t="s">
        <v>753</v>
      </c>
      <c r="V40" t="s">
        <v>754</v>
      </c>
      <c r="W40" t="s">
        <v>485</v>
      </c>
      <c r="X40" t="s">
        <v>553</v>
      </c>
      <c r="Y40" t="s">
        <v>564</v>
      </c>
      <c r="AB40" t="s">
        <v>676</v>
      </c>
      <c r="AD40" t="s">
        <v>254</v>
      </c>
      <c r="AE40" t="s">
        <v>428</v>
      </c>
      <c r="AF40">
        <v>0</v>
      </c>
      <c r="AG40">
        <v>0</v>
      </c>
      <c r="AI40">
        <v>0</v>
      </c>
      <c r="AJ40" t="s">
        <v>567</v>
      </c>
      <c r="AK40" t="s">
        <v>676</v>
      </c>
      <c r="AL40" t="s">
        <v>568</v>
      </c>
    </row>
    <row r="42" spans="1:38" x14ac:dyDescent="0.2">
      <c r="A42">
        <v>1235500</v>
      </c>
      <c r="B42">
        <v>8128420</v>
      </c>
      <c r="C42">
        <v>187514</v>
      </c>
      <c r="E42" t="b">
        <v>0</v>
      </c>
      <c r="F42">
        <v>73271</v>
      </c>
      <c r="G42" t="s">
        <v>755</v>
      </c>
      <c r="H42">
        <v>1</v>
      </c>
      <c r="I42" t="s">
        <v>756</v>
      </c>
      <c r="J42" t="s">
        <v>551</v>
      </c>
      <c r="K42" t="s">
        <v>550</v>
      </c>
      <c r="L42" t="s">
        <v>552</v>
      </c>
      <c r="M42" t="s">
        <v>757</v>
      </c>
      <c r="N42" t="s">
        <v>219</v>
      </c>
      <c r="O42" t="s">
        <v>446</v>
      </c>
      <c r="U42" t="s">
        <v>758</v>
      </c>
      <c r="V42" t="s">
        <v>759</v>
      </c>
      <c r="W42" t="s">
        <v>112</v>
      </c>
      <c r="X42" t="s">
        <v>553</v>
      </c>
      <c r="Y42" t="s">
        <v>121</v>
      </c>
      <c r="Z42" t="s">
        <v>565</v>
      </c>
      <c r="AB42" t="s">
        <v>676</v>
      </c>
      <c r="AD42" t="s">
        <v>255</v>
      </c>
      <c r="AE42" t="s">
        <v>428</v>
      </c>
      <c r="AF42">
        <v>0</v>
      </c>
      <c r="AG42">
        <v>0</v>
      </c>
      <c r="AH42">
        <v>0</v>
      </c>
      <c r="AI42">
        <v>0</v>
      </c>
      <c r="AJ42" t="s">
        <v>567</v>
      </c>
      <c r="AK42" t="s">
        <v>676</v>
      </c>
      <c r="AL42" t="s">
        <v>568</v>
      </c>
    </row>
    <row r="43" spans="1:38" x14ac:dyDescent="0.2">
      <c r="A43">
        <v>1235509</v>
      </c>
      <c r="B43">
        <v>6206718</v>
      </c>
      <c r="C43">
        <v>187514</v>
      </c>
      <c r="E43" t="b">
        <v>0</v>
      </c>
      <c r="F43">
        <v>46040</v>
      </c>
      <c r="G43" t="s">
        <v>760</v>
      </c>
      <c r="H43">
        <v>2</v>
      </c>
      <c r="I43" t="s">
        <v>761</v>
      </c>
      <c r="J43" t="s">
        <v>551</v>
      </c>
      <c r="K43" t="s">
        <v>552</v>
      </c>
      <c r="L43" t="s">
        <v>552</v>
      </c>
      <c r="M43" t="s">
        <v>762</v>
      </c>
      <c r="N43" t="s">
        <v>220</v>
      </c>
      <c r="O43" t="s">
        <v>456</v>
      </c>
      <c r="U43" t="s">
        <v>763</v>
      </c>
      <c r="V43" t="s">
        <v>764</v>
      </c>
      <c r="W43" t="s">
        <v>739</v>
      </c>
      <c r="X43" t="s">
        <v>553</v>
      </c>
      <c r="Y43" t="s">
        <v>564</v>
      </c>
      <c r="AB43" t="s">
        <v>676</v>
      </c>
      <c r="AD43" t="s">
        <v>256</v>
      </c>
      <c r="AE43" t="s">
        <v>428</v>
      </c>
      <c r="AF43">
        <v>0</v>
      </c>
      <c r="AG43">
        <v>0</v>
      </c>
      <c r="AI43">
        <v>0</v>
      </c>
      <c r="AJ43" t="s">
        <v>567</v>
      </c>
      <c r="AK43" t="s">
        <v>676</v>
      </c>
      <c r="AL43" t="s">
        <v>568</v>
      </c>
    </row>
    <row r="44" spans="1:38" x14ac:dyDescent="0.2">
      <c r="A44">
        <v>1235498</v>
      </c>
      <c r="B44">
        <v>4234901</v>
      </c>
      <c r="C44">
        <v>187508</v>
      </c>
      <c r="E44" t="b">
        <v>0</v>
      </c>
      <c r="F44">
        <v>24455</v>
      </c>
      <c r="G44" t="s">
        <v>765</v>
      </c>
      <c r="H44">
        <v>1</v>
      </c>
      <c r="I44" t="s">
        <v>766</v>
      </c>
      <c r="J44" t="s">
        <v>551</v>
      </c>
      <c r="K44" t="s">
        <v>552</v>
      </c>
      <c r="L44" t="s">
        <v>552</v>
      </c>
      <c r="M44" t="s">
        <v>767</v>
      </c>
      <c r="N44" t="s">
        <v>221</v>
      </c>
      <c r="O44" t="s">
        <v>445</v>
      </c>
      <c r="S44" t="s">
        <v>768</v>
      </c>
      <c r="U44" t="s">
        <v>769</v>
      </c>
      <c r="V44" t="s">
        <v>770</v>
      </c>
      <c r="W44" t="s">
        <v>771</v>
      </c>
      <c r="X44" t="s">
        <v>553</v>
      </c>
      <c r="Y44" t="s">
        <v>121</v>
      </c>
      <c r="Z44" t="s">
        <v>565</v>
      </c>
      <c r="AB44" t="s">
        <v>566</v>
      </c>
      <c r="AD44" t="s">
        <v>257</v>
      </c>
      <c r="AE44" t="s">
        <v>428</v>
      </c>
      <c r="AF44">
        <v>0</v>
      </c>
      <c r="AG44">
        <v>0</v>
      </c>
      <c r="AH44">
        <v>68</v>
      </c>
      <c r="AI44">
        <v>0</v>
      </c>
      <c r="AJ44" t="s">
        <v>567</v>
      </c>
      <c r="AK44" t="s">
        <v>566</v>
      </c>
      <c r="AL44" t="s">
        <v>568</v>
      </c>
    </row>
    <row r="45" spans="1:38" x14ac:dyDescent="0.2">
      <c r="A45">
        <v>1235401</v>
      </c>
      <c r="B45">
        <v>6140648</v>
      </c>
      <c r="C45">
        <v>187514</v>
      </c>
      <c r="E45" t="b">
        <v>0</v>
      </c>
      <c r="F45">
        <v>44618</v>
      </c>
      <c r="G45" t="s">
        <v>772</v>
      </c>
      <c r="H45">
        <v>1</v>
      </c>
      <c r="I45" t="s">
        <v>773</v>
      </c>
      <c r="J45" t="s">
        <v>551</v>
      </c>
      <c r="K45" t="s">
        <v>552</v>
      </c>
      <c r="L45" t="s">
        <v>552</v>
      </c>
      <c r="M45" t="s">
        <v>774</v>
      </c>
      <c r="N45" t="s">
        <v>222</v>
      </c>
      <c r="O45" t="s">
        <v>429</v>
      </c>
      <c r="P45" t="s">
        <v>120</v>
      </c>
      <c r="U45" t="s">
        <v>775</v>
      </c>
      <c r="V45" t="s">
        <v>776</v>
      </c>
      <c r="W45" t="s">
        <v>173</v>
      </c>
      <c r="X45" t="s">
        <v>553</v>
      </c>
      <c r="Y45" t="s">
        <v>121</v>
      </c>
      <c r="AB45" t="s">
        <v>676</v>
      </c>
      <c r="AD45" t="s">
        <v>258</v>
      </c>
      <c r="AE45" t="s">
        <v>428</v>
      </c>
      <c r="AF45">
        <v>0</v>
      </c>
      <c r="AG45">
        <v>0</v>
      </c>
      <c r="AI45">
        <v>0</v>
      </c>
      <c r="AJ45" t="s">
        <v>567</v>
      </c>
      <c r="AK45" t="s">
        <v>676</v>
      </c>
      <c r="AL45" t="s">
        <v>568</v>
      </c>
    </row>
    <row r="46" spans="1:38" x14ac:dyDescent="0.2">
      <c r="A46">
        <v>1235402</v>
      </c>
      <c r="B46">
        <v>8128495</v>
      </c>
      <c r="C46">
        <v>187514</v>
      </c>
      <c r="E46" t="b">
        <v>0</v>
      </c>
      <c r="F46">
        <v>73279</v>
      </c>
      <c r="G46" t="s">
        <v>777</v>
      </c>
      <c r="H46">
        <v>1</v>
      </c>
      <c r="I46" t="s">
        <v>778</v>
      </c>
      <c r="J46" t="s">
        <v>551</v>
      </c>
      <c r="K46" t="s">
        <v>552</v>
      </c>
      <c r="L46" t="s">
        <v>552</v>
      </c>
      <c r="M46" t="s">
        <v>779</v>
      </c>
      <c r="N46" t="s">
        <v>223</v>
      </c>
      <c r="O46" t="s">
        <v>431</v>
      </c>
      <c r="P46" t="s">
        <v>120</v>
      </c>
      <c r="U46" t="s">
        <v>780</v>
      </c>
      <c r="V46" t="s">
        <v>781</v>
      </c>
      <c r="W46" t="s">
        <v>112</v>
      </c>
      <c r="X46" t="s">
        <v>553</v>
      </c>
      <c r="Y46" t="s">
        <v>121</v>
      </c>
      <c r="Z46" t="s">
        <v>565</v>
      </c>
      <c r="AB46" t="s">
        <v>676</v>
      </c>
      <c r="AD46" t="s">
        <v>259</v>
      </c>
      <c r="AE46" t="s">
        <v>428</v>
      </c>
      <c r="AF46">
        <v>0</v>
      </c>
      <c r="AG46">
        <v>0</v>
      </c>
      <c r="AH46">
        <v>0</v>
      </c>
      <c r="AI46">
        <v>0</v>
      </c>
      <c r="AJ46" t="s">
        <v>567</v>
      </c>
      <c r="AK46" t="s">
        <v>676</v>
      </c>
      <c r="AL46" t="s">
        <v>568</v>
      </c>
    </row>
    <row r="47" spans="1:38" x14ac:dyDescent="0.2">
      <c r="A47">
        <v>1235610</v>
      </c>
      <c r="B47">
        <v>3518992</v>
      </c>
      <c r="E47" t="b">
        <v>0</v>
      </c>
      <c r="F47">
        <v>7771</v>
      </c>
      <c r="G47" t="s">
        <v>782</v>
      </c>
      <c r="H47">
        <v>1</v>
      </c>
      <c r="I47" t="s">
        <v>783</v>
      </c>
      <c r="J47" t="s">
        <v>551</v>
      </c>
      <c r="K47" t="s">
        <v>550</v>
      </c>
      <c r="L47" t="s">
        <v>552</v>
      </c>
      <c r="M47" t="s">
        <v>784</v>
      </c>
      <c r="N47" t="s">
        <v>229</v>
      </c>
      <c r="O47" t="s">
        <v>228</v>
      </c>
      <c r="P47" t="s">
        <v>475</v>
      </c>
      <c r="S47" t="s">
        <v>596</v>
      </c>
      <c r="V47" t="s">
        <v>785</v>
      </c>
      <c r="W47" t="s">
        <v>459</v>
      </c>
      <c r="X47" t="s">
        <v>553</v>
      </c>
      <c r="Y47" t="s">
        <v>121</v>
      </c>
      <c r="Z47" t="s">
        <v>565</v>
      </c>
      <c r="AD47" t="s">
        <v>227</v>
      </c>
      <c r="AE47" t="s">
        <v>476</v>
      </c>
      <c r="AF47">
        <v>0</v>
      </c>
      <c r="AG47">
        <v>0</v>
      </c>
      <c r="AH47">
        <v>41</v>
      </c>
      <c r="AI47">
        <v>0</v>
      </c>
      <c r="AJ47" t="s">
        <v>786</v>
      </c>
    </row>
    <row r="49" spans="1:38" x14ac:dyDescent="0.2">
      <c r="A49">
        <v>1235673</v>
      </c>
      <c r="B49">
        <v>7098933</v>
      </c>
      <c r="C49">
        <v>187514</v>
      </c>
      <c r="E49" t="b">
        <v>0</v>
      </c>
      <c r="F49">
        <v>55608</v>
      </c>
      <c r="G49" t="s">
        <v>787</v>
      </c>
      <c r="H49">
        <v>1</v>
      </c>
      <c r="I49" t="s">
        <v>788</v>
      </c>
      <c r="J49" t="s">
        <v>551</v>
      </c>
      <c r="K49" t="s">
        <v>552</v>
      </c>
      <c r="L49" t="s">
        <v>552</v>
      </c>
      <c r="M49" t="s">
        <v>789</v>
      </c>
      <c r="N49" t="s">
        <v>336</v>
      </c>
      <c r="O49" t="s">
        <v>492</v>
      </c>
      <c r="U49" t="s">
        <v>790</v>
      </c>
      <c r="V49" t="s">
        <v>791</v>
      </c>
      <c r="W49" t="s">
        <v>112</v>
      </c>
      <c r="X49" t="s">
        <v>553</v>
      </c>
      <c r="Y49" t="s">
        <v>564</v>
      </c>
      <c r="Z49" t="s">
        <v>565</v>
      </c>
      <c r="AB49" t="s">
        <v>676</v>
      </c>
      <c r="AD49" t="s">
        <v>335</v>
      </c>
      <c r="AE49" t="s">
        <v>461</v>
      </c>
      <c r="AF49">
        <v>0</v>
      </c>
      <c r="AG49">
        <v>0</v>
      </c>
      <c r="AH49">
        <v>27.5</v>
      </c>
      <c r="AI49">
        <v>0</v>
      </c>
      <c r="AJ49" t="s">
        <v>567</v>
      </c>
      <c r="AK49" t="s">
        <v>676</v>
      </c>
      <c r="AL49" t="s">
        <v>568</v>
      </c>
    </row>
    <row r="50" spans="1:38" x14ac:dyDescent="0.2">
      <c r="A50">
        <v>1235526</v>
      </c>
      <c r="B50">
        <v>6917566</v>
      </c>
      <c r="C50">
        <v>187514</v>
      </c>
      <c r="E50" t="b">
        <v>0</v>
      </c>
      <c r="F50">
        <v>51875</v>
      </c>
      <c r="G50" t="s">
        <v>792</v>
      </c>
      <c r="H50">
        <v>1</v>
      </c>
      <c r="I50" t="s">
        <v>793</v>
      </c>
      <c r="J50" t="s">
        <v>551</v>
      </c>
      <c r="K50" t="s">
        <v>552</v>
      </c>
      <c r="L50" t="s">
        <v>552</v>
      </c>
      <c r="M50" t="s">
        <v>794</v>
      </c>
      <c r="N50" t="s">
        <v>224</v>
      </c>
      <c r="O50" t="s">
        <v>460</v>
      </c>
      <c r="U50" t="s">
        <v>795</v>
      </c>
      <c r="V50" t="s">
        <v>796</v>
      </c>
      <c r="W50" t="s">
        <v>473</v>
      </c>
      <c r="X50" t="s">
        <v>553</v>
      </c>
      <c r="Y50" t="s">
        <v>564</v>
      </c>
      <c r="AB50" t="s">
        <v>676</v>
      </c>
      <c r="AD50" t="s">
        <v>260</v>
      </c>
      <c r="AE50" t="s">
        <v>461</v>
      </c>
      <c r="AF50">
        <v>0</v>
      </c>
      <c r="AG50">
        <v>0</v>
      </c>
      <c r="AI50">
        <v>0</v>
      </c>
      <c r="AJ50" t="s">
        <v>567</v>
      </c>
      <c r="AK50" t="s">
        <v>676</v>
      </c>
      <c r="AL50" t="s">
        <v>568</v>
      </c>
    </row>
    <row r="51" spans="1:38" x14ac:dyDescent="0.2">
      <c r="A51">
        <v>2635568</v>
      </c>
      <c r="B51">
        <v>7621062</v>
      </c>
      <c r="C51">
        <v>187514</v>
      </c>
      <c r="E51" t="b">
        <v>0</v>
      </c>
      <c r="F51">
        <v>64450</v>
      </c>
      <c r="G51" t="s">
        <v>797</v>
      </c>
      <c r="H51">
        <v>1</v>
      </c>
      <c r="I51" t="s">
        <v>798</v>
      </c>
      <c r="J51" t="s">
        <v>550</v>
      </c>
      <c r="K51" t="s">
        <v>550</v>
      </c>
      <c r="L51" t="s">
        <v>550</v>
      </c>
      <c r="M51" t="s">
        <v>799</v>
      </c>
      <c r="N51" t="s">
        <v>225</v>
      </c>
      <c r="O51" t="s">
        <v>520</v>
      </c>
      <c r="U51" t="s">
        <v>800</v>
      </c>
      <c r="V51" t="s">
        <v>801</v>
      </c>
      <c r="W51" t="s">
        <v>513</v>
      </c>
      <c r="X51" t="s">
        <v>553</v>
      </c>
      <c r="Y51" t="s">
        <v>430</v>
      </c>
      <c r="Z51" t="s">
        <v>565</v>
      </c>
      <c r="AB51" t="s">
        <v>676</v>
      </c>
      <c r="AD51" t="s">
        <v>261</v>
      </c>
      <c r="AE51" t="s">
        <v>461</v>
      </c>
      <c r="AF51">
        <v>0</v>
      </c>
      <c r="AG51">
        <v>0</v>
      </c>
      <c r="AH51">
        <v>27.5</v>
      </c>
      <c r="AI51">
        <v>0</v>
      </c>
      <c r="AJ51" t="s">
        <v>567</v>
      </c>
      <c r="AK51" t="s">
        <v>676</v>
      </c>
      <c r="AL51" t="s">
        <v>568</v>
      </c>
    </row>
    <row r="52" spans="1:38" x14ac:dyDescent="0.2">
      <c r="A52">
        <v>1235345</v>
      </c>
      <c r="B52">
        <v>7865996</v>
      </c>
      <c r="C52">
        <v>7654931</v>
      </c>
      <c r="E52" t="b">
        <v>0</v>
      </c>
      <c r="F52">
        <v>68489</v>
      </c>
      <c r="G52" t="s">
        <v>802</v>
      </c>
      <c r="H52">
        <v>1</v>
      </c>
      <c r="I52" t="s">
        <v>803</v>
      </c>
      <c r="J52" t="s">
        <v>551</v>
      </c>
      <c r="K52" t="s">
        <v>552</v>
      </c>
      <c r="L52" t="s">
        <v>552</v>
      </c>
      <c r="M52" t="s">
        <v>804</v>
      </c>
      <c r="N52" t="s">
        <v>191</v>
      </c>
      <c r="O52" t="s">
        <v>191</v>
      </c>
      <c r="P52" t="s">
        <v>422</v>
      </c>
      <c r="S52" t="s">
        <v>805</v>
      </c>
      <c r="U52" t="s">
        <v>806</v>
      </c>
      <c r="V52" t="s">
        <v>807</v>
      </c>
      <c r="W52" t="s">
        <v>808</v>
      </c>
      <c r="X52" t="s">
        <v>553</v>
      </c>
      <c r="Y52" t="s">
        <v>121</v>
      </c>
      <c r="Z52" t="s">
        <v>809</v>
      </c>
      <c r="AB52" t="s">
        <v>591</v>
      </c>
      <c r="AD52" t="s">
        <v>190</v>
      </c>
      <c r="AE52" t="s">
        <v>423</v>
      </c>
      <c r="AF52">
        <v>0</v>
      </c>
      <c r="AG52">
        <v>0</v>
      </c>
      <c r="AH52">
        <v>117.75</v>
      </c>
      <c r="AI52">
        <v>0</v>
      </c>
      <c r="AJ52" t="s">
        <v>567</v>
      </c>
      <c r="AK52" t="s">
        <v>591</v>
      </c>
      <c r="AL52" t="s">
        <v>810</v>
      </c>
    </row>
    <row r="53" spans="1:38" x14ac:dyDescent="0.2">
      <c r="A53">
        <v>1235444</v>
      </c>
      <c r="B53">
        <v>7855800</v>
      </c>
      <c r="C53">
        <v>187508</v>
      </c>
      <c r="E53" t="b">
        <v>0</v>
      </c>
      <c r="F53">
        <v>68290</v>
      </c>
      <c r="G53" t="s">
        <v>811</v>
      </c>
      <c r="H53">
        <v>1</v>
      </c>
      <c r="I53" t="s">
        <v>812</v>
      </c>
      <c r="J53" t="s">
        <v>551</v>
      </c>
      <c r="K53" t="s">
        <v>550</v>
      </c>
      <c r="L53" t="s">
        <v>552</v>
      </c>
      <c r="M53" t="s">
        <v>813</v>
      </c>
      <c r="N53" t="s">
        <v>195</v>
      </c>
      <c r="O53" t="s">
        <v>194</v>
      </c>
      <c r="P53" t="s">
        <v>120</v>
      </c>
      <c r="S53" t="s">
        <v>604</v>
      </c>
      <c r="U53" t="s">
        <v>814</v>
      </c>
      <c r="V53" t="s">
        <v>815</v>
      </c>
      <c r="W53" t="s">
        <v>459</v>
      </c>
      <c r="X53" t="s">
        <v>553</v>
      </c>
      <c r="Y53" t="s">
        <v>564</v>
      </c>
      <c r="Z53" t="s">
        <v>565</v>
      </c>
      <c r="AB53" t="s">
        <v>566</v>
      </c>
      <c r="AD53" t="s">
        <v>440</v>
      </c>
      <c r="AE53" t="s">
        <v>816</v>
      </c>
      <c r="AF53">
        <v>0</v>
      </c>
      <c r="AG53">
        <v>0</v>
      </c>
      <c r="AH53">
        <v>102</v>
      </c>
      <c r="AI53">
        <v>0</v>
      </c>
      <c r="AJ53" t="s">
        <v>567</v>
      </c>
      <c r="AK53" t="s">
        <v>566</v>
      </c>
      <c r="AL53" t="s">
        <v>568</v>
      </c>
    </row>
    <row r="54" spans="1:38" x14ac:dyDescent="0.2">
      <c r="A54">
        <v>1235564</v>
      </c>
      <c r="B54">
        <v>7890061</v>
      </c>
      <c r="C54">
        <v>187508</v>
      </c>
      <c r="E54" t="b">
        <v>0</v>
      </c>
      <c r="F54">
        <v>69031</v>
      </c>
      <c r="G54" t="s">
        <v>817</v>
      </c>
      <c r="H54">
        <v>1</v>
      </c>
      <c r="I54" t="s">
        <v>818</v>
      </c>
      <c r="J54" t="s">
        <v>551</v>
      </c>
      <c r="K54" t="s">
        <v>550</v>
      </c>
      <c r="L54" t="s">
        <v>552</v>
      </c>
      <c r="M54" t="s">
        <v>819</v>
      </c>
      <c r="N54" t="s">
        <v>200</v>
      </c>
      <c r="O54" t="s">
        <v>199</v>
      </c>
      <c r="S54" t="s">
        <v>820</v>
      </c>
      <c r="U54" t="s">
        <v>821</v>
      </c>
      <c r="V54" t="s">
        <v>822</v>
      </c>
      <c r="W54" t="s">
        <v>459</v>
      </c>
      <c r="X54" t="s">
        <v>553</v>
      </c>
      <c r="Y54" t="s">
        <v>564</v>
      </c>
      <c r="Z54" t="s">
        <v>565</v>
      </c>
      <c r="AB54" t="s">
        <v>566</v>
      </c>
      <c r="AD54" t="s">
        <v>198</v>
      </c>
      <c r="AE54" t="s">
        <v>471</v>
      </c>
      <c r="AF54">
        <v>0</v>
      </c>
      <c r="AG54">
        <v>0</v>
      </c>
      <c r="AH54">
        <v>75</v>
      </c>
      <c r="AI54">
        <v>0</v>
      </c>
      <c r="AJ54" t="s">
        <v>567</v>
      </c>
      <c r="AK54" t="s">
        <v>566</v>
      </c>
      <c r="AL54" t="s">
        <v>568</v>
      </c>
    </row>
    <row r="55" spans="1:38" x14ac:dyDescent="0.2">
      <c r="A55">
        <v>1235501</v>
      </c>
      <c r="B55">
        <v>8010165</v>
      </c>
      <c r="C55">
        <v>187508</v>
      </c>
      <c r="E55" t="b">
        <v>0</v>
      </c>
      <c r="F55">
        <v>71410</v>
      </c>
      <c r="G55" t="s">
        <v>823</v>
      </c>
      <c r="H55">
        <v>1</v>
      </c>
      <c r="I55" t="s">
        <v>824</v>
      </c>
      <c r="J55" t="s">
        <v>551</v>
      </c>
      <c r="K55" t="s">
        <v>550</v>
      </c>
      <c r="L55" t="s">
        <v>552</v>
      </c>
      <c r="M55" t="s">
        <v>825</v>
      </c>
      <c r="N55" t="s">
        <v>203</v>
      </c>
      <c r="O55" t="s">
        <v>202</v>
      </c>
      <c r="P55" t="s">
        <v>430</v>
      </c>
      <c r="S55" t="s">
        <v>604</v>
      </c>
      <c r="U55" t="s">
        <v>642</v>
      </c>
      <c r="V55" t="s">
        <v>826</v>
      </c>
      <c r="W55" t="s">
        <v>459</v>
      </c>
      <c r="X55" t="s">
        <v>553</v>
      </c>
      <c r="Y55" t="s">
        <v>564</v>
      </c>
      <c r="Z55" t="s">
        <v>565</v>
      </c>
      <c r="AB55" t="s">
        <v>566</v>
      </c>
      <c r="AD55" t="s">
        <v>201</v>
      </c>
      <c r="AE55" t="s">
        <v>447</v>
      </c>
      <c r="AF55">
        <v>0</v>
      </c>
      <c r="AG55">
        <v>0</v>
      </c>
      <c r="AH55">
        <v>75</v>
      </c>
      <c r="AI55">
        <v>0</v>
      </c>
      <c r="AJ55" t="s">
        <v>567</v>
      </c>
      <c r="AK55" t="s">
        <v>566</v>
      </c>
      <c r="AL55" t="s">
        <v>568</v>
      </c>
    </row>
    <row r="56" spans="1:38" x14ac:dyDescent="0.2">
      <c r="A56">
        <v>1235704</v>
      </c>
      <c r="B56">
        <v>8031653</v>
      </c>
      <c r="C56">
        <v>187514</v>
      </c>
      <c r="E56" t="b">
        <v>0</v>
      </c>
      <c r="F56">
        <v>71907</v>
      </c>
      <c r="G56" t="s">
        <v>827</v>
      </c>
      <c r="H56">
        <v>1</v>
      </c>
      <c r="I56" t="s">
        <v>828</v>
      </c>
      <c r="J56" t="s">
        <v>551</v>
      </c>
      <c r="K56" t="s">
        <v>552</v>
      </c>
      <c r="L56" t="s">
        <v>552</v>
      </c>
      <c r="M56" t="s">
        <v>829</v>
      </c>
      <c r="N56" t="s">
        <v>269</v>
      </c>
      <c r="O56" t="s">
        <v>498</v>
      </c>
      <c r="S56" t="s">
        <v>690</v>
      </c>
      <c r="U56" t="s">
        <v>830</v>
      </c>
      <c r="V56" t="s">
        <v>831</v>
      </c>
      <c r="W56" t="s">
        <v>392</v>
      </c>
      <c r="X56" t="s">
        <v>553</v>
      </c>
      <c r="Y56" t="s">
        <v>430</v>
      </c>
      <c r="Z56" t="s">
        <v>565</v>
      </c>
      <c r="AB56" t="s">
        <v>676</v>
      </c>
      <c r="AD56" t="s">
        <v>268</v>
      </c>
      <c r="AE56" t="s">
        <v>268</v>
      </c>
      <c r="AF56">
        <v>0</v>
      </c>
      <c r="AG56">
        <v>0</v>
      </c>
      <c r="AH56">
        <v>27.5</v>
      </c>
      <c r="AI56">
        <v>0</v>
      </c>
      <c r="AJ56" t="s">
        <v>567</v>
      </c>
      <c r="AK56" t="s">
        <v>676</v>
      </c>
      <c r="AL56" t="s">
        <v>568</v>
      </c>
    </row>
    <row r="57" spans="1:38" x14ac:dyDescent="0.2">
      <c r="A57">
        <v>1235563</v>
      </c>
      <c r="B57">
        <v>7009411</v>
      </c>
      <c r="C57">
        <v>7589603</v>
      </c>
      <c r="E57" t="b">
        <v>0</v>
      </c>
      <c r="F57">
        <v>53782</v>
      </c>
      <c r="G57" t="s">
        <v>832</v>
      </c>
      <c r="H57">
        <v>1</v>
      </c>
      <c r="I57" t="s">
        <v>833</v>
      </c>
      <c r="J57" t="s">
        <v>551</v>
      </c>
      <c r="K57" t="s">
        <v>550</v>
      </c>
      <c r="L57" t="s">
        <v>552</v>
      </c>
      <c r="M57" t="s">
        <v>834</v>
      </c>
      <c r="N57" t="s">
        <v>235</v>
      </c>
      <c r="O57" t="s">
        <v>235</v>
      </c>
      <c r="P57" t="s">
        <v>468</v>
      </c>
      <c r="S57" t="s">
        <v>596</v>
      </c>
      <c r="U57" t="s">
        <v>835</v>
      </c>
      <c r="V57" t="s">
        <v>836</v>
      </c>
      <c r="W57" t="s">
        <v>459</v>
      </c>
      <c r="X57" t="s">
        <v>553</v>
      </c>
      <c r="Y57" t="s">
        <v>121</v>
      </c>
      <c r="Z57" t="s">
        <v>565</v>
      </c>
      <c r="AB57" t="s">
        <v>591</v>
      </c>
      <c r="AD57" t="s">
        <v>469</v>
      </c>
      <c r="AE57" t="s">
        <v>470</v>
      </c>
      <c r="AF57">
        <v>0</v>
      </c>
      <c r="AG57">
        <v>0</v>
      </c>
      <c r="AH57">
        <v>46</v>
      </c>
      <c r="AI57">
        <v>0</v>
      </c>
      <c r="AJ57" t="s">
        <v>567</v>
      </c>
      <c r="AK57" t="s">
        <v>591</v>
      </c>
      <c r="AL57" t="s">
        <v>600</v>
      </c>
    </row>
    <row r="58" spans="1:38" x14ac:dyDescent="0.2">
      <c r="A58">
        <v>1235428</v>
      </c>
      <c r="B58">
        <v>3934094</v>
      </c>
      <c r="C58">
        <v>7589603</v>
      </c>
      <c r="E58" t="b">
        <v>0</v>
      </c>
      <c r="F58">
        <v>17702</v>
      </c>
      <c r="G58" t="s">
        <v>837</v>
      </c>
      <c r="H58">
        <v>1</v>
      </c>
      <c r="I58" t="s">
        <v>838</v>
      </c>
      <c r="J58" t="s">
        <v>551</v>
      </c>
      <c r="K58" t="s">
        <v>552</v>
      </c>
      <c r="L58" t="s">
        <v>552</v>
      </c>
      <c r="M58" t="s">
        <v>839</v>
      </c>
      <c r="N58" t="s">
        <v>236</v>
      </c>
      <c r="O58" t="s">
        <v>236</v>
      </c>
      <c r="P58" t="s">
        <v>771</v>
      </c>
      <c r="S58" t="s">
        <v>596</v>
      </c>
      <c r="V58" t="s">
        <v>840</v>
      </c>
      <c r="W58" t="s">
        <v>459</v>
      </c>
      <c r="X58" t="s">
        <v>553</v>
      </c>
      <c r="Y58" t="s">
        <v>121</v>
      </c>
      <c r="Z58" t="s">
        <v>565</v>
      </c>
      <c r="AB58" t="s">
        <v>591</v>
      </c>
      <c r="AD58" t="s">
        <v>841</v>
      </c>
      <c r="AE58" t="s">
        <v>842</v>
      </c>
      <c r="AF58">
        <v>0</v>
      </c>
      <c r="AG58">
        <v>0</v>
      </c>
      <c r="AH58">
        <v>41</v>
      </c>
      <c r="AI58">
        <v>0</v>
      </c>
      <c r="AJ58" t="s">
        <v>567</v>
      </c>
      <c r="AK58" t="s">
        <v>591</v>
      </c>
      <c r="AL58" t="s">
        <v>600</v>
      </c>
    </row>
    <row r="59" spans="1:38" x14ac:dyDescent="0.2">
      <c r="A59">
        <v>2822437</v>
      </c>
    </row>
    <row r="60" spans="1:38" x14ac:dyDescent="0.2">
      <c r="A60">
        <v>1235598</v>
      </c>
      <c r="B60">
        <v>7490110</v>
      </c>
      <c r="C60">
        <v>7589602</v>
      </c>
      <c r="E60" t="b">
        <v>0</v>
      </c>
      <c r="F60">
        <v>61175</v>
      </c>
      <c r="G60" t="s">
        <v>843</v>
      </c>
      <c r="H60">
        <v>1</v>
      </c>
      <c r="I60" t="s">
        <v>844</v>
      </c>
      <c r="J60" t="s">
        <v>551</v>
      </c>
      <c r="K60" t="s">
        <v>550</v>
      </c>
      <c r="L60" t="s">
        <v>552</v>
      </c>
      <c r="M60" t="s">
        <v>845</v>
      </c>
      <c r="N60" t="s">
        <v>192</v>
      </c>
      <c r="O60" t="s">
        <v>192</v>
      </c>
      <c r="P60" t="s">
        <v>459</v>
      </c>
      <c r="S60" t="s">
        <v>604</v>
      </c>
      <c r="U60" t="s">
        <v>846</v>
      </c>
      <c r="V60" t="s">
        <v>847</v>
      </c>
      <c r="W60" t="s">
        <v>459</v>
      </c>
      <c r="X60" t="s">
        <v>553</v>
      </c>
      <c r="Y60" t="s">
        <v>121</v>
      </c>
      <c r="Z60" t="s">
        <v>565</v>
      </c>
      <c r="AA60" t="s">
        <v>27</v>
      </c>
      <c r="AB60" t="s">
        <v>608</v>
      </c>
      <c r="AD60" t="s">
        <v>474</v>
      </c>
      <c r="AE60" t="s">
        <v>474</v>
      </c>
      <c r="AF60">
        <v>0</v>
      </c>
      <c r="AG60">
        <v>0</v>
      </c>
      <c r="AH60">
        <v>76.25</v>
      </c>
      <c r="AI60">
        <v>0</v>
      </c>
      <c r="AJ60" t="s">
        <v>567</v>
      </c>
      <c r="AK60" t="s">
        <v>608</v>
      </c>
      <c r="AL60" t="s">
        <v>600</v>
      </c>
    </row>
    <row r="61" spans="1:38" x14ac:dyDescent="0.2">
      <c r="A61">
        <v>1235517</v>
      </c>
      <c r="B61">
        <v>6829128</v>
      </c>
      <c r="C61">
        <v>187510</v>
      </c>
      <c r="E61" t="b">
        <v>0</v>
      </c>
      <c r="F61">
        <v>50907</v>
      </c>
      <c r="G61" t="s">
        <v>848</v>
      </c>
      <c r="H61">
        <v>1</v>
      </c>
      <c r="I61" t="s">
        <v>849</v>
      </c>
      <c r="J61" t="s">
        <v>551</v>
      </c>
      <c r="K61" t="s">
        <v>550</v>
      </c>
      <c r="L61" t="s">
        <v>552</v>
      </c>
      <c r="M61" t="s">
        <v>850</v>
      </c>
      <c r="N61" t="s">
        <v>193</v>
      </c>
      <c r="O61" t="s">
        <v>193</v>
      </c>
      <c r="P61" t="s">
        <v>112</v>
      </c>
      <c r="S61" t="s">
        <v>604</v>
      </c>
      <c r="U61" t="s">
        <v>851</v>
      </c>
      <c r="V61" t="s">
        <v>852</v>
      </c>
      <c r="W61" t="s">
        <v>459</v>
      </c>
      <c r="X61" t="s">
        <v>553</v>
      </c>
      <c r="Y61" t="s">
        <v>121</v>
      </c>
      <c r="Z61" t="s">
        <v>565</v>
      </c>
      <c r="AA61" t="s">
        <v>27</v>
      </c>
      <c r="AB61" t="s">
        <v>608</v>
      </c>
      <c r="AD61" t="s">
        <v>853</v>
      </c>
      <c r="AE61" t="s">
        <v>853</v>
      </c>
      <c r="AF61">
        <v>0</v>
      </c>
      <c r="AG61">
        <v>0</v>
      </c>
      <c r="AH61">
        <v>74.75</v>
      </c>
      <c r="AI61">
        <v>0</v>
      </c>
      <c r="AJ61" t="s">
        <v>567</v>
      </c>
      <c r="AK61" t="s">
        <v>608</v>
      </c>
      <c r="AL61" t="s">
        <v>568</v>
      </c>
    </row>
    <row r="62" spans="1:38" x14ac:dyDescent="0.2">
      <c r="A62">
        <v>2822784</v>
      </c>
      <c r="B62">
        <v>8069275</v>
      </c>
      <c r="E62" t="b">
        <v>0</v>
      </c>
      <c r="F62">
        <v>72690</v>
      </c>
      <c r="G62" t="s">
        <v>854</v>
      </c>
      <c r="H62">
        <v>1</v>
      </c>
      <c r="I62" t="s">
        <v>855</v>
      </c>
      <c r="J62" t="s">
        <v>551</v>
      </c>
      <c r="K62" t="s">
        <v>552</v>
      </c>
      <c r="L62" t="s">
        <v>552</v>
      </c>
      <c r="M62" t="s">
        <v>856</v>
      </c>
      <c r="N62" t="s">
        <v>524</v>
      </c>
      <c r="O62" t="s">
        <v>524</v>
      </c>
      <c r="P62" t="s">
        <v>153</v>
      </c>
      <c r="S62" t="s">
        <v>857</v>
      </c>
      <c r="V62" t="s">
        <v>858</v>
      </c>
      <c r="W62" t="s">
        <v>459</v>
      </c>
      <c r="X62" t="s">
        <v>553</v>
      </c>
      <c r="Y62" t="s">
        <v>599</v>
      </c>
      <c r="Z62" t="s">
        <v>565</v>
      </c>
      <c r="AA62" t="s">
        <v>27</v>
      </c>
      <c r="AD62" t="s">
        <v>525</v>
      </c>
      <c r="AE62" t="s">
        <v>525</v>
      </c>
      <c r="AF62">
        <v>0</v>
      </c>
      <c r="AG62">
        <v>0</v>
      </c>
      <c r="AH62">
        <v>76.25</v>
      </c>
      <c r="AI62">
        <v>0</v>
      </c>
      <c r="AJ62" t="s">
        <v>567</v>
      </c>
    </row>
    <row r="63" spans="1:38" x14ac:dyDescent="0.2">
      <c r="A63">
        <v>1235416</v>
      </c>
      <c r="B63">
        <v>7618351</v>
      </c>
      <c r="C63">
        <v>187510</v>
      </c>
      <c r="E63" t="b">
        <v>0</v>
      </c>
      <c r="F63">
        <v>64375</v>
      </c>
      <c r="G63" t="s">
        <v>859</v>
      </c>
      <c r="H63">
        <v>1</v>
      </c>
      <c r="I63" t="s">
        <v>860</v>
      </c>
      <c r="J63" t="s">
        <v>551</v>
      </c>
      <c r="K63" t="s">
        <v>861</v>
      </c>
      <c r="L63" t="s">
        <v>552</v>
      </c>
      <c r="M63" t="s">
        <v>862</v>
      </c>
      <c r="N63" t="s">
        <v>434</v>
      </c>
      <c r="O63" t="s">
        <v>434</v>
      </c>
      <c r="P63" t="s">
        <v>435</v>
      </c>
      <c r="S63" t="s">
        <v>863</v>
      </c>
      <c r="U63" t="s">
        <v>864</v>
      </c>
      <c r="V63" t="s">
        <v>865</v>
      </c>
      <c r="W63" t="s">
        <v>459</v>
      </c>
      <c r="X63" t="s">
        <v>553</v>
      </c>
      <c r="Y63" t="s">
        <v>121</v>
      </c>
      <c r="Z63" t="s">
        <v>565</v>
      </c>
      <c r="AA63" t="s">
        <v>27</v>
      </c>
      <c r="AB63" t="s">
        <v>608</v>
      </c>
      <c r="AD63" t="s">
        <v>436</v>
      </c>
      <c r="AE63" t="s">
        <v>436</v>
      </c>
      <c r="AF63">
        <v>0</v>
      </c>
      <c r="AG63">
        <v>0</v>
      </c>
      <c r="AH63">
        <v>76.25</v>
      </c>
      <c r="AI63">
        <v>0</v>
      </c>
      <c r="AJ63" t="s">
        <v>567</v>
      </c>
      <c r="AK63" t="s">
        <v>608</v>
      </c>
      <c r="AL63" t="s">
        <v>568</v>
      </c>
    </row>
    <row r="64" spans="1:38" x14ac:dyDescent="0.2">
      <c r="A64">
        <v>1235503</v>
      </c>
      <c r="B64">
        <v>8035837</v>
      </c>
      <c r="C64">
        <v>187508</v>
      </c>
      <c r="E64" t="b">
        <v>0</v>
      </c>
      <c r="F64">
        <v>72022</v>
      </c>
      <c r="G64" t="s">
        <v>866</v>
      </c>
      <c r="H64">
        <v>1</v>
      </c>
      <c r="I64" t="s">
        <v>867</v>
      </c>
      <c r="J64" t="s">
        <v>551</v>
      </c>
      <c r="K64" t="s">
        <v>550</v>
      </c>
      <c r="L64" t="s">
        <v>552</v>
      </c>
      <c r="M64" t="s">
        <v>868</v>
      </c>
      <c r="N64" t="s">
        <v>274</v>
      </c>
      <c r="O64" t="s">
        <v>196</v>
      </c>
      <c r="P64" t="s">
        <v>430</v>
      </c>
      <c r="S64" t="s">
        <v>869</v>
      </c>
      <c r="U64" t="s">
        <v>870</v>
      </c>
      <c r="V64" t="s">
        <v>871</v>
      </c>
      <c r="W64" t="s">
        <v>459</v>
      </c>
      <c r="X64" t="s">
        <v>553</v>
      </c>
      <c r="Y64" t="s">
        <v>564</v>
      </c>
      <c r="Z64" t="s">
        <v>565</v>
      </c>
      <c r="AB64" t="s">
        <v>566</v>
      </c>
      <c r="AD64" t="s">
        <v>275</v>
      </c>
      <c r="AE64" t="s">
        <v>450</v>
      </c>
      <c r="AF64">
        <v>0</v>
      </c>
      <c r="AG64">
        <v>0</v>
      </c>
      <c r="AH64">
        <v>97</v>
      </c>
      <c r="AI64">
        <v>0</v>
      </c>
      <c r="AJ64" t="s">
        <v>567</v>
      </c>
      <c r="AK64" t="s">
        <v>566</v>
      </c>
      <c r="AL64" t="s">
        <v>568</v>
      </c>
    </row>
    <row r="65" spans="1:1" x14ac:dyDescent="0.2">
      <c r="A65">
        <v>1235768</v>
      </c>
    </row>
    <row r="66" spans="1:1" x14ac:dyDescent="0.2">
      <c r="A66">
        <v>1235769</v>
      </c>
    </row>
    <row r="67" spans="1:1" x14ac:dyDescent="0.2">
      <c r="A67">
        <v>1235540</v>
      </c>
    </row>
  </sheetData>
  <sheetProtection algorithmName="SHA-512" hashValue="XMmJKkNz4EtQPOdPluki9NrWo+mf0jvMeXBufaB8BDfyTVPAnvF2YiNXzmZm5q2mtRccuvGPqUzd8D8svCKnlQ==" saltValue="sc2psKKT8xGUWoghqBELc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584</v>
      </c>
      <c r="B1" s="44" t="s">
        <v>582</v>
      </c>
      <c r="C1" s="44" t="s">
        <v>583</v>
      </c>
    </row>
    <row r="2" spans="1:3" x14ac:dyDescent="0.2">
      <c r="A2" s="44" t="s">
        <v>581</v>
      </c>
      <c r="B2">
        <v>-100</v>
      </c>
      <c r="C2">
        <v>450</v>
      </c>
    </row>
    <row r="3" spans="1:3" x14ac:dyDescent="0.2">
      <c r="A3" s="44" t="s">
        <v>575</v>
      </c>
      <c r="B3">
        <v>-50</v>
      </c>
      <c r="C3">
        <v>450</v>
      </c>
    </row>
    <row r="4" spans="1:3" x14ac:dyDescent="0.2">
      <c r="A4" s="44" t="s">
        <v>574</v>
      </c>
      <c r="B4">
        <v>70</v>
      </c>
      <c r="C4">
        <v>500</v>
      </c>
    </row>
    <row r="5" spans="1:3" x14ac:dyDescent="0.2">
      <c r="A5" s="44" t="s">
        <v>576</v>
      </c>
      <c r="B5">
        <v>70</v>
      </c>
      <c r="C5">
        <v>450</v>
      </c>
    </row>
    <row r="6" spans="1:3" x14ac:dyDescent="0.2">
      <c r="A6" s="44" t="s">
        <v>578</v>
      </c>
      <c r="B6">
        <v>70</v>
      </c>
      <c r="C6">
        <v>1000</v>
      </c>
    </row>
    <row r="7" spans="1:3" x14ac:dyDescent="0.2">
      <c r="A7" s="44" t="s">
        <v>579</v>
      </c>
      <c r="B7">
        <v>200</v>
      </c>
      <c r="C7">
        <v>1850</v>
      </c>
    </row>
    <row r="8" spans="1:3" x14ac:dyDescent="0.2">
      <c r="A8" s="44" t="s">
        <v>577</v>
      </c>
      <c r="B8">
        <v>700</v>
      </c>
      <c r="C8">
        <v>2200</v>
      </c>
    </row>
    <row r="9" spans="1:3" x14ac:dyDescent="0.2">
      <c r="A9" s="44" t="s">
        <v>580</v>
      </c>
      <c r="B9">
        <v>700</v>
      </c>
      <c r="C9">
        <v>2200</v>
      </c>
    </row>
  </sheetData>
  <sheetProtection algorithmName="SHA-512" hashValue="aviPNtlr5GRLFr+m6XxM1AJZg9MaoYmvN+FzvlD28ke3Bqew88j+DZHwlYFcfVUo0oT5Ypjm9ob4MRnwTzfmxg==" saltValue="1vM4s3Dp1QINUrvVZ31Dc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477"/>
      <c r="B2"/>
      <c r="C2"/>
    </row>
    <row r="3" spans="1:3" x14ac:dyDescent="0.2">
      <c r="A3" s="477"/>
      <c r="B3"/>
      <c r="C3"/>
    </row>
    <row r="4" spans="1:3" x14ac:dyDescent="0.2">
      <c r="A4" s="477"/>
      <c r="B4"/>
      <c r="C4"/>
    </row>
    <row r="5" spans="1:3" x14ac:dyDescent="0.2">
      <c r="A5" s="477"/>
      <c r="B5"/>
      <c r="C5"/>
    </row>
    <row r="6" spans="1:3" x14ac:dyDescent="0.2">
      <c r="A6" s="477"/>
      <c r="B6"/>
      <c r="C6"/>
    </row>
    <row r="7" spans="1:3" x14ac:dyDescent="0.2">
      <c r="A7" s="477"/>
      <c r="B7"/>
      <c r="C7"/>
    </row>
    <row r="8" spans="1:3" x14ac:dyDescent="0.2">
      <c r="A8" s="477"/>
      <c r="B8"/>
      <c r="C8"/>
    </row>
    <row r="9" spans="1:3" x14ac:dyDescent="0.2">
      <c r="A9" s="477"/>
      <c r="B9"/>
      <c r="C9"/>
    </row>
    <row r="10" spans="1:3" x14ac:dyDescent="0.2">
      <c r="A10" s="477"/>
      <c r="B10"/>
      <c r="C10"/>
    </row>
    <row r="11" spans="1:3" x14ac:dyDescent="0.2">
      <c r="A11" s="477"/>
      <c r="B11"/>
      <c r="C11"/>
    </row>
    <row r="12" spans="1:3" x14ac:dyDescent="0.2">
      <c r="A12" s="477"/>
      <c r="B12"/>
      <c r="C12"/>
    </row>
    <row r="13" spans="1:3" x14ac:dyDescent="0.2">
      <c r="A13" s="477"/>
      <c r="B13"/>
      <c r="C13"/>
    </row>
    <row r="14" spans="1:3" x14ac:dyDescent="0.2">
      <c r="A14" s="477"/>
      <c r="B14"/>
      <c r="C14"/>
    </row>
    <row r="15" spans="1:3" x14ac:dyDescent="0.2">
      <c r="A15" s="477"/>
      <c r="B15"/>
      <c r="C15"/>
    </row>
    <row r="16" spans="1:3" x14ac:dyDescent="0.2">
      <c r="A16" s="477"/>
      <c r="B16"/>
      <c r="C16"/>
    </row>
    <row r="17" spans="1:3" x14ac:dyDescent="0.2">
      <c r="A17" s="477"/>
      <c r="B17"/>
      <c r="C17"/>
    </row>
    <row r="18" spans="1:3" x14ac:dyDescent="0.2">
      <c r="A18" s="477"/>
      <c r="B18"/>
      <c r="C18"/>
    </row>
    <row r="19" spans="1:3" x14ac:dyDescent="0.2">
      <c r="A19" s="477"/>
      <c r="B19"/>
      <c r="C19"/>
    </row>
    <row r="20" spans="1:3" x14ac:dyDescent="0.2">
      <c r="A20" s="477"/>
      <c r="B20"/>
      <c r="C20"/>
    </row>
    <row r="21" spans="1:3" x14ac:dyDescent="0.2">
      <c r="A21" s="477"/>
      <c r="B21"/>
      <c r="C21"/>
    </row>
    <row r="22" spans="1:3" x14ac:dyDescent="0.2">
      <c r="A22" s="477"/>
      <c r="B22"/>
      <c r="C22"/>
    </row>
    <row r="23" spans="1:3" x14ac:dyDescent="0.2">
      <c r="A23" s="477"/>
      <c r="B23"/>
      <c r="C23"/>
    </row>
    <row r="24" spans="1:3" x14ac:dyDescent="0.2">
      <c r="A24" s="477"/>
      <c r="B24"/>
      <c r="C24"/>
    </row>
    <row r="25" spans="1:3" x14ac:dyDescent="0.2">
      <c r="A25" s="477"/>
      <c r="B25"/>
      <c r="C25"/>
    </row>
    <row r="26" spans="1:3" x14ac:dyDescent="0.2">
      <c r="A26" s="477"/>
      <c r="B26"/>
      <c r="C26"/>
    </row>
    <row r="27" spans="1:3" x14ac:dyDescent="0.2">
      <c r="A27" s="477"/>
      <c r="B27"/>
      <c r="C27"/>
    </row>
    <row r="28" spans="1:3" x14ac:dyDescent="0.2">
      <c r="A28" s="477"/>
      <c r="B28"/>
      <c r="C28"/>
    </row>
    <row r="29" spans="1:3" x14ac:dyDescent="0.2">
      <c r="A29" s="477"/>
      <c r="B29"/>
      <c r="C29"/>
    </row>
    <row r="30" spans="1:3" x14ac:dyDescent="0.2">
      <c r="A30" s="477"/>
      <c r="B30"/>
      <c r="C30"/>
    </row>
    <row r="31" spans="1:3" x14ac:dyDescent="0.2">
      <c r="A31" s="477"/>
      <c r="B31"/>
      <c r="C31"/>
    </row>
    <row r="32" spans="1:3" x14ac:dyDescent="0.2">
      <c r="A32" s="477"/>
      <c r="B32"/>
      <c r="C32"/>
    </row>
    <row r="33" spans="1:3" x14ac:dyDescent="0.2">
      <c r="A33" s="477"/>
      <c r="B33"/>
      <c r="C33"/>
    </row>
    <row r="34" spans="1:3" x14ac:dyDescent="0.2">
      <c r="A34" s="477"/>
      <c r="B34"/>
      <c r="C34"/>
    </row>
    <row r="35" spans="1:3" x14ac:dyDescent="0.2">
      <c r="A35" s="477"/>
      <c r="B35"/>
      <c r="C35"/>
    </row>
    <row r="36" spans="1:3" x14ac:dyDescent="0.2">
      <c r="A36" s="477"/>
      <c r="B36"/>
      <c r="C36"/>
    </row>
    <row r="37" spans="1:3" x14ac:dyDescent="0.2">
      <c r="A37" s="477"/>
      <c r="B37"/>
      <c r="C37"/>
    </row>
    <row r="38" spans="1:3" x14ac:dyDescent="0.2">
      <c r="A38" s="477"/>
      <c r="B38"/>
      <c r="C38"/>
    </row>
    <row r="39" spans="1:3" x14ac:dyDescent="0.2">
      <c r="A39" s="477"/>
      <c r="B39"/>
      <c r="C39"/>
    </row>
    <row r="40" spans="1:3" x14ac:dyDescent="0.2">
      <c r="A40" s="477"/>
      <c r="B40"/>
      <c r="C40"/>
    </row>
    <row r="41" spans="1:3" x14ac:dyDescent="0.2">
      <c r="A41" s="477"/>
      <c r="B41"/>
      <c r="C41"/>
    </row>
    <row r="42" spans="1:3" x14ac:dyDescent="0.2">
      <c r="A42" s="477"/>
      <c r="B42"/>
      <c r="C42"/>
    </row>
    <row r="43" spans="1:3" x14ac:dyDescent="0.2">
      <c r="A43" s="477"/>
      <c r="B43"/>
      <c r="C43"/>
    </row>
    <row r="44" spans="1:3" x14ac:dyDescent="0.2">
      <c r="A44" s="477"/>
      <c r="B44"/>
      <c r="C44"/>
    </row>
    <row r="45" spans="1:3" x14ac:dyDescent="0.2">
      <c r="A45" s="477"/>
      <c r="B45"/>
      <c r="C45"/>
    </row>
    <row r="46" spans="1:3" x14ac:dyDescent="0.2">
      <c r="A46" s="477"/>
      <c r="B46"/>
      <c r="C46"/>
    </row>
    <row r="47" spans="1:3" x14ac:dyDescent="0.2">
      <c r="A47" s="477"/>
      <c r="B47"/>
      <c r="C47"/>
    </row>
    <row r="48" spans="1:3" x14ac:dyDescent="0.2">
      <c r="A48" s="477"/>
      <c r="B48"/>
      <c r="C48"/>
    </row>
    <row r="49" spans="1:3" x14ac:dyDescent="0.2">
      <c r="A49" s="477"/>
      <c r="B49"/>
      <c r="C49"/>
    </row>
    <row r="50" spans="1:3" x14ac:dyDescent="0.2">
      <c r="A50" s="477"/>
      <c r="B50"/>
      <c r="C50"/>
    </row>
    <row r="51" spans="1:3" x14ac:dyDescent="0.2">
      <c r="A51" s="477"/>
      <c r="B51"/>
      <c r="C51"/>
    </row>
    <row r="52" spans="1:3" x14ac:dyDescent="0.2">
      <c r="A52" s="477"/>
      <c r="B52"/>
      <c r="C52"/>
    </row>
    <row r="53" spans="1:3" x14ac:dyDescent="0.2">
      <c r="A53" s="477"/>
      <c r="B53"/>
      <c r="C53"/>
    </row>
    <row r="54" spans="1:3" x14ac:dyDescent="0.2">
      <c r="A54" s="477"/>
      <c r="B54"/>
      <c r="C54"/>
    </row>
    <row r="55" spans="1:3" x14ac:dyDescent="0.2">
      <c r="A55" s="477"/>
      <c r="B55"/>
      <c r="C55"/>
    </row>
    <row r="56" spans="1:3" x14ac:dyDescent="0.2">
      <c r="A56" s="477"/>
      <c r="B56"/>
      <c r="C56"/>
    </row>
    <row r="57" spans="1:3" x14ac:dyDescent="0.2">
      <c r="A57" s="477"/>
      <c r="B57"/>
      <c r="C57"/>
    </row>
    <row r="58" spans="1:3" x14ac:dyDescent="0.2">
      <c r="A58" s="477"/>
      <c r="B58"/>
      <c r="C58"/>
    </row>
    <row r="59" spans="1:3" x14ac:dyDescent="0.2">
      <c r="A59" s="477"/>
      <c r="B59"/>
      <c r="C59"/>
    </row>
    <row r="60" spans="1:3" x14ac:dyDescent="0.2">
      <c r="A60" s="477"/>
      <c r="B60"/>
      <c r="C60"/>
    </row>
    <row r="61" spans="1:3" x14ac:dyDescent="0.2">
      <c r="A61" s="477"/>
      <c r="B61"/>
      <c r="C61"/>
    </row>
    <row r="62" spans="1:3" x14ac:dyDescent="0.2">
      <c r="A62" s="477"/>
      <c r="B62"/>
      <c r="C62"/>
    </row>
    <row r="63" spans="1:3" x14ac:dyDescent="0.2">
      <c r="A63" s="477"/>
      <c r="B63"/>
      <c r="C63"/>
    </row>
    <row r="64" spans="1:3" x14ac:dyDescent="0.2">
      <c r="A64" s="477"/>
      <c r="B64"/>
      <c r="C64"/>
    </row>
    <row r="65" spans="1:3" x14ac:dyDescent="0.2">
      <c r="A65" s="477"/>
      <c r="B65"/>
      <c r="C65"/>
    </row>
    <row r="66" spans="1:3" x14ac:dyDescent="0.2">
      <c r="A66" s="477"/>
      <c r="B66"/>
      <c r="C66"/>
    </row>
    <row r="67" spans="1:3" x14ac:dyDescent="0.2">
      <c r="A67" s="477"/>
      <c r="B67"/>
      <c r="C67"/>
    </row>
    <row r="68" spans="1:3" x14ac:dyDescent="0.2">
      <c r="A68" s="477"/>
      <c r="B68"/>
      <c r="C68"/>
    </row>
    <row r="69" spans="1:3" x14ac:dyDescent="0.2">
      <c r="A69" s="477"/>
      <c r="B69"/>
      <c r="C69"/>
    </row>
    <row r="70" spans="1:3" x14ac:dyDescent="0.2">
      <c r="A70" s="477"/>
      <c r="B70"/>
      <c r="C70"/>
    </row>
    <row r="71" spans="1:3" x14ac:dyDescent="0.2">
      <c r="A71" s="477"/>
      <c r="B71"/>
      <c r="C71"/>
    </row>
    <row r="72" spans="1:3" x14ac:dyDescent="0.2">
      <c r="A72" s="477"/>
      <c r="B72"/>
      <c r="C72"/>
    </row>
    <row r="73" spans="1:3" x14ac:dyDescent="0.2">
      <c r="A73" s="477"/>
      <c r="B73"/>
      <c r="C73"/>
    </row>
    <row r="74" spans="1:3" x14ac:dyDescent="0.2">
      <c r="A74" s="477"/>
      <c r="B74"/>
      <c r="C74"/>
    </row>
    <row r="75" spans="1:3" x14ac:dyDescent="0.2">
      <c r="A75" s="477"/>
      <c r="B75"/>
      <c r="C75"/>
    </row>
    <row r="76" spans="1:3" x14ac:dyDescent="0.2">
      <c r="A76" s="477"/>
      <c r="B76"/>
      <c r="C76"/>
    </row>
    <row r="77" spans="1:3" x14ac:dyDescent="0.2">
      <c r="A77" s="477"/>
      <c r="B77"/>
      <c r="C77"/>
    </row>
    <row r="78" spans="1:3" x14ac:dyDescent="0.2">
      <c r="A78" s="477"/>
      <c r="B78"/>
      <c r="C78"/>
    </row>
    <row r="79" spans="1:3" x14ac:dyDescent="0.2">
      <c r="A79" s="477"/>
      <c r="B79"/>
      <c r="C79"/>
    </row>
    <row r="80" spans="1:3" x14ac:dyDescent="0.2">
      <c r="A80" s="477"/>
      <c r="B80"/>
      <c r="C80"/>
    </row>
    <row r="81" spans="1:3" x14ac:dyDescent="0.2">
      <c r="A81" s="477"/>
      <c r="B81"/>
      <c r="C81"/>
    </row>
    <row r="82" spans="1:3" x14ac:dyDescent="0.2">
      <c r="A82" s="477"/>
      <c r="B82"/>
      <c r="C82"/>
    </row>
    <row r="83" spans="1:3" x14ac:dyDescent="0.2">
      <c r="A83" s="477"/>
      <c r="B83"/>
      <c r="C83"/>
    </row>
    <row r="84" spans="1:3" x14ac:dyDescent="0.2">
      <c r="A84" s="477"/>
      <c r="B84"/>
      <c r="C84"/>
    </row>
    <row r="85" spans="1:3" x14ac:dyDescent="0.2">
      <c r="A85" s="477"/>
      <c r="B85"/>
      <c r="C85"/>
    </row>
    <row r="86" spans="1:3" x14ac:dyDescent="0.2">
      <c r="A86" s="477"/>
      <c r="B86"/>
      <c r="C86"/>
    </row>
    <row r="87" spans="1:3" x14ac:dyDescent="0.2">
      <c r="A87" s="477"/>
      <c r="B87"/>
      <c r="C87"/>
    </row>
    <row r="88" spans="1:3" x14ac:dyDescent="0.2">
      <c r="A88" s="477"/>
      <c r="B88"/>
      <c r="C88"/>
    </row>
    <row r="89" spans="1:3" x14ac:dyDescent="0.2">
      <c r="A89" s="477"/>
      <c r="B89"/>
      <c r="C89"/>
    </row>
    <row r="90" spans="1:3" x14ac:dyDescent="0.2">
      <c r="A90" s="477"/>
      <c r="B90"/>
      <c r="C90"/>
    </row>
    <row r="91" spans="1:3" x14ac:dyDescent="0.2">
      <c r="A91" s="477"/>
      <c r="B91"/>
      <c r="C91"/>
    </row>
    <row r="92" spans="1:3" x14ac:dyDescent="0.2">
      <c r="A92" s="477"/>
      <c r="B92"/>
      <c r="C92"/>
    </row>
    <row r="93" spans="1:3" x14ac:dyDescent="0.2">
      <c r="A93" s="477"/>
      <c r="B93"/>
      <c r="C93"/>
    </row>
    <row r="94" spans="1:3" x14ac:dyDescent="0.2">
      <c r="A94" s="477"/>
      <c r="B94"/>
      <c r="C94"/>
    </row>
    <row r="95" spans="1:3" x14ac:dyDescent="0.2">
      <c r="A95" s="477"/>
      <c r="B95"/>
      <c r="C95"/>
    </row>
    <row r="96" spans="1:3" x14ac:dyDescent="0.2">
      <c r="A96" s="477"/>
      <c r="B96"/>
      <c r="C96"/>
    </row>
    <row r="97" spans="1:3" x14ac:dyDescent="0.2">
      <c r="A97" s="477"/>
      <c r="B97"/>
      <c r="C97"/>
    </row>
    <row r="98" spans="1:3" x14ac:dyDescent="0.2">
      <c r="A98" s="477"/>
      <c r="B98"/>
      <c r="C98"/>
    </row>
    <row r="99" spans="1:3" x14ac:dyDescent="0.2">
      <c r="A99" s="477"/>
      <c r="B99"/>
      <c r="C99"/>
    </row>
    <row r="100" spans="1:3" x14ac:dyDescent="0.2">
      <c r="A100" s="477"/>
      <c r="B100"/>
      <c r="C100"/>
    </row>
    <row r="101" spans="1:3" x14ac:dyDescent="0.2">
      <c r="A101" s="477"/>
      <c r="B101"/>
      <c r="C101"/>
    </row>
    <row r="102" spans="1:3" x14ac:dyDescent="0.2">
      <c r="A102" s="477"/>
      <c r="B102"/>
      <c r="C102"/>
    </row>
    <row r="103" spans="1:3" x14ac:dyDescent="0.2">
      <c r="A103" s="477"/>
      <c r="B103"/>
      <c r="C103"/>
    </row>
    <row r="104" spans="1:3" x14ac:dyDescent="0.2">
      <c r="A104" s="477"/>
      <c r="B104"/>
      <c r="C104"/>
    </row>
    <row r="105" spans="1:3" x14ac:dyDescent="0.2">
      <c r="A105" s="477"/>
      <c r="B105"/>
      <c r="C105"/>
    </row>
    <row r="106" spans="1:3" x14ac:dyDescent="0.2">
      <c r="A106" s="477"/>
      <c r="B106"/>
      <c r="C106"/>
    </row>
    <row r="107" spans="1:3" x14ac:dyDescent="0.2">
      <c r="A107" s="477"/>
      <c r="B107"/>
      <c r="C107"/>
    </row>
    <row r="108" spans="1:3" x14ac:dyDescent="0.2">
      <c r="A108" s="477"/>
      <c r="B108"/>
      <c r="C108"/>
    </row>
    <row r="109" spans="1:3" x14ac:dyDescent="0.2">
      <c r="A109" s="477"/>
      <c r="B109"/>
      <c r="C109"/>
    </row>
    <row r="110" spans="1:3" x14ac:dyDescent="0.2">
      <c r="A110" s="477"/>
      <c r="B110"/>
      <c r="C110"/>
    </row>
    <row r="111" spans="1:3" x14ac:dyDescent="0.2">
      <c r="A111" s="477"/>
      <c r="B111"/>
      <c r="C111"/>
    </row>
    <row r="112" spans="1:3" x14ac:dyDescent="0.2">
      <c r="A112" s="477"/>
      <c r="B112"/>
      <c r="C112"/>
    </row>
    <row r="113" spans="1:3" x14ac:dyDescent="0.2">
      <c r="A113" s="477"/>
      <c r="B113"/>
      <c r="C113"/>
    </row>
    <row r="114" spans="1:3" x14ac:dyDescent="0.2">
      <c r="A114" s="477"/>
      <c r="B114"/>
      <c r="C114"/>
    </row>
    <row r="115" spans="1:3" x14ac:dyDescent="0.2">
      <c r="A115" s="477"/>
      <c r="B115"/>
      <c r="C115"/>
    </row>
    <row r="116" spans="1:3" x14ac:dyDescent="0.2">
      <c r="A116" s="477"/>
      <c r="B116"/>
      <c r="C116"/>
    </row>
    <row r="117" spans="1:3" x14ac:dyDescent="0.2">
      <c r="A117" s="477"/>
      <c r="B117"/>
      <c r="C117"/>
    </row>
    <row r="118" spans="1:3" x14ac:dyDescent="0.2">
      <c r="A118" s="477"/>
      <c r="B118"/>
      <c r="C118"/>
    </row>
    <row r="119" spans="1:3" x14ac:dyDescent="0.2">
      <c r="A119" s="477"/>
      <c r="B119"/>
      <c r="C119"/>
    </row>
    <row r="120" spans="1:3" x14ac:dyDescent="0.2">
      <c r="A120" s="477"/>
      <c r="B120"/>
      <c r="C120"/>
    </row>
    <row r="121" spans="1:3" x14ac:dyDescent="0.2">
      <c r="A121" s="477"/>
      <c r="B121"/>
      <c r="C121"/>
    </row>
    <row r="122" spans="1:3" x14ac:dyDescent="0.2">
      <c r="A122" s="477"/>
      <c r="B122"/>
      <c r="C122"/>
    </row>
    <row r="123" spans="1:3" x14ac:dyDescent="0.2">
      <c r="A123" s="477"/>
      <c r="B123"/>
      <c r="C123"/>
    </row>
    <row r="124" spans="1:3" x14ac:dyDescent="0.2">
      <c r="A124" s="477"/>
      <c r="B124"/>
      <c r="C124"/>
    </row>
    <row r="125" spans="1:3" x14ac:dyDescent="0.2">
      <c r="A125" s="477"/>
      <c r="B125"/>
      <c r="C125"/>
    </row>
    <row r="126" spans="1:3" x14ac:dyDescent="0.2">
      <c r="A126" s="477"/>
      <c r="B126"/>
      <c r="C126"/>
    </row>
    <row r="127" spans="1:3" x14ac:dyDescent="0.2">
      <c r="A127" s="477"/>
      <c r="B127"/>
      <c r="C127"/>
    </row>
    <row r="128" spans="1:3" x14ac:dyDescent="0.2">
      <c r="A128" s="477"/>
      <c r="B128"/>
      <c r="C128"/>
    </row>
    <row r="129" spans="1:3" x14ac:dyDescent="0.2">
      <c r="A129" s="477"/>
      <c r="B129"/>
      <c r="C129"/>
    </row>
    <row r="130" spans="1:3" x14ac:dyDescent="0.2">
      <c r="A130" s="477"/>
      <c r="B130"/>
      <c r="C130"/>
    </row>
    <row r="131" spans="1:3" x14ac:dyDescent="0.2">
      <c r="A131" s="477"/>
      <c r="B131"/>
      <c r="C131"/>
    </row>
    <row r="132" spans="1:3" x14ac:dyDescent="0.2">
      <c r="A132" s="477"/>
      <c r="B132"/>
      <c r="C132"/>
    </row>
    <row r="133" spans="1:3" x14ac:dyDescent="0.2">
      <c r="A133" s="477"/>
      <c r="B133"/>
      <c r="C133"/>
    </row>
    <row r="134" spans="1:3" x14ac:dyDescent="0.2">
      <c r="A134" s="477"/>
      <c r="B134"/>
      <c r="C134"/>
    </row>
    <row r="135" spans="1:3" x14ac:dyDescent="0.2">
      <c r="A135" s="477"/>
      <c r="B135"/>
      <c r="C135"/>
    </row>
    <row r="136" spans="1:3" x14ac:dyDescent="0.2">
      <c r="A136" s="477"/>
      <c r="B136"/>
      <c r="C136"/>
    </row>
    <row r="137" spans="1:3" x14ac:dyDescent="0.2">
      <c r="A137" s="477"/>
      <c r="B137"/>
      <c r="C137"/>
    </row>
    <row r="138" spans="1:3" x14ac:dyDescent="0.2">
      <c r="A138" s="477"/>
      <c r="B138"/>
      <c r="C138"/>
    </row>
    <row r="139" spans="1:3" x14ac:dyDescent="0.2">
      <c r="A139" s="477"/>
      <c r="B139"/>
      <c r="C139"/>
    </row>
    <row r="140" spans="1:3" x14ac:dyDescent="0.2">
      <c r="A140" s="477"/>
      <c r="B140"/>
      <c r="C140"/>
    </row>
    <row r="141" spans="1:3" x14ac:dyDescent="0.2">
      <c r="A141" s="477"/>
      <c r="B141"/>
      <c r="C141"/>
    </row>
    <row r="142" spans="1:3" x14ac:dyDescent="0.2">
      <c r="A142" s="477"/>
      <c r="B142"/>
      <c r="C142"/>
    </row>
    <row r="143" spans="1:3" x14ac:dyDescent="0.2">
      <c r="A143" s="477"/>
      <c r="B143"/>
      <c r="C143"/>
    </row>
    <row r="144" spans="1:3" x14ac:dyDescent="0.2">
      <c r="A144" s="477"/>
      <c r="B144"/>
      <c r="C144"/>
    </row>
    <row r="145" spans="1:3" x14ac:dyDescent="0.2">
      <c r="A145" s="477"/>
      <c r="B145"/>
      <c r="C145"/>
    </row>
    <row r="146" spans="1:3" x14ac:dyDescent="0.2">
      <c r="A146" s="477"/>
      <c r="B146"/>
      <c r="C146"/>
    </row>
    <row r="147" spans="1:3" x14ac:dyDescent="0.2">
      <c r="A147" s="477"/>
      <c r="B147"/>
      <c r="C147"/>
    </row>
    <row r="148" spans="1:3" x14ac:dyDescent="0.2">
      <c r="A148" s="477"/>
      <c r="B148"/>
      <c r="C148"/>
    </row>
    <row r="149" spans="1:3" x14ac:dyDescent="0.2">
      <c r="A149" s="477"/>
      <c r="B149"/>
      <c r="C149"/>
    </row>
    <row r="150" spans="1:3" x14ac:dyDescent="0.2">
      <c r="A150" s="477"/>
      <c r="B150"/>
      <c r="C150"/>
    </row>
    <row r="151" spans="1:3" x14ac:dyDescent="0.2">
      <c r="A151" s="477"/>
      <c r="B151"/>
      <c r="C151"/>
    </row>
    <row r="152" spans="1:3" x14ac:dyDescent="0.2">
      <c r="A152" s="477"/>
      <c r="B152"/>
      <c r="C152"/>
    </row>
    <row r="153" spans="1:3" x14ac:dyDescent="0.2">
      <c r="A153" s="477"/>
      <c r="B153"/>
      <c r="C153"/>
    </row>
    <row r="154" spans="1:3" x14ac:dyDescent="0.2">
      <c r="A154" s="477"/>
      <c r="B154"/>
      <c r="C154"/>
    </row>
    <row r="155" spans="1:3" x14ac:dyDescent="0.2">
      <c r="A155" s="477"/>
      <c r="B155"/>
      <c r="C155"/>
    </row>
    <row r="156" spans="1:3" x14ac:dyDescent="0.2">
      <c r="A156" s="477"/>
      <c r="B156"/>
      <c r="C156"/>
    </row>
    <row r="157" spans="1:3" x14ac:dyDescent="0.2">
      <c r="A157" s="477"/>
      <c r="B157"/>
      <c r="C157"/>
    </row>
    <row r="158" spans="1:3" x14ac:dyDescent="0.2">
      <c r="A158" s="477"/>
      <c r="B158"/>
      <c r="C158"/>
    </row>
    <row r="159" spans="1:3" x14ac:dyDescent="0.2">
      <c r="A159" s="477"/>
      <c r="B159"/>
      <c r="C159"/>
    </row>
    <row r="160" spans="1:3" x14ac:dyDescent="0.2">
      <c r="A160" s="477"/>
      <c r="B160"/>
      <c r="C160"/>
    </row>
    <row r="161" spans="1:3" x14ac:dyDescent="0.2">
      <c r="A161" s="477"/>
      <c r="B161"/>
      <c r="C16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1"/>
  <sheetViews>
    <sheetView workbookViewId="0">
      <selection activeCell="F15" sqref="F15"/>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row r="2" spans="1:6" x14ac:dyDescent="0.2">
      <c r="A2"/>
      <c r="B2"/>
      <c r="C2"/>
      <c r="D2" s="663"/>
      <c r="E2" s="663"/>
      <c r="F2"/>
    </row>
    <row r="3" spans="1:6" x14ac:dyDescent="0.2">
      <c r="A3"/>
      <c r="B3"/>
      <c r="C3"/>
      <c r="D3" s="663"/>
      <c r="E3" s="663"/>
      <c r="F3"/>
    </row>
    <row r="4" spans="1:6" x14ac:dyDescent="0.2">
      <c r="A4"/>
      <c r="B4"/>
      <c r="C4"/>
      <c r="D4" s="663"/>
      <c r="E4" s="663"/>
      <c r="F4"/>
    </row>
    <row r="5" spans="1:6" x14ac:dyDescent="0.2">
      <c r="A5"/>
      <c r="B5"/>
      <c r="C5"/>
      <c r="D5" s="663"/>
      <c r="E5" s="663"/>
      <c r="F5"/>
    </row>
    <row r="6" spans="1:6" x14ac:dyDescent="0.2">
      <c r="A6"/>
      <c r="B6"/>
      <c r="C6"/>
      <c r="D6" s="663"/>
      <c r="E6" s="663"/>
      <c r="F6"/>
    </row>
    <row r="7" spans="1:6" x14ac:dyDescent="0.2">
      <c r="A7"/>
      <c r="B7"/>
      <c r="C7"/>
      <c r="D7" s="663"/>
      <c r="E7" s="663"/>
      <c r="F7"/>
    </row>
    <row r="8" spans="1:6" x14ac:dyDescent="0.2">
      <c r="A8"/>
      <c r="B8"/>
      <c r="C8"/>
      <c r="D8" s="663"/>
      <c r="E8" s="663"/>
      <c r="F8"/>
    </row>
    <row r="9" spans="1:6" x14ac:dyDescent="0.2">
      <c r="A9"/>
      <c r="B9"/>
      <c r="C9"/>
      <c r="D9" s="663"/>
      <c r="E9" s="663"/>
      <c r="F9"/>
    </row>
    <row r="10" spans="1:6" x14ac:dyDescent="0.2">
      <c r="A10"/>
      <c r="B10"/>
      <c r="C10"/>
      <c r="D10" s="663"/>
      <c r="E10" s="663"/>
      <c r="F10"/>
    </row>
    <row r="11" spans="1:6" x14ac:dyDescent="0.2">
      <c r="A11"/>
      <c r="B11"/>
      <c r="C11"/>
      <c r="D11" s="663"/>
      <c r="E11" s="663"/>
      <c r="F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s="663"/>
      <c r="C2" s="663"/>
      <c r="D2" s="663"/>
      <c r="E2" s="663"/>
    </row>
    <row r="3" spans="1:5" x14ac:dyDescent="0.2">
      <c r="A3"/>
      <c r="B3" s="663"/>
      <c r="C3" s="663"/>
      <c r="D3" s="663"/>
      <c r="E3" s="663"/>
    </row>
    <row r="4" spans="1:5" x14ac:dyDescent="0.2">
      <c r="A4"/>
      <c r="B4" s="663"/>
      <c r="C4" s="663"/>
      <c r="D4" s="663"/>
      <c r="E4" s="663"/>
    </row>
    <row r="5" spans="1:5" x14ac:dyDescent="0.2">
      <c r="A5"/>
      <c r="B5" s="663"/>
      <c r="C5" s="663"/>
      <c r="D5" s="663"/>
      <c r="E5" s="663"/>
    </row>
    <row r="6" spans="1:5" x14ac:dyDescent="0.2">
      <c r="A6"/>
      <c r="B6" s="663"/>
      <c r="C6" s="663"/>
      <c r="D6" s="663"/>
      <c r="E6" s="663"/>
    </row>
    <row r="7" spans="1:5" x14ac:dyDescent="0.2">
      <c r="A7"/>
      <c r="B7" s="663"/>
      <c r="C7" s="663"/>
      <c r="D7" s="663"/>
      <c r="E7" s="663"/>
    </row>
    <row r="8" spans="1:5" x14ac:dyDescent="0.2">
      <c r="A8"/>
      <c r="B8" s="663"/>
      <c r="C8" s="663"/>
      <c r="D8" s="663"/>
      <c r="E8" s="663"/>
    </row>
    <row r="9" spans="1:5" x14ac:dyDescent="0.2">
      <c r="A9"/>
      <c r="B9" s="663"/>
      <c r="C9" s="663"/>
      <c r="D9" s="663"/>
      <c r="E9" s="663"/>
    </row>
    <row r="10" spans="1:5" x14ac:dyDescent="0.2">
      <c r="A10"/>
      <c r="B10" s="663"/>
      <c r="C10" s="663"/>
      <c r="D10" s="663"/>
      <c r="E10" s="663"/>
    </row>
    <row r="11" spans="1:5" x14ac:dyDescent="0.2">
      <c r="A11"/>
      <c r="B11" s="663"/>
      <c r="C11" s="663"/>
      <c r="D11" s="663"/>
      <c r="E11" s="663"/>
    </row>
    <row r="12" spans="1:5" x14ac:dyDescent="0.2">
      <c r="A12"/>
      <c r="B12" s="663"/>
      <c r="C12" s="663"/>
      <c r="D12" s="663"/>
      <c r="E12" s="663"/>
    </row>
    <row r="13" spans="1:5" x14ac:dyDescent="0.2">
      <c r="A13"/>
      <c r="B13" s="663"/>
      <c r="C13" s="663"/>
      <c r="D13" s="663"/>
      <c r="E13" s="663"/>
    </row>
    <row r="14" spans="1:5" x14ac:dyDescent="0.2">
      <c r="A14"/>
      <c r="B14" s="663"/>
      <c r="C14" s="663"/>
      <c r="D14" s="663"/>
      <c r="E14" s="663"/>
    </row>
    <row r="15" spans="1:5" x14ac:dyDescent="0.2">
      <c r="A15"/>
      <c r="B15" s="663"/>
      <c r="C15" s="663"/>
      <c r="D15" s="663"/>
      <c r="E15" s="663"/>
    </row>
    <row r="16" spans="1:5" x14ac:dyDescent="0.2">
      <c r="A16"/>
      <c r="B16" s="663"/>
      <c r="C16" s="663"/>
      <c r="D16" s="663"/>
      <c r="E16" s="663"/>
    </row>
    <row r="17" spans="1:5" x14ac:dyDescent="0.2">
      <c r="A17"/>
      <c r="B17" s="663"/>
      <c r="C17" s="663"/>
      <c r="D17" s="663"/>
      <c r="E17" s="663"/>
    </row>
    <row r="18" spans="1:5" x14ac:dyDescent="0.2">
      <c r="A18"/>
      <c r="B18" s="663"/>
      <c r="C18" s="663"/>
      <c r="D18" s="663"/>
      <c r="E18" s="663"/>
    </row>
    <row r="19" spans="1:5" x14ac:dyDescent="0.2">
      <c r="A19"/>
      <c r="B19" s="663"/>
      <c r="C19" s="663"/>
      <c r="D19" s="663"/>
      <c r="E19" s="663"/>
    </row>
    <row r="20" spans="1:5" x14ac:dyDescent="0.2">
      <c r="A20"/>
      <c r="B20" s="663"/>
      <c r="C20" s="663"/>
      <c r="D20" s="663"/>
      <c r="E20" s="663"/>
    </row>
    <row r="21" spans="1:5" x14ac:dyDescent="0.2">
      <c r="A21"/>
      <c r="B21" s="663"/>
      <c r="C21" s="663"/>
      <c r="D21" s="663"/>
      <c r="E21" s="663"/>
    </row>
    <row r="22" spans="1:5" x14ac:dyDescent="0.2">
      <c r="A22"/>
      <c r="B22" s="663"/>
      <c r="C22" s="663"/>
      <c r="D22" s="663"/>
      <c r="E22" s="663"/>
    </row>
    <row r="23" spans="1:5" x14ac:dyDescent="0.2">
      <c r="A23"/>
      <c r="B23" s="663"/>
      <c r="C23" s="663"/>
      <c r="D23" s="663"/>
      <c r="E23" s="663"/>
    </row>
    <row r="24" spans="1:5" x14ac:dyDescent="0.2">
      <c r="A24"/>
      <c r="B24" s="663"/>
      <c r="C24" s="663"/>
      <c r="D24" s="663"/>
      <c r="E24" s="663"/>
    </row>
    <row r="25" spans="1:5" x14ac:dyDescent="0.2">
      <c r="A25"/>
      <c r="B25" s="663"/>
      <c r="C25" s="663"/>
      <c r="D25" s="663"/>
      <c r="E25" s="663"/>
    </row>
    <row r="26" spans="1:5" x14ac:dyDescent="0.2">
      <c r="A26"/>
      <c r="B26" s="663"/>
      <c r="C26" s="663"/>
      <c r="D26" s="663"/>
      <c r="E26" s="663"/>
    </row>
    <row r="27" spans="1:5" x14ac:dyDescent="0.2">
      <c r="A27"/>
      <c r="B27" s="663"/>
      <c r="C27" s="663"/>
      <c r="D27" s="663"/>
      <c r="E27" s="663"/>
    </row>
    <row r="28" spans="1:5" x14ac:dyDescent="0.2">
      <c r="A28"/>
      <c r="B28" s="663"/>
      <c r="C28" s="663"/>
      <c r="D28" s="663"/>
      <c r="E28" s="663"/>
    </row>
    <row r="29" spans="1:5" x14ac:dyDescent="0.2">
      <c r="A29"/>
      <c r="B29" s="663"/>
      <c r="C29" s="663"/>
      <c r="D29" s="663"/>
      <c r="E29" s="663"/>
    </row>
    <row r="30" spans="1:5" x14ac:dyDescent="0.2">
      <c r="A30"/>
      <c r="B30" s="663"/>
      <c r="C30" s="663"/>
      <c r="D30" s="663"/>
      <c r="E30" s="663"/>
    </row>
    <row r="31" spans="1:5" x14ac:dyDescent="0.2">
      <c r="A31"/>
      <c r="B31" s="663"/>
      <c r="C31" s="663"/>
      <c r="D31" s="663"/>
      <c r="E31" s="663"/>
    </row>
    <row r="32" spans="1:5" x14ac:dyDescent="0.2">
      <c r="A32"/>
      <c r="B32" s="663"/>
      <c r="C32" s="663"/>
      <c r="D32" s="663"/>
      <c r="E32" s="663"/>
    </row>
    <row r="33" spans="1:5" x14ac:dyDescent="0.2">
      <c r="A33"/>
      <c r="B33" s="663"/>
      <c r="C33" s="663"/>
      <c r="D33" s="663"/>
      <c r="E33" s="663"/>
    </row>
    <row r="34" spans="1:5" x14ac:dyDescent="0.2">
      <c r="A34"/>
      <c r="B34" s="663"/>
      <c r="C34" s="663"/>
      <c r="D34" s="663"/>
      <c r="E34" s="663"/>
    </row>
    <row r="35" spans="1:5" x14ac:dyDescent="0.2">
      <c r="A35"/>
      <c r="B35" s="663"/>
      <c r="C35" s="663"/>
      <c r="D35" s="663"/>
      <c r="E35" s="663"/>
    </row>
    <row r="36" spans="1:5" x14ac:dyDescent="0.2">
      <c r="A36"/>
      <c r="B36" s="663"/>
      <c r="C36" s="663"/>
      <c r="D36" s="663"/>
      <c r="E36" s="663"/>
    </row>
    <row r="37" spans="1:5" x14ac:dyDescent="0.2">
      <c r="A37"/>
      <c r="B37" s="663"/>
      <c r="C37" s="663"/>
      <c r="D37" s="663"/>
      <c r="E37" s="663"/>
    </row>
    <row r="38" spans="1:5" x14ac:dyDescent="0.2">
      <c r="A38"/>
      <c r="B38" s="663"/>
      <c r="C38" s="663"/>
      <c r="D38" s="663"/>
      <c r="E38" s="663"/>
    </row>
    <row r="39" spans="1:5" x14ac:dyDescent="0.2">
      <c r="A39"/>
      <c r="B39" s="663"/>
      <c r="C39" s="663"/>
      <c r="D39" s="663"/>
      <c r="E39" s="663"/>
    </row>
    <row r="40" spans="1:5" x14ac:dyDescent="0.2">
      <c r="A40"/>
      <c r="B40" s="663"/>
      <c r="C40" s="663"/>
      <c r="D40" s="663"/>
      <c r="E40" s="663"/>
    </row>
    <row r="41" spans="1:5" x14ac:dyDescent="0.2">
      <c r="A41"/>
      <c r="B41" s="663"/>
      <c r="C41" s="663"/>
      <c r="D41" s="663"/>
      <c r="E41" s="663"/>
    </row>
    <row r="42" spans="1:5" x14ac:dyDescent="0.2">
      <c r="A42"/>
      <c r="B42" s="663"/>
      <c r="C42" s="663"/>
      <c r="D42" s="663"/>
      <c r="E42" s="663"/>
    </row>
    <row r="43" spans="1:5" x14ac:dyDescent="0.2">
      <c r="A43"/>
      <c r="B43" s="663"/>
      <c r="C43" s="663"/>
      <c r="D43" s="663"/>
      <c r="E43" s="663"/>
    </row>
    <row r="44" spans="1:5" x14ac:dyDescent="0.2">
      <c r="A44"/>
      <c r="B44" s="663"/>
      <c r="C44" s="663"/>
      <c r="D44" s="663"/>
      <c r="E44" s="663"/>
    </row>
    <row r="45" spans="1:5" x14ac:dyDescent="0.2">
      <c r="A45"/>
      <c r="B45" s="663"/>
      <c r="C45" s="663"/>
      <c r="D45" s="663"/>
      <c r="E45" s="663"/>
    </row>
    <row r="46" spans="1:5" x14ac:dyDescent="0.2">
      <c r="A46"/>
      <c r="B46" s="663"/>
      <c r="C46" s="663"/>
      <c r="D46" s="663"/>
      <c r="E46" s="663"/>
    </row>
    <row r="47" spans="1:5" x14ac:dyDescent="0.2">
      <c r="A47"/>
      <c r="B47" s="663"/>
      <c r="C47" s="663"/>
      <c r="D47" s="663"/>
      <c r="E47" s="663"/>
    </row>
    <row r="48" spans="1:5" x14ac:dyDescent="0.2">
      <c r="A48"/>
      <c r="B48" s="663"/>
      <c r="C48" s="663"/>
      <c r="D48" s="663"/>
      <c r="E48" s="663"/>
    </row>
    <row r="49" spans="1:5" x14ac:dyDescent="0.2">
      <c r="A49"/>
      <c r="B49" s="663"/>
      <c r="C49" s="663"/>
      <c r="D49" s="663"/>
      <c r="E49" s="663"/>
    </row>
    <row r="50" spans="1:5" x14ac:dyDescent="0.2">
      <c r="A50"/>
      <c r="B50" s="663"/>
      <c r="C50" s="663"/>
      <c r="D50" s="663"/>
      <c r="E50" s="663"/>
    </row>
    <row r="51" spans="1:5" x14ac:dyDescent="0.2">
      <c r="A51"/>
      <c r="B51" s="663"/>
      <c r="C51" s="663"/>
      <c r="D51" s="663"/>
      <c r="E51" s="663"/>
    </row>
    <row r="52" spans="1:5" x14ac:dyDescent="0.2">
      <c r="A52"/>
      <c r="B52" s="663"/>
      <c r="C52" s="663"/>
      <c r="D52" s="663"/>
      <c r="E52" s="663"/>
    </row>
    <row r="53" spans="1:5" x14ac:dyDescent="0.2">
      <c r="A53"/>
      <c r="B53" s="663"/>
      <c r="C53" s="663"/>
      <c r="D53" s="663"/>
      <c r="E53" s="663"/>
    </row>
    <row r="54" spans="1:5" x14ac:dyDescent="0.2">
      <c r="A54"/>
      <c r="B54" s="663"/>
      <c r="C54" s="663"/>
      <c r="D54" s="663"/>
      <c r="E54" s="663"/>
    </row>
    <row r="55" spans="1:5" x14ac:dyDescent="0.2">
      <c r="A55"/>
      <c r="B55" s="663"/>
      <c r="C55" s="663"/>
      <c r="D55" s="663"/>
      <c r="E55" s="663"/>
    </row>
    <row r="56" spans="1:5" x14ac:dyDescent="0.2">
      <c r="A56"/>
      <c r="B56" s="663"/>
      <c r="C56" s="663"/>
      <c r="D56" s="663"/>
      <c r="E56" s="663"/>
    </row>
    <row r="57" spans="1:5" x14ac:dyDescent="0.2">
      <c r="A57"/>
      <c r="B57" s="663"/>
      <c r="C57" s="663"/>
      <c r="D57" s="663"/>
      <c r="E57" s="663"/>
    </row>
    <row r="58" spans="1:5" x14ac:dyDescent="0.2">
      <c r="A58"/>
      <c r="B58" s="663"/>
      <c r="C58" s="663"/>
      <c r="D58" s="663"/>
      <c r="E58" s="663"/>
    </row>
    <row r="59" spans="1:5" x14ac:dyDescent="0.2">
      <c r="A59"/>
      <c r="B59" s="663"/>
      <c r="C59" s="663"/>
      <c r="D59" s="663"/>
      <c r="E59" s="663"/>
    </row>
    <row r="60" spans="1:5" x14ac:dyDescent="0.2">
      <c r="A60"/>
      <c r="B60" s="663"/>
      <c r="C60" s="663"/>
      <c r="D60" s="663"/>
      <c r="E60" s="663"/>
    </row>
    <row r="61" spans="1:5" x14ac:dyDescent="0.2">
      <c r="A61"/>
      <c r="B61" s="663"/>
      <c r="C61" s="663"/>
      <c r="D61" s="663"/>
      <c r="E61" s="663"/>
    </row>
    <row r="62" spans="1:5" x14ac:dyDescent="0.2">
      <c r="A62"/>
      <c r="B62" s="663"/>
      <c r="C62" s="663"/>
      <c r="D62" s="663"/>
      <c r="E62" s="663"/>
    </row>
    <row r="63" spans="1:5" x14ac:dyDescent="0.2">
      <c r="A63"/>
      <c r="B63" s="663"/>
      <c r="C63" s="663"/>
      <c r="D63" s="663"/>
      <c r="E63" s="663"/>
    </row>
    <row r="64" spans="1:5" x14ac:dyDescent="0.2">
      <c r="A64"/>
      <c r="B64" s="663"/>
      <c r="C64" s="663"/>
      <c r="D64" s="663"/>
      <c r="E64" s="663"/>
    </row>
    <row r="65" spans="1:5" x14ac:dyDescent="0.2">
      <c r="A65"/>
      <c r="B65" s="663"/>
      <c r="C65" s="663"/>
      <c r="D65" s="663"/>
      <c r="E65" s="663"/>
    </row>
    <row r="66" spans="1:5" x14ac:dyDescent="0.2">
      <c r="A66"/>
      <c r="B66" s="663"/>
      <c r="C66" s="663"/>
      <c r="D66" s="663"/>
      <c r="E66" s="663"/>
    </row>
    <row r="67" spans="1:5" x14ac:dyDescent="0.2">
      <c r="A67"/>
      <c r="B67" s="663"/>
      <c r="C67" s="663"/>
      <c r="D67" s="663"/>
      <c r="E67" s="663"/>
    </row>
    <row r="68" spans="1:5" x14ac:dyDescent="0.2">
      <c r="A68"/>
      <c r="B68" s="663"/>
      <c r="C68" s="663"/>
      <c r="D68" s="663"/>
      <c r="E68" s="663"/>
    </row>
    <row r="69" spans="1:5" x14ac:dyDescent="0.2">
      <c r="A69"/>
      <c r="B69" s="663"/>
      <c r="C69" s="663"/>
      <c r="D69" s="663"/>
      <c r="E69" s="663"/>
    </row>
    <row r="70" spans="1:5" x14ac:dyDescent="0.2">
      <c r="A70"/>
      <c r="B70" s="663"/>
      <c r="C70" s="663"/>
      <c r="D70" s="663"/>
      <c r="E70" s="663"/>
    </row>
    <row r="71" spans="1:5" x14ac:dyDescent="0.2">
      <c r="A71"/>
      <c r="B71" s="663"/>
      <c r="C71" s="663"/>
      <c r="D71" s="663"/>
      <c r="E71" s="663"/>
    </row>
    <row r="72" spans="1:5" x14ac:dyDescent="0.2">
      <c r="A72"/>
      <c r="B72" s="663"/>
      <c r="C72" s="663"/>
      <c r="D72" s="663"/>
      <c r="E72" s="663"/>
    </row>
    <row r="73" spans="1:5" x14ac:dyDescent="0.2">
      <c r="A73"/>
      <c r="B73" s="663"/>
      <c r="C73" s="663"/>
      <c r="D73" s="663"/>
      <c r="E73" s="663"/>
    </row>
    <row r="74" spans="1:5" x14ac:dyDescent="0.2">
      <c r="A74"/>
      <c r="B74" s="663"/>
      <c r="C74" s="663"/>
      <c r="D74" s="663"/>
      <c r="E74" s="663"/>
    </row>
    <row r="75" spans="1:5" x14ac:dyDescent="0.2">
      <c r="A75"/>
      <c r="B75" s="663"/>
      <c r="C75" s="663"/>
      <c r="D75" s="663"/>
      <c r="E75" s="663"/>
    </row>
    <row r="76" spans="1:5" x14ac:dyDescent="0.2">
      <c r="A76"/>
      <c r="B76" s="663"/>
      <c r="C76" s="663"/>
      <c r="D76" s="663"/>
      <c r="E76" s="663"/>
    </row>
    <row r="77" spans="1:5" x14ac:dyDescent="0.2">
      <c r="A77"/>
      <c r="B77" s="663"/>
      <c r="C77" s="663"/>
      <c r="D77" s="663"/>
      <c r="E77" s="663"/>
    </row>
    <row r="78" spans="1:5" x14ac:dyDescent="0.2">
      <c r="A78"/>
      <c r="B78" s="663"/>
      <c r="C78" s="663"/>
      <c r="D78" s="663"/>
      <c r="E78" s="663"/>
    </row>
    <row r="79" spans="1:5" x14ac:dyDescent="0.2">
      <c r="A79"/>
      <c r="B79" s="663"/>
      <c r="C79" s="663"/>
      <c r="D79" s="663"/>
      <c r="E79" s="663"/>
    </row>
    <row r="80" spans="1:5" x14ac:dyDescent="0.2">
      <c r="A80"/>
      <c r="B80" s="663"/>
      <c r="C80" s="663"/>
      <c r="D80" s="663"/>
      <c r="E80" s="663"/>
    </row>
    <row r="81" spans="1:5" x14ac:dyDescent="0.2">
      <c r="A81"/>
      <c r="B81" s="663"/>
      <c r="C81" s="663"/>
      <c r="D81" s="663"/>
      <c r="E81" s="663"/>
    </row>
    <row r="82" spans="1:5" x14ac:dyDescent="0.2">
      <c r="A82"/>
      <c r="B82" s="663"/>
      <c r="C82" s="663"/>
      <c r="D82" s="663"/>
      <c r="E82" s="663"/>
    </row>
    <row r="83" spans="1:5" x14ac:dyDescent="0.2">
      <c r="A83"/>
      <c r="B83" s="663"/>
      <c r="C83" s="663"/>
      <c r="D83" s="663"/>
      <c r="E83" s="663"/>
    </row>
    <row r="84" spans="1:5" x14ac:dyDescent="0.2">
      <c r="A84"/>
      <c r="B84" s="663"/>
      <c r="C84" s="663"/>
      <c r="D84" s="663"/>
      <c r="E84" s="663"/>
    </row>
    <row r="85" spans="1:5" x14ac:dyDescent="0.2">
      <c r="A85"/>
      <c r="B85" s="663"/>
      <c r="C85" s="663"/>
      <c r="D85" s="663"/>
      <c r="E85" s="663"/>
    </row>
    <row r="86" spans="1:5" x14ac:dyDescent="0.2">
      <c r="A86"/>
      <c r="B86" s="663"/>
      <c r="C86" s="663"/>
      <c r="D86" s="663"/>
      <c r="E86" s="663"/>
    </row>
    <row r="87" spans="1:5" x14ac:dyDescent="0.2">
      <c r="A87"/>
      <c r="B87" s="663"/>
      <c r="C87" s="663"/>
      <c r="D87" s="663"/>
      <c r="E87" s="663"/>
    </row>
    <row r="88" spans="1:5" x14ac:dyDescent="0.2">
      <c r="A88"/>
      <c r="B88" s="663"/>
      <c r="C88" s="663"/>
      <c r="D88" s="663"/>
      <c r="E88" s="663"/>
    </row>
    <row r="89" spans="1:5" x14ac:dyDescent="0.2">
      <c r="A89"/>
      <c r="B89" s="663"/>
      <c r="C89" s="663"/>
      <c r="D89" s="663"/>
      <c r="E89" s="663"/>
    </row>
    <row r="90" spans="1:5" x14ac:dyDescent="0.2">
      <c r="A90"/>
      <c r="B90" s="663"/>
      <c r="C90" s="663"/>
      <c r="D90" s="663"/>
      <c r="E90" s="663"/>
    </row>
    <row r="91" spans="1:5" x14ac:dyDescent="0.2">
      <c r="A91"/>
      <c r="B91" s="663"/>
      <c r="C91" s="663"/>
      <c r="D91" s="663"/>
      <c r="E91" s="663"/>
    </row>
    <row r="92" spans="1:5" x14ac:dyDescent="0.2">
      <c r="A92"/>
      <c r="B92" s="663"/>
      <c r="C92" s="663"/>
      <c r="D92" s="663"/>
      <c r="E92" s="663"/>
    </row>
    <row r="93" spans="1:5" x14ac:dyDescent="0.2">
      <c r="A93"/>
      <c r="B93" s="663"/>
      <c r="C93" s="663"/>
      <c r="D93" s="663"/>
      <c r="E93" s="663"/>
    </row>
    <row r="94" spans="1:5" x14ac:dyDescent="0.2">
      <c r="A94"/>
      <c r="B94" s="663"/>
      <c r="C94" s="663"/>
      <c r="D94" s="663"/>
      <c r="E94" s="663"/>
    </row>
    <row r="95" spans="1:5" x14ac:dyDescent="0.2">
      <c r="A95"/>
      <c r="B95" s="663"/>
      <c r="C95" s="663"/>
      <c r="D95" s="663"/>
      <c r="E95" s="663"/>
    </row>
    <row r="96" spans="1:5" x14ac:dyDescent="0.2">
      <c r="A96"/>
      <c r="B96" s="663"/>
      <c r="C96" s="663"/>
      <c r="D96" s="663"/>
      <c r="E96" s="663"/>
    </row>
    <row r="97" spans="1:5" x14ac:dyDescent="0.2">
      <c r="A97"/>
      <c r="B97" s="663"/>
      <c r="C97" s="663"/>
      <c r="D97" s="663"/>
      <c r="E97" s="663"/>
    </row>
    <row r="98" spans="1:5" x14ac:dyDescent="0.2">
      <c r="A98"/>
      <c r="B98" s="663"/>
      <c r="C98" s="663"/>
      <c r="D98" s="663"/>
      <c r="E98" s="663"/>
    </row>
    <row r="99" spans="1:5" x14ac:dyDescent="0.2">
      <c r="A99"/>
      <c r="B99" s="663"/>
      <c r="C99" s="663"/>
      <c r="D99" s="663"/>
      <c r="E99" s="663"/>
    </row>
    <row r="100" spans="1:5" x14ac:dyDescent="0.2">
      <c r="A100"/>
      <c r="B100" s="663"/>
      <c r="C100" s="663"/>
      <c r="D100" s="663"/>
      <c r="E100" s="663"/>
    </row>
    <row r="101" spans="1:5" x14ac:dyDescent="0.2">
      <c r="A101"/>
      <c r="B101" s="663"/>
      <c r="C101" s="663"/>
      <c r="D101" s="663"/>
      <c r="E101" s="663"/>
    </row>
    <row r="102" spans="1:5" x14ac:dyDescent="0.2">
      <c r="A102"/>
      <c r="B102" s="663"/>
      <c r="C102" s="663"/>
      <c r="D102" s="663"/>
      <c r="E102" s="663"/>
    </row>
    <row r="103" spans="1:5" x14ac:dyDescent="0.2">
      <c r="A103"/>
      <c r="B103" s="663"/>
      <c r="C103" s="663"/>
      <c r="D103" s="663"/>
      <c r="E103" s="663"/>
    </row>
    <row r="104" spans="1:5" x14ac:dyDescent="0.2">
      <c r="A104"/>
      <c r="B104" s="663"/>
      <c r="C104" s="663"/>
      <c r="D104" s="663"/>
      <c r="E104" s="663"/>
    </row>
    <row r="105" spans="1:5" x14ac:dyDescent="0.2">
      <c r="A105"/>
      <c r="B105" s="663"/>
      <c r="C105" s="663"/>
      <c r="D105" s="663"/>
      <c r="E105" s="663"/>
    </row>
    <row r="106" spans="1:5" x14ac:dyDescent="0.2">
      <c r="A106"/>
      <c r="B106" s="663"/>
      <c r="C106" s="663"/>
      <c r="D106" s="663"/>
      <c r="E106" s="663"/>
    </row>
    <row r="107" spans="1:5" x14ac:dyDescent="0.2">
      <c r="A107"/>
      <c r="B107" s="663"/>
      <c r="C107" s="663"/>
      <c r="D107" s="663"/>
      <c r="E107" s="663"/>
    </row>
    <row r="108" spans="1:5" x14ac:dyDescent="0.2">
      <c r="A108"/>
      <c r="B108" s="663"/>
      <c r="C108" s="663"/>
      <c r="D108" s="663"/>
      <c r="E108" s="663"/>
    </row>
    <row r="109" spans="1:5" x14ac:dyDescent="0.2">
      <c r="A109"/>
      <c r="B109" s="663"/>
      <c r="C109" s="663"/>
      <c r="D109" s="663"/>
      <c r="E109" s="663"/>
    </row>
    <row r="110" spans="1:5" x14ac:dyDescent="0.2">
      <c r="A110"/>
      <c r="B110" s="663"/>
      <c r="C110" s="663"/>
      <c r="D110" s="663"/>
      <c r="E110" s="663"/>
    </row>
    <row r="111" spans="1:5" x14ac:dyDescent="0.2">
      <c r="A111"/>
      <c r="B111" s="663"/>
      <c r="C111" s="663"/>
      <c r="D111" s="663"/>
      <c r="E111" s="663"/>
    </row>
    <row r="112" spans="1:5" x14ac:dyDescent="0.2">
      <c r="A112"/>
      <c r="B112" s="663"/>
      <c r="C112" s="663"/>
      <c r="D112" s="663"/>
      <c r="E112" s="663"/>
    </row>
    <row r="113" spans="1:5" x14ac:dyDescent="0.2">
      <c r="A113"/>
      <c r="B113" s="663"/>
      <c r="C113" s="663"/>
      <c r="D113" s="663"/>
      <c r="E113" s="663"/>
    </row>
    <row r="114" spans="1:5" x14ac:dyDescent="0.2">
      <c r="A114"/>
      <c r="B114" s="663"/>
      <c r="C114" s="663"/>
      <c r="D114" s="663"/>
      <c r="E114" s="663"/>
    </row>
    <row r="115" spans="1:5" x14ac:dyDescent="0.2">
      <c r="A115"/>
      <c r="B115" s="663"/>
      <c r="C115" s="663"/>
      <c r="D115" s="663"/>
      <c r="E115" s="663"/>
    </row>
    <row r="116" spans="1:5" x14ac:dyDescent="0.2">
      <c r="A116"/>
      <c r="B116" s="663"/>
      <c r="C116" s="663"/>
      <c r="D116" s="663"/>
      <c r="E116" s="663"/>
    </row>
    <row r="117" spans="1:5" x14ac:dyDescent="0.2">
      <c r="A117"/>
      <c r="B117" s="663"/>
      <c r="C117" s="663"/>
      <c r="D117" s="663"/>
      <c r="E117" s="663"/>
    </row>
    <row r="118" spans="1:5" x14ac:dyDescent="0.2">
      <c r="A118"/>
      <c r="B118" s="663"/>
      <c r="C118" s="663"/>
      <c r="D118" s="663"/>
      <c r="E118" s="663"/>
    </row>
    <row r="119" spans="1:5" x14ac:dyDescent="0.2">
      <c r="A119"/>
      <c r="B119" s="663"/>
      <c r="C119" s="663"/>
      <c r="D119" s="663"/>
      <c r="E119" s="663"/>
    </row>
    <row r="120" spans="1:5" x14ac:dyDescent="0.2">
      <c r="A120"/>
      <c r="B120" s="663"/>
      <c r="C120" s="663"/>
      <c r="D120" s="663"/>
      <c r="E120" s="663"/>
    </row>
    <row r="121" spans="1:5" x14ac:dyDescent="0.2">
      <c r="A121"/>
      <c r="B121" s="663"/>
      <c r="C121" s="663"/>
      <c r="D121" s="663"/>
      <c r="E121" s="663"/>
    </row>
    <row r="122" spans="1:5" x14ac:dyDescent="0.2">
      <c r="A122"/>
      <c r="B122" s="663"/>
      <c r="C122" s="663"/>
      <c r="D122" s="663"/>
      <c r="E122" s="663"/>
    </row>
    <row r="123" spans="1:5" x14ac:dyDescent="0.2">
      <c r="A123"/>
      <c r="B123" s="663"/>
      <c r="C123" s="663"/>
      <c r="D123" s="663"/>
      <c r="E123" s="663"/>
    </row>
    <row r="124" spans="1:5" x14ac:dyDescent="0.2">
      <c r="A124"/>
      <c r="B124" s="663"/>
      <c r="C124" s="663"/>
      <c r="D124" s="663"/>
      <c r="E124" s="663"/>
    </row>
    <row r="125" spans="1:5" x14ac:dyDescent="0.2">
      <c r="A125"/>
      <c r="B125" s="663"/>
      <c r="C125" s="663"/>
      <c r="D125" s="663"/>
      <c r="E125" s="663"/>
    </row>
    <row r="126" spans="1:5" x14ac:dyDescent="0.2">
      <c r="A126"/>
      <c r="B126" s="663"/>
      <c r="C126" s="663"/>
      <c r="D126" s="663"/>
      <c r="E126" s="663"/>
    </row>
    <row r="127" spans="1:5" x14ac:dyDescent="0.2">
      <c r="A127"/>
      <c r="B127" s="663"/>
      <c r="C127" s="663"/>
      <c r="D127" s="663"/>
      <c r="E127" s="663"/>
    </row>
    <row r="128" spans="1:5" x14ac:dyDescent="0.2">
      <c r="A128"/>
      <c r="B128" s="663"/>
      <c r="C128" s="663"/>
      <c r="D128" s="663"/>
      <c r="E128" s="663"/>
    </row>
    <row r="129" spans="1:5" x14ac:dyDescent="0.2">
      <c r="A129"/>
      <c r="B129" s="663"/>
      <c r="C129" s="663"/>
      <c r="D129" s="663"/>
      <c r="E129" s="663"/>
    </row>
    <row r="130" spans="1:5" x14ac:dyDescent="0.2">
      <c r="A130"/>
      <c r="B130" s="663"/>
      <c r="C130" s="663"/>
      <c r="D130" s="663"/>
      <c r="E130" s="663"/>
    </row>
    <row r="131" spans="1:5" x14ac:dyDescent="0.2">
      <c r="A131"/>
      <c r="B131" s="663"/>
      <c r="C131" s="663"/>
      <c r="D131" s="663"/>
      <c r="E131" s="663"/>
    </row>
    <row r="132" spans="1:5" x14ac:dyDescent="0.2">
      <c r="A132"/>
      <c r="B132" s="663"/>
      <c r="C132" s="663"/>
      <c r="D132" s="663"/>
      <c r="E132" s="663"/>
    </row>
    <row r="133" spans="1:5" x14ac:dyDescent="0.2">
      <c r="A133"/>
      <c r="B133" s="663"/>
      <c r="C133" s="663"/>
      <c r="D133" s="663"/>
      <c r="E133" s="663"/>
    </row>
    <row r="134" spans="1:5" x14ac:dyDescent="0.2">
      <c r="A134"/>
      <c r="B134" s="663"/>
      <c r="C134" s="663"/>
      <c r="D134" s="663"/>
      <c r="E134" s="663"/>
    </row>
    <row r="135" spans="1:5" x14ac:dyDescent="0.2">
      <c r="A135"/>
      <c r="B135" s="663"/>
      <c r="C135" s="663"/>
      <c r="D135" s="663"/>
      <c r="E135" s="663"/>
    </row>
    <row r="136" spans="1:5" x14ac:dyDescent="0.2">
      <c r="A136"/>
      <c r="B136" s="663"/>
      <c r="C136" s="663"/>
      <c r="D136" s="663"/>
      <c r="E136" s="663"/>
    </row>
    <row r="137" spans="1:5" x14ac:dyDescent="0.2">
      <c r="A137"/>
      <c r="B137" s="663"/>
      <c r="C137" s="663"/>
      <c r="D137" s="663"/>
      <c r="E137" s="663"/>
    </row>
    <row r="138" spans="1:5" x14ac:dyDescent="0.2">
      <c r="A138"/>
      <c r="B138" s="663"/>
      <c r="C138" s="663"/>
      <c r="D138" s="663"/>
      <c r="E138" s="663"/>
    </row>
    <row r="139" spans="1:5" x14ac:dyDescent="0.2">
      <c r="A139"/>
      <c r="B139" s="663"/>
      <c r="C139" s="663"/>
      <c r="D139" s="663"/>
      <c r="E139" s="663"/>
    </row>
    <row r="140" spans="1:5" x14ac:dyDescent="0.2">
      <c r="A140"/>
      <c r="B140" s="663"/>
      <c r="C140" s="663"/>
      <c r="D140" s="663"/>
      <c r="E140" s="663"/>
    </row>
    <row r="141" spans="1:5" x14ac:dyDescent="0.2">
      <c r="A141"/>
      <c r="B141" s="663"/>
      <c r="C141" s="663"/>
      <c r="D141" s="663"/>
      <c r="E141" s="663"/>
    </row>
    <row r="142" spans="1:5" x14ac:dyDescent="0.2">
      <c r="A142"/>
      <c r="B142" s="663"/>
      <c r="C142" s="663"/>
      <c r="D142" s="663"/>
      <c r="E142" s="663"/>
    </row>
    <row r="143" spans="1:5" x14ac:dyDescent="0.2">
      <c r="A143"/>
      <c r="B143" s="663"/>
      <c r="C143" s="663"/>
      <c r="D143" s="663"/>
      <c r="E143" s="663"/>
    </row>
    <row r="144" spans="1:5" x14ac:dyDescent="0.2">
      <c r="A144"/>
      <c r="B144" s="663"/>
      <c r="C144" s="663"/>
      <c r="D144" s="663"/>
      <c r="E144" s="663"/>
    </row>
    <row r="145" spans="1:5" x14ac:dyDescent="0.2">
      <c r="A145"/>
      <c r="B145" s="663"/>
      <c r="C145" s="663"/>
      <c r="D145" s="663"/>
      <c r="E145" s="663"/>
    </row>
    <row r="146" spans="1:5" x14ac:dyDescent="0.2">
      <c r="A146"/>
      <c r="B146" s="663"/>
      <c r="C146" s="663"/>
      <c r="D146" s="663"/>
      <c r="E146" s="663"/>
    </row>
    <row r="147" spans="1:5" x14ac:dyDescent="0.2">
      <c r="A147"/>
      <c r="B147" s="663"/>
      <c r="C147" s="663"/>
      <c r="D147" s="663"/>
      <c r="E147" s="663"/>
    </row>
    <row r="148" spans="1:5" x14ac:dyDescent="0.2">
      <c r="A148"/>
      <c r="B148" s="663"/>
      <c r="C148" s="663"/>
      <c r="D148" s="663"/>
      <c r="E148" s="663"/>
    </row>
    <row r="149" spans="1:5" x14ac:dyDescent="0.2">
      <c r="A149"/>
      <c r="B149" s="663"/>
      <c r="C149" s="663"/>
      <c r="D149" s="663"/>
      <c r="E149" s="663"/>
    </row>
    <row r="150" spans="1:5" x14ac:dyDescent="0.2">
      <c r="A150"/>
      <c r="B150" s="663"/>
      <c r="C150" s="663"/>
      <c r="D150" s="663"/>
      <c r="E150" s="663"/>
    </row>
    <row r="151" spans="1:5" x14ac:dyDescent="0.2">
      <c r="A151"/>
      <c r="B151" s="663"/>
      <c r="C151" s="663"/>
      <c r="D151" s="663"/>
      <c r="E151" s="663"/>
    </row>
    <row r="152" spans="1:5" x14ac:dyDescent="0.2">
      <c r="A152"/>
      <c r="B152" s="663"/>
      <c r="C152" s="663"/>
      <c r="D152" s="663"/>
      <c r="E152" s="663"/>
    </row>
    <row r="153" spans="1:5" x14ac:dyDescent="0.2">
      <c r="A153"/>
      <c r="B153" s="663"/>
      <c r="C153" s="663"/>
      <c r="D153" s="663"/>
      <c r="E153" s="663"/>
    </row>
    <row r="154" spans="1:5" x14ac:dyDescent="0.2">
      <c r="A154"/>
      <c r="B154" s="663"/>
      <c r="C154" s="663"/>
      <c r="D154" s="663"/>
      <c r="E154" s="663"/>
    </row>
    <row r="155" spans="1:5" x14ac:dyDescent="0.2">
      <c r="A155"/>
      <c r="B155" s="663"/>
      <c r="C155" s="663"/>
      <c r="D155" s="663"/>
      <c r="E155" s="663"/>
    </row>
    <row r="156" spans="1:5" x14ac:dyDescent="0.2">
      <c r="A156"/>
      <c r="B156" s="663"/>
      <c r="C156" s="663"/>
      <c r="D156" s="663"/>
      <c r="E156" s="663"/>
    </row>
    <row r="157" spans="1:5" x14ac:dyDescent="0.2">
      <c r="A157"/>
      <c r="B157" s="663"/>
      <c r="C157" s="663"/>
      <c r="D157" s="663"/>
      <c r="E157" s="663"/>
    </row>
    <row r="158" spans="1:5" x14ac:dyDescent="0.2">
      <c r="A158"/>
      <c r="B158" s="663"/>
      <c r="C158" s="663"/>
      <c r="D158" s="663"/>
      <c r="E158" s="663"/>
    </row>
    <row r="159" spans="1:5" x14ac:dyDescent="0.2">
      <c r="A159"/>
      <c r="B159" s="663"/>
      <c r="C159" s="663"/>
      <c r="D159" s="663"/>
      <c r="E159" s="663"/>
    </row>
    <row r="160" spans="1:5" x14ac:dyDescent="0.2">
      <c r="A160"/>
      <c r="B160" s="663"/>
      <c r="C160" s="663"/>
      <c r="D160" s="663"/>
      <c r="E160" s="663"/>
    </row>
    <row r="161" spans="1:5" x14ac:dyDescent="0.2">
      <c r="A161"/>
      <c r="B161" s="663"/>
      <c r="C161" s="663"/>
      <c r="D161" s="663"/>
      <c r="E161" s="663"/>
    </row>
    <row r="162" spans="1:5" x14ac:dyDescent="0.2">
      <c r="A162"/>
      <c r="B162" s="663"/>
      <c r="C162" s="663"/>
      <c r="D162" s="663"/>
      <c r="E162" s="663"/>
    </row>
    <row r="163" spans="1:5" x14ac:dyDescent="0.2">
      <c r="A163"/>
      <c r="B163" s="663"/>
      <c r="C163" s="663"/>
      <c r="D163" s="663"/>
      <c r="E163" s="663"/>
    </row>
    <row r="164" spans="1:5" x14ac:dyDescent="0.2">
      <c r="A164"/>
      <c r="B164" s="663"/>
      <c r="C164" s="663"/>
      <c r="D164" s="663"/>
      <c r="E164" s="663"/>
    </row>
    <row r="165" spans="1:5" x14ac:dyDescent="0.2">
      <c r="A165"/>
      <c r="B165" s="663"/>
      <c r="C165" s="663"/>
      <c r="D165" s="663"/>
      <c r="E165" s="663"/>
    </row>
    <row r="166" spans="1:5" x14ac:dyDescent="0.2">
      <c r="A166"/>
      <c r="B166" s="663"/>
      <c r="C166" s="663"/>
      <c r="D166" s="663"/>
      <c r="E166" s="663"/>
    </row>
    <row r="167" spans="1:5" x14ac:dyDescent="0.2">
      <c r="A167"/>
      <c r="B167" s="663"/>
      <c r="C167" s="663"/>
      <c r="D167" s="663"/>
      <c r="E167" s="663"/>
    </row>
    <row r="168" spans="1:5" x14ac:dyDescent="0.2">
      <c r="A168"/>
      <c r="B168" s="663"/>
      <c r="C168" s="663"/>
      <c r="D168" s="663"/>
      <c r="E168" s="663"/>
    </row>
    <row r="169" spans="1:5" x14ac:dyDescent="0.2">
      <c r="A169"/>
      <c r="B169" s="663"/>
      <c r="C169" s="663"/>
      <c r="D169" s="663"/>
      <c r="E169" s="663"/>
    </row>
    <row r="170" spans="1:5" x14ac:dyDescent="0.2">
      <c r="A170"/>
      <c r="B170" s="663"/>
      <c r="C170" s="663"/>
      <c r="D170" s="663"/>
      <c r="E170" s="663"/>
    </row>
    <row r="171" spans="1:5" x14ac:dyDescent="0.2">
      <c r="A171"/>
      <c r="B171" s="663"/>
      <c r="C171" s="663"/>
      <c r="D171" s="663"/>
      <c r="E171" s="663"/>
    </row>
    <row r="172" spans="1:5" x14ac:dyDescent="0.2">
      <c r="A172"/>
      <c r="B172" s="663"/>
      <c r="C172" s="663"/>
      <c r="D172" s="663"/>
      <c r="E172" s="663"/>
    </row>
    <row r="173" spans="1:5" x14ac:dyDescent="0.2">
      <c r="A173"/>
      <c r="B173" s="663"/>
      <c r="C173" s="663"/>
      <c r="D173" s="663"/>
      <c r="E173" s="663"/>
    </row>
    <row r="174" spans="1:5" x14ac:dyDescent="0.2">
      <c r="A174"/>
      <c r="B174" s="663"/>
      <c r="C174" s="663"/>
      <c r="D174" s="663"/>
      <c r="E174" s="663"/>
    </row>
    <row r="175" spans="1:5" x14ac:dyDescent="0.2">
      <c r="A175"/>
      <c r="B175" s="663"/>
      <c r="C175" s="663"/>
      <c r="D175" s="663"/>
      <c r="E175" s="663"/>
    </row>
    <row r="176" spans="1:5" x14ac:dyDescent="0.2">
      <c r="A176"/>
      <c r="B176" s="663"/>
      <c r="C176" s="663"/>
      <c r="D176" s="663"/>
      <c r="E176" s="663"/>
    </row>
    <row r="177" spans="1:5" x14ac:dyDescent="0.2">
      <c r="A177"/>
      <c r="B177" s="663"/>
      <c r="C177" s="663"/>
      <c r="D177" s="663"/>
      <c r="E177" s="663"/>
    </row>
    <row r="178" spans="1:5" x14ac:dyDescent="0.2">
      <c r="A178"/>
      <c r="B178" s="663"/>
      <c r="C178" s="663"/>
      <c r="D178" s="663"/>
      <c r="E178" s="663"/>
    </row>
    <row r="179" spans="1:5" x14ac:dyDescent="0.2">
      <c r="A179"/>
      <c r="B179" s="663"/>
      <c r="C179" s="663"/>
      <c r="D179" s="663"/>
      <c r="E179" s="663"/>
    </row>
    <row r="180" spans="1:5" x14ac:dyDescent="0.2">
      <c r="A180"/>
      <c r="B180" s="663"/>
      <c r="C180" s="663"/>
      <c r="D180" s="663"/>
      <c r="E180" s="663"/>
    </row>
    <row r="181" spans="1:5" x14ac:dyDescent="0.2">
      <c r="A181"/>
      <c r="B181" s="663"/>
      <c r="C181" s="663"/>
      <c r="D181" s="663"/>
      <c r="E181" s="663"/>
    </row>
    <row r="182" spans="1:5" x14ac:dyDescent="0.2">
      <c r="A182"/>
      <c r="B182" s="663"/>
      <c r="C182" s="663"/>
      <c r="D182" s="663"/>
      <c r="E182" s="663"/>
    </row>
    <row r="183" spans="1:5" x14ac:dyDescent="0.2">
      <c r="A183"/>
      <c r="B183" s="663"/>
      <c r="C183" s="663"/>
      <c r="D183" s="663"/>
      <c r="E183" s="663"/>
    </row>
    <row r="184" spans="1:5" x14ac:dyDescent="0.2">
      <c r="A184"/>
      <c r="B184" s="663"/>
      <c r="C184" s="663"/>
      <c r="D184" s="663"/>
      <c r="E184" s="663"/>
    </row>
    <row r="185" spans="1:5" x14ac:dyDescent="0.2">
      <c r="A185"/>
      <c r="B185" s="663"/>
      <c r="C185" s="663"/>
      <c r="D185" s="663"/>
      <c r="E185" s="663"/>
    </row>
    <row r="186" spans="1:5" x14ac:dyDescent="0.2">
      <c r="A186"/>
      <c r="B186" s="663"/>
      <c r="C186" s="663"/>
      <c r="D186" s="663"/>
      <c r="E186" s="663"/>
    </row>
    <row r="187" spans="1:5" x14ac:dyDescent="0.2">
      <c r="A187"/>
      <c r="B187" s="663"/>
      <c r="C187" s="663"/>
      <c r="D187" s="663"/>
      <c r="E187" s="663"/>
    </row>
    <row r="188" spans="1:5" x14ac:dyDescent="0.2">
      <c r="A188"/>
      <c r="B188" s="663"/>
      <c r="C188" s="663"/>
      <c r="D188" s="663"/>
      <c r="E188" s="663"/>
    </row>
    <row r="189" spans="1:5" x14ac:dyDescent="0.2">
      <c r="A189"/>
      <c r="B189" s="663"/>
      <c r="C189" s="663"/>
      <c r="D189" s="663"/>
      <c r="E189" s="663"/>
    </row>
    <row r="190" spans="1:5" x14ac:dyDescent="0.2">
      <c r="A190"/>
      <c r="B190" s="663"/>
      <c r="C190" s="663"/>
      <c r="D190" s="663"/>
      <c r="E190" s="663"/>
    </row>
    <row r="191" spans="1:5" x14ac:dyDescent="0.2">
      <c r="A191"/>
      <c r="B191" s="663"/>
      <c r="C191" s="663"/>
      <c r="D191" s="663"/>
      <c r="E191" s="663"/>
    </row>
    <row r="192" spans="1:5" x14ac:dyDescent="0.2">
      <c r="A192"/>
      <c r="B192" s="663"/>
      <c r="C192" s="663"/>
      <c r="D192" s="663"/>
      <c r="E192" s="663"/>
    </row>
    <row r="193" spans="1:5" x14ac:dyDescent="0.2">
      <c r="A193"/>
      <c r="B193" s="663"/>
      <c r="C193" s="663"/>
      <c r="D193" s="663"/>
      <c r="E193" s="663"/>
    </row>
    <row r="194" spans="1:5" x14ac:dyDescent="0.2">
      <c r="A194"/>
      <c r="B194" s="663"/>
      <c r="C194" s="663"/>
      <c r="D194" s="663"/>
      <c r="E194" s="663"/>
    </row>
    <row r="195" spans="1:5" x14ac:dyDescent="0.2">
      <c r="A195"/>
      <c r="B195" s="663"/>
      <c r="C195" s="663"/>
      <c r="D195" s="663"/>
      <c r="E195" s="663"/>
    </row>
    <row r="196" spans="1:5" x14ac:dyDescent="0.2">
      <c r="A196"/>
      <c r="B196" s="663"/>
      <c r="C196" s="663"/>
      <c r="D196" s="663"/>
      <c r="E196" s="663"/>
    </row>
    <row r="197" spans="1:5" x14ac:dyDescent="0.2">
      <c r="A197"/>
      <c r="B197" s="663"/>
      <c r="C197" s="663"/>
      <c r="D197" s="663"/>
      <c r="E197" s="663"/>
    </row>
    <row r="198" spans="1:5" x14ac:dyDescent="0.2">
      <c r="A198"/>
      <c r="B198" s="663"/>
      <c r="C198" s="663"/>
      <c r="D198" s="663"/>
      <c r="E198" s="663"/>
    </row>
    <row r="199" spans="1:5" x14ac:dyDescent="0.2">
      <c r="A199"/>
      <c r="B199" s="663"/>
      <c r="C199" s="663"/>
      <c r="D199" s="663"/>
      <c r="E199" s="663"/>
    </row>
    <row r="200" spans="1:5" x14ac:dyDescent="0.2">
      <c r="A200"/>
      <c r="B200" s="663"/>
      <c r="C200" s="663"/>
      <c r="D200" s="663"/>
      <c r="E200" s="663"/>
    </row>
    <row r="201" spans="1:5" x14ac:dyDescent="0.2">
      <c r="A201"/>
      <c r="B201" s="663"/>
      <c r="C201" s="663"/>
      <c r="D201" s="663"/>
      <c r="E201" s="663"/>
    </row>
    <row r="202" spans="1:5" x14ac:dyDescent="0.2">
      <c r="A202"/>
      <c r="B202" s="663"/>
      <c r="C202" s="663"/>
      <c r="D202" s="663"/>
      <c r="E202" s="663"/>
    </row>
    <row r="203" spans="1:5" x14ac:dyDescent="0.2">
      <c r="A203"/>
      <c r="B203" s="663"/>
      <c r="C203" s="663"/>
      <c r="D203" s="663"/>
      <c r="E203" s="663"/>
    </row>
    <row r="204" spans="1:5" x14ac:dyDescent="0.2">
      <c r="A204"/>
      <c r="B204" s="663"/>
      <c r="C204" s="663"/>
      <c r="D204" s="663"/>
      <c r="E204" s="663"/>
    </row>
    <row r="205" spans="1:5" x14ac:dyDescent="0.2">
      <c r="A205"/>
      <c r="B205" s="663"/>
      <c r="C205" s="663"/>
      <c r="D205" s="663"/>
      <c r="E205" s="663"/>
    </row>
    <row r="206" spans="1:5" x14ac:dyDescent="0.2">
      <c r="A206"/>
      <c r="B206" s="663"/>
      <c r="C206" s="663"/>
      <c r="D206" s="663"/>
      <c r="E206" s="663"/>
    </row>
    <row r="207" spans="1:5" x14ac:dyDescent="0.2">
      <c r="A207"/>
      <c r="B207" s="663"/>
      <c r="C207" s="663"/>
      <c r="D207" s="663"/>
      <c r="E207" s="663"/>
    </row>
    <row r="208" spans="1:5" x14ac:dyDescent="0.2">
      <c r="A208"/>
      <c r="B208" s="663"/>
      <c r="C208" s="663"/>
      <c r="D208" s="663"/>
      <c r="E208" s="663"/>
    </row>
    <row r="209" spans="1:5" x14ac:dyDescent="0.2">
      <c r="A209"/>
      <c r="B209" s="663"/>
      <c r="C209" s="663"/>
      <c r="D209" s="663"/>
      <c r="E209" s="663"/>
    </row>
    <row r="210" spans="1:5" x14ac:dyDescent="0.2">
      <c r="A210"/>
      <c r="B210" s="663"/>
      <c r="C210" s="663"/>
      <c r="D210" s="663"/>
      <c r="E210" s="663"/>
    </row>
    <row r="211" spans="1:5" x14ac:dyDescent="0.2">
      <c r="A211"/>
      <c r="B211" s="663"/>
      <c r="C211" s="663"/>
      <c r="D211" s="663"/>
      <c r="E211" s="663"/>
    </row>
    <row r="212" spans="1:5" x14ac:dyDescent="0.2">
      <c r="A212"/>
      <c r="B212" s="663"/>
      <c r="C212" s="663"/>
      <c r="D212" s="663"/>
      <c r="E212" s="663"/>
    </row>
    <row r="213" spans="1:5" x14ac:dyDescent="0.2">
      <c r="A213"/>
      <c r="B213" s="663"/>
      <c r="C213" s="663"/>
      <c r="D213" s="663"/>
      <c r="E213" s="663"/>
    </row>
    <row r="214" spans="1:5" x14ac:dyDescent="0.2">
      <c r="A214"/>
      <c r="B214" s="663"/>
      <c r="C214" s="663"/>
      <c r="D214" s="663"/>
      <c r="E214" s="663"/>
    </row>
    <row r="215" spans="1:5" x14ac:dyDescent="0.2">
      <c r="A215"/>
      <c r="B215" s="663"/>
      <c r="C215" s="663"/>
      <c r="D215" s="663"/>
      <c r="E215" s="663"/>
    </row>
    <row r="216" spans="1:5" x14ac:dyDescent="0.2">
      <c r="A216"/>
      <c r="B216" s="663"/>
      <c r="C216" s="663"/>
      <c r="D216" s="663"/>
      <c r="E216" s="663"/>
    </row>
    <row r="217" spans="1:5" x14ac:dyDescent="0.2">
      <c r="A217"/>
      <c r="B217" s="663"/>
      <c r="C217" s="663"/>
      <c r="D217" s="663"/>
      <c r="E217" s="663"/>
    </row>
    <row r="218" spans="1:5" x14ac:dyDescent="0.2">
      <c r="A218"/>
      <c r="B218" s="663"/>
      <c r="C218" s="663"/>
      <c r="D218" s="663"/>
      <c r="E218" s="663"/>
    </row>
    <row r="219" spans="1:5" x14ac:dyDescent="0.2">
      <c r="A219"/>
      <c r="B219" s="663"/>
      <c r="C219" s="663"/>
      <c r="D219" s="663"/>
      <c r="E219" s="663"/>
    </row>
    <row r="220" spans="1:5" x14ac:dyDescent="0.2">
      <c r="A220"/>
      <c r="B220" s="663"/>
      <c r="C220" s="663"/>
      <c r="D220" s="663"/>
      <c r="E220" s="663"/>
    </row>
    <row r="221" spans="1:5" x14ac:dyDescent="0.2">
      <c r="A221"/>
      <c r="B221" s="663"/>
      <c r="C221" s="663"/>
      <c r="D221" s="663"/>
      <c r="E221" s="663"/>
    </row>
    <row r="222" spans="1:5" x14ac:dyDescent="0.2">
      <c r="A222"/>
      <c r="B222" s="663"/>
      <c r="C222" s="663"/>
      <c r="D222" s="663"/>
      <c r="E222" s="663"/>
    </row>
    <row r="223" spans="1:5" x14ac:dyDescent="0.2">
      <c r="A223"/>
      <c r="B223" s="663"/>
      <c r="C223" s="663"/>
      <c r="D223" s="663"/>
      <c r="E223" s="663"/>
    </row>
    <row r="224" spans="1:5" x14ac:dyDescent="0.2">
      <c r="A224"/>
      <c r="B224" s="663"/>
      <c r="C224" s="663"/>
      <c r="D224" s="663"/>
      <c r="E224" s="663"/>
    </row>
    <row r="225" spans="1:5" x14ac:dyDescent="0.2">
      <c r="A225"/>
      <c r="B225" s="663"/>
      <c r="C225" s="663"/>
      <c r="D225" s="663"/>
      <c r="E225" s="663"/>
    </row>
    <row r="226" spans="1:5" x14ac:dyDescent="0.2">
      <c r="A226"/>
      <c r="B226" s="663"/>
      <c r="C226" s="663"/>
      <c r="D226" s="663"/>
      <c r="E226" s="663"/>
    </row>
    <row r="227" spans="1:5" x14ac:dyDescent="0.2">
      <c r="A227"/>
      <c r="B227" s="663"/>
      <c r="C227" s="663"/>
      <c r="D227" s="663"/>
      <c r="E227" s="663"/>
    </row>
    <row r="228" spans="1:5" x14ac:dyDescent="0.2">
      <c r="A228"/>
      <c r="B228" s="663"/>
      <c r="C228" s="663"/>
      <c r="D228" s="663"/>
      <c r="E228" s="663"/>
    </row>
    <row r="229" spans="1:5" x14ac:dyDescent="0.2">
      <c r="A229"/>
      <c r="B229" s="663"/>
      <c r="C229" s="663"/>
      <c r="D229" s="663"/>
      <c r="E229" s="663"/>
    </row>
    <row r="230" spans="1:5" x14ac:dyDescent="0.2">
      <c r="A230"/>
      <c r="B230" s="663"/>
      <c r="C230" s="663"/>
      <c r="D230" s="663"/>
      <c r="E230" s="663"/>
    </row>
    <row r="231" spans="1:5" x14ac:dyDescent="0.2">
      <c r="A231"/>
      <c r="B231" s="663"/>
      <c r="C231" s="663"/>
      <c r="D231" s="663"/>
      <c r="E231" s="663"/>
    </row>
    <row r="232" spans="1:5" x14ac:dyDescent="0.2">
      <c r="A232"/>
      <c r="B232" s="663"/>
      <c r="C232" s="663"/>
      <c r="D232" s="663"/>
      <c r="E232" s="663"/>
    </row>
    <row r="233" spans="1:5" x14ac:dyDescent="0.2">
      <c r="A233"/>
      <c r="B233" s="663"/>
      <c r="C233" s="663"/>
      <c r="D233" s="663"/>
      <c r="E233" s="663"/>
    </row>
    <row r="234" spans="1:5" x14ac:dyDescent="0.2">
      <c r="A234"/>
      <c r="B234" s="663"/>
      <c r="C234" s="663"/>
      <c r="D234" s="663"/>
      <c r="E234" s="663"/>
    </row>
    <row r="235" spans="1:5" x14ac:dyDescent="0.2">
      <c r="A235"/>
      <c r="B235" s="663"/>
      <c r="C235" s="663"/>
      <c r="D235" s="663"/>
      <c r="E235" s="663"/>
    </row>
    <row r="236" spans="1:5" x14ac:dyDescent="0.2">
      <c r="A236"/>
      <c r="B236" s="663"/>
      <c r="C236" s="663"/>
      <c r="D236" s="663"/>
      <c r="E236" s="663"/>
    </row>
    <row r="237" spans="1:5" x14ac:dyDescent="0.2">
      <c r="A237"/>
      <c r="B237" s="663"/>
      <c r="C237" s="663"/>
      <c r="D237" s="663"/>
      <c r="E237" s="663"/>
    </row>
    <row r="238" spans="1:5" x14ac:dyDescent="0.2">
      <c r="A238"/>
      <c r="B238" s="663"/>
      <c r="C238" s="663"/>
      <c r="D238" s="663"/>
      <c r="E238" s="663"/>
    </row>
    <row r="239" spans="1:5" x14ac:dyDescent="0.2">
      <c r="A239"/>
      <c r="B239" s="663"/>
      <c r="C239" s="663"/>
      <c r="D239" s="663"/>
      <c r="E239" s="663"/>
    </row>
    <row r="240" spans="1:5" x14ac:dyDescent="0.2">
      <c r="A240"/>
      <c r="B240" s="663"/>
      <c r="C240" s="663"/>
      <c r="D240" s="663"/>
      <c r="E240" s="663"/>
    </row>
    <row r="241" spans="1:5" x14ac:dyDescent="0.2">
      <c r="A241"/>
      <c r="B241" s="663"/>
      <c r="C241" s="663"/>
      <c r="D241" s="663"/>
      <c r="E241" s="663"/>
    </row>
    <row r="242" spans="1:5" x14ac:dyDescent="0.2">
      <c r="A242"/>
      <c r="B242" s="663"/>
      <c r="C242" s="663"/>
      <c r="D242" s="663"/>
      <c r="E242" s="663"/>
    </row>
    <row r="243" spans="1:5" x14ac:dyDescent="0.2">
      <c r="A243"/>
      <c r="B243" s="663"/>
      <c r="C243" s="663"/>
      <c r="D243" s="663"/>
      <c r="E243" s="663"/>
    </row>
    <row r="244" spans="1:5" x14ac:dyDescent="0.2">
      <c r="A244"/>
      <c r="B244" s="663"/>
      <c r="C244" s="663"/>
      <c r="D244" s="663"/>
      <c r="E244" s="663"/>
    </row>
    <row r="245" spans="1:5" x14ac:dyDescent="0.2">
      <c r="A245"/>
      <c r="B245" s="663"/>
      <c r="C245" s="663"/>
      <c r="D245" s="663"/>
      <c r="E245" s="663"/>
    </row>
    <row r="246" spans="1:5" x14ac:dyDescent="0.2">
      <c r="A246"/>
      <c r="B246" s="663"/>
      <c r="C246" s="663"/>
      <c r="D246" s="663"/>
      <c r="E246" s="663"/>
    </row>
    <row r="247" spans="1:5" x14ac:dyDescent="0.2">
      <c r="A247"/>
      <c r="B247" s="663"/>
      <c r="C247" s="663"/>
      <c r="D247" s="663"/>
      <c r="E247" s="663"/>
    </row>
    <row r="248" spans="1:5" x14ac:dyDescent="0.2">
      <c r="A248"/>
      <c r="B248" s="663"/>
      <c r="C248" s="663"/>
      <c r="D248" s="663"/>
      <c r="E248" s="663"/>
    </row>
    <row r="249" spans="1:5" x14ac:dyDescent="0.2">
      <c r="A249"/>
      <c r="B249" s="663"/>
      <c r="C249" s="663"/>
      <c r="D249" s="663"/>
      <c r="E249" s="663"/>
    </row>
    <row r="250" spans="1:5" x14ac:dyDescent="0.2">
      <c r="A250"/>
      <c r="B250" s="663"/>
      <c r="C250" s="663"/>
      <c r="D250" s="663"/>
      <c r="E250" s="663"/>
    </row>
    <row r="251" spans="1:5" x14ac:dyDescent="0.2">
      <c r="A251"/>
      <c r="B251" s="663"/>
      <c r="C251" s="663"/>
      <c r="D251" s="663"/>
      <c r="E251" s="663"/>
    </row>
    <row r="252" spans="1:5" x14ac:dyDescent="0.2">
      <c r="A252"/>
      <c r="B252" s="663"/>
      <c r="C252" s="663"/>
      <c r="D252" s="663"/>
      <c r="E252" s="663"/>
    </row>
    <row r="253" spans="1:5" x14ac:dyDescent="0.2">
      <c r="A253"/>
      <c r="B253" s="663"/>
      <c r="C253" s="663"/>
      <c r="D253" s="663"/>
      <c r="E253" s="663"/>
    </row>
    <row r="254" spans="1:5" x14ac:dyDescent="0.2">
      <c r="A254"/>
      <c r="B254" s="663"/>
      <c r="C254" s="663"/>
      <c r="D254" s="663"/>
      <c r="E254" s="663"/>
    </row>
    <row r="255" spans="1:5" x14ac:dyDescent="0.2">
      <c r="A255"/>
      <c r="B255" s="663"/>
      <c r="C255" s="663"/>
      <c r="D255" s="663"/>
      <c r="E255" s="663"/>
    </row>
    <row r="256" spans="1:5" x14ac:dyDescent="0.2">
      <c r="A256"/>
      <c r="B256" s="663"/>
      <c r="C256" s="663"/>
      <c r="D256" s="663"/>
      <c r="E256" s="663"/>
    </row>
    <row r="257" spans="1:5" x14ac:dyDescent="0.2">
      <c r="A257"/>
      <c r="B257" s="663"/>
      <c r="C257" s="663"/>
      <c r="D257" s="663"/>
      <c r="E257" s="663"/>
    </row>
    <row r="258" spans="1:5" x14ac:dyDescent="0.2">
      <c r="A258"/>
      <c r="B258" s="663"/>
      <c r="C258" s="663"/>
      <c r="D258" s="663"/>
      <c r="E258" s="663"/>
    </row>
    <row r="259" spans="1:5" x14ac:dyDescent="0.2">
      <c r="A259"/>
      <c r="B259" s="663"/>
      <c r="C259" s="663"/>
      <c r="D259" s="663"/>
      <c r="E259" s="663"/>
    </row>
    <row r="260" spans="1:5" x14ac:dyDescent="0.2">
      <c r="A260"/>
      <c r="B260" s="663"/>
      <c r="C260" s="663"/>
      <c r="D260" s="663"/>
      <c r="E260" s="663"/>
    </row>
    <row r="261" spans="1:5" x14ac:dyDescent="0.2">
      <c r="A261"/>
      <c r="B261" s="663"/>
      <c r="C261" s="663"/>
      <c r="D261" s="663"/>
      <c r="E261" s="663"/>
    </row>
    <row r="262" spans="1:5" x14ac:dyDescent="0.2">
      <c r="A262"/>
      <c r="B262" s="663"/>
      <c r="C262" s="663"/>
      <c r="D262" s="663"/>
      <c r="E262" s="663"/>
    </row>
    <row r="263" spans="1:5" x14ac:dyDescent="0.2">
      <c r="A263"/>
      <c r="B263" s="663"/>
      <c r="C263" s="663"/>
      <c r="D263" s="663"/>
      <c r="E263" s="663"/>
    </row>
    <row r="264" spans="1:5" x14ac:dyDescent="0.2">
      <c r="A264"/>
      <c r="B264" s="663"/>
      <c r="C264" s="663"/>
      <c r="D264" s="663"/>
      <c r="E264" s="663"/>
    </row>
    <row r="265" spans="1:5" x14ac:dyDescent="0.2">
      <c r="A265"/>
      <c r="B265" s="663"/>
      <c r="C265" s="663"/>
      <c r="D265" s="663"/>
      <c r="E265" s="663"/>
    </row>
    <row r="266" spans="1:5" x14ac:dyDescent="0.2">
      <c r="A266"/>
      <c r="B266" s="663"/>
      <c r="C266" s="663"/>
      <c r="D266" s="663"/>
      <c r="E266" s="663"/>
    </row>
    <row r="267" spans="1:5" x14ac:dyDescent="0.2">
      <c r="A267"/>
      <c r="B267" s="663"/>
      <c r="C267" s="663"/>
      <c r="D267" s="663"/>
      <c r="E267" s="663"/>
    </row>
    <row r="268" spans="1:5" x14ac:dyDescent="0.2">
      <c r="A268"/>
      <c r="B268" s="663"/>
      <c r="C268" s="663"/>
      <c r="D268" s="663"/>
      <c r="E268" s="663"/>
    </row>
    <row r="269" spans="1:5" x14ac:dyDescent="0.2">
      <c r="A269"/>
      <c r="B269" s="663"/>
      <c r="C269" s="663"/>
      <c r="D269" s="663"/>
      <c r="E269" s="663"/>
    </row>
    <row r="270" spans="1:5" x14ac:dyDescent="0.2">
      <c r="A270"/>
      <c r="B270" s="663"/>
      <c r="C270" s="663"/>
      <c r="D270" s="663"/>
      <c r="E270" s="663"/>
    </row>
    <row r="271" spans="1:5" x14ac:dyDescent="0.2">
      <c r="A271"/>
      <c r="B271" s="663"/>
      <c r="C271" s="663"/>
      <c r="D271" s="663"/>
      <c r="E271" s="663"/>
    </row>
    <row r="272" spans="1:5" x14ac:dyDescent="0.2">
      <c r="A272"/>
      <c r="B272" s="663"/>
      <c r="C272" s="663"/>
      <c r="D272" s="663"/>
      <c r="E272" s="663"/>
    </row>
    <row r="273" spans="1:5" x14ac:dyDescent="0.2">
      <c r="A273"/>
      <c r="B273" s="663"/>
      <c r="C273" s="663"/>
      <c r="D273" s="663"/>
      <c r="E273" s="663"/>
    </row>
    <row r="274" spans="1:5" x14ac:dyDescent="0.2">
      <c r="A274"/>
      <c r="B274" s="663"/>
      <c r="C274" s="663"/>
      <c r="D274" s="663"/>
      <c r="E274" s="663"/>
    </row>
    <row r="275" spans="1:5" x14ac:dyDescent="0.2">
      <c r="A275"/>
      <c r="B275" s="663"/>
      <c r="C275" s="663"/>
      <c r="D275" s="663"/>
      <c r="E275" s="663"/>
    </row>
    <row r="276" spans="1:5" x14ac:dyDescent="0.2">
      <c r="A276"/>
      <c r="B276" s="663"/>
      <c r="C276" s="663"/>
      <c r="D276" s="663"/>
      <c r="E276" s="663"/>
    </row>
    <row r="277" spans="1:5" x14ac:dyDescent="0.2">
      <c r="A277"/>
      <c r="B277" s="663"/>
      <c r="C277" s="663"/>
      <c r="D277" s="663"/>
      <c r="E277" s="663"/>
    </row>
    <row r="278" spans="1:5" x14ac:dyDescent="0.2">
      <c r="A278"/>
      <c r="B278" s="663"/>
      <c r="C278" s="663"/>
      <c r="D278" s="663"/>
      <c r="E278" s="663"/>
    </row>
    <row r="279" spans="1:5" x14ac:dyDescent="0.2">
      <c r="A279"/>
      <c r="B279" s="663"/>
      <c r="C279" s="663"/>
      <c r="D279" s="663"/>
      <c r="E279" s="663"/>
    </row>
    <row r="280" spans="1:5" x14ac:dyDescent="0.2">
      <c r="A280"/>
      <c r="B280" s="663"/>
      <c r="C280" s="663"/>
      <c r="D280" s="663"/>
      <c r="E280" s="663"/>
    </row>
    <row r="281" spans="1:5" x14ac:dyDescent="0.2">
      <c r="A281"/>
      <c r="B281" s="663"/>
      <c r="C281" s="663"/>
      <c r="D281" s="663"/>
      <c r="E281" s="663"/>
    </row>
    <row r="282" spans="1:5" x14ac:dyDescent="0.2">
      <c r="A282"/>
      <c r="B282" s="663"/>
      <c r="C282" s="663"/>
      <c r="D282" s="663"/>
      <c r="E282" s="663"/>
    </row>
    <row r="283" spans="1:5" x14ac:dyDescent="0.2">
      <c r="A283"/>
      <c r="B283" s="663"/>
      <c r="C283" s="663"/>
      <c r="D283" s="663"/>
      <c r="E283" s="663"/>
    </row>
    <row r="284" spans="1:5" x14ac:dyDescent="0.2">
      <c r="A284"/>
      <c r="B284" s="663"/>
      <c r="C284" s="663"/>
      <c r="D284" s="663"/>
      <c r="E284" s="663"/>
    </row>
    <row r="285" spans="1:5" x14ac:dyDescent="0.2">
      <c r="A285"/>
      <c r="B285" s="663"/>
      <c r="C285" s="663"/>
      <c r="D285" s="663"/>
      <c r="E285" s="663"/>
    </row>
    <row r="286" spans="1:5" x14ac:dyDescent="0.2">
      <c r="A286"/>
      <c r="B286" s="663"/>
      <c r="C286" s="663"/>
      <c r="D286" s="663"/>
      <c r="E286" s="663"/>
    </row>
    <row r="287" spans="1:5" x14ac:dyDescent="0.2">
      <c r="A287"/>
      <c r="B287" s="663"/>
      <c r="C287" s="663"/>
      <c r="D287" s="663"/>
      <c r="E287" s="663"/>
    </row>
    <row r="288" spans="1:5" x14ac:dyDescent="0.2">
      <c r="A288"/>
      <c r="B288" s="663"/>
      <c r="C288" s="663"/>
      <c r="D288" s="663"/>
      <c r="E288" s="663"/>
    </row>
    <row r="289" spans="1:5" x14ac:dyDescent="0.2">
      <c r="A289"/>
      <c r="B289" s="663"/>
      <c r="C289" s="663"/>
      <c r="D289" s="663"/>
      <c r="E289" s="663"/>
    </row>
    <row r="290" spans="1:5" x14ac:dyDescent="0.2">
      <c r="A290"/>
      <c r="B290" s="663"/>
      <c r="C290" s="663"/>
      <c r="D290" s="663"/>
      <c r="E290" s="663"/>
    </row>
    <row r="291" spans="1:5" x14ac:dyDescent="0.2">
      <c r="A291"/>
      <c r="B291" s="663"/>
      <c r="C291" s="663"/>
      <c r="D291" s="663"/>
      <c r="E291" s="663"/>
    </row>
    <row r="292" spans="1:5" x14ac:dyDescent="0.2">
      <c r="A292"/>
      <c r="B292" s="663"/>
      <c r="C292" s="663"/>
      <c r="D292" s="663"/>
      <c r="E292" s="663"/>
    </row>
    <row r="293" spans="1:5" x14ac:dyDescent="0.2">
      <c r="A293"/>
      <c r="B293" s="663"/>
      <c r="C293" s="663"/>
      <c r="D293" s="663"/>
      <c r="E293" s="663"/>
    </row>
    <row r="294" spans="1:5" x14ac:dyDescent="0.2">
      <c r="A294"/>
      <c r="B294" s="663"/>
      <c r="C294" s="663"/>
      <c r="D294" s="663"/>
      <c r="E294" s="663"/>
    </row>
    <row r="295" spans="1:5" x14ac:dyDescent="0.2">
      <c r="A295"/>
      <c r="B295" s="663"/>
      <c r="C295" s="663"/>
      <c r="D295" s="663"/>
      <c r="E295" s="663"/>
    </row>
    <row r="296" spans="1:5" x14ac:dyDescent="0.2">
      <c r="A296"/>
      <c r="B296" s="663"/>
      <c r="C296" s="663"/>
      <c r="D296" s="663"/>
      <c r="E296" s="663"/>
    </row>
    <row r="297" spans="1:5" x14ac:dyDescent="0.2">
      <c r="A297"/>
      <c r="B297" s="663"/>
      <c r="C297" s="663"/>
      <c r="D297" s="663"/>
      <c r="E297" s="663"/>
    </row>
    <row r="298" spans="1:5" x14ac:dyDescent="0.2">
      <c r="A298"/>
      <c r="B298" s="663"/>
      <c r="C298" s="663"/>
      <c r="D298" s="663"/>
      <c r="E298" s="663"/>
    </row>
    <row r="299" spans="1:5" x14ac:dyDescent="0.2">
      <c r="A299"/>
      <c r="B299" s="663"/>
      <c r="C299" s="663"/>
      <c r="D299" s="663"/>
      <c r="E299" s="663"/>
    </row>
    <row r="300" spans="1:5" x14ac:dyDescent="0.2">
      <c r="A300"/>
      <c r="B300" s="663"/>
      <c r="C300" s="663"/>
      <c r="D300" s="663"/>
      <c r="E300" s="663"/>
    </row>
    <row r="301" spans="1:5" x14ac:dyDescent="0.2">
      <c r="A301"/>
      <c r="B301" s="663"/>
      <c r="C301" s="663"/>
      <c r="D301" s="663"/>
      <c r="E301" s="663"/>
    </row>
    <row r="302" spans="1:5" x14ac:dyDescent="0.2">
      <c r="A302"/>
      <c r="B302" s="663"/>
      <c r="C302" s="663"/>
      <c r="D302" s="663"/>
      <c r="E302" s="663"/>
    </row>
    <row r="303" spans="1:5" x14ac:dyDescent="0.2">
      <c r="A303"/>
      <c r="B303" s="663"/>
      <c r="C303" s="663"/>
      <c r="D303" s="663"/>
      <c r="E303" s="663"/>
    </row>
    <row r="304" spans="1:5" x14ac:dyDescent="0.2">
      <c r="A304"/>
      <c r="B304" s="663"/>
      <c r="C304" s="663"/>
      <c r="D304" s="663"/>
      <c r="E304" s="663"/>
    </row>
    <row r="305" spans="1:5" x14ac:dyDescent="0.2">
      <c r="A305"/>
      <c r="B305" s="663"/>
      <c r="C305" s="663"/>
      <c r="D305" s="663"/>
      <c r="E305" s="663"/>
    </row>
    <row r="306" spans="1:5" x14ac:dyDescent="0.2">
      <c r="A306"/>
      <c r="B306" s="663"/>
      <c r="C306" s="663"/>
      <c r="D306" s="663"/>
      <c r="E306" s="663"/>
    </row>
    <row r="307" spans="1:5" x14ac:dyDescent="0.2">
      <c r="A307"/>
      <c r="B307" s="663"/>
      <c r="C307" s="663"/>
      <c r="D307" s="663"/>
      <c r="E307" s="663"/>
    </row>
    <row r="308" spans="1:5" x14ac:dyDescent="0.2">
      <c r="A308"/>
      <c r="B308" s="663"/>
      <c r="C308" s="663"/>
      <c r="D308" s="663"/>
      <c r="E308" s="663"/>
    </row>
    <row r="309" spans="1:5" x14ac:dyDescent="0.2">
      <c r="A309"/>
      <c r="B309" s="663"/>
      <c r="C309" s="663"/>
      <c r="D309" s="663"/>
      <c r="E309" s="663"/>
    </row>
    <row r="310" spans="1:5" x14ac:dyDescent="0.2">
      <c r="A310"/>
      <c r="B310" s="663"/>
      <c r="C310" s="663"/>
      <c r="D310" s="663"/>
      <c r="E310" s="663"/>
    </row>
    <row r="311" spans="1:5" x14ac:dyDescent="0.2">
      <c r="A311"/>
      <c r="B311" s="663"/>
      <c r="C311" s="663"/>
      <c r="D311" s="663"/>
      <c r="E311" s="663"/>
    </row>
    <row r="312" spans="1:5" x14ac:dyDescent="0.2">
      <c r="A312"/>
      <c r="B312" s="663"/>
      <c r="C312" s="663"/>
      <c r="D312" s="663"/>
      <c r="E312" s="663"/>
    </row>
    <row r="313" spans="1:5" x14ac:dyDescent="0.2">
      <c r="A313"/>
      <c r="B313" s="663"/>
      <c r="C313" s="663"/>
      <c r="D313" s="663"/>
      <c r="E313" s="663"/>
    </row>
    <row r="314" spans="1:5" x14ac:dyDescent="0.2">
      <c r="A314"/>
      <c r="B314" s="663"/>
      <c r="C314" s="663"/>
      <c r="D314" s="663"/>
      <c r="E314" s="663"/>
    </row>
    <row r="315" spans="1:5" x14ac:dyDescent="0.2">
      <c r="A315"/>
      <c r="B315" s="663"/>
      <c r="C315" s="663"/>
      <c r="D315" s="663"/>
      <c r="E315" s="663"/>
    </row>
    <row r="316" spans="1:5" x14ac:dyDescent="0.2">
      <c r="A316"/>
      <c r="B316" s="663"/>
      <c r="C316" s="663"/>
      <c r="D316" s="663"/>
      <c r="E316" s="663"/>
    </row>
    <row r="317" spans="1:5" x14ac:dyDescent="0.2">
      <c r="A317"/>
      <c r="B317" s="663"/>
      <c r="C317" s="663"/>
      <c r="D317" s="663"/>
      <c r="E317" s="663"/>
    </row>
    <row r="318" spans="1:5" x14ac:dyDescent="0.2">
      <c r="A318"/>
      <c r="B318" s="663"/>
      <c r="C318" s="663"/>
      <c r="D318" s="663"/>
      <c r="E318" s="663"/>
    </row>
    <row r="319" spans="1:5" x14ac:dyDescent="0.2">
      <c r="A319"/>
      <c r="B319" s="663"/>
      <c r="C319" s="663"/>
      <c r="D319" s="663"/>
      <c r="E319" s="663"/>
    </row>
    <row r="320" spans="1:5" x14ac:dyDescent="0.2">
      <c r="A320"/>
      <c r="B320" s="663"/>
      <c r="C320" s="663"/>
      <c r="D320" s="663"/>
      <c r="E320" s="663"/>
    </row>
    <row r="321" spans="1:5" x14ac:dyDescent="0.2">
      <c r="A321"/>
      <c r="B321" s="663"/>
      <c r="C321" s="663"/>
      <c r="D321" s="663"/>
      <c r="E321" s="663"/>
    </row>
    <row r="322" spans="1:5" x14ac:dyDescent="0.2">
      <c r="A322"/>
      <c r="B322" s="663"/>
      <c r="C322" s="663"/>
      <c r="D322" s="663"/>
      <c r="E322" s="663"/>
    </row>
    <row r="323" spans="1:5" x14ac:dyDescent="0.2">
      <c r="A323"/>
      <c r="B323" s="663"/>
      <c r="C323" s="663"/>
      <c r="D323" s="663"/>
      <c r="E323" s="663"/>
    </row>
    <row r="324" spans="1:5" x14ac:dyDescent="0.2">
      <c r="A324"/>
      <c r="B324" s="663"/>
      <c r="C324" s="663"/>
      <c r="D324" s="663"/>
      <c r="E324" s="663"/>
    </row>
    <row r="325" spans="1:5" x14ac:dyDescent="0.2">
      <c r="A325"/>
      <c r="B325" s="663"/>
      <c r="C325" s="663"/>
      <c r="D325" s="663"/>
      <c r="E325" s="663"/>
    </row>
    <row r="326" spans="1:5" x14ac:dyDescent="0.2">
      <c r="A326"/>
      <c r="B326" s="663"/>
      <c r="C326" s="663"/>
      <c r="D326" s="663"/>
      <c r="E326" s="663"/>
    </row>
    <row r="327" spans="1:5" x14ac:dyDescent="0.2">
      <c r="A327"/>
      <c r="B327" s="663"/>
      <c r="C327" s="663"/>
      <c r="D327" s="663"/>
      <c r="E327" s="663"/>
    </row>
    <row r="328" spans="1:5" x14ac:dyDescent="0.2">
      <c r="A328"/>
      <c r="B328" s="663"/>
      <c r="C328" s="663"/>
      <c r="D328" s="663"/>
      <c r="E328" s="663"/>
    </row>
    <row r="329" spans="1:5" x14ac:dyDescent="0.2">
      <c r="A329"/>
      <c r="B329" s="663"/>
      <c r="C329" s="663"/>
      <c r="D329" s="663"/>
      <c r="E329" s="663"/>
    </row>
    <row r="330" spans="1:5" x14ac:dyDescent="0.2">
      <c r="A330"/>
      <c r="B330" s="663"/>
      <c r="C330" s="663"/>
      <c r="D330" s="663"/>
      <c r="E330" s="663"/>
    </row>
    <row r="331" spans="1:5" x14ac:dyDescent="0.2">
      <c r="A331"/>
      <c r="B331" s="663"/>
      <c r="C331" s="663"/>
      <c r="D331" s="663"/>
      <c r="E331" s="663"/>
    </row>
    <row r="332" spans="1:5" x14ac:dyDescent="0.2">
      <c r="A332"/>
      <c r="B332" s="663"/>
      <c r="C332" s="663"/>
      <c r="D332" s="663"/>
      <c r="E332" s="663"/>
    </row>
    <row r="333" spans="1:5" x14ac:dyDescent="0.2">
      <c r="A333"/>
      <c r="B333" s="663"/>
      <c r="C333" s="663"/>
      <c r="D333" s="663"/>
      <c r="E333" s="663"/>
    </row>
    <row r="334" spans="1:5" x14ac:dyDescent="0.2">
      <c r="A334"/>
      <c r="B334" s="663"/>
      <c r="C334" s="663"/>
      <c r="D334" s="663"/>
      <c r="E334" s="663"/>
    </row>
    <row r="335" spans="1:5" x14ac:dyDescent="0.2">
      <c r="A335"/>
      <c r="B335" s="663"/>
      <c r="C335" s="663"/>
      <c r="D335" s="663"/>
      <c r="E335" s="663"/>
    </row>
    <row r="336" spans="1:5" x14ac:dyDescent="0.2">
      <c r="A336"/>
      <c r="B336" s="663"/>
      <c r="C336" s="663"/>
      <c r="D336" s="663"/>
      <c r="E336" s="663"/>
    </row>
    <row r="337" spans="1:5" x14ac:dyDescent="0.2">
      <c r="A337"/>
      <c r="B337" s="663"/>
      <c r="C337" s="663"/>
      <c r="D337" s="663"/>
      <c r="E337" s="663"/>
    </row>
    <row r="338" spans="1:5" x14ac:dyDescent="0.2">
      <c r="A338"/>
      <c r="B338" s="663"/>
      <c r="C338" s="663"/>
      <c r="D338" s="663"/>
      <c r="E338" s="663"/>
    </row>
    <row r="339" spans="1:5" x14ac:dyDescent="0.2">
      <c r="A339"/>
      <c r="B339" s="663"/>
      <c r="C339" s="663"/>
      <c r="D339" s="663"/>
      <c r="E339" s="663"/>
    </row>
    <row r="340" spans="1:5" x14ac:dyDescent="0.2">
      <c r="A340"/>
      <c r="B340" s="663"/>
      <c r="C340" s="663"/>
      <c r="D340" s="663"/>
      <c r="E340" s="663"/>
    </row>
    <row r="341" spans="1:5" x14ac:dyDescent="0.2">
      <c r="A341"/>
      <c r="B341" s="663"/>
      <c r="C341" s="663"/>
      <c r="D341" s="663"/>
      <c r="E341" s="663"/>
    </row>
    <row r="342" spans="1:5" x14ac:dyDescent="0.2">
      <c r="A342"/>
      <c r="B342" s="663"/>
      <c r="C342" s="663"/>
      <c r="D342" s="663"/>
      <c r="E342" s="663"/>
    </row>
    <row r="343" spans="1:5" x14ac:dyDescent="0.2">
      <c r="A343"/>
      <c r="B343" s="663"/>
      <c r="C343" s="663"/>
      <c r="D343" s="663"/>
      <c r="E343" s="663"/>
    </row>
    <row r="344" spans="1:5" x14ac:dyDescent="0.2">
      <c r="A344"/>
      <c r="B344" s="663"/>
      <c r="C344" s="663"/>
      <c r="D344" s="663"/>
      <c r="E344" s="663"/>
    </row>
    <row r="345" spans="1:5" x14ac:dyDescent="0.2">
      <c r="A345"/>
      <c r="B345" s="663"/>
      <c r="C345" s="663"/>
      <c r="D345" s="663"/>
      <c r="E345" s="663"/>
    </row>
    <row r="346" spans="1:5" x14ac:dyDescent="0.2">
      <c r="A346"/>
      <c r="B346" s="663"/>
      <c r="C346" s="663"/>
      <c r="D346" s="663"/>
      <c r="E346" s="663"/>
    </row>
    <row r="347" spans="1:5" x14ac:dyDescent="0.2">
      <c r="A347"/>
      <c r="B347" s="663"/>
      <c r="C347" s="663"/>
      <c r="D347" s="663"/>
      <c r="E347" s="663"/>
    </row>
    <row r="348" spans="1:5" x14ac:dyDescent="0.2">
      <c r="A348"/>
      <c r="B348" s="663"/>
      <c r="C348" s="663"/>
      <c r="D348" s="663"/>
      <c r="E348" s="663"/>
    </row>
    <row r="349" spans="1:5" x14ac:dyDescent="0.2">
      <c r="A349"/>
      <c r="B349" s="663"/>
      <c r="C349" s="663"/>
      <c r="D349" s="663"/>
      <c r="E349" s="663"/>
    </row>
    <row r="350" spans="1:5" x14ac:dyDescent="0.2">
      <c r="A350"/>
      <c r="B350" s="663"/>
      <c r="C350" s="663"/>
      <c r="D350" s="663"/>
      <c r="E350" s="663"/>
    </row>
    <row r="351" spans="1:5" x14ac:dyDescent="0.2">
      <c r="A351"/>
      <c r="B351" s="663"/>
      <c r="C351" s="663"/>
      <c r="D351" s="663"/>
      <c r="E351" s="663"/>
    </row>
    <row r="352" spans="1:5" x14ac:dyDescent="0.2">
      <c r="A352"/>
      <c r="B352" s="663"/>
      <c r="C352" s="663"/>
      <c r="D352" s="663"/>
      <c r="E352" s="663"/>
    </row>
    <row r="353" spans="1:5" x14ac:dyDescent="0.2">
      <c r="A353"/>
      <c r="B353" s="663"/>
      <c r="C353" s="663"/>
      <c r="D353" s="663"/>
      <c r="E353" s="663"/>
    </row>
    <row r="354" spans="1:5" x14ac:dyDescent="0.2">
      <c r="A354"/>
      <c r="B354" s="663"/>
      <c r="C354" s="663"/>
      <c r="D354" s="663"/>
      <c r="E354" s="663"/>
    </row>
    <row r="355" spans="1:5" x14ac:dyDescent="0.2">
      <c r="A355"/>
      <c r="B355" s="663"/>
      <c r="C355" s="663"/>
      <c r="D355" s="663"/>
      <c r="E355" s="663"/>
    </row>
    <row r="356" spans="1:5" x14ac:dyDescent="0.2">
      <c r="A356"/>
      <c r="B356" s="663"/>
      <c r="C356" s="663"/>
      <c r="D356" s="663"/>
      <c r="E356" s="663"/>
    </row>
    <row r="357" spans="1:5" x14ac:dyDescent="0.2">
      <c r="A357"/>
      <c r="B357" s="663"/>
      <c r="C357" s="663"/>
      <c r="D357" s="663"/>
      <c r="E357" s="663"/>
    </row>
    <row r="358" spans="1:5" x14ac:dyDescent="0.2">
      <c r="A358"/>
      <c r="B358" s="663"/>
      <c r="C358" s="663"/>
      <c r="D358" s="663"/>
      <c r="E358" s="663"/>
    </row>
    <row r="359" spans="1:5" x14ac:dyDescent="0.2">
      <c r="A359"/>
      <c r="B359" s="663"/>
      <c r="C359" s="663"/>
      <c r="D359" s="663"/>
      <c r="E359" s="663"/>
    </row>
    <row r="360" spans="1:5" x14ac:dyDescent="0.2">
      <c r="A360"/>
      <c r="B360" s="663"/>
      <c r="C360" s="663"/>
      <c r="D360" s="663"/>
      <c r="E360" s="663"/>
    </row>
    <row r="361" spans="1:5" x14ac:dyDescent="0.2">
      <c r="A361"/>
      <c r="B361" s="663"/>
      <c r="C361" s="663"/>
      <c r="D361" s="663"/>
      <c r="E361" s="663"/>
    </row>
    <row r="362" spans="1:5" x14ac:dyDescent="0.2">
      <c r="A362"/>
      <c r="B362" s="663"/>
      <c r="C362" s="663"/>
      <c r="D362" s="663"/>
      <c r="E362" s="663"/>
    </row>
    <row r="363" spans="1:5" x14ac:dyDescent="0.2">
      <c r="A363"/>
      <c r="B363" s="663"/>
      <c r="C363" s="663"/>
      <c r="D363" s="663"/>
      <c r="E363" s="663"/>
    </row>
    <row r="364" spans="1:5" x14ac:dyDescent="0.2">
      <c r="A364"/>
      <c r="B364" s="663"/>
      <c r="C364" s="663"/>
      <c r="D364" s="663"/>
      <c r="E364" s="663"/>
    </row>
    <row r="365" spans="1:5" x14ac:dyDescent="0.2">
      <c r="A365"/>
      <c r="B365" s="663"/>
      <c r="C365" s="663"/>
      <c r="D365" s="663"/>
      <c r="E365" s="663"/>
    </row>
    <row r="366" spans="1:5" x14ac:dyDescent="0.2">
      <c r="A366"/>
      <c r="B366" s="663"/>
      <c r="C366" s="663"/>
      <c r="D366" s="663"/>
      <c r="E366" s="663"/>
    </row>
    <row r="367" spans="1:5" x14ac:dyDescent="0.2">
      <c r="A367"/>
      <c r="B367" s="663"/>
      <c r="C367" s="663"/>
      <c r="D367" s="663"/>
      <c r="E367" s="663"/>
    </row>
    <row r="368" spans="1:5" x14ac:dyDescent="0.2">
      <c r="A368"/>
      <c r="B368" s="663"/>
      <c r="C368" s="663"/>
      <c r="D368" s="663"/>
      <c r="E368" s="663"/>
    </row>
    <row r="369" spans="1:5" x14ac:dyDescent="0.2">
      <c r="A369"/>
      <c r="B369" s="663"/>
      <c r="C369" s="663"/>
      <c r="D369" s="663"/>
      <c r="E369" s="663"/>
    </row>
    <row r="370" spans="1:5" x14ac:dyDescent="0.2">
      <c r="A370"/>
      <c r="B370" s="663"/>
      <c r="C370" s="663"/>
      <c r="D370" s="663"/>
      <c r="E370" s="663"/>
    </row>
    <row r="371" spans="1:5" x14ac:dyDescent="0.2">
      <c r="A371"/>
      <c r="B371" s="663"/>
      <c r="C371" s="663"/>
      <c r="D371" s="663"/>
      <c r="E371" s="663"/>
    </row>
    <row r="372" spans="1:5" x14ac:dyDescent="0.2">
      <c r="A372"/>
      <c r="B372" s="663"/>
      <c r="C372" s="663"/>
      <c r="D372" s="663"/>
      <c r="E372" s="663"/>
    </row>
    <row r="373" spans="1:5" x14ac:dyDescent="0.2">
      <c r="A373"/>
      <c r="B373" s="663"/>
      <c r="C373" s="663"/>
      <c r="D373" s="663"/>
      <c r="E373" s="663"/>
    </row>
    <row r="374" spans="1:5" x14ac:dyDescent="0.2">
      <c r="A374"/>
      <c r="B374" s="663"/>
      <c r="C374" s="663"/>
      <c r="D374" s="663"/>
      <c r="E374" s="663"/>
    </row>
    <row r="375" spans="1:5" x14ac:dyDescent="0.2">
      <c r="A375"/>
      <c r="B375" s="663"/>
      <c r="C375" s="663"/>
      <c r="D375" s="663"/>
      <c r="E375" s="663"/>
    </row>
    <row r="376" spans="1:5" x14ac:dyDescent="0.2">
      <c r="A376"/>
      <c r="B376" s="663"/>
      <c r="C376" s="663"/>
      <c r="D376" s="663"/>
      <c r="E376" s="663"/>
    </row>
    <row r="377" spans="1:5" x14ac:dyDescent="0.2">
      <c r="A377"/>
      <c r="B377" s="663"/>
      <c r="C377" s="663"/>
      <c r="D377" s="663"/>
      <c r="E377" s="663"/>
    </row>
    <row r="378" spans="1:5" x14ac:dyDescent="0.2">
      <c r="A378"/>
      <c r="B378" s="663"/>
      <c r="C378" s="663"/>
      <c r="D378" s="663"/>
      <c r="E378" s="663"/>
    </row>
    <row r="379" spans="1:5" x14ac:dyDescent="0.2">
      <c r="A379"/>
      <c r="B379" s="663"/>
      <c r="C379" s="663"/>
      <c r="D379" s="663"/>
      <c r="E379" s="663"/>
    </row>
    <row r="380" spans="1:5" x14ac:dyDescent="0.2">
      <c r="A380"/>
      <c r="B380" s="663"/>
      <c r="C380" s="663"/>
      <c r="D380" s="663"/>
      <c r="E380" s="663"/>
    </row>
    <row r="381" spans="1:5" x14ac:dyDescent="0.2">
      <c r="A381"/>
      <c r="B381" s="663"/>
      <c r="C381" s="663"/>
      <c r="D381" s="663"/>
      <c r="E381" s="663"/>
    </row>
    <row r="382" spans="1:5" x14ac:dyDescent="0.2">
      <c r="A382"/>
      <c r="B382" s="663"/>
      <c r="C382" s="663"/>
      <c r="D382" s="663"/>
      <c r="E382" s="663"/>
    </row>
    <row r="383" spans="1:5" x14ac:dyDescent="0.2">
      <c r="A383"/>
      <c r="B383" s="663"/>
      <c r="C383" s="663"/>
      <c r="D383" s="663"/>
      <c r="E383" s="663"/>
    </row>
    <row r="384" spans="1:5" x14ac:dyDescent="0.2">
      <c r="A384"/>
      <c r="B384" s="663"/>
      <c r="C384" s="663"/>
      <c r="D384" s="663"/>
      <c r="E384" s="663"/>
    </row>
    <row r="385" spans="1:5" x14ac:dyDescent="0.2">
      <c r="A385"/>
      <c r="B385" s="663"/>
      <c r="C385" s="663"/>
      <c r="D385" s="663"/>
      <c r="E385" s="663"/>
    </row>
    <row r="386" spans="1:5" x14ac:dyDescent="0.2">
      <c r="A386"/>
      <c r="B386" s="663"/>
      <c r="C386" s="663"/>
      <c r="D386" s="663"/>
      <c r="E386" s="663"/>
    </row>
    <row r="387" spans="1:5" x14ac:dyDescent="0.2">
      <c r="A387"/>
      <c r="B387" s="663"/>
      <c r="C387" s="663"/>
      <c r="D387" s="663"/>
      <c r="E387" s="663"/>
    </row>
    <row r="388" spans="1:5" x14ac:dyDescent="0.2">
      <c r="A388"/>
      <c r="B388" s="663"/>
      <c r="C388" s="663"/>
      <c r="D388" s="663"/>
      <c r="E388" s="663"/>
    </row>
    <row r="389" spans="1:5" x14ac:dyDescent="0.2">
      <c r="A389"/>
      <c r="B389" s="663"/>
      <c r="C389" s="663"/>
      <c r="D389" s="663"/>
      <c r="E389" s="663"/>
    </row>
    <row r="390" spans="1:5" x14ac:dyDescent="0.2">
      <c r="A390"/>
      <c r="B390" s="663"/>
      <c r="C390" s="663"/>
      <c r="D390" s="663"/>
      <c r="E390" s="663"/>
    </row>
    <row r="391" spans="1:5" x14ac:dyDescent="0.2">
      <c r="A391"/>
      <c r="B391" s="663"/>
      <c r="C391" s="663"/>
      <c r="D391" s="663"/>
      <c r="E391" s="663"/>
    </row>
    <row r="392" spans="1:5" x14ac:dyDescent="0.2">
      <c r="A392"/>
      <c r="B392" s="663"/>
      <c r="C392" s="663"/>
      <c r="D392" s="663"/>
      <c r="E392" s="663"/>
    </row>
    <row r="393" spans="1:5" x14ac:dyDescent="0.2">
      <c r="A393"/>
      <c r="B393" s="663"/>
      <c r="C393" s="663"/>
      <c r="D393" s="663"/>
      <c r="E393" s="663"/>
    </row>
    <row r="394" spans="1:5" x14ac:dyDescent="0.2">
      <c r="A394"/>
      <c r="B394" s="663"/>
      <c r="C394" s="663"/>
      <c r="D394" s="663"/>
      <c r="E394" s="663"/>
    </row>
    <row r="395" spans="1:5" x14ac:dyDescent="0.2">
      <c r="A395"/>
      <c r="B395" s="663"/>
      <c r="C395" s="663"/>
      <c r="D395" s="663"/>
      <c r="E395" s="663"/>
    </row>
    <row r="396" spans="1:5" x14ac:dyDescent="0.2">
      <c r="A396"/>
      <c r="B396" s="663"/>
      <c r="C396" s="663"/>
      <c r="D396" s="663"/>
      <c r="E396" s="663"/>
    </row>
    <row r="397" spans="1:5" x14ac:dyDescent="0.2">
      <c r="A397"/>
      <c r="B397" s="663"/>
      <c r="C397" s="663"/>
      <c r="D397" s="663"/>
      <c r="E397" s="663"/>
    </row>
    <row r="398" spans="1:5" x14ac:dyDescent="0.2">
      <c r="A398"/>
      <c r="B398" s="663"/>
      <c r="C398" s="663"/>
      <c r="D398" s="663"/>
      <c r="E398" s="663"/>
    </row>
    <row r="399" spans="1:5" x14ac:dyDescent="0.2">
      <c r="A399"/>
      <c r="B399" s="663"/>
      <c r="C399" s="663"/>
      <c r="D399" s="663"/>
      <c r="E399" s="663"/>
    </row>
    <row r="400" spans="1:5" x14ac:dyDescent="0.2">
      <c r="A400"/>
      <c r="B400" s="663"/>
      <c r="C400" s="663"/>
      <c r="D400" s="663"/>
      <c r="E400" s="663"/>
    </row>
    <row r="401" spans="1:5" x14ac:dyDescent="0.2">
      <c r="A401"/>
      <c r="B401" s="663"/>
      <c r="C401" s="663"/>
      <c r="D401" s="663"/>
      <c r="E401" s="663"/>
    </row>
    <row r="402" spans="1:5" x14ac:dyDescent="0.2">
      <c r="A402"/>
      <c r="B402" s="663"/>
      <c r="C402" s="663"/>
      <c r="D402" s="663"/>
      <c r="E402" s="663"/>
    </row>
    <row r="403" spans="1:5" x14ac:dyDescent="0.2">
      <c r="A403"/>
      <c r="B403" s="663"/>
      <c r="C403" s="663"/>
      <c r="D403" s="663"/>
      <c r="E403" s="663"/>
    </row>
    <row r="404" spans="1:5" x14ac:dyDescent="0.2">
      <c r="A404"/>
      <c r="B404" s="663"/>
      <c r="C404" s="663"/>
      <c r="D404" s="663"/>
      <c r="E404" s="663"/>
    </row>
    <row r="405" spans="1:5" x14ac:dyDescent="0.2">
      <c r="A405"/>
      <c r="B405" s="663"/>
      <c r="C405" s="663"/>
      <c r="D405" s="663"/>
      <c r="E405" s="663"/>
    </row>
    <row r="406" spans="1:5" x14ac:dyDescent="0.2">
      <c r="A406"/>
      <c r="B406" s="663"/>
      <c r="C406" s="663"/>
      <c r="D406" s="663"/>
      <c r="E406" s="663"/>
    </row>
    <row r="407" spans="1:5" x14ac:dyDescent="0.2">
      <c r="A407"/>
      <c r="B407" s="663"/>
      <c r="C407" s="663"/>
      <c r="D407" s="663"/>
      <c r="E407" s="663"/>
    </row>
    <row r="408" spans="1:5" x14ac:dyDescent="0.2">
      <c r="A408"/>
      <c r="B408" s="663"/>
      <c r="C408" s="663"/>
      <c r="D408" s="663"/>
      <c r="E408" s="663"/>
    </row>
    <row r="409" spans="1:5" x14ac:dyDescent="0.2">
      <c r="A409"/>
      <c r="B409" s="663"/>
      <c r="C409" s="663"/>
      <c r="D409" s="663"/>
      <c r="E409" s="663"/>
    </row>
    <row r="410" spans="1:5" x14ac:dyDescent="0.2">
      <c r="A410"/>
      <c r="B410" s="663"/>
      <c r="C410" s="663"/>
      <c r="D410" s="663"/>
      <c r="E410" s="663"/>
    </row>
    <row r="411" spans="1:5" x14ac:dyDescent="0.2">
      <c r="A411"/>
      <c r="B411" s="663"/>
      <c r="C411" s="663"/>
      <c r="D411" s="663"/>
      <c r="E411" s="663"/>
    </row>
    <row r="412" spans="1:5" x14ac:dyDescent="0.2">
      <c r="A412"/>
      <c r="B412" s="663"/>
      <c r="C412" s="663"/>
      <c r="D412" s="663"/>
      <c r="E412" s="663"/>
    </row>
    <row r="413" spans="1:5" x14ac:dyDescent="0.2">
      <c r="A413"/>
      <c r="B413" s="663"/>
      <c r="C413" s="663"/>
      <c r="D413" s="663"/>
      <c r="E413" s="663"/>
    </row>
    <row r="414" spans="1:5" x14ac:dyDescent="0.2">
      <c r="A414"/>
      <c r="B414" s="663"/>
      <c r="C414" s="663"/>
      <c r="D414" s="663"/>
      <c r="E414" s="663"/>
    </row>
    <row r="415" spans="1:5" x14ac:dyDescent="0.2">
      <c r="A415"/>
      <c r="B415" s="663"/>
      <c r="C415" s="663"/>
      <c r="D415" s="663"/>
      <c r="E415" s="663"/>
    </row>
    <row r="416" spans="1:5" x14ac:dyDescent="0.2">
      <c r="A416"/>
      <c r="B416" s="663"/>
      <c r="C416" s="663"/>
      <c r="D416" s="663"/>
      <c r="E416" s="663"/>
    </row>
    <row r="417" spans="1:5" x14ac:dyDescent="0.2">
      <c r="A417"/>
      <c r="B417" s="663"/>
      <c r="C417" s="663"/>
      <c r="D417" s="663"/>
      <c r="E417" s="663"/>
    </row>
    <row r="418" spans="1:5" x14ac:dyDescent="0.2">
      <c r="A418"/>
      <c r="B418" s="663"/>
      <c r="C418" s="663"/>
      <c r="D418" s="663"/>
      <c r="E418" s="663"/>
    </row>
    <row r="419" spans="1:5" x14ac:dyDescent="0.2">
      <c r="A419"/>
      <c r="B419" s="663"/>
      <c r="C419" s="663"/>
      <c r="D419" s="663"/>
      <c r="E419" s="663"/>
    </row>
    <row r="420" spans="1:5" x14ac:dyDescent="0.2">
      <c r="A420"/>
      <c r="B420" s="663"/>
      <c r="C420" s="663"/>
      <c r="D420" s="663"/>
      <c r="E420" s="663"/>
    </row>
    <row r="421" spans="1:5" x14ac:dyDescent="0.2">
      <c r="A421"/>
      <c r="B421" s="663"/>
      <c r="C421" s="663"/>
      <c r="D421" s="663"/>
      <c r="E421" s="663"/>
    </row>
    <row r="422" spans="1:5" x14ac:dyDescent="0.2">
      <c r="A422"/>
      <c r="B422" s="663"/>
      <c r="C422" s="663"/>
      <c r="D422" s="663"/>
      <c r="E422" s="663"/>
    </row>
    <row r="423" spans="1:5" x14ac:dyDescent="0.2">
      <c r="A423"/>
      <c r="B423" s="663"/>
      <c r="C423" s="663"/>
      <c r="D423" s="663"/>
      <c r="E423" s="663"/>
    </row>
    <row r="424" spans="1:5" x14ac:dyDescent="0.2">
      <c r="A424"/>
      <c r="B424" s="663"/>
      <c r="C424" s="663"/>
      <c r="D424" s="663"/>
      <c r="E424" s="663"/>
    </row>
    <row r="425" spans="1:5" x14ac:dyDescent="0.2">
      <c r="A425"/>
      <c r="B425" s="663"/>
      <c r="C425" s="663"/>
      <c r="D425" s="663"/>
      <c r="E425" s="663"/>
    </row>
    <row r="426" spans="1:5" x14ac:dyDescent="0.2">
      <c r="A426"/>
      <c r="B426" s="663"/>
      <c r="C426" s="663"/>
      <c r="D426" s="663"/>
      <c r="E426" s="663"/>
    </row>
    <row r="427" spans="1:5" x14ac:dyDescent="0.2">
      <c r="A427"/>
      <c r="B427" s="663"/>
      <c r="C427" s="663"/>
      <c r="D427" s="663"/>
      <c r="E427" s="663"/>
    </row>
    <row r="428" spans="1:5" x14ac:dyDescent="0.2">
      <c r="A428"/>
      <c r="B428" s="663"/>
      <c r="C428" s="663"/>
      <c r="D428" s="663"/>
      <c r="E428" s="663"/>
    </row>
    <row r="429" spans="1:5" x14ac:dyDescent="0.2">
      <c r="A429"/>
      <c r="B429" s="663"/>
      <c r="C429" s="663"/>
      <c r="D429" s="663"/>
      <c r="E429" s="663"/>
    </row>
    <row r="430" spans="1:5" x14ac:dyDescent="0.2">
      <c r="A430"/>
      <c r="B430" s="663"/>
      <c r="C430" s="663"/>
      <c r="D430" s="663"/>
      <c r="E430" s="663"/>
    </row>
    <row r="431" spans="1:5" x14ac:dyDescent="0.2">
      <c r="A431"/>
      <c r="B431" s="663"/>
      <c r="C431" s="663"/>
      <c r="D431" s="663"/>
      <c r="E431" s="663"/>
    </row>
    <row r="432" spans="1:5" x14ac:dyDescent="0.2">
      <c r="A432"/>
      <c r="B432" s="663"/>
      <c r="C432" s="663"/>
      <c r="D432" s="663"/>
      <c r="E432" s="663"/>
    </row>
    <row r="433" spans="1:5" x14ac:dyDescent="0.2">
      <c r="A433"/>
      <c r="B433" s="663"/>
      <c r="C433" s="663"/>
      <c r="D433" s="663"/>
      <c r="E433" s="663"/>
    </row>
    <row r="434" spans="1:5" x14ac:dyDescent="0.2">
      <c r="A434"/>
      <c r="B434" s="663"/>
      <c r="C434" s="663"/>
      <c r="D434" s="663"/>
      <c r="E434" s="663"/>
    </row>
    <row r="435" spans="1:5" x14ac:dyDescent="0.2">
      <c r="A435"/>
      <c r="B435" s="663"/>
      <c r="C435" s="663"/>
      <c r="D435" s="663"/>
      <c r="E435" s="663"/>
    </row>
    <row r="436" spans="1:5" x14ac:dyDescent="0.2">
      <c r="A436"/>
      <c r="B436" s="663"/>
      <c r="C436" s="663"/>
      <c r="D436" s="663"/>
      <c r="E436" s="663"/>
    </row>
    <row r="437" spans="1:5" x14ac:dyDescent="0.2">
      <c r="A437"/>
      <c r="B437" s="663"/>
      <c r="C437" s="663"/>
      <c r="D437" s="663"/>
      <c r="E437" s="663"/>
    </row>
    <row r="438" spans="1:5" x14ac:dyDescent="0.2">
      <c r="A438"/>
      <c r="B438" s="663"/>
      <c r="C438" s="663"/>
      <c r="D438" s="663"/>
      <c r="E438" s="663"/>
    </row>
    <row r="439" spans="1:5" x14ac:dyDescent="0.2">
      <c r="A439"/>
      <c r="B439" s="663"/>
      <c r="C439" s="663"/>
      <c r="D439" s="663"/>
      <c r="E439" s="663"/>
    </row>
    <row r="440" spans="1:5" x14ac:dyDescent="0.2">
      <c r="A440"/>
      <c r="B440" s="663"/>
      <c r="C440" s="663"/>
      <c r="D440" s="663"/>
      <c r="E440" s="663"/>
    </row>
    <row r="441" spans="1:5" x14ac:dyDescent="0.2">
      <c r="A441"/>
      <c r="B441" s="663"/>
      <c r="C441" s="663"/>
      <c r="D441" s="663"/>
      <c r="E441" s="663"/>
    </row>
    <row r="442" spans="1:5" x14ac:dyDescent="0.2">
      <c r="A442"/>
      <c r="B442" s="663"/>
      <c r="C442" s="663"/>
      <c r="D442" s="663"/>
      <c r="E442" s="663"/>
    </row>
    <row r="443" spans="1:5" x14ac:dyDescent="0.2">
      <c r="A443"/>
      <c r="B443" s="663"/>
      <c r="C443" s="663"/>
      <c r="D443" s="663"/>
      <c r="E443" s="663"/>
    </row>
    <row r="444" spans="1:5" x14ac:dyDescent="0.2">
      <c r="A444"/>
      <c r="B444" s="663"/>
      <c r="C444" s="663"/>
      <c r="D444" s="663"/>
      <c r="E444" s="663"/>
    </row>
    <row r="445" spans="1:5" x14ac:dyDescent="0.2">
      <c r="A445"/>
      <c r="B445" s="663"/>
      <c r="C445" s="663"/>
      <c r="D445" s="663"/>
      <c r="E445" s="663"/>
    </row>
    <row r="446" spans="1:5" x14ac:dyDescent="0.2">
      <c r="A446"/>
      <c r="B446" s="663"/>
      <c r="C446" s="663"/>
      <c r="D446" s="663"/>
      <c r="E446" s="663"/>
    </row>
    <row r="447" spans="1:5" x14ac:dyDescent="0.2">
      <c r="A447"/>
      <c r="B447" s="663"/>
      <c r="C447" s="663"/>
      <c r="D447" s="663"/>
      <c r="E447" s="663"/>
    </row>
    <row r="448" spans="1:5" x14ac:dyDescent="0.2">
      <c r="A448"/>
      <c r="B448" s="663"/>
      <c r="C448" s="663"/>
      <c r="D448" s="663"/>
      <c r="E448" s="663"/>
    </row>
    <row r="449" spans="1:5" x14ac:dyDescent="0.2">
      <c r="A449"/>
      <c r="B449" s="663"/>
      <c r="C449" s="663"/>
      <c r="D449" s="663"/>
      <c r="E449" s="663"/>
    </row>
    <row r="450" spans="1:5" x14ac:dyDescent="0.2">
      <c r="A450"/>
      <c r="B450" s="663"/>
      <c r="C450" s="663"/>
      <c r="D450" s="663"/>
      <c r="E450" s="663"/>
    </row>
    <row r="451" spans="1:5" x14ac:dyDescent="0.2">
      <c r="A451"/>
      <c r="B451" s="663"/>
      <c r="C451" s="663"/>
      <c r="D451" s="663"/>
      <c r="E451" s="663"/>
    </row>
    <row r="452" spans="1:5" x14ac:dyDescent="0.2">
      <c r="A452"/>
      <c r="B452" s="663"/>
      <c r="C452" s="663"/>
      <c r="D452" s="663"/>
      <c r="E452" s="663"/>
    </row>
    <row r="453" spans="1:5" x14ac:dyDescent="0.2">
      <c r="A453"/>
      <c r="B453" s="663"/>
      <c r="C453" s="663"/>
      <c r="D453" s="663"/>
      <c r="E453" s="663"/>
    </row>
    <row r="454" spans="1:5" x14ac:dyDescent="0.2">
      <c r="A454"/>
      <c r="B454" s="663"/>
      <c r="C454" s="663"/>
      <c r="D454" s="663"/>
      <c r="E454" s="663"/>
    </row>
    <row r="455" spans="1:5" x14ac:dyDescent="0.2">
      <c r="A455"/>
      <c r="B455" s="663"/>
      <c r="C455" s="663"/>
      <c r="D455" s="663"/>
      <c r="E455" s="663"/>
    </row>
    <row r="456" spans="1:5" x14ac:dyDescent="0.2">
      <c r="A456"/>
      <c r="B456" s="663"/>
      <c r="C456" s="663"/>
      <c r="D456" s="663"/>
      <c r="E456" s="663"/>
    </row>
    <row r="457" spans="1:5" x14ac:dyDescent="0.2">
      <c r="A457"/>
      <c r="B457" s="663"/>
      <c r="C457" s="663"/>
      <c r="D457" s="663"/>
      <c r="E457" s="663"/>
    </row>
    <row r="458" spans="1:5" x14ac:dyDescent="0.2">
      <c r="A458"/>
      <c r="B458" s="663"/>
      <c r="C458" s="663"/>
      <c r="D458" s="663"/>
      <c r="E458" s="663"/>
    </row>
    <row r="459" spans="1:5" x14ac:dyDescent="0.2">
      <c r="A459"/>
      <c r="B459" s="663"/>
      <c r="C459" s="663"/>
      <c r="D459" s="663"/>
      <c r="E459" s="663"/>
    </row>
    <row r="460" spans="1:5" x14ac:dyDescent="0.2">
      <c r="A460"/>
      <c r="B460" s="663"/>
      <c r="C460" s="663"/>
      <c r="D460" s="663"/>
      <c r="E460" s="663"/>
    </row>
    <row r="461" spans="1:5" x14ac:dyDescent="0.2">
      <c r="A461"/>
      <c r="B461" s="663"/>
      <c r="C461" s="663"/>
      <c r="D461" s="663"/>
      <c r="E461" s="663"/>
    </row>
    <row r="462" spans="1:5" x14ac:dyDescent="0.2">
      <c r="A462"/>
      <c r="B462" s="663"/>
      <c r="C462" s="663"/>
      <c r="D462" s="663"/>
      <c r="E462" s="663"/>
    </row>
    <row r="463" spans="1:5" x14ac:dyDescent="0.2">
      <c r="A463"/>
      <c r="B463" s="663"/>
      <c r="C463" s="663"/>
      <c r="D463" s="663"/>
      <c r="E463" s="663"/>
    </row>
    <row r="464" spans="1:5" x14ac:dyDescent="0.2">
      <c r="A464"/>
      <c r="B464" s="663"/>
      <c r="C464" s="663"/>
      <c r="D464" s="663"/>
      <c r="E464" s="663"/>
    </row>
    <row r="465" spans="1:5" x14ac:dyDescent="0.2">
      <c r="A465"/>
      <c r="B465" s="663"/>
      <c r="C465" s="663"/>
      <c r="D465" s="663"/>
      <c r="E465" s="663"/>
    </row>
    <row r="466" spans="1:5" x14ac:dyDescent="0.2">
      <c r="A466"/>
      <c r="B466" s="663"/>
      <c r="C466" s="663"/>
      <c r="D466" s="663"/>
      <c r="E466" s="663"/>
    </row>
    <row r="467" spans="1:5" x14ac:dyDescent="0.2">
      <c r="A467"/>
      <c r="B467" s="663"/>
      <c r="C467" s="663"/>
      <c r="D467" s="663"/>
      <c r="E467" s="663"/>
    </row>
    <row r="468" spans="1:5" x14ac:dyDescent="0.2">
      <c r="A468"/>
      <c r="B468" s="663"/>
      <c r="C468" s="663"/>
      <c r="D468" s="663"/>
      <c r="E468" s="663"/>
    </row>
    <row r="469" spans="1:5" x14ac:dyDescent="0.2">
      <c r="A469"/>
      <c r="B469" s="663"/>
      <c r="C469" s="663"/>
      <c r="D469" s="663"/>
      <c r="E469" s="663"/>
    </row>
    <row r="470" spans="1:5" x14ac:dyDescent="0.2">
      <c r="A470"/>
      <c r="B470" s="663"/>
      <c r="C470" s="663"/>
      <c r="D470" s="663"/>
      <c r="E470" s="663"/>
    </row>
    <row r="471" spans="1:5" x14ac:dyDescent="0.2">
      <c r="A471"/>
      <c r="B471" s="663"/>
      <c r="C471" s="663"/>
      <c r="D471" s="663"/>
      <c r="E471" s="663"/>
    </row>
    <row r="472" spans="1:5" x14ac:dyDescent="0.2">
      <c r="A472"/>
      <c r="B472" s="663"/>
      <c r="C472" s="663"/>
      <c r="D472" s="663"/>
      <c r="E472" s="663"/>
    </row>
    <row r="473" spans="1:5" x14ac:dyDescent="0.2">
      <c r="A473"/>
      <c r="B473" s="663"/>
      <c r="C473" s="663"/>
      <c r="D473" s="663"/>
      <c r="E473" s="663"/>
    </row>
    <row r="474" spans="1:5" x14ac:dyDescent="0.2">
      <c r="A474"/>
      <c r="B474" s="663"/>
      <c r="C474" s="663"/>
      <c r="D474" s="663"/>
      <c r="E474" s="663"/>
    </row>
    <row r="475" spans="1:5" x14ac:dyDescent="0.2">
      <c r="A475"/>
      <c r="B475" s="663"/>
      <c r="C475" s="663"/>
      <c r="D475" s="663"/>
      <c r="E475" s="663"/>
    </row>
    <row r="476" spans="1:5" x14ac:dyDescent="0.2">
      <c r="A476"/>
      <c r="B476" s="663"/>
      <c r="C476" s="663"/>
      <c r="D476" s="663"/>
      <c r="E476" s="663"/>
    </row>
    <row r="477" spans="1:5" x14ac:dyDescent="0.2">
      <c r="A477"/>
      <c r="B477" s="663"/>
      <c r="C477" s="663"/>
      <c r="D477" s="663"/>
      <c r="E477" s="663"/>
    </row>
    <row r="478" spans="1:5" x14ac:dyDescent="0.2">
      <c r="A478"/>
      <c r="B478" s="663"/>
      <c r="C478" s="663"/>
      <c r="D478" s="663"/>
      <c r="E478" s="663"/>
    </row>
    <row r="479" spans="1:5" x14ac:dyDescent="0.2">
      <c r="A479"/>
      <c r="B479" s="663"/>
      <c r="C479" s="663"/>
      <c r="D479" s="663"/>
      <c r="E479" s="663"/>
    </row>
    <row r="480" spans="1:5" x14ac:dyDescent="0.2">
      <c r="A480"/>
      <c r="B480" s="663"/>
      <c r="C480" s="663"/>
      <c r="D480" s="663"/>
      <c r="E480" s="663"/>
    </row>
    <row r="481" spans="1:5" x14ac:dyDescent="0.2">
      <c r="A481"/>
      <c r="B481" s="663"/>
      <c r="C481" s="663"/>
      <c r="D481" s="663"/>
      <c r="E481" s="663"/>
    </row>
    <row r="482" spans="1:5" x14ac:dyDescent="0.2">
      <c r="A482"/>
      <c r="B482" s="663"/>
      <c r="C482" s="663"/>
      <c r="D482" s="663"/>
      <c r="E482" s="663"/>
    </row>
    <row r="483" spans="1:5" x14ac:dyDescent="0.2">
      <c r="A483"/>
      <c r="B483" s="663"/>
      <c r="C483" s="663"/>
      <c r="D483" s="663"/>
      <c r="E483" s="663"/>
    </row>
    <row r="484" spans="1:5" x14ac:dyDescent="0.2">
      <c r="A484"/>
      <c r="B484" s="663"/>
      <c r="C484" s="663"/>
      <c r="D484" s="663"/>
      <c r="E484" s="663"/>
    </row>
    <row r="485" spans="1:5" x14ac:dyDescent="0.2">
      <c r="A485"/>
      <c r="B485" s="663"/>
      <c r="C485" s="663"/>
      <c r="D485" s="663"/>
      <c r="E485" s="663"/>
    </row>
    <row r="486" spans="1:5" x14ac:dyDescent="0.2">
      <c r="A486"/>
      <c r="B486" s="663"/>
      <c r="C486" s="663"/>
      <c r="D486" s="663"/>
      <c r="E486" s="663"/>
    </row>
    <row r="487" spans="1:5" x14ac:dyDescent="0.2">
      <c r="A487"/>
      <c r="B487" s="663"/>
      <c r="C487" s="663"/>
      <c r="D487" s="663"/>
      <c r="E487" s="663"/>
    </row>
    <row r="488" spans="1:5" x14ac:dyDescent="0.2">
      <c r="A488"/>
      <c r="B488" s="663"/>
      <c r="C488" s="663"/>
      <c r="D488" s="663"/>
      <c r="E488" s="663"/>
    </row>
    <row r="489" spans="1:5" x14ac:dyDescent="0.2">
      <c r="A489"/>
      <c r="B489" s="663"/>
      <c r="C489" s="663"/>
      <c r="D489" s="663"/>
      <c r="E489" s="663"/>
    </row>
    <row r="490" spans="1:5" x14ac:dyDescent="0.2">
      <c r="A490"/>
      <c r="B490" s="663"/>
      <c r="C490" s="663"/>
      <c r="D490" s="663"/>
      <c r="E490" s="663"/>
    </row>
    <row r="491" spans="1:5" x14ac:dyDescent="0.2">
      <c r="A491"/>
      <c r="B491" s="663"/>
      <c r="C491" s="663"/>
      <c r="D491" s="663"/>
      <c r="E491" s="663"/>
    </row>
    <row r="492" spans="1:5" x14ac:dyDescent="0.2">
      <c r="A492"/>
      <c r="B492" s="663"/>
      <c r="C492" s="663"/>
      <c r="D492" s="663"/>
      <c r="E492" s="663"/>
    </row>
    <row r="493" spans="1:5" x14ac:dyDescent="0.2">
      <c r="A493"/>
      <c r="B493" s="663"/>
      <c r="C493" s="663"/>
      <c r="D493" s="663"/>
      <c r="E493" s="663"/>
    </row>
    <row r="494" spans="1:5" x14ac:dyDescent="0.2">
      <c r="A494"/>
      <c r="B494" s="663"/>
      <c r="C494" s="663"/>
      <c r="D494" s="663"/>
      <c r="E494" s="663"/>
    </row>
    <row r="495" spans="1:5" x14ac:dyDescent="0.2">
      <c r="A495"/>
      <c r="B495" s="663"/>
      <c r="C495" s="663"/>
      <c r="D495" s="663"/>
      <c r="E495" s="663"/>
    </row>
    <row r="496" spans="1:5" x14ac:dyDescent="0.2">
      <c r="A496"/>
      <c r="B496" s="663"/>
      <c r="C496" s="663"/>
      <c r="D496" s="663"/>
      <c r="E496" s="663"/>
    </row>
    <row r="497" spans="1:5" x14ac:dyDescent="0.2">
      <c r="A497"/>
      <c r="B497" s="663"/>
      <c r="C497" s="663"/>
      <c r="D497" s="663"/>
      <c r="E497" s="663"/>
    </row>
    <row r="498" spans="1:5" x14ac:dyDescent="0.2">
      <c r="A498"/>
      <c r="B498" s="663"/>
      <c r="C498" s="663"/>
      <c r="D498" s="663"/>
      <c r="E498" s="663"/>
    </row>
    <row r="499" spans="1:5" x14ac:dyDescent="0.2">
      <c r="A499"/>
      <c r="B499" s="663"/>
      <c r="C499" s="663"/>
      <c r="D499" s="663"/>
      <c r="E499" s="663"/>
    </row>
    <row r="500" spans="1:5" x14ac:dyDescent="0.2">
      <c r="A500"/>
      <c r="B500" s="663"/>
      <c r="C500" s="663"/>
      <c r="D500" s="663"/>
      <c r="E500" s="663"/>
    </row>
    <row r="501" spans="1:5" x14ac:dyDescent="0.2">
      <c r="A501"/>
      <c r="B501" s="663"/>
      <c r="C501" s="663"/>
      <c r="D501" s="663"/>
      <c r="E501" s="663"/>
    </row>
    <row r="502" spans="1:5" x14ac:dyDescent="0.2">
      <c r="A502"/>
      <c r="B502" s="663"/>
      <c r="C502" s="663"/>
      <c r="D502" s="663"/>
      <c r="E502" s="663"/>
    </row>
    <row r="503" spans="1:5" x14ac:dyDescent="0.2">
      <c r="A503"/>
      <c r="B503" s="663"/>
      <c r="C503" s="663"/>
      <c r="D503" s="663"/>
      <c r="E503" s="663"/>
    </row>
    <row r="504" spans="1:5" x14ac:dyDescent="0.2">
      <c r="A504"/>
      <c r="B504" s="663"/>
      <c r="C504" s="663"/>
      <c r="D504" s="663"/>
      <c r="E504" s="663"/>
    </row>
    <row r="505" spans="1:5" x14ac:dyDescent="0.2">
      <c r="A505"/>
      <c r="B505" s="663"/>
      <c r="C505" s="663"/>
      <c r="D505" s="663"/>
      <c r="E505" s="663"/>
    </row>
    <row r="506" spans="1:5" x14ac:dyDescent="0.2">
      <c r="A506"/>
      <c r="B506" s="663"/>
      <c r="C506" s="663"/>
      <c r="D506" s="663"/>
      <c r="E506" s="663"/>
    </row>
    <row r="507" spans="1:5" x14ac:dyDescent="0.2">
      <c r="A507"/>
      <c r="B507" s="663"/>
      <c r="C507" s="663"/>
      <c r="D507" s="663"/>
      <c r="E507" s="663"/>
    </row>
    <row r="508" spans="1:5" x14ac:dyDescent="0.2">
      <c r="A508"/>
      <c r="B508" s="663"/>
      <c r="C508" s="663"/>
      <c r="D508" s="663"/>
      <c r="E508" s="663"/>
    </row>
    <row r="509" spans="1:5" x14ac:dyDescent="0.2">
      <c r="A509"/>
      <c r="B509" s="663"/>
      <c r="C509" s="663"/>
      <c r="D509" s="663"/>
      <c r="E509" s="663"/>
    </row>
    <row r="510" spans="1:5" x14ac:dyDescent="0.2">
      <c r="A510"/>
      <c r="B510" s="663"/>
      <c r="C510" s="663"/>
      <c r="D510" s="663"/>
      <c r="E510" s="663"/>
    </row>
    <row r="511" spans="1:5" x14ac:dyDescent="0.2">
      <c r="A511"/>
      <c r="B511" s="663"/>
      <c r="C511" s="663"/>
      <c r="D511" s="663"/>
      <c r="E511" s="663"/>
    </row>
    <row r="512" spans="1:5" x14ac:dyDescent="0.2">
      <c r="A512"/>
      <c r="B512" s="663"/>
      <c r="C512" s="663"/>
      <c r="D512" s="663"/>
      <c r="E512" s="663"/>
    </row>
    <row r="513" spans="1:5" x14ac:dyDescent="0.2">
      <c r="A513"/>
      <c r="B513" s="663"/>
      <c r="C513" s="663"/>
      <c r="D513" s="663"/>
      <c r="E513" s="663"/>
    </row>
    <row r="514" spans="1:5" x14ac:dyDescent="0.2">
      <c r="A514"/>
      <c r="B514" s="663"/>
      <c r="C514" s="663"/>
      <c r="D514" s="663"/>
      <c r="E514" s="663"/>
    </row>
    <row r="515" spans="1:5" x14ac:dyDescent="0.2">
      <c r="A515"/>
      <c r="B515" s="663"/>
      <c r="C515" s="663"/>
      <c r="D515" s="663"/>
      <c r="E515" s="663"/>
    </row>
    <row r="516" spans="1:5" x14ac:dyDescent="0.2">
      <c r="A516"/>
      <c r="B516" s="663"/>
      <c r="C516" s="663"/>
      <c r="D516" s="663"/>
      <c r="E516" s="663"/>
    </row>
    <row r="517" spans="1:5" x14ac:dyDescent="0.2">
      <c r="A517"/>
      <c r="B517" s="663"/>
      <c r="C517" s="663"/>
      <c r="D517" s="663"/>
      <c r="E517" s="663"/>
    </row>
    <row r="518" spans="1:5" x14ac:dyDescent="0.2">
      <c r="A518"/>
      <c r="B518" s="663"/>
      <c r="C518" s="663"/>
      <c r="D518" s="663"/>
      <c r="E518" s="663"/>
    </row>
    <row r="519" spans="1:5" x14ac:dyDescent="0.2">
      <c r="A519"/>
      <c r="B519" s="663"/>
      <c r="C519" s="663"/>
      <c r="D519" s="663"/>
      <c r="E519" s="663"/>
    </row>
    <row r="520" spans="1:5" x14ac:dyDescent="0.2">
      <c r="A520"/>
      <c r="B520" s="663"/>
      <c r="C520" s="663"/>
      <c r="D520" s="663"/>
      <c r="E520" s="663"/>
    </row>
    <row r="521" spans="1:5" x14ac:dyDescent="0.2">
      <c r="A521"/>
      <c r="B521" s="663"/>
      <c r="C521" s="663"/>
      <c r="D521" s="663"/>
      <c r="E521" s="663"/>
    </row>
    <row r="522" spans="1:5" x14ac:dyDescent="0.2">
      <c r="A522"/>
      <c r="B522" s="663"/>
      <c r="C522" s="663"/>
      <c r="D522" s="663"/>
      <c r="E522" s="663"/>
    </row>
    <row r="523" spans="1:5" x14ac:dyDescent="0.2">
      <c r="A523"/>
      <c r="B523" s="663"/>
      <c r="C523" s="663"/>
      <c r="D523" s="663"/>
      <c r="E523" s="663"/>
    </row>
    <row r="524" spans="1:5" x14ac:dyDescent="0.2">
      <c r="A524"/>
      <c r="B524" s="663"/>
      <c r="C524" s="663"/>
      <c r="D524" s="663"/>
      <c r="E524" s="663"/>
    </row>
    <row r="525" spans="1:5" x14ac:dyDescent="0.2">
      <c r="A525"/>
      <c r="B525" s="663"/>
      <c r="C525" s="663"/>
      <c r="D525" s="663"/>
      <c r="E525" s="663"/>
    </row>
    <row r="526" spans="1:5" x14ac:dyDescent="0.2">
      <c r="A526"/>
      <c r="B526" s="663"/>
      <c r="C526" s="663"/>
      <c r="D526" s="663"/>
      <c r="E526" s="663"/>
    </row>
    <row r="527" spans="1:5" x14ac:dyDescent="0.2">
      <c r="A527"/>
      <c r="B527" s="663"/>
      <c r="C527" s="663"/>
      <c r="D527" s="663"/>
      <c r="E527" s="663"/>
    </row>
    <row r="528" spans="1:5" x14ac:dyDescent="0.2">
      <c r="A528"/>
      <c r="B528" s="663"/>
      <c r="C528" s="663"/>
      <c r="D528" s="663"/>
      <c r="E528" s="663"/>
    </row>
    <row r="529" spans="1:5" x14ac:dyDescent="0.2">
      <c r="A529"/>
      <c r="B529" s="663"/>
      <c r="C529" s="663"/>
      <c r="D529" s="663"/>
      <c r="E529" s="663"/>
    </row>
    <row r="530" spans="1:5" x14ac:dyDescent="0.2">
      <c r="A530"/>
      <c r="B530" s="663"/>
      <c r="C530" s="663"/>
      <c r="D530" s="663"/>
      <c r="E530" s="663"/>
    </row>
    <row r="531" spans="1:5" x14ac:dyDescent="0.2">
      <c r="A531"/>
      <c r="B531" s="663"/>
      <c r="C531" s="663"/>
      <c r="D531" s="663"/>
      <c r="E531" s="663"/>
    </row>
    <row r="532" spans="1:5" x14ac:dyDescent="0.2">
      <c r="A532"/>
      <c r="B532" s="663"/>
      <c r="C532" s="663"/>
      <c r="D532" s="663"/>
      <c r="E532" s="663"/>
    </row>
    <row r="533" spans="1:5" x14ac:dyDescent="0.2">
      <c r="A533"/>
      <c r="B533" s="663"/>
      <c r="C533" s="663"/>
      <c r="D533" s="663"/>
      <c r="E533" s="663"/>
    </row>
    <row r="534" spans="1:5" x14ac:dyDescent="0.2">
      <c r="A534"/>
      <c r="B534" s="663"/>
      <c r="C534" s="663"/>
      <c r="D534" s="663"/>
      <c r="E534" s="663"/>
    </row>
    <row r="535" spans="1:5" x14ac:dyDescent="0.2">
      <c r="A535"/>
      <c r="B535" s="663"/>
      <c r="C535" s="663"/>
      <c r="D535" s="663"/>
      <c r="E535" s="663"/>
    </row>
    <row r="536" spans="1:5" x14ac:dyDescent="0.2">
      <c r="A536"/>
      <c r="B536" s="663"/>
      <c r="C536" s="663"/>
      <c r="D536" s="663"/>
      <c r="E536" s="663"/>
    </row>
    <row r="537" spans="1:5" x14ac:dyDescent="0.2">
      <c r="A537"/>
      <c r="B537" s="663"/>
      <c r="C537" s="663"/>
      <c r="D537" s="663"/>
      <c r="E537" s="663"/>
    </row>
    <row r="538" spans="1:5" x14ac:dyDescent="0.2">
      <c r="A538"/>
      <c r="B538" s="663"/>
      <c r="C538" s="663"/>
      <c r="D538" s="663"/>
      <c r="E538" s="663"/>
    </row>
    <row r="539" spans="1:5" x14ac:dyDescent="0.2">
      <c r="A539"/>
      <c r="B539" s="663"/>
      <c r="C539" s="663"/>
      <c r="D539" s="663"/>
      <c r="E539" s="663"/>
    </row>
    <row r="540" spans="1:5" x14ac:dyDescent="0.2">
      <c r="A540"/>
      <c r="B540" s="663"/>
      <c r="C540" s="663"/>
      <c r="D540" s="663"/>
      <c r="E540" s="663"/>
    </row>
    <row r="541" spans="1:5" x14ac:dyDescent="0.2">
      <c r="A541"/>
      <c r="B541" s="663"/>
      <c r="C541" s="663"/>
      <c r="D541" s="663"/>
      <c r="E541" s="663"/>
    </row>
    <row r="542" spans="1:5" x14ac:dyDescent="0.2">
      <c r="A542"/>
      <c r="B542" s="663"/>
      <c r="C542" s="663"/>
      <c r="D542" s="663"/>
      <c r="E542" s="663"/>
    </row>
    <row r="543" spans="1:5" x14ac:dyDescent="0.2">
      <c r="A543"/>
      <c r="B543" s="663"/>
      <c r="C543" s="663"/>
      <c r="D543" s="663"/>
      <c r="E543" s="663"/>
    </row>
    <row r="544" spans="1:5" x14ac:dyDescent="0.2">
      <c r="A544"/>
      <c r="B544" s="663"/>
      <c r="C544" s="663"/>
      <c r="D544" s="663"/>
      <c r="E544" s="663"/>
    </row>
    <row r="545" spans="1:5" x14ac:dyDescent="0.2">
      <c r="A545"/>
      <c r="B545" s="663"/>
      <c r="C545" s="663"/>
      <c r="D545" s="663"/>
      <c r="E545" s="663"/>
    </row>
    <row r="546" spans="1:5" x14ac:dyDescent="0.2">
      <c r="A546"/>
      <c r="B546" s="663"/>
      <c r="C546" s="663"/>
      <c r="D546" s="663"/>
      <c r="E546" s="663"/>
    </row>
    <row r="547" spans="1:5" x14ac:dyDescent="0.2">
      <c r="A547"/>
      <c r="B547" s="663"/>
      <c r="C547" s="663"/>
      <c r="D547" s="663"/>
      <c r="E547" s="663"/>
    </row>
    <row r="548" spans="1:5" x14ac:dyDescent="0.2">
      <c r="A548"/>
      <c r="B548" s="663"/>
      <c r="C548" s="663"/>
      <c r="D548" s="663"/>
      <c r="E548" s="663"/>
    </row>
    <row r="549" spans="1:5" x14ac:dyDescent="0.2">
      <c r="A549"/>
      <c r="B549" s="663"/>
      <c r="C549" s="663"/>
      <c r="D549" s="663"/>
      <c r="E549" s="663"/>
    </row>
    <row r="550" spans="1:5" x14ac:dyDescent="0.2">
      <c r="A550"/>
      <c r="B550" s="663"/>
      <c r="C550" s="663"/>
      <c r="D550" s="663"/>
      <c r="E550" s="663"/>
    </row>
    <row r="551" spans="1:5" x14ac:dyDescent="0.2">
      <c r="A551"/>
      <c r="B551" s="663"/>
      <c r="C551" s="663"/>
      <c r="D551" s="663"/>
      <c r="E551" s="663"/>
    </row>
    <row r="552" spans="1:5" x14ac:dyDescent="0.2">
      <c r="A552"/>
      <c r="B552" s="663"/>
      <c r="C552" s="663"/>
      <c r="D552" s="663"/>
      <c r="E552" s="663"/>
    </row>
    <row r="553" spans="1:5" x14ac:dyDescent="0.2">
      <c r="A553"/>
      <c r="B553" s="663"/>
      <c r="C553" s="663"/>
      <c r="D553" s="663"/>
      <c r="E553" s="663"/>
    </row>
    <row r="554" spans="1:5" x14ac:dyDescent="0.2">
      <c r="A554"/>
      <c r="B554" s="663"/>
      <c r="C554" s="663"/>
      <c r="D554" s="663"/>
      <c r="E554" s="663"/>
    </row>
    <row r="555" spans="1:5" x14ac:dyDescent="0.2">
      <c r="A555"/>
      <c r="B555" s="663"/>
      <c r="C555" s="663"/>
      <c r="D555" s="663"/>
      <c r="E555" s="663"/>
    </row>
    <row r="556" spans="1:5" x14ac:dyDescent="0.2">
      <c r="A556"/>
      <c r="B556" s="663"/>
      <c r="C556" s="663"/>
      <c r="D556" s="663"/>
      <c r="E556" s="663"/>
    </row>
    <row r="557" spans="1:5" x14ac:dyDescent="0.2">
      <c r="A557"/>
      <c r="B557" s="663"/>
      <c r="C557" s="663"/>
      <c r="D557" s="663"/>
      <c r="E557" s="663"/>
    </row>
    <row r="558" spans="1:5" x14ac:dyDescent="0.2">
      <c r="A558"/>
      <c r="B558" s="663"/>
      <c r="C558" s="663"/>
      <c r="D558" s="663"/>
      <c r="E558" s="663"/>
    </row>
    <row r="559" spans="1:5" x14ac:dyDescent="0.2">
      <c r="A559"/>
      <c r="B559" s="663"/>
      <c r="C559" s="663"/>
      <c r="D559" s="663"/>
      <c r="E559" s="663"/>
    </row>
    <row r="560" spans="1:5" x14ac:dyDescent="0.2">
      <c r="A560"/>
      <c r="B560" s="663"/>
      <c r="C560" s="663"/>
      <c r="D560" s="663"/>
      <c r="E560" s="663"/>
    </row>
    <row r="561" spans="1:5" x14ac:dyDescent="0.2">
      <c r="A561"/>
      <c r="B561" s="663"/>
      <c r="C561" s="663"/>
      <c r="D561" s="663"/>
      <c r="E561" s="663"/>
    </row>
    <row r="562" spans="1:5" x14ac:dyDescent="0.2">
      <c r="A562"/>
      <c r="B562" s="663"/>
      <c r="C562" s="663"/>
      <c r="D562" s="663"/>
      <c r="E562" s="663"/>
    </row>
    <row r="563" spans="1:5" x14ac:dyDescent="0.2">
      <c r="A563"/>
      <c r="B563" s="663"/>
      <c r="C563" s="663"/>
      <c r="D563" s="663"/>
      <c r="E563" s="663"/>
    </row>
    <row r="564" spans="1:5" x14ac:dyDescent="0.2">
      <c r="A564"/>
      <c r="B564" s="663"/>
      <c r="C564" s="663"/>
      <c r="D564" s="663"/>
      <c r="E564" s="663"/>
    </row>
    <row r="565" spans="1:5" x14ac:dyDescent="0.2">
      <c r="A565"/>
      <c r="B565" s="663"/>
      <c r="C565" s="663"/>
      <c r="D565" s="663"/>
      <c r="E565" s="663"/>
    </row>
    <row r="566" spans="1:5" x14ac:dyDescent="0.2">
      <c r="A566"/>
      <c r="B566" s="663"/>
      <c r="C566" s="663"/>
      <c r="D566" s="663"/>
      <c r="E566" s="663"/>
    </row>
    <row r="567" spans="1:5" x14ac:dyDescent="0.2">
      <c r="A567"/>
      <c r="B567" s="663"/>
      <c r="C567" s="663"/>
      <c r="D567" s="663"/>
      <c r="E567" s="663"/>
    </row>
    <row r="568" spans="1:5" x14ac:dyDescent="0.2">
      <c r="A568"/>
      <c r="B568" s="663"/>
      <c r="C568" s="663"/>
      <c r="D568" s="663"/>
      <c r="E568" s="663"/>
    </row>
    <row r="569" spans="1:5" x14ac:dyDescent="0.2">
      <c r="A569"/>
      <c r="B569" s="663"/>
      <c r="C569" s="663"/>
      <c r="D569" s="663"/>
      <c r="E569" s="663"/>
    </row>
    <row r="570" spans="1:5" x14ac:dyDescent="0.2">
      <c r="A570"/>
      <c r="B570" s="663"/>
      <c r="C570" s="663"/>
      <c r="D570" s="663"/>
      <c r="E570" s="663"/>
    </row>
    <row r="571" spans="1:5" x14ac:dyDescent="0.2">
      <c r="A571"/>
      <c r="B571" s="663"/>
      <c r="C571" s="663"/>
      <c r="D571" s="663"/>
      <c r="E571" s="663"/>
    </row>
    <row r="572" spans="1:5" x14ac:dyDescent="0.2">
      <c r="A572"/>
      <c r="B572" s="663"/>
      <c r="C572" s="663"/>
      <c r="D572" s="663"/>
      <c r="E572" s="663"/>
    </row>
    <row r="573" spans="1:5" x14ac:dyDescent="0.2">
      <c r="A573"/>
      <c r="B573" s="663"/>
      <c r="C573" s="663"/>
      <c r="D573" s="663"/>
      <c r="E573" s="663"/>
    </row>
    <row r="574" spans="1:5" x14ac:dyDescent="0.2">
      <c r="A574"/>
      <c r="B574" s="663"/>
      <c r="C574" s="663"/>
      <c r="D574" s="663"/>
      <c r="E574" s="663"/>
    </row>
    <row r="575" spans="1:5" x14ac:dyDescent="0.2">
      <c r="A575"/>
      <c r="B575" s="663"/>
      <c r="C575" s="663"/>
      <c r="D575" s="663"/>
      <c r="E575" s="663"/>
    </row>
    <row r="576" spans="1:5" x14ac:dyDescent="0.2">
      <c r="A576"/>
      <c r="B576" s="663"/>
      <c r="C576" s="663"/>
      <c r="D576" s="663"/>
      <c r="E576" s="663"/>
    </row>
    <row r="577" spans="1:5" x14ac:dyDescent="0.2">
      <c r="A577"/>
      <c r="B577" s="663"/>
      <c r="C577" s="663"/>
      <c r="D577" s="663"/>
      <c r="E577" s="663"/>
    </row>
    <row r="578" spans="1:5" x14ac:dyDescent="0.2">
      <c r="A578"/>
      <c r="B578" s="663"/>
      <c r="C578" s="663"/>
      <c r="D578" s="663"/>
      <c r="E578" s="663"/>
    </row>
    <row r="579" spans="1:5" x14ac:dyDescent="0.2">
      <c r="A579"/>
      <c r="B579" s="663"/>
      <c r="C579" s="663"/>
      <c r="D579" s="663"/>
      <c r="E579" s="663"/>
    </row>
    <row r="580" spans="1:5" x14ac:dyDescent="0.2">
      <c r="A580"/>
      <c r="B580" s="663"/>
      <c r="C580" s="663"/>
      <c r="D580" s="663"/>
      <c r="E580" s="663"/>
    </row>
    <row r="581" spans="1:5" x14ac:dyDescent="0.2">
      <c r="A581"/>
      <c r="B581" s="663"/>
      <c r="C581" s="663"/>
      <c r="D581" s="663"/>
      <c r="E581" s="663"/>
    </row>
    <row r="582" spans="1:5" x14ac:dyDescent="0.2">
      <c r="A582"/>
      <c r="B582" s="663"/>
      <c r="C582" s="663"/>
      <c r="D582" s="663"/>
      <c r="E582" s="663"/>
    </row>
    <row r="583" spans="1:5" x14ac:dyDescent="0.2">
      <c r="A583"/>
      <c r="B583" s="663"/>
      <c r="C583" s="663"/>
      <c r="D583" s="663"/>
      <c r="E583" s="663"/>
    </row>
    <row r="584" spans="1:5" x14ac:dyDescent="0.2">
      <c r="A584"/>
      <c r="B584" s="663"/>
      <c r="C584" s="663"/>
      <c r="D584" s="663"/>
      <c r="E584" s="663"/>
    </row>
    <row r="585" spans="1:5" x14ac:dyDescent="0.2">
      <c r="A585"/>
      <c r="B585" s="663"/>
      <c r="C585" s="663"/>
      <c r="D585" s="663"/>
      <c r="E585" s="663"/>
    </row>
    <row r="586" spans="1:5" x14ac:dyDescent="0.2">
      <c r="A586"/>
      <c r="B586" s="663"/>
      <c r="C586" s="663"/>
      <c r="D586" s="663"/>
      <c r="E586" s="663"/>
    </row>
    <row r="587" spans="1:5" x14ac:dyDescent="0.2">
      <c r="A587"/>
      <c r="B587" s="663"/>
      <c r="C587" s="663"/>
      <c r="D587" s="663"/>
      <c r="E587" s="663"/>
    </row>
    <row r="588" spans="1:5" x14ac:dyDescent="0.2">
      <c r="A588"/>
      <c r="B588" s="663"/>
      <c r="C588" s="663"/>
      <c r="D588" s="663"/>
      <c r="E588" s="663"/>
    </row>
    <row r="589" spans="1:5" x14ac:dyDescent="0.2">
      <c r="A589"/>
      <c r="B589" s="663"/>
      <c r="C589" s="663"/>
      <c r="D589" s="663"/>
      <c r="E589" s="663"/>
    </row>
    <row r="590" spans="1:5" x14ac:dyDescent="0.2">
      <c r="A590"/>
      <c r="B590" s="663"/>
      <c r="C590" s="663"/>
      <c r="D590" s="663"/>
      <c r="E590" s="663"/>
    </row>
    <row r="591" spans="1:5" x14ac:dyDescent="0.2">
      <c r="A591"/>
      <c r="B591" s="663"/>
      <c r="C591" s="663"/>
      <c r="D591" s="663"/>
      <c r="E591" s="663"/>
    </row>
    <row r="592" spans="1:5" x14ac:dyDescent="0.2">
      <c r="A592"/>
      <c r="B592" s="663"/>
      <c r="C592" s="663"/>
      <c r="D592" s="663"/>
      <c r="E592" s="663"/>
    </row>
    <row r="593" spans="1:5" x14ac:dyDescent="0.2">
      <c r="A593"/>
      <c r="B593" s="663"/>
      <c r="C593" s="663"/>
      <c r="D593" s="663"/>
      <c r="E593" s="663"/>
    </row>
    <row r="594" spans="1:5" x14ac:dyDescent="0.2">
      <c r="A594"/>
      <c r="B594" s="663"/>
      <c r="C594" s="663"/>
      <c r="D594" s="663"/>
      <c r="E594" s="663"/>
    </row>
    <row r="595" spans="1:5" x14ac:dyDescent="0.2">
      <c r="A595"/>
      <c r="B595" s="663"/>
      <c r="C595" s="663"/>
      <c r="D595" s="663"/>
      <c r="E595" s="663"/>
    </row>
    <row r="596" spans="1:5" x14ac:dyDescent="0.2">
      <c r="A596"/>
      <c r="B596" s="663"/>
      <c r="C596" s="663"/>
      <c r="D596" s="663"/>
      <c r="E596" s="663"/>
    </row>
    <row r="597" spans="1:5" x14ac:dyDescent="0.2">
      <c r="A597"/>
      <c r="B597" s="663"/>
      <c r="C597" s="663"/>
      <c r="D597" s="663"/>
      <c r="E597" s="663"/>
    </row>
    <row r="598" spans="1:5" x14ac:dyDescent="0.2">
      <c r="A598"/>
      <c r="B598" s="663"/>
      <c r="C598" s="663"/>
      <c r="D598" s="663"/>
      <c r="E598" s="663"/>
    </row>
    <row r="599" spans="1:5" x14ac:dyDescent="0.2">
      <c r="A599"/>
      <c r="B599" s="663"/>
      <c r="C599" s="663"/>
      <c r="D599" s="663"/>
      <c r="E599" s="663"/>
    </row>
    <row r="600" spans="1:5" x14ac:dyDescent="0.2">
      <c r="A600"/>
      <c r="B600" s="663"/>
      <c r="C600" s="663"/>
      <c r="D600" s="663"/>
      <c r="E600" s="663"/>
    </row>
    <row r="601" spans="1:5" x14ac:dyDescent="0.2">
      <c r="A601"/>
      <c r="B601" s="663"/>
      <c r="C601" s="663"/>
      <c r="D601" s="663"/>
      <c r="E601" s="663"/>
    </row>
    <row r="602" spans="1:5" x14ac:dyDescent="0.2">
      <c r="A602"/>
      <c r="B602" s="663"/>
      <c r="C602" s="663"/>
      <c r="D602" s="663"/>
      <c r="E602" s="663"/>
    </row>
    <row r="603" spans="1:5" x14ac:dyDescent="0.2">
      <c r="A603"/>
      <c r="B603" s="663"/>
      <c r="C603" s="663"/>
      <c r="D603" s="663"/>
      <c r="E603" s="663"/>
    </row>
    <row r="604" spans="1:5" x14ac:dyDescent="0.2">
      <c r="A604"/>
      <c r="B604" s="663"/>
      <c r="C604" s="663"/>
      <c r="D604" s="663"/>
      <c r="E604" s="663"/>
    </row>
    <row r="605" spans="1:5" x14ac:dyDescent="0.2">
      <c r="A605"/>
      <c r="B605" s="663"/>
      <c r="C605" s="663"/>
      <c r="D605" s="663"/>
      <c r="E605" s="663"/>
    </row>
    <row r="606" spans="1:5" x14ac:dyDescent="0.2">
      <c r="A606"/>
      <c r="B606" s="663"/>
      <c r="C606" s="663"/>
      <c r="D606" s="663"/>
      <c r="E606" s="663"/>
    </row>
    <row r="607" spans="1:5" x14ac:dyDescent="0.2">
      <c r="A607"/>
      <c r="B607" s="663"/>
      <c r="C607" s="663"/>
      <c r="D607" s="663"/>
      <c r="E607" s="663"/>
    </row>
    <row r="608" spans="1:5" x14ac:dyDescent="0.2">
      <c r="A608"/>
      <c r="B608" s="663"/>
      <c r="C608" s="663"/>
      <c r="D608" s="663"/>
      <c r="E608" s="663"/>
    </row>
    <row r="609" spans="1:5" x14ac:dyDescent="0.2">
      <c r="A609"/>
      <c r="B609" s="663"/>
      <c r="C609" s="663"/>
      <c r="D609" s="663"/>
      <c r="E609" s="663"/>
    </row>
    <row r="610" spans="1:5" x14ac:dyDescent="0.2">
      <c r="A610"/>
      <c r="B610" s="663"/>
      <c r="C610" s="663"/>
      <c r="D610" s="663"/>
      <c r="E610" s="663"/>
    </row>
    <row r="611" spans="1:5" x14ac:dyDescent="0.2">
      <c r="A611"/>
      <c r="B611" s="663"/>
      <c r="C611" s="663"/>
      <c r="D611" s="663"/>
      <c r="E611" s="663"/>
    </row>
    <row r="612" spans="1:5" x14ac:dyDescent="0.2">
      <c r="A612"/>
      <c r="B612" s="663"/>
      <c r="C612" s="663"/>
      <c r="D612" s="663"/>
      <c r="E612" s="663"/>
    </row>
    <row r="613" spans="1:5" x14ac:dyDescent="0.2">
      <c r="A613"/>
      <c r="B613" s="663"/>
      <c r="C613" s="663"/>
      <c r="D613" s="663"/>
      <c r="E613" s="663"/>
    </row>
    <row r="614" spans="1:5" x14ac:dyDescent="0.2">
      <c r="A614"/>
      <c r="B614" s="663"/>
      <c r="C614" s="663"/>
      <c r="D614" s="663"/>
      <c r="E614" s="663"/>
    </row>
    <row r="615" spans="1:5" x14ac:dyDescent="0.2">
      <c r="A615"/>
      <c r="B615" s="663"/>
      <c r="C615" s="663"/>
      <c r="D615" s="663"/>
      <c r="E615" s="663"/>
    </row>
    <row r="616" spans="1:5" x14ac:dyDescent="0.2">
      <c r="A616"/>
      <c r="B616" s="663"/>
      <c r="C616" s="663"/>
      <c r="D616" s="663"/>
      <c r="E616" s="663"/>
    </row>
    <row r="617" spans="1:5" x14ac:dyDescent="0.2">
      <c r="A617"/>
      <c r="B617" s="663"/>
      <c r="C617" s="663"/>
      <c r="D617" s="663"/>
      <c r="E617" s="663"/>
    </row>
    <row r="618" spans="1:5" x14ac:dyDescent="0.2">
      <c r="A618"/>
      <c r="B618" s="663"/>
      <c r="C618" s="663"/>
      <c r="D618" s="663"/>
      <c r="E618" s="663"/>
    </row>
    <row r="619" spans="1:5" x14ac:dyDescent="0.2">
      <c r="A619"/>
      <c r="B619" s="663"/>
      <c r="C619" s="663"/>
      <c r="D619" s="663"/>
      <c r="E619" s="663"/>
    </row>
    <row r="620" spans="1:5" x14ac:dyDescent="0.2">
      <c r="A620"/>
      <c r="B620" s="663"/>
      <c r="C620" s="663"/>
      <c r="D620" s="663"/>
      <c r="E620" s="663"/>
    </row>
    <row r="621" spans="1:5" x14ac:dyDescent="0.2">
      <c r="A621"/>
      <c r="B621" s="663"/>
      <c r="C621" s="663"/>
      <c r="D621" s="663"/>
      <c r="E621" s="663"/>
    </row>
    <row r="622" spans="1:5" x14ac:dyDescent="0.2">
      <c r="A622"/>
      <c r="B622" s="663"/>
      <c r="C622" s="663"/>
      <c r="D622" s="663"/>
      <c r="E622" s="663"/>
    </row>
    <row r="623" spans="1:5" x14ac:dyDescent="0.2">
      <c r="A623"/>
      <c r="B623" s="663"/>
      <c r="C623" s="663"/>
      <c r="D623" s="663"/>
      <c r="E623" s="663"/>
    </row>
    <row r="624" spans="1:5" x14ac:dyDescent="0.2">
      <c r="A624"/>
      <c r="B624" s="663"/>
      <c r="C624" s="663"/>
      <c r="D624" s="663"/>
      <c r="E624" s="663"/>
    </row>
    <row r="625" spans="1:5" x14ac:dyDescent="0.2">
      <c r="A625"/>
      <c r="B625" s="663"/>
      <c r="C625" s="663"/>
      <c r="D625" s="663"/>
      <c r="E625" s="663"/>
    </row>
    <row r="626" spans="1:5" x14ac:dyDescent="0.2">
      <c r="A626"/>
      <c r="B626" s="663"/>
      <c r="C626" s="663"/>
      <c r="D626" s="663"/>
      <c r="E626" s="663"/>
    </row>
    <row r="627" spans="1:5" x14ac:dyDescent="0.2">
      <c r="A627"/>
      <c r="B627" s="663"/>
      <c r="C627" s="663"/>
      <c r="D627" s="663"/>
      <c r="E627" s="663"/>
    </row>
    <row r="628" spans="1:5" x14ac:dyDescent="0.2">
      <c r="A628"/>
      <c r="B628" s="663"/>
      <c r="C628" s="663"/>
      <c r="D628" s="663"/>
      <c r="E628" s="663"/>
    </row>
    <row r="629" spans="1:5" x14ac:dyDescent="0.2">
      <c r="A629"/>
      <c r="B629" s="663"/>
      <c r="C629" s="663"/>
      <c r="D629" s="663"/>
      <c r="E629" s="663"/>
    </row>
    <row r="630" spans="1:5" x14ac:dyDescent="0.2">
      <c r="A630"/>
      <c r="B630" s="663"/>
      <c r="C630" s="663"/>
      <c r="D630" s="663"/>
      <c r="E630" s="663"/>
    </row>
    <row r="631" spans="1:5" x14ac:dyDescent="0.2">
      <c r="A631"/>
      <c r="B631" s="663"/>
      <c r="C631" s="663"/>
      <c r="D631" s="663"/>
      <c r="E631" s="663"/>
    </row>
    <row r="632" spans="1:5" x14ac:dyDescent="0.2">
      <c r="A632"/>
      <c r="B632" s="663"/>
      <c r="C632" s="663"/>
      <c r="D632" s="663"/>
      <c r="E632" s="663"/>
    </row>
    <row r="633" spans="1:5" x14ac:dyDescent="0.2">
      <c r="A633"/>
      <c r="B633" s="663"/>
      <c r="C633" s="663"/>
      <c r="D633" s="663"/>
      <c r="E633" s="663"/>
    </row>
    <row r="634" spans="1:5" x14ac:dyDescent="0.2">
      <c r="A634"/>
      <c r="B634" s="663"/>
      <c r="C634" s="663"/>
      <c r="D634" s="663"/>
      <c r="E634" s="663"/>
    </row>
    <row r="635" spans="1:5" x14ac:dyDescent="0.2">
      <c r="A635"/>
      <c r="B635" s="663"/>
      <c r="C635" s="663"/>
      <c r="D635" s="663"/>
      <c r="E635" s="663"/>
    </row>
    <row r="636" spans="1:5" x14ac:dyDescent="0.2">
      <c r="A636"/>
      <c r="B636" s="663"/>
      <c r="C636" s="663"/>
      <c r="D636" s="663"/>
      <c r="E636" s="663"/>
    </row>
    <row r="637" spans="1:5" x14ac:dyDescent="0.2">
      <c r="A637"/>
      <c r="B637" s="663"/>
      <c r="C637" s="663"/>
      <c r="D637" s="663"/>
      <c r="E637" s="663"/>
    </row>
    <row r="638" spans="1:5" x14ac:dyDescent="0.2">
      <c r="A638"/>
      <c r="B638" s="663"/>
      <c r="C638" s="663"/>
      <c r="D638" s="663"/>
      <c r="E638" s="663"/>
    </row>
    <row r="639" spans="1:5" x14ac:dyDescent="0.2">
      <c r="A639"/>
      <c r="B639" s="663"/>
      <c r="C639" s="663"/>
      <c r="D639" s="663"/>
      <c r="E639" s="663"/>
    </row>
    <row r="640" spans="1:5" x14ac:dyDescent="0.2">
      <c r="A640"/>
      <c r="B640" s="663"/>
      <c r="C640" s="663"/>
      <c r="D640" s="663"/>
      <c r="E640" s="663"/>
    </row>
    <row r="641" spans="1:5" x14ac:dyDescent="0.2">
      <c r="A641"/>
      <c r="B641" s="663"/>
      <c r="C641" s="663"/>
      <c r="D641" s="663"/>
      <c r="E641" s="663"/>
    </row>
    <row r="642" spans="1:5" x14ac:dyDescent="0.2">
      <c r="A642"/>
      <c r="B642" s="663"/>
      <c r="C642" s="663"/>
      <c r="D642" s="663"/>
      <c r="E642" s="663"/>
    </row>
    <row r="643" spans="1:5" x14ac:dyDescent="0.2">
      <c r="A643"/>
      <c r="B643" s="663"/>
      <c r="C643" s="663"/>
      <c r="D643" s="663"/>
      <c r="E643" s="663"/>
    </row>
    <row r="644" spans="1:5" x14ac:dyDescent="0.2">
      <c r="A644"/>
      <c r="B644" s="663"/>
      <c r="C644" s="663"/>
      <c r="D644" s="663"/>
      <c r="E644" s="663"/>
    </row>
    <row r="645" spans="1:5" x14ac:dyDescent="0.2">
      <c r="A645"/>
      <c r="B645" s="663"/>
      <c r="C645" s="663"/>
      <c r="D645" s="663"/>
      <c r="E645" s="663"/>
    </row>
    <row r="646" spans="1:5" x14ac:dyDescent="0.2">
      <c r="A646"/>
      <c r="B646" s="663"/>
      <c r="C646" s="663"/>
      <c r="D646" s="663"/>
      <c r="E646" s="663"/>
    </row>
    <row r="647" spans="1:5" x14ac:dyDescent="0.2">
      <c r="A647"/>
      <c r="B647" s="663"/>
      <c r="C647" s="663"/>
      <c r="D647" s="663"/>
      <c r="E647" s="663"/>
    </row>
    <row r="648" spans="1:5" x14ac:dyDescent="0.2">
      <c r="A648"/>
      <c r="B648" s="663"/>
      <c r="C648" s="663"/>
      <c r="D648" s="663"/>
      <c r="E648" s="663"/>
    </row>
    <row r="649" spans="1:5" x14ac:dyDescent="0.2">
      <c r="A649"/>
      <c r="B649" s="663"/>
      <c r="C649" s="663"/>
      <c r="D649" s="663"/>
      <c r="E649" s="663"/>
    </row>
    <row r="650" spans="1:5" x14ac:dyDescent="0.2">
      <c r="A650"/>
      <c r="B650" s="663"/>
      <c r="C650" s="663"/>
      <c r="D650" s="663"/>
      <c r="E650" s="663"/>
    </row>
    <row r="651" spans="1:5" x14ac:dyDescent="0.2">
      <c r="A651"/>
      <c r="B651" s="663"/>
      <c r="C651" s="663"/>
      <c r="D651" s="663"/>
      <c r="E651" s="663"/>
    </row>
    <row r="652" spans="1:5" x14ac:dyDescent="0.2">
      <c r="A652"/>
      <c r="B652" s="663"/>
      <c r="C652" s="663"/>
      <c r="D652" s="663"/>
      <c r="E652" s="663"/>
    </row>
    <row r="653" spans="1:5" x14ac:dyDescent="0.2">
      <c r="A653"/>
      <c r="B653" s="663"/>
      <c r="C653" s="663"/>
      <c r="D653" s="663"/>
      <c r="E653" s="663"/>
    </row>
    <row r="654" spans="1:5" x14ac:dyDescent="0.2">
      <c r="A654"/>
      <c r="B654" s="663"/>
      <c r="C654" s="663"/>
      <c r="D654" s="663"/>
      <c r="E654" s="663"/>
    </row>
    <row r="655" spans="1:5" x14ac:dyDescent="0.2">
      <c r="A655"/>
      <c r="B655" s="663"/>
      <c r="C655" s="663"/>
      <c r="D655" s="663"/>
      <c r="E655" s="663"/>
    </row>
    <row r="656" spans="1:5" x14ac:dyDescent="0.2">
      <c r="A656"/>
      <c r="B656" s="663"/>
      <c r="C656" s="663"/>
      <c r="D656" s="663"/>
      <c r="E656" s="663"/>
    </row>
    <row r="657" spans="1:5" x14ac:dyDescent="0.2">
      <c r="A657"/>
      <c r="B657" s="663"/>
      <c r="C657" s="663"/>
      <c r="D657" s="663"/>
      <c r="E657" s="663"/>
    </row>
    <row r="658" spans="1:5" x14ac:dyDescent="0.2">
      <c r="A658"/>
      <c r="B658" s="663"/>
      <c r="C658" s="663"/>
      <c r="D658" s="663"/>
      <c r="E658" s="663"/>
    </row>
    <row r="659" spans="1:5" x14ac:dyDescent="0.2">
      <c r="A659"/>
      <c r="B659" s="663"/>
      <c r="C659" s="663"/>
      <c r="D659" s="663"/>
      <c r="E659" s="663"/>
    </row>
    <row r="660" spans="1:5" x14ac:dyDescent="0.2">
      <c r="A660"/>
      <c r="B660" s="663"/>
      <c r="C660" s="663"/>
      <c r="D660" s="663"/>
      <c r="E660" s="663"/>
    </row>
    <row r="661" spans="1:5" x14ac:dyDescent="0.2">
      <c r="A661"/>
      <c r="B661" s="663"/>
      <c r="C661" s="663"/>
      <c r="D661" s="663"/>
      <c r="E661" s="663"/>
    </row>
    <row r="662" spans="1:5" x14ac:dyDescent="0.2">
      <c r="A662"/>
      <c r="B662" s="663"/>
      <c r="C662" s="663"/>
      <c r="D662" s="663"/>
      <c r="E662" s="663"/>
    </row>
    <row r="663" spans="1:5" x14ac:dyDescent="0.2">
      <c r="A663"/>
      <c r="B663" s="663"/>
      <c r="C663" s="663"/>
      <c r="D663" s="663"/>
      <c r="E663" s="663"/>
    </row>
    <row r="664" spans="1:5" x14ac:dyDescent="0.2">
      <c r="A664"/>
      <c r="B664" s="663"/>
      <c r="C664" s="663"/>
      <c r="D664" s="663"/>
      <c r="E664" s="663"/>
    </row>
    <row r="665" spans="1:5" x14ac:dyDescent="0.2">
      <c r="A665"/>
      <c r="B665" s="663"/>
      <c r="C665" s="663"/>
      <c r="D665" s="663"/>
      <c r="E665" s="663"/>
    </row>
    <row r="666" spans="1:5" x14ac:dyDescent="0.2">
      <c r="A666"/>
      <c r="B666" s="663"/>
      <c r="C666" s="663"/>
      <c r="D666" s="663"/>
      <c r="E666" s="663"/>
    </row>
    <row r="667" spans="1:5" x14ac:dyDescent="0.2">
      <c r="A667"/>
      <c r="B667" s="663"/>
      <c r="C667" s="663"/>
      <c r="D667" s="663"/>
      <c r="E667" s="663"/>
    </row>
    <row r="668" spans="1:5" x14ac:dyDescent="0.2">
      <c r="A668"/>
      <c r="B668" s="663"/>
      <c r="C668" s="663"/>
      <c r="D668" s="663"/>
      <c r="E668" s="663"/>
    </row>
    <row r="669" spans="1:5" x14ac:dyDescent="0.2">
      <c r="A669"/>
      <c r="B669" s="663"/>
      <c r="C669" s="663"/>
      <c r="D669" s="663"/>
      <c r="E669" s="663"/>
    </row>
    <row r="670" spans="1:5" x14ac:dyDescent="0.2">
      <c r="A670"/>
      <c r="B670" s="663"/>
      <c r="C670" s="663"/>
      <c r="D670" s="663"/>
      <c r="E670" s="663"/>
    </row>
    <row r="671" spans="1:5" x14ac:dyDescent="0.2">
      <c r="A671"/>
      <c r="B671" s="663"/>
      <c r="C671" s="663"/>
      <c r="D671" s="663"/>
      <c r="E671" s="663"/>
    </row>
    <row r="672" spans="1:5" x14ac:dyDescent="0.2">
      <c r="A672"/>
      <c r="B672" s="663"/>
      <c r="C672" s="663"/>
      <c r="D672" s="663"/>
      <c r="E672" s="663"/>
    </row>
    <row r="673" spans="1:5" x14ac:dyDescent="0.2">
      <c r="A673"/>
      <c r="B673" s="663"/>
      <c r="C673" s="663"/>
      <c r="D673" s="663"/>
      <c r="E673" s="663"/>
    </row>
    <row r="674" spans="1:5" x14ac:dyDescent="0.2">
      <c r="A674"/>
      <c r="B674" s="663"/>
      <c r="C674" s="663"/>
      <c r="D674" s="663"/>
      <c r="E674" s="663"/>
    </row>
    <row r="675" spans="1:5" x14ac:dyDescent="0.2">
      <c r="A675"/>
      <c r="B675" s="663"/>
      <c r="C675" s="663"/>
      <c r="D675" s="663"/>
      <c r="E675" s="663"/>
    </row>
    <row r="676" spans="1:5" x14ac:dyDescent="0.2">
      <c r="A676"/>
      <c r="B676" s="663"/>
      <c r="C676" s="663"/>
      <c r="D676" s="663"/>
      <c r="E676" s="663"/>
    </row>
    <row r="677" spans="1:5" x14ac:dyDescent="0.2">
      <c r="A677"/>
      <c r="B677" s="663"/>
      <c r="C677" s="663"/>
      <c r="D677" s="663"/>
      <c r="E677" s="663"/>
    </row>
    <row r="678" spans="1:5" x14ac:dyDescent="0.2">
      <c r="A678"/>
      <c r="B678" s="663"/>
      <c r="C678" s="663"/>
      <c r="D678" s="663"/>
      <c r="E678" s="663"/>
    </row>
    <row r="679" spans="1:5" x14ac:dyDescent="0.2">
      <c r="A679"/>
      <c r="B679" s="663"/>
      <c r="C679" s="663"/>
      <c r="D679" s="663"/>
      <c r="E679" s="663"/>
    </row>
    <row r="680" spans="1:5" x14ac:dyDescent="0.2">
      <c r="A680"/>
      <c r="B680" s="663"/>
      <c r="C680" s="663"/>
      <c r="D680" s="663"/>
      <c r="E680" s="663"/>
    </row>
    <row r="681" spans="1:5" x14ac:dyDescent="0.2">
      <c r="A681"/>
      <c r="B681" s="663"/>
      <c r="C681" s="663"/>
      <c r="D681" s="663"/>
      <c r="E681" s="663"/>
    </row>
    <row r="682" spans="1:5" x14ac:dyDescent="0.2">
      <c r="A682"/>
      <c r="B682" s="663"/>
      <c r="C682" s="663"/>
      <c r="D682" s="663"/>
      <c r="E682" s="663"/>
    </row>
    <row r="683" spans="1:5" x14ac:dyDescent="0.2">
      <c r="A683"/>
      <c r="B683" s="663"/>
      <c r="C683" s="663"/>
      <c r="D683" s="663"/>
      <c r="E683" s="663"/>
    </row>
    <row r="684" spans="1:5" x14ac:dyDescent="0.2">
      <c r="A684"/>
      <c r="B684" s="663"/>
      <c r="C684" s="663"/>
      <c r="D684" s="663"/>
      <c r="E684" s="663"/>
    </row>
    <row r="685" spans="1:5" x14ac:dyDescent="0.2">
      <c r="A685"/>
      <c r="B685" s="663"/>
      <c r="C685" s="663"/>
      <c r="D685" s="663"/>
      <c r="E685" s="663"/>
    </row>
    <row r="686" spans="1:5" x14ac:dyDescent="0.2">
      <c r="A686"/>
      <c r="B686" s="663"/>
      <c r="C686" s="663"/>
      <c r="D686" s="663"/>
      <c r="E686" s="663"/>
    </row>
    <row r="687" spans="1:5" x14ac:dyDescent="0.2">
      <c r="A687"/>
      <c r="B687" s="663"/>
      <c r="C687" s="663"/>
      <c r="D687" s="663"/>
      <c r="E687" s="663"/>
    </row>
    <row r="688" spans="1:5" x14ac:dyDescent="0.2">
      <c r="A688"/>
      <c r="B688" s="663"/>
      <c r="C688" s="663"/>
      <c r="D688" s="663"/>
      <c r="E688" s="663"/>
    </row>
    <row r="689" spans="1:5" x14ac:dyDescent="0.2">
      <c r="A689"/>
      <c r="B689" s="663"/>
      <c r="C689" s="663"/>
      <c r="D689" s="663"/>
      <c r="E689" s="663"/>
    </row>
    <row r="690" spans="1:5" x14ac:dyDescent="0.2">
      <c r="A690"/>
      <c r="B690" s="663"/>
      <c r="C690" s="663"/>
      <c r="D690" s="663"/>
      <c r="E690" s="663"/>
    </row>
    <row r="691" spans="1:5" x14ac:dyDescent="0.2">
      <c r="A691"/>
      <c r="B691" s="663"/>
      <c r="C691" s="663"/>
      <c r="D691" s="663"/>
      <c r="E691" s="663"/>
    </row>
    <row r="692" spans="1:5" x14ac:dyDescent="0.2">
      <c r="A692"/>
      <c r="B692" s="663"/>
      <c r="C692" s="663"/>
      <c r="D692" s="663"/>
      <c r="E692" s="663"/>
    </row>
    <row r="693" spans="1:5" x14ac:dyDescent="0.2">
      <c r="A693"/>
      <c r="B693" s="663"/>
      <c r="C693" s="663"/>
      <c r="D693" s="663"/>
      <c r="E693" s="663"/>
    </row>
    <row r="694" spans="1:5" x14ac:dyDescent="0.2">
      <c r="A694"/>
      <c r="B694" s="663"/>
      <c r="C694" s="663"/>
      <c r="D694" s="663"/>
      <c r="E694" s="663"/>
    </row>
    <row r="695" spans="1:5" x14ac:dyDescent="0.2">
      <c r="A695"/>
      <c r="B695" s="663"/>
      <c r="C695" s="663"/>
      <c r="D695" s="663"/>
      <c r="E695" s="663"/>
    </row>
    <row r="696" spans="1:5" x14ac:dyDescent="0.2">
      <c r="A696"/>
      <c r="B696" s="663"/>
      <c r="C696" s="663"/>
      <c r="D696" s="663"/>
      <c r="E696" s="663"/>
    </row>
    <row r="697" spans="1:5" x14ac:dyDescent="0.2">
      <c r="A697"/>
      <c r="B697" s="663"/>
      <c r="C697" s="663"/>
      <c r="D697" s="663"/>
      <c r="E697" s="663"/>
    </row>
    <row r="698" spans="1:5" x14ac:dyDescent="0.2">
      <c r="A698"/>
      <c r="B698" s="663"/>
      <c r="C698" s="663"/>
      <c r="D698" s="663"/>
      <c r="E698" s="663"/>
    </row>
    <row r="699" spans="1:5" x14ac:dyDescent="0.2">
      <c r="A699"/>
      <c r="B699" s="663"/>
      <c r="C699" s="663"/>
      <c r="D699" s="663"/>
      <c r="E699" s="663"/>
    </row>
    <row r="700" spans="1:5" x14ac:dyDescent="0.2">
      <c r="A700"/>
      <c r="B700" s="663"/>
      <c r="C700" s="663"/>
      <c r="D700" s="663"/>
      <c r="E700" s="663"/>
    </row>
    <row r="701" spans="1:5" x14ac:dyDescent="0.2">
      <c r="A701"/>
      <c r="B701" s="663"/>
      <c r="C701" s="663"/>
      <c r="D701" s="663"/>
      <c r="E701" s="663"/>
    </row>
    <row r="702" spans="1:5" x14ac:dyDescent="0.2">
      <c r="A702"/>
      <c r="B702" s="663"/>
      <c r="C702" s="663"/>
      <c r="D702" s="663"/>
      <c r="E702" s="663"/>
    </row>
    <row r="703" spans="1:5" x14ac:dyDescent="0.2">
      <c r="A703"/>
      <c r="B703" s="663"/>
      <c r="C703" s="663"/>
      <c r="D703" s="663"/>
      <c r="E703" s="663"/>
    </row>
    <row r="704" spans="1:5" x14ac:dyDescent="0.2">
      <c r="A704"/>
      <c r="B704" s="663"/>
      <c r="C704" s="663"/>
      <c r="D704" s="663"/>
      <c r="E704" s="663"/>
    </row>
    <row r="705" spans="1:5" x14ac:dyDescent="0.2">
      <c r="A705"/>
      <c r="B705" s="663"/>
      <c r="C705" s="663"/>
      <c r="D705" s="663"/>
      <c r="E705" s="663"/>
    </row>
    <row r="706" spans="1:5" x14ac:dyDescent="0.2">
      <c r="A706"/>
      <c r="B706" s="663"/>
      <c r="C706" s="663"/>
      <c r="D706" s="663"/>
      <c r="E706" s="663"/>
    </row>
    <row r="707" spans="1:5" x14ac:dyDescent="0.2">
      <c r="A707"/>
      <c r="B707" s="663"/>
      <c r="C707" s="663"/>
      <c r="D707" s="663"/>
      <c r="E707" s="663"/>
    </row>
    <row r="708" spans="1:5" x14ac:dyDescent="0.2">
      <c r="A708"/>
      <c r="B708" s="663"/>
      <c r="C708" s="663"/>
      <c r="D708" s="663"/>
      <c r="E708" s="663"/>
    </row>
    <row r="709" spans="1:5" x14ac:dyDescent="0.2">
      <c r="A709"/>
      <c r="B709" s="663"/>
      <c r="C709" s="663"/>
      <c r="D709" s="663"/>
      <c r="E709" s="663"/>
    </row>
    <row r="710" spans="1:5" x14ac:dyDescent="0.2">
      <c r="A710"/>
      <c r="B710" s="663"/>
      <c r="C710" s="663"/>
      <c r="D710" s="663"/>
      <c r="E710" s="663"/>
    </row>
    <row r="711" spans="1:5" x14ac:dyDescent="0.2">
      <c r="A711"/>
      <c r="B711" s="663"/>
      <c r="C711" s="663"/>
      <c r="D711" s="663"/>
      <c r="E711" s="663"/>
    </row>
    <row r="712" spans="1:5" x14ac:dyDescent="0.2">
      <c r="A712"/>
      <c r="B712" s="663"/>
      <c r="C712" s="663"/>
      <c r="D712" s="663"/>
      <c r="E712" s="663"/>
    </row>
    <row r="713" spans="1:5" x14ac:dyDescent="0.2">
      <c r="A713"/>
      <c r="B713" s="663"/>
      <c r="C713" s="663"/>
      <c r="D713" s="663"/>
      <c r="E713" s="663"/>
    </row>
    <row r="714" spans="1:5" x14ac:dyDescent="0.2">
      <c r="A714"/>
      <c r="B714" s="663"/>
      <c r="C714" s="663"/>
      <c r="D714" s="663"/>
      <c r="E714" s="663"/>
    </row>
    <row r="715" spans="1:5" x14ac:dyDescent="0.2">
      <c r="A715"/>
      <c r="B715" s="663"/>
      <c r="C715" s="663"/>
      <c r="D715" s="663"/>
      <c r="E715" s="663"/>
    </row>
    <row r="716" spans="1:5" x14ac:dyDescent="0.2">
      <c r="A716"/>
      <c r="B716" s="663"/>
      <c r="C716" s="663"/>
      <c r="D716" s="663"/>
      <c r="E716" s="663"/>
    </row>
    <row r="717" spans="1:5" x14ac:dyDescent="0.2">
      <c r="A717"/>
      <c r="B717" s="663"/>
      <c r="C717" s="663"/>
      <c r="D717" s="663"/>
      <c r="E717" s="663"/>
    </row>
    <row r="718" spans="1:5" x14ac:dyDescent="0.2">
      <c r="A718"/>
      <c r="B718" s="663"/>
      <c r="C718" s="663"/>
      <c r="D718" s="663"/>
      <c r="E718" s="663"/>
    </row>
    <row r="719" spans="1:5" x14ac:dyDescent="0.2">
      <c r="A719"/>
      <c r="B719" s="663"/>
      <c r="C719" s="663"/>
      <c r="D719" s="663"/>
      <c r="E719" s="663"/>
    </row>
    <row r="720" spans="1:5" x14ac:dyDescent="0.2">
      <c r="A720"/>
      <c r="B720" s="663"/>
      <c r="C720" s="663"/>
      <c r="D720" s="663"/>
      <c r="E720" s="663"/>
    </row>
    <row r="721" spans="1:5" x14ac:dyDescent="0.2">
      <c r="A721"/>
      <c r="B721" s="663"/>
      <c r="C721" s="663"/>
      <c r="D721" s="663"/>
      <c r="E721" s="663"/>
    </row>
    <row r="722" spans="1:5" x14ac:dyDescent="0.2">
      <c r="A722"/>
      <c r="B722" s="663"/>
      <c r="C722" s="663"/>
      <c r="D722" s="663"/>
      <c r="E722" s="663"/>
    </row>
    <row r="723" spans="1:5" x14ac:dyDescent="0.2">
      <c r="A723"/>
      <c r="B723" s="663"/>
      <c r="C723" s="663"/>
      <c r="D723" s="663"/>
      <c r="E723" s="663"/>
    </row>
    <row r="724" spans="1:5" x14ac:dyDescent="0.2">
      <c r="A724"/>
      <c r="B724" s="663"/>
      <c r="C724" s="663"/>
      <c r="D724" s="663"/>
      <c r="E724" s="663"/>
    </row>
    <row r="725" spans="1:5" x14ac:dyDescent="0.2">
      <c r="A725"/>
      <c r="B725" s="663"/>
      <c r="C725" s="663"/>
      <c r="D725" s="663"/>
      <c r="E725" s="663"/>
    </row>
    <row r="726" spans="1:5" x14ac:dyDescent="0.2">
      <c r="A726"/>
      <c r="B726" s="663"/>
      <c r="C726" s="663"/>
      <c r="D726" s="663"/>
      <c r="E726" s="663"/>
    </row>
    <row r="727" spans="1:5" x14ac:dyDescent="0.2">
      <c r="A727"/>
      <c r="B727" s="663"/>
      <c r="C727" s="663"/>
      <c r="D727" s="663"/>
      <c r="E727" s="663"/>
    </row>
    <row r="728" spans="1:5" x14ac:dyDescent="0.2">
      <c r="A728"/>
      <c r="B728" s="663"/>
      <c r="C728" s="663"/>
      <c r="D728" s="663"/>
      <c r="E728" s="663"/>
    </row>
    <row r="729" spans="1:5" x14ac:dyDescent="0.2">
      <c r="A729"/>
      <c r="B729" s="663"/>
      <c r="C729" s="663"/>
      <c r="D729" s="663"/>
      <c r="E729" s="663"/>
    </row>
    <row r="730" spans="1:5" x14ac:dyDescent="0.2">
      <c r="A730"/>
      <c r="B730" s="663"/>
      <c r="C730" s="663"/>
      <c r="D730" s="663"/>
      <c r="E730" s="663"/>
    </row>
    <row r="731" spans="1:5" x14ac:dyDescent="0.2">
      <c r="A731"/>
      <c r="B731" s="663"/>
      <c r="C731" s="663"/>
      <c r="D731" s="663"/>
      <c r="E731" s="663"/>
    </row>
    <row r="732" spans="1:5" x14ac:dyDescent="0.2">
      <c r="A732"/>
      <c r="B732" s="663"/>
      <c r="C732" s="663"/>
      <c r="D732" s="663"/>
      <c r="E732" s="663"/>
    </row>
    <row r="733" spans="1:5" x14ac:dyDescent="0.2">
      <c r="A733"/>
      <c r="B733" s="663"/>
      <c r="C733" s="663"/>
      <c r="D733" s="663"/>
      <c r="E733" s="663"/>
    </row>
    <row r="734" spans="1:5" x14ac:dyDescent="0.2">
      <c r="A734"/>
      <c r="B734" s="663"/>
      <c r="C734" s="663"/>
      <c r="D734" s="663"/>
      <c r="E734" s="663"/>
    </row>
    <row r="735" spans="1:5" x14ac:dyDescent="0.2">
      <c r="A735"/>
      <c r="B735" s="663"/>
      <c r="C735" s="663"/>
      <c r="D735" s="663"/>
      <c r="E735" s="663"/>
    </row>
    <row r="736" spans="1:5" x14ac:dyDescent="0.2">
      <c r="A736"/>
      <c r="B736" s="663"/>
      <c r="C736" s="663"/>
      <c r="D736" s="663"/>
      <c r="E736" s="663"/>
    </row>
    <row r="737" spans="1:5" x14ac:dyDescent="0.2">
      <c r="A737"/>
      <c r="B737" s="663"/>
      <c r="C737" s="663"/>
      <c r="D737" s="663"/>
      <c r="E737" s="663"/>
    </row>
    <row r="738" spans="1:5" x14ac:dyDescent="0.2">
      <c r="A738"/>
      <c r="B738" s="663"/>
      <c r="C738" s="663"/>
      <c r="D738" s="663"/>
      <c r="E738" s="663"/>
    </row>
    <row r="739" spans="1:5" x14ac:dyDescent="0.2">
      <c r="A739"/>
      <c r="B739" s="663"/>
      <c r="C739" s="663"/>
      <c r="D739" s="663"/>
      <c r="E739" s="663"/>
    </row>
    <row r="740" spans="1:5" x14ac:dyDescent="0.2">
      <c r="A740"/>
      <c r="B740" s="663"/>
      <c r="C740" s="663"/>
      <c r="D740" s="663"/>
      <c r="E740" s="663"/>
    </row>
    <row r="741" spans="1:5" x14ac:dyDescent="0.2">
      <c r="A741"/>
      <c r="B741" s="663"/>
      <c r="C741" s="663"/>
      <c r="D741" s="663"/>
      <c r="E741" s="663"/>
    </row>
    <row r="742" spans="1:5" x14ac:dyDescent="0.2">
      <c r="A742"/>
      <c r="B742" s="663"/>
      <c r="C742" s="663"/>
      <c r="D742" s="663"/>
      <c r="E742" s="663"/>
    </row>
    <row r="743" spans="1:5" x14ac:dyDescent="0.2">
      <c r="A743"/>
      <c r="B743" s="663"/>
      <c r="C743" s="663"/>
      <c r="D743" s="663"/>
      <c r="E743" s="663"/>
    </row>
    <row r="744" spans="1:5" x14ac:dyDescent="0.2">
      <c r="A744"/>
      <c r="B744" s="663"/>
      <c r="C744" s="663"/>
      <c r="D744" s="663"/>
      <c r="E744" s="663"/>
    </row>
    <row r="745" spans="1:5" x14ac:dyDescent="0.2">
      <c r="A745"/>
      <c r="B745" s="663"/>
      <c r="C745" s="663"/>
      <c r="D745" s="663"/>
      <c r="E745" s="663"/>
    </row>
    <row r="746" spans="1:5" x14ac:dyDescent="0.2">
      <c r="A746"/>
      <c r="B746" s="663"/>
      <c r="C746" s="663"/>
      <c r="D746" s="663"/>
      <c r="E746" s="663"/>
    </row>
    <row r="747" spans="1:5" x14ac:dyDescent="0.2">
      <c r="A747"/>
      <c r="B747" s="663"/>
      <c r="C747" s="663"/>
      <c r="D747" s="663"/>
      <c r="E747" s="663"/>
    </row>
    <row r="748" spans="1:5" x14ac:dyDescent="0.2">
      <c r="A748"/>
      <c r="B748" s="663"/>
      <c r="C748" s="663"/>
      <c r="D748" s="663"/>
      <c r="E748" s="663"/>
    </row>
    <row r="749" spans="1:5" x14ac:dyDescent="0.2">
      <c r="A749"/>
      <c r="B749" s="663"/>
      <c r="C749" s="663"/>
      <c r="D749" s="663"/>
      <c r="E749" s="663"/>
    </row>
    <row r="750" spans="1:5" x14ac:dyDescent="0.2">
      <c r="A750"/>
      <c r="B750" s="663"/>
      <c r="C750" s="663"/>
      <c r="D750" s="663"/>
      <c r="E750" s="663"/>
    </row>
    <row r="751" spans="1:5" x14ac:dyDescent="0.2">
      <c r="A751"/>
      <c r="B751" s="663"/>
      <c r="C751" s="663"/>
      <c r="D751" s="663"/>
      <c r="E751" s="663"/>
    </row>
    <row r="752" spans="1:5" x14ac:dyDescent="0.2">
      <c r="A752"/>
      <c r="B752" s="663"/>
      <c r="C752" s="663"/>
      <c r="D752" s="663"/>
      <c r="E752" s="663"/>
    </row>
    <row r="753" spans="1:5" x14ac:dyDescent="0.2">
      <c r="A753"/>
      <c r="B753" s="663"/>
      <c r="C753" s="663"/>
      <c r="D753" s="663"/>
      <c r="E753" s="663"/>
    </row>
    <row r="754" spans="1:5" x14ac:dyDescent="0.2">
      <c r="A754"/>
      <c r="B754" s="663"/>
      <c r="C754" s="663"/>
      <c r="D754" s="663"/>
      <c r="E754" s="663"/>
    </row>
    <row r="755" spans="1:5" x14ac:dyDescent="0.2">
      <c r="A755"/>
      <c r="B755" s="663"/>
      <c r="C755" s="663"/>
      <c r="D755" s="663"/>
      <c r="E755" s="663"/>
    </row>
    <row r="756" spans="1:5" x14ac:dyDescent="0.2">
      <c r="A756"/>
      <c r="B756" s="663"/>
      <c r="C756" s="663"/>
      <c r="D756" s="663"/>
      <c r="E756" s="663"/>
    </row>
    <row r="757" spans="1:5" x14ac:dyDescent="0.2">
      <c r="A757"/>
      <c r="B757" s="663"/>
      <c r="C757" s="663"/>
      <c r="D757" s="663"/>
      <c r="E757" s="663"/>
    </row>
    <row r="758" spans="1:5" x14ac:dyDescent="0.2">
      <c r="A758"/>
      <c r="B758" s="663"/>
      <c r="C758" s="663"/>
      <c r="D758" s="663"/>
      <c r="E758" s="663"/>
    </row>
    <row r="759" spans="1:5" x14ac:dyDescent="0.2">
      <c r="A759"/>
      <c r="B759" s="663"/>
      <c r="C759" s="663"/>
      <c r="D759" s="663"/>
      <c r="E759" s="663"/>
    </row>
    <row r="760" spans="1:5" x14ac:dyDescent="0.2">
      <c r="A760"/>
      <c r="B760" s="663"/>
      <c r="C760" s="663"/>
      <c r="D760" s="663"/>
      <c r="E760" s="663"/>
    </row>
    <row r="761" spans="1:5" x14ac:dyDescent="0.2">
      <c r="A761"/>
      <c r="B761" s="663"/>
      <c r="C761" s="663"/>
      <c r="D761" s="663"/>
      <c r="E761" s="663"/>
    </row>
    <row r="762" spans="1:5" x14ac:dyDescent="0.2">
      <c r="A762"/>
      <c r="B762" s="663"/>
      <c r="C762" s="663"/>
      <c r="D762" s="663"/>
      <c r="E762" s="663"/>
    </row>
    <row r="763" spans="1:5" x14ac:dyDescent="0.2">
      <c r="A763"/>
      <c r="B763" s="663"/>
      <c r="C763" s="663"/>
      <c r="D763" s="663"/>
      <c r="E763" s="663"/>
    </row>
    <row r="764" spans="1:5" x14ac:dyDescent="0.2">
      <c r="A764"/>
      <c r="B764" s="663"/>
      <c r="C764" s="663"/>
      <c r="D764" s="663"/>
      <c r="E764" s="663"/>
    </row>
    <row r="765" spans="1:5" x14ac:dyDescent="0.2">
      <c r="A765"/>
      <c r="B765" s="663"/>
      <c r="C765" s="663"/>
      <c r="D765" s="663"/>
      <c r="E765" s="663"/>
    </row>
    <row r="766" spans="1:5" x14ac:dyDescent="0.2">
      <c r="A766"/>
      <c r="B766" s="663"/>
      <c r="C766" s="663"/>
      <c r="D766" s="663"/>
      <c r="E766" s="663"/>
    </row>
    <row r="767" spans="1:5" x14ac:dyDescent="0.2">
      <c r="A767"/>
      <c r="B767" s="663"/>
      <c r="C767" s="663"/>
      <c r="D767" s="663"/>
      <c r="E767" s="663"/>
    </row>
    <row r="768" spans="1:5" x14ac:dyDescent="0.2">
      <c r="A768"/>
      <c r="B768" s="663"/>
      <c r="C768" s="663"/>
      <c r="D768" s="663"/>
      <c r="E768" s="663"/>
    </row>
    <row r="769" spans="1:5" x14ac:dyDescent="0.2">
      <c r="A769"/>
      <c r="B769" s="663"/>
      <c r="C769" s="663"/>
      <c r="D769" s="663"/>
      <c r="E769" s="663"/>
    </row>
    <row r="770" spans="1:5" x14ac:dyDescent="0.2">
      <c r="A770"/>
      <c r="B770" s="663"/>
      <c r="C770" s="663"/>
      <c r="D770" s="663"/>
      <c r="E770" s="663"/>
    </row>
    <row r="771" spans="1:5" x14ac:dyDescent="0.2">
      <c r="A771"/>
      <c r="B771" s="663"/>
      <c r="C771" s="663"/>
      <c r="D771" s="663"/>
      <c r="E771" s="663"/>
    </row>
    <row r="772" spans="1:5" x14ac:dyDescent="0.2">
      <c r="A772"/>
      <c r="B772" s="663"/>
      <c r="C772" s="663"/>
      <c r="D772" s="663"/>
      <c r="E772" s="663"/>
    </row>
    <row r="773" spans="1:5" x14ac:dyDescent="0.2">
      <c r="A773"/>
      <c r="B773" s="663"/>
      <c r="C773" s="663"/>
      <c r="D773" s="663"/>
      <c r="E773" s="663"/>
    </row>
    <row r="774" spans="1:5" x14ac:dyDescent="0.2">
      <c r="A774"/>
      <c r="B774" s="663"/>
      <c r="C774" s="663"/>
      <c r="D774" s="663"/>
      <c r="E774" s="663"/>
    </row>
    <row r="775" spans="1:5" x14ac:dyDescent="0.2">
      <c r="A775"/>
      <c r="B775" s="663"/>
      <c r="C775" s="663"/>
      <c r="D775" s="663"/>
      <c r="E775" s="663"/>
    </row>
    <row r="776" spans="1:5" x14ac:dyDescent="0.2">
      <c r="A776"/>
      <c r="B776" s="663"/>
      <c r="C776" s="663"/>
      <c r="D776" s="663"/>
      <c r="E776" s="663"/>
    </row>
    <row r="777" spans="1:5" x14ac:dyDescent="0.2">
      <c r="A777"/>
      <c r="B777" s="663"/>
      <c r="C777" s="663"/>
      <c r="D777" s="663"/>
      <c r="E777" s="663"/>
    </row>
    <row r="778" spans="1:5" x14ac:dyDescent="0.2">
      <c r="A778"/>
      <c r="B778" s="663"/>
      <c r="C778" s="663"/>
      <c r="D778" s="663"/>
      <c r="E778" s="663"/>
    </row>
    <row r="779" spans="1:5" x14ac:dyDescent="0.2">
      <c r="A779"/>
      <c r="B779" s="663"/>
      <c r="C779" s="663"/>
      <c r="D779" s="663"/>
      <c r="E779" s="663"/>
    </row>
    <row r="780" spans="1:5" x14ac:dyDescent="0.2">
      <c r="A780"/>
      <c r="B780" s="663"/>
      <c r="C780" s="663"/>
      <c r="D780" s="663"/>
      <c r="E780" s="663"/>
    </row>
    <row r="781" spans="1:5" x14ac:dyDescent="0.2">
      <c r="A781"/>
      <c r="B781" s="663"/>
      <c r="C781" s="663"/>
      <c r="D781" s="663"/>
      <c r="E781" s="663"/>
    </row>
    <row r="782" spans="1:5" x14ac:dyDescent="0.2">
      <c r="A782"/>
      <c r="B782" s="663"/>
      <c r="C782" s="663"/>
      <c r="D782" s="663"/>
      <c r="E782" s="663"/>
    </row>
    <row r="783" spans="1:5" x14ac:dyDescent="0.2">
      <c r="A783"/>
      <c r="B783" s="663"/>
      <c r="C783" s="663"/>
      <c r="D783" s="663"/>
      <c r="E783" s="663"/>
    </row>
    <row r="784" spans="1:5" x14ac:dyDescent="0.2">
      <c r="A784"/>
      <c r="B784" s="663"/>
      <c r="C784" s="663"/>
      <c r="D784" s="663"/>
      <c r="E784" s="663"/>
    </row>
    <row r="785" spans="1:5" x14ac:dyDescent="0.2">
      <c r="A785"/>
      <c r="B785" s="663"/>
      <c r="C785" s="663"/>
      <c r="D785" s="663"/>
      <c r="E785" s="663"/>
    </row>
    <row r="786" spans="1:5" x14ac:dyDescent="0.2">
      <c r="A786"/>
      <c r="B786" s="663"/>
      <c r="C786" s="663"/>
      <c r="D786" s="663"/>
      <c r="E786" s="663"/>
    </row>
    <row r="787" spans="1:5" x14ac:dyDescent="0.2">
      <c r="A787"/>
      <c r="B787" s="663"/>
      <c r="C787" s="663"/>
      <c r="D787" s="663"/>
      <c r="E787" s="663"/>
    </row>
    <row r="788" spans="1:5" x14ac:dyDescent="0.2">
      <c r="A788"/>
      <c r="B788" s="663"/>
      <c r="C788" s="663"/>
      <c r="D788" s="663"/>
      <c r="E788" s="663"/>
    </row>
    <row r="789" spans="1:5" x14ac:dyDescent="0.2">
      <c r="A789"/>
      <c r="B789" s="663"/>
      <c r="C789" s="663"/>
      <c r="D789" s="663"/>
      <c r="E789" s="663"/>
    </row>
    <row r="790" spans="1:5" x14ac:dyDescent="0.2">
      <c r="A790"/>
      <c r="B790" s="663"/>
      <c r="C790" s="663"/>
      <c r="D790" s="663"/>
      <c r="E790" s="663"/>
    </row>
    <row r="791" spans="1:5" x14ac:dyDescent="0.2">
      <c r="A791"/>
      <c r="B791" s="663"/>
      <c r="C791" s="663"/>
      <c r="D791" s="663"/>
      <c r="E791" s="663"/>
    </row>
    <row r="792" spans="1:5" x14ac:dyDescent="0.2">
      <c r="A792"/>
      <c r="B792" s="663"/>
      <c r="C792" s="663"/>
      <c r="D792" s="663"/>
      <c r="E792" s="663"/>
    </row>
    <row r="793" spans="1:5" x14ac:dyDescent="0.2">
      <c r="A793"/>
      <c r="B793" s="663"/>
      <c r="C793" s="663"/>
      <c r="D793" s="663"/>
      <c r="E793" s="663"/>
    </row>
    <row r="794" spans="1:5" x14ac:dyDescent="0.2">
      <c r="A794"/>
      <c r="B794" s="663"/>
      <c r="C794" s="663"/>
      <c r="D794" s="663"/>
      <c r="E794" s="663"/>
    </row>
    <row r="795" spans="1:5" x14ac:dyDescent="0.2">
      <c r="A795"/>
      <c r="B795" s="663"/>
      <c r="C795" s="663"/>
      <c r="D795" s="663"/>
      <c r="E795" s="663"/>
    </row>
    <row r="796" spans="1:5" x14ac:dyDescent="0.2">
      <c r="A796"/>
      <c r="B796" s="663"/>
      <c r="C796" s="663"/>
      <c r="D796" s="663"/>
      <c r="E796" s="663"/>
    </row>
    <row r="797" spans="1:5" x14ac:dyDescent="0.2">
      <c r="A797"/>
      <c r="B797" s="663"/>
      <c r="C797" s="663"/>
      <c r="D797" s="663"/>
      <c r="E797" s="663"/>
    </row>
    <row r="798" spans="1:5" x14ac:dyDescent="0.2">
      <c r="A798"/>
      <c r="B798" s="663"/>
      <c r="C798" s="663"/>
      <c r="D798" s="663"/>
      <c r="E798" s="663"/>
    </row>
    <row r="799" spans="1:5" x14ac:dyDescent="0.2">
      <c r="A799"/>
      <c r="B799" s="663"/>
      <c r="C799" s="663"/>
      <c r="D799" s="663"/>
      <c r="E799" s="663"/>
    </row>
    <row r="800" spans="1:5" x14ac:dyDescent="0.2">
      <c r="A800"/>
      <c r="B800" s="663"/>
      <c r="C800" s="663"/>
      <c r="D800" s="663"/>
      <c r="E800" s="663"/>
    </row>
    <row r="801" spans="1:5" x14ac:dyDescent="0.2">
      <c r="A801"/>
      <c r="B801" s="663"/>
      <c r="C801" s="663"/>
      <c r="D801" s="663"/>
      <c r="E801" s="663"/>
    </row>
    <row r="802" spans="1:5" x14ac:dyDescent="0.2">
      <c r="A802"/>
      <c r="B802" s="663"/>
      <c r="C802" s="663"/>
      <c r="D802" s="663"/>
      <c r="E802" s="663"/>
    </row>
    <row r="803" spans="1:5" x14ac:dyDescent="0.2">
      <c r="A803"/>
      <c r="B803" s="663"/>
      <c r="C803" s="663"/>
      <c r="D803" s="663"/>
      <c r="E803" s="663"/>
    </row>
    <row r="804" spans="1:5" x14ac:dyDescent="0.2">
      <c r="A804"/>
      <c r="B804" s="663"/>
      <c r="C804" s="663"/>
      <c r="D804" s="663"/>
      <c r="E804" s="663"/>
    </row>
    <row r="805" spans="1:5" x14ac:dyDescent="0.2">
      <c r="A805"/>
      <c r="B805" s="663"/>
      <c r="C805" s="663"/>
      <c r="D805" s="663"/>
      <c r="E805" s="663"/>
    </row>
    <row r="806" spans="1:5" x14ac:dyDescent="0.2">
      <c r="A806"/>
      <c r="B806" s="663"/>
      <c r="C806" s="663"/>
      <c r="D806" s="663"/>
      <c r="E806" s="663"/>
    </row>
    <row r="807" spans="1:5" x14ac:dyDescent="0.2">
      <c r="A807"/>
      <c r="B807" s="663"/>
      <c r="C807" s="663"/>
      <c r="D807" s="663"/>
      <c r="E807" s="663"/>
    </row>
    <row r="808" spans="1:5" x14ac:dyDescent="0.2">
      <c r="A808"/>
      <c r="B808" s="663"/>
      <c r="C808" s="663"/>
      <c r="D808" s="663"/>
      <c r="E808" s="663"/>
    </row>
    <row r="809" spans="1:5" x14ac:dyDescent="0.2">
      <c r="A809"/>
      <c r="B809" s="663"/>
      <c r="C809" s="663"/>
      <c r="D809" s="663"/>
      <c r="E809" s="663"/>
    </row>
    <row r="810" spans="1:5" x14ac:dyDescent="0.2">
      <c r="A810"/>
      <c r="B810" s="663"/>
      <c r="C810" s="663"/>
      <c r="D810" s="663"/>
      <c r="E810" s="663"/>
    </row>
    <row r="811" spans="1:5" x14ac:dyDescent="0.2">
      <c r="A811"/>
      <c r="B811" s="663"/>
      <c r="C811" s="663"/>
      <c r="D811" s="663"/>
      <c r="E811" s="663"/>
    </row>
    <row r="812" spans="1:5" x14ac:dyDescent="0.2">
      <c r="A812"/>
      <c r="B812" s="663"/>
      <c r="C812" s="663"/>
      <c r="D812" s="663"/>
      <c r="E812" s="663"/>
    </row>
    <row r="813" spans="1:5" x14ac:dyDescent="0.2">
      <c r="A813"/>
      <c r="B813" s="663"/>
      <c r="C813" s="663"/>
      <c r="D813" s="663"/>
      <c r="E813" s="663"/>
    </row>
    <row r="814" spans="1:5" x14ac:dyDescent="0.2">
      <c r="A814"/>
      <c r="B814" s="663"/>
      <c r="C814" s="663"/>
      <c r="D814" s="663"/>
      <c r="E814" s="663"/>
    </row>
    <row r="815" spans="1:5" x14ac:dyDescent="0.2">
      <c r="A815"/>
      <c r="B815" s="663"/>
      <c r="C815" s="663"/>
      <c r="D815" s="663"/>
      <c r="E815" s="663"/>
    </row>
    <row r="816" spans="1:5" x14ac:dyDescent="0.2">
      <c r="A816"/>
      <c r="B816" s="663"/>
      <c r="C816" s="663"/>
      <c r="D816" s="663"/>
      <c r="E816" s="663"/>
    </row>
    <row r="817" spans="1:5" x14ac:dyDescent="0.2">
      <c r="A817"/>
      <c r="B817" s="663"/>
      <c r="C817" s="663"/>
      <c r="D817" s="663"/>
      <c r="E817" s="663"/>
    </row>
    <row r="818" spans="1:5" x14ac:dyDescent="0.2">
      <c r="A818"/>
      <c r="B818" s="663"/>
      <c r="C818" s="663"/>
      <c r="D818" s="663"/>
      <c r="E818" s="663"/>
    </row>
    <row r="819" spans="1:5" x14ac:dyDescent="0.2">
      <c r="A819"/>
      <c r="B819" s="663"/>
      <c r="C819" s="663"/>
      <c r="D819" s="663"/>
      <c r="E819" s="663"/>
    </row>
    <row r="820" spans="1:5" x14ac:dyDescent="0.2">
      <c r="A820"/>
      <c r="B820" s="663"/>
      <c r="C820" s="663"/>
      <c r="D820" s="663"/>
      <c r="E820" s="663"/>
    </row>
    <row r="821" spans="1:5" x14ac:dyDescent="0.2">
      <c r="A821"/>
      <c r="B821" s="663"/>
      <c r="C821" s="663"/>
      <c r="D821" s="663"/>
      <c r="E821" s="663"/>
    </row>
    <row r="822" spans="1:5" x14ac:dyDescent="0.2">
      <c r="A822"/>
      <c r="B822" s="663"/>
      <c r="C822" s="663"/>
      <c r="D822" s="663"/>
      <c r="E822" s="663"/>
    </row>
    <row r="823" spans="1:5" x14ac:dyDescent="0.2">
      <c r="A823"/>
      <c r="B823" s="663"/>
      <c r="C823" s="663"/>
      <c r="D823" s="663"/>
      <c r="E823" s="663"/>
    </row>
    <row r="824" spans="1:5" x14ac:dyDescent="0.2">
      <c r="A824"/>
      <c r="B824" s="663"/>
      <c r="C824" s="663"/>
      <c r="D824" s="663"/>
      <c r="E824" s="663"/>
    </row>
    <row r="825" spans="1:5" x14ac:dyDescent="0.2">
      <c r="A825"/>
      <c r="B825" s="663"/>
      <c r="C825" s="663"/>
      <c r="D825" s="663"/>
      <c r="E825" s="663"/>
    </row>
    <row r="826" spans="1:5" x14ac:dyDescent="0.2">
      <c r="A826"/>
      <c r="B826" s="663"/>
      <c r="C826" s="663"/>
      <c r="D826" s="663"/>
      <c r="E826" s="663"/>
    </row>
    <row r="827" spans="1:5" x14ac:dyDescent="0.2">
      <c r="A827"/>
      <c r="B827" s="663"/>
      <c r="C827" s="663"/>
      <c r="D827" s="663"/>
      <c r="E827" s="663"/>
    </row>
    <row r="828" spans="1:5" x14ac:dyDescent="0.2">
      <c r="A828"/>
      <c r="B828" s="663"/>
      <c r="C828" s="663"/>
      <c r="D828" s="663"/>
      <c r="E828" s="663"/>
    </row>
    <row r="829" spans="1:5" x14ac:dyDescent="0.2">
      <c r="A829"/>
      <c r="B829" s="663"/>
      <c r="C829" s="663"/>
      <c r="D829" s="663"/>
      <c r="E829" s="663"/>
    </row>
    <row r="830" spans="1:5" x14ac:dyDescent="0.2">
      <c r="A830"/>
      <c r="B830" s="663"/>
      <c r="C830" s="663"/>
      <c r="D830" s="663"/>
      <c r="E830" s="663"/>
    </row>
    <row r="831" spans="1:5" x14ac:dyDescent="0.2">
      <c r="A831"/>
      <c r="B831" s="663"/>
      <c r="C831" s="663"/>
      <c r="D831" s="663"/>
      <c r="E831" s="663"/>
    </row>
    <row r="832" spans="1:5" x14ac:dyDescent="0.2">
      <c r="A832"/>
      <c r="B832" s="663"/>
      <c r="C832" s="663"/>
      <c r="D832" s="663"/>
      <c r="E832" s="663"/>
    </row>
    <row r="833" spans="1:5" x14ac:dyDescent="0.2">
      <c r="A833"/>
      <c r="B833" s="663"/>
      <c r="C833" s="663"/>
      <c r="D833" s="663"/>
      <c r="E833" s="663"/>
    </row>
    <row r="834" spans="1:5" x14ac:dyDescent="0.2">
      <c r="A834"/>
      <c r="B834" s="663"/>
      <c r="C834" s="663"/>
      <c r="D834" s="663"/>
      <c r="E834" s="663"/>
    </row>
    <row r="835" spans="1:5" x14ac:dyDescent="0.2">
      <c r="A835"/>
      <c r="B835" s="663"/>
      <c r="C835" s="663"/>
      <c r="D835" s="663"/>
      <c r="E835" s="663"/>
    </row>
    <row r="836" spans="1:5" x14ac:dyDescent="0.2">
      <c r="A836"/>
      <c r="B836" s="663"/>
      <c r="C836" s="663"/>
      <c r="D836" s="663"/>
      <c r="E836" s="663"/>
    </row>
    <row r="837" spans="1:5" x14ac:dyDescent="0.2">
      <c r="A837"/>
      <c r="B837" s="663"/>
      <c r="C837" s="663"/>
      <c r="D837" s="663"/>
      <c r="E837" s="663"/>
    </row>
    <row r="838" spans="1:5" x14ac:dyDescent="0.2">
      <c r="A838"/>
      <c r="B838" s="663"/>
      <c r="C838" s="663"/>
      <c r="D838" s="663"/>
      <c r="E838" s="663"/>
    </row>
    <row r="839" spans="1:5" x14ac:dyDescent="0.2">
      <c r="A839"/>
      <c r="B839" s="663"/>
      <c r="C839" s="663"/>
      <c r="D839" s="663"/>
      <c r="E839" s="663"/>
    </row>
    <row r="840" spans="1:5" x14ac:dyDescent="0.2">
      <c r="A840"/>
      <c r="B840" s="663"/>
      <c r="C840" s="663"/>
      <c r="D840" s="663"/>
      <c r="E840" s="663"/>
    </row>
    <row r="841" spans="1:5" x14ac:dyDescent="0.2">
      <c r="A841"/>
      <c r="B841" s="663"/>
      <c r="C841" s="663"/>
      <c r="D841" s="663"/>
      <c r="E841" s="663"/>
    </row>
    <row r="842" spans="1:5" x14ac:dyDescent="0.2">
      <c r="A842"/>
      <c r="B842" s="663"/>
      <c r="C842" s="663"/>
      <c r="D842" s="663"/>
      <c r="E842" s="663"/>
    </row>
    <row r="843" spans="1:5" x14ac:dyDescent="0.2">
      <c r="A843"/>
      <c r="B843" s="663"/>
      <c r="C843" s="663"/>
      <c r="D843" s="663"/>
      <c r="E843" s="663"/>
    </row>
    <row r="844" spans="1:5" x14ac:dyDescent="0.2">
      <c r="A844"/>
      <c r="B844" s="663"/>
      <c r="C844" s="663"/>
      <c r="D844" s="663"/>
      <c r="E844" s="663"/>
    </row>
    <row r="845" spans="1:5" x14ac:dyDescent="0.2">
      <c r="A845"/>
      <c r="B845" s="663"/>
      <c r="C845" s="663"/>
      <c r="D845" s="663"/>
      <c r="E845" s="663"/>
    </row>
    <row r="846" spans="1:5" x14ac:dyDescent="0.2">
      <c r="A846"/>
      <c r="B846" s="663"/>
      <c r="C846" s="663"/>
      <c r="D846" s="663"/>
      <c r="E846" s="663"/>
    </row>
    <row r="847" spans="1:5" x14ac:dyDescent="0.2">
      <c r="A847"/>
      <c r="B847" s="663"/>
      <c r="C847" s="663"/>
      <c r="D847" s="663"/>
      <c r="E847" s="663"/>
    </row>
    <row r="848" spans="1:5" x14ac:dyDescent="0.2">
      <c r="A848"/>
      <c r="B848" s="663"/>
      <c r="C848" s="663"/>
      <c r="D848" s="663"/>
      <c r="E848" s="663"/>
    </row>
    <row r="849" spans="1:5" x14ac:dyDescent="0.2">
      <c r="A849"/>
      <c r="B849" s="663"/>
      <c r="C849" s="663"/>
      <c r="D849" s="663"/>
      <c r="E849" s="663"/>
    </row>
    <row r="850" spans="1:5" x14ac:dyDescent="0.2">
      <c r="A850"/>
      <c r="B850" s="663"/>
      <c r="C850" s="663"/>
      <c r="D850" s="663"/>
      <c r="E850" s="663"/>
    </row>
    <row r="851" spans="1:5" x14ac:dyDescent="0.2">
      <c r="A851"/>
      <c r="B851" s="663"/>
      <c r="C851" s="663"/>
      <c r="D851" s="663"/>
      <c r="E851" s="663"/>
    </row>
    <row r="852" spans="1:5" x14ac:dyDescent="0.2">
      <c r="A852"/>
      <c r="B852" s="663"/>
      <c r="C852" s="663"/>
      <c r="D852" s="663"/>
      <c r="E852" s="663"/>
    </row>
    <row r="853" spans="1:5" x14ac:dyDescent="0.2">
      <c r="A853"/>
      <c r="B853" s="663"/>
      <c r="C853" s="663"/>
      <c r="D853" s="663"/>
      <c r="E853" s="663"/>
    </row>
    <row r="854" spans="1:5" x14ac:dyDescent="0.2">
      <c r="A854"/>
      <c r="B854" s="663"/>
      <c r="C854" s="663"/>
      <c r="D854" s="663"/>
      <c r="E854" s="663"/>
    </row>
    <row r="855" spans="1:5" x14ac:dyDescent="0.2">
      <c r="A855"/>
      <c r="B855" s="663"/>
      <c r="C855" s="663"/>
      <c r="D855" s="663"/>
      <c r="E855" s="663"/>
    </row>
    <row r="856" spans="1:5" x14ac:dyDescent="0.2">
      <c r="A856"/>
      <c r="B856" s="663"/>
      <c r="C856" s="663"/>
      <c r="D856" s="663"/>
      <c r="E856" s="663"/>
    </row>
    <row r="857" spans="1:5" x14ac:dyDescent="0.2">
      <c r="A857"/>
      <c r="B857" s="663"/>
      <c r="C857" s="663"/>
      <c r="D857" s="663"/>
      <c r="E857" s="663"/>
    </row>
    <row r="858" spans="1:5" x14ac:dyDescent="0.2">
      <c r="A858"/>
      <c r="B858" s="663"/>
      <c r="C858" s="663"/>
      <c r="D858" s="663"/>
      <c r="E858" s="663"/>
    </row>
    <row r="859" spans="1:5" x14ac:dyDescent="0.2">
      <c r="A859"/>
      <c r="B859" s="663"/>
      <c r="C859" s="663"/>
      <c r="D859" s="663"/>
      <c r="E859" s="663"/>
    </row>
    <row r="860" spans="1:5" x14ac:dyDescent="0.2">
      <c r="A860"/>
      <c r="B860" s="663"/>
      <c r="C860" s="663"/>
      <c r="D860" s="663"/>
      <c r="E860" s="663"/>
    </row>
    <row r="861" spans="1:5" x14ac:dyDescent="0.2">
      <c r="A861"/>
      <c r="B861" s="663"/>
      <c r="C861" s="663"/>
      <c r="D861" s="663"/>
      <c r="E861" s="663"/>
    </row>
    <row r="862" spans="1:5" x14ac:dyDescent="0.2">
      <c r="A862"/>
      <c r="B862" s="663"/>
      <c r="C862" s="663"/>
      <c r="D862" s="663"/>
      <c r="E862" s="663"/>
    </row>
    <row r="863" spans="1:5" x14ac:dyDescent="0.2">
      <c r="A863"/>
      <c r="B863" s="663"/>
      <c r="C863" s="663"/>
      <c r="D863" s="663"/>
      <c r="E863" s="663"/>
    </row>
    <row r="864" spans="1:5" x14ac:dyDescent="0.2">
      <c r="A864"/>
      <c r="B864" s="663"/>
      <c r="C864" s="663"/>
      <c r="D864" s="663"/>
      <c r="E864" s="663"/>
    </row>
    <row r="865" spans="1:5" x14ac:dyDescent="0.2">
      <c r="A865"/>
      <c r="B865" s="663"/>
      <c r="C865" s="663"/>
      <c r="D865" s="663"/>
      <c r="E865" s="663"/>
    </row>
    <row r="866" spans="1:5" x14ac:dyDescent="0.2">
      <c r="A866"/>
      <c r="B866" s="663"/>
      <c r="C866" s="663"/>
      <c r="D866" s="663"/>
      <c r="E866" s="663"/>
    </row>
    <row r="867" spans="1:5" x14ac:dyDescent="0.2">
      <c r="A867"/>
      <c r="B867" s="663"/>
      <c r="C867" s="663"/>
      <c r="D867" s="663"/>
      <c r="E867" s="663"/>
    </row>
    <row r="868" spans="1:5" x14ac:dyDescent="0.2">
      <c r="A868"/>
      <c r="B868" s="663"/>
      <c r="C868" s="663"/>
      <c r="D868" s="663"/>
      <c r="E868" s="663"/>
    </row>
    <row r="869" spans="1:5" x14ac:dyDescent="0.2">
      <c r="A869"/>
      <c r="B869" s="663"/>
      <c r="C869" s="663"/>
      <c r="D869" s="663"/>
      <c r="E869" s="663"/>
    </row>
    <row r="870" spans="1:5" x14ac:dyDescent="0.2">
      <c r="A870"/>
      <c r="B870" s="663"/>
      <c r="C870" s="663"/>
      <c r="D870" s="663"/>
      <c r="E870" s="663"/>
    </row>
    <row r="871" spans="1:5" x14ac:dyDescent="0.2">
      <c r="A871"/>
      <c r="B871" s="663"/>
      <c r="C871" s="663"/>
      <c r="D871" s="663"/>
      <c r="E871" s="663"/>
    </row>
    <row r="872" spans="1:5" x14ac:dyDescent="0.2">
      <c r="A872"/>
      <c r="B872" s="663"/>
      <c r="C872" s="663"/>
      <c r="D872" s="663"/>
      <c r="E872" s="663"/>
    </row>
    <row r="873" spans="1:5" x14ac:dyDescent="0.2">
      <c r="A873"/>
      <c r="B873" s="663"/>
      <c r="C873" s="663"/>
      <c r="D873" s="663"/>
      <c r="E873" s="663"/>
    </row>
    <row r="874" spans="1:5" x14ac:dyDescent="0.2">
      <c r="A874"/>
      <c r="B874" s="663"/>
      <c r="C874" s="663"/>
      <c r="D874" s="663"/>
      <c r="E874" s="663"/>
    </row>
    <row r="875" spans="1:5" x14ac:dyDescent="0.2">
      <c r="A875"/>
      <c r="B875" s="663"/>
      <c r="C875" s="663"/>
      <c r="D875" s="663"/>
      <c r="E875" s="663"/>
    </row>
    <row r="876" spans="1:5" x14ac:dyDescent="0.2">
      <c r="A876"/>
      <c r="B876" s="663"/>
      <c r="C876" s="663"/>
      <c r="D876" s="663"/>
      <c r="E876" s="663"/>
    </row>
    <row r="877" spans="1:5" x14ac:dyDescent="0.2">
      <c r="A877"/>
      <c r="B877" s="663"/>
      <c r="C877" s="663"/>
      <c r="D877" s="663"/>
      <c r="E877" s="663"/>
    </row>
    <row r="878" spans="1:5" x14ac:dyDescent="0.2">
      <c r="A878"/>
      <c r="B878" s="663"/>
      <c r="C878" s="663"/>
      <c r="D878" s="663"/>
      <c r="E878" s="663"/>
    </row>
    <row r="879" spans="1:5" x14ac:dyDescent="0.2">
      <c r="A879"/>
      <c r="B879" s="663"/>
      <c r="C879" s="663"/>
      <c r="D879" s="663"/>
      <c r="E879" s="663"/>
    </row>
    <row r="880" spans="1:5" x14ac:dyDescent="0.2">
      <c r="A880"/>
      <c r="B880" s="663"/>
      <c r="C880" s="663"/>
      <c r="D880" s="663"/>
      <c r="E880" s="663"/>
    </row>
    <row r="881" spans="1:5" x14ac:dyDescent="0.2">
      <c r="A881"/>
      <c r="B881" s="663"/>
      <c r="C881" s="663"/>
      <c r="D881" s="663"/>
      <c r="E881" s="663"/>
    </row>
    <row r="882" spans="1:5" x14ac:dyDescent="0.2">
      <c r="A882"/>
      <c r="B882" s="663"/>
      <c r="C882" s="663"/>
      <c r="D882" s="663"/>
      <c r="E882" s="663"/>
    </row>
    <row r="883" spans="1:5" x14ac:dyDescent="0.2">
      <c r="A883"/>
      <c r="B883" s="663"/>
      <c r="C883" s="663"/>
      <c r="D883" s="663"/>
      <c r="E883" s="663"/>
    </row>
    <row r="884" spans="1:5" x14ac:dyDescent="0.2">
      <c r="A884"/>
      <c r="B884" s="663"/>
      <c r="C884" s="663"/>
      <c r="D884" s="663"/>
      <c r="E884" s="663"/>
    </row>
    <row r="885" spans="1:5" x14ac:dyDescent="0.2">
      <c r="A885"/>
      <c r="B885" s="663"/>
      <c r="C885" s="663"/>
      <c r="D885" s="663"/>
      <c r="E885" s="663"/>
    </row>
    <row r="886" spans="1:5" x14ac:dyDescent="0.2">
      <c r="A886"/>
      <c r="B886" s="663"/>
      <c r="C886" s="663"/>
      <c r="D886" s="663"/>
      <c r="E886" s="663"/>
    </row>
    <row r="887" spans="1:5" x14ac:dyDescent="0.2">
      <c r="A887"/>
      <c r="B887" s="663"/>
      <c r="C887" s="663"/>
      <c r="D887" s="663"/>
      <c r="E887" s="663"/>
    </row>
    <row r="888" spans="1:5" x14ac:dyDescent="0.2">
      <c r="A888"/>
      <c r="B888" s="663"/>
      <c r="C888" s="663"/>
      <c r="D888" s="663"/>
      <c r="E888" s="663"/>
    </row>
    <row r="889" spans="1:5" x14ac:dyDescent="0.2">
      <c r="A889"/>
      <c r="B889" s="663"/>
      <c r="C889" s="663"/>
      <c r="D889" s="663"/>
      <c r="E889" s="663"/>
    </row>
    <row r="890" spans="1:5" x14ac:dyDescent="0.2">
      <c r="A890"/>
      <c r="B890" s="663"/>
      <c r="C890" s="663"/>
      <c r="D890" s="663"/>
      <c r="E890" s="663"/>
    </row>
    <row r="891" spans="1:5" x14ac:dyDescent="0.2">
      <c r="A891"/>
      <c r="B891" s="663"/>
      <c r="C891" s="663"/>
      <c r="D891" s="663"/>
      <c r="E891" s="663"/>
    </row>
    <row r="892" spans="1:5" x14ac:dyDescent="0.2">
      <c r="A892"/>
      <c r="B892" s="663"/>
      <c r="C892" s="663"/>
      <c r="D892" s="663"/>
      <c r="E892" s="663"/>
    </row>
    <row r="893" spans="1:5" x14ac:dyDescent="0.2">
      <c r="A893"/>
      <c r="B893" s="663"/>
      <c r="C893" s="663"/>
      <c r="D893" s="663"/>
      <c r="E893" s="663"/>
    </row>
    <row r="894" spans="1:5" x14ac:dyDescent="0.2">
      <c r="A894"/>
      <c r="B894" s="663"/>
      <c r="C894" s="663"/>
      <c r="D894" s="663"/>
      <c r="E894" s="663"/>
    </row>
    <row r="895" spans="1:5" x14ac:dyDescent="0.2">
      <c r="A895"/>
      <c r="B895" s="663"/>
      <c r="C895" s="663"/>
      <c r="D895" s="663"/>
      <c r="E895" s="663"/>
    </row>
    <row r="896" spans="1:5" x14ac:dyDescent="0.2">
      <c r="A896"/>
      <c r="B896" s="663"/>
      <c r="C896" s="663"/>
      <c r="D896" s="663"/>
      <c r="E896" s="663"/>
    </row>
    <row r="897" spans="1:5" x14ac:dyDescent="0.2">
      <c r="A897"/>
      <c r="B897" s="663"/>
      <c r="C897" s="663"/>
      <c r="D897" s="663"/>
      <c r="E897" s="663"/>
    </row>
    <row r="898" spans="1:5" x14ac:dyDescent="0.2">
      <c r="A898"/>
      <c r="B898" s="663"/>
      <c r="C898" s="663"/>
      <c r="D898" s="663"/>
      <c r="E898" s="663"/>
    </row>
    <row r="899" spans="1:5" x14ac:dyDescent="0.2">
      <c r="A899"/>
      <c r="B899" s="663"/>
      <c r="C899" s="663"/>
      <c r="D899" s="663"/>
      <c r="E899" s="663"/>
    </row>
    <row r="900" spans="1:5" x14ac:dyDescent="0.2">
      <c r="A900"/>
      <c r="B900" s="663"/>
      <c r="C900" s="663"/>
      <c r="D900" s="663"/>
      <c r="E900" s="663"/>
    </row>
    <row r="901" spans="1:5" x14ac:dyDescent="0.2">
      <c r="A901"/>
      <c r="B901" s="663"/>
      <c r="C901" s="663"/>
      <c r="D901" s="663"/>
      <c r="E901" s="663"/>
    </row>
    <row r="902" spans="1:5" x14ac:dyDescent="0.2">
      <c r="A902"/>
      <c r="B902" s="663"/>
      <c r="C902" s="663"/>
      <c r="D902" s="663"/>
      <c r="E902" s="663"/>
    </row>
    <row r="903" spans="1:5" x14ac:dyDescent="0.2">
      <c r="A903"/>
      <c r="B903" s="663"/>
      <c r="C903" s="663"/>
      <c r="D903" s="663"/>
      <c r="E903" s="663"/>
    </row>
    <row r="904" spans="1:5" x14ac:dyDescent="0.2">
      <c r="A904"/>
      <c r="B904" s="663"/>
      <c r="C904" s="663"/>
      <c r="D904" s="663"/>
      <c r="E904" s="663"/>
    </row>
    <row r="905" spans="1:5" x14ac:dyDescent="0.2">
      <c r="A905"/>
      <c r="B905" s="663"/>
      <c r="C905" s="663"/>
      <c r="D905" s="663"/>
      <c r="E905" s="663"/>
    </row>
    <row r="906" spans="1:5" x14ac:dyDescent="0.2">
      <c r="A906"/>
      <c r="B906" s="663"/>
      <c r="C906" s="663"/>
      <c r="D906" s="663"/>
      <c r="E906" s="663"/>
    </row>
    <row r="907" spans="1:5" x14ac:dyDescent="0.2">
      <c r="A907"/>
      <c r="B907" s="663"/>
      <c r="C907" s="663"/>
      <c r="D907" s="663"/>
      <c r="E907" s="663"/>
    </row>
    <row r="908" spans="1:5" x14ac:dyDescent="0.2">
      <c r="A908"/>
      <c r="B908" s="663"/>
      <c r="C908" s="663"/>
      <c r="D908" s="663"/>
      <c r="E908" s="663"/>
    </row>
    <row r="909" spans="1:5" x14ac:dyDescent="0.2">
      <c r="A909"/>
      <c r="B909" s="663"/>
      <c r="C909" s="663"/>
      <c r="D909" s="663"/>
      <c r="E909" s="663"/>
    </row>
    <row r="910" spans="1:5" x14ac:dyDescent="0.2">
      <c r="A910"/>
      <c r="B910" s="663"/>
      <c r="C910" s="663"/>
      <c r="D910" s="663"/>
      <c r="E910" s="663"/>
    </row>
    <row r="911" spans="1:5" x14ac:dyDescent="0.2">
      <c r="A911"/>
      <c r="B911" s="663"/>
      <c r="C911" s="663"/>
      <c r="D911" s="663"/>
      <c r="E911" s="663"/>
    </row>
    <row r="912" spans="1:5" x14ac:dyDescent="0.2">
      <c r="A912"/>
      <c r="B912" s="663"/>
      <c r="C912" s="663"/>
      <c r="D912" s="663"/>
      <c r="E912" s="663"/>
    </row>
    <row r="913" spans="1:5" x14ac:dyDescent="0.2">
      <c r="A913"/>
      <c r="B913" s="663"/>
      <c r="C913" s="663"/>
      <c r="D913" s="663"/>
      <c r="E913" s="663"/>
    </row>
    <row r="914" spans="1:5" x14ac:dyDescent="0.2">
      <c r="A914"/>
      <c r="B914" s="663"/>
      <c r="C914" s="663"/>
      <c r="D914" s="663"/>
      <c r="E914" s="663"/>
    </row>
    <row r="915" spans="1:5" x14ac:dyDescent="0.2">
      <c r="A915"/>
      <c r="B915" s="663"/>
      <c r="C915" s="663"/>
      <c r="D915" s="663"/>
      <c r="E915" s="663"/>
    </row>
    <row r="916" spans="1:5" x14ac:dyDescent="0.2">
      <c r="A916"/>
      <c r="B916" s="663"/>
      <c r="C916" s="663"/>
      <c r="D916" s="663"/>
      <c r="E916" s="663"/>
    </row>
    <row r="917" spans="1:5" x14ac:dyDescent="0.2">
      <c r="A917"/>
      <c r="B917" s="663"/>
      <c r="C917" s="663"/>
      <c r="D917" s="663"/>
      <c r="E917" s="663"/>
    </row>
    <row r="918" spans="1:5" x14ac:dyDescent="0.2">
      <c r="A918"/>
      <c r="B918" s="663"/>
      <c r="C918" s="663"/>
      <c r="D918" s="663"/>
      <c r="E918" s="663"/>
    </row>
    <row r="919" spans="1:5" x14ac:dyDescent="0.2">
      <c r="A919"/>
      <c r="B919" s="663"/>
      <c r="C919" s="663"/>
      <c r="D919" s="663"/>
      <c r="E919" s="663"/>
    </row>
    <row r="920" spans="1:5" x14ac:dyDescent="0.2">
      <c r="A920"/>
      <c r="B920" s="663"/>
      <c r="C920" s="663"/>
      <c r="D920" s="663"/>
      <c r="E920" s="663"/>
    </row>
    <row r="921" spans="1:5" x14ac:dyDescent="0.2">
      <c r="A921"/>
      <c r="B921" s="663"/>
      <c r="C921" s="663"/>
      <c r="D921" s="663"/>
      <c r="E921" s="663"/>
    </row>
    <row r="922" spans="1:5" x14ac:dyDescent="0.2">
      <c r="A922"/>
      <c r="B922" s="663"/>
      <c r="C922" s="663"/>
      <c r="D922" s="663"/>
      <c r="E922" s="663"/>
    </row>
    <row r="923" spans="1:5" x14ac:dyDescent="0.2">
      <c r="A923"/>
      <c r="B923" s="663"/>
      <c r="C923" s="663"/>
      <c r="D923" s="663"/>
      <c r="E923" s="663"/>
    </row>
    <row r="924" spans="1:5" x14ac:dyDescent="0.2">
      <c r="A924"/>
      <c r="B924" s="663"/>
      <c r="C924" s="663"/>
      <c r="D924" s="663"/>
      <c r="E924" s="663"/>
    </row>
    <row r="925" spans="1:5" x14ac:dyDescent="0.2">
      <c r="A925"/>
      <c r="B925" s="663"/>
      <c r="C925" s="663"/>
      <c r="D925" s="663"/>
      <c r="E925" s="663"/>
    </row>
    <row r="926" spans="1:5" x14ac:dyDescent="0.2">
      <c r="A926"/>
      <c r="B926" s="663"/>
      <c r="C926" s="663"/>
      <c r="D926" s="663"/>
      <c r="E926" s="663"/>
    </row>
    <row r="927" spans="1:5" x14ac:dyDescent="0.2">
      <c r="A927"/>
      <c r="B927" s="663"/>
      <c r="C927" s="663"/>
      <c r="D927" s="663"/>
      <c r="E927" s="663"/>
    </row>
    <row r="928" spans="1:5" x14ac:dyDescent="0.2">
      <c r="A928"/>
      <c r="B928" s="663"/>
      <c r="C928" s="663"/>
      <c r="D928" s="663"/>
      <c r="E928" s="663"/>
    </row>
    <row r="929" spans="1:5" x14ac:dyDescent="0.2">
      <c r="A929"/>
      <c r="B929" s="663"/>
      <c r="C929" s="663"/>
      <c r="D929" s="663"/>
      <c r="E929" s="663"/>
    </row>
    <row r="930" spans="1:5" x14ac:dyDescent="0.2">
      <c r="A930"/>
      <c r="B930" s="663"/>
      <c r="C930" s="663"/>
      <c r="D930" s="663"/>
      <c r="E930" s="663"/>
    </row>
    <row r="931" spans="1:5" x14ac:dyDescent="0.2">
      <c r="A931"/>
      <c r="B931" s="663"/>
      <c r="C931" s="663"/>
      <c r="D931" s="663"/>
      <c r="E931" s="663"/>
    </row>
    <row r="932" spans="1:5" x14ac:dyDescent="0.2">
      <c r="A932"/>
      <c r="B932" s="663"/>
      <c r="C932" s="663"/>
      <c r="D932" s="663"/>
      <c r="E932" s="663"/>
    </row>
    <row r="933" spans="1:5" x14ac:dyDescent="0.2">
      <c r="A933"/>
      <c r="B933" s="663"/>
      <c r="C933" s="663"/>
      <c r="D933" s="663"/>
      <c r="E933" s="663"/>
    </row>
    <row r="934" spans="1:5" x14ac:dyDescent="0.2">
      <c r="A934"/>
      <c r="B934" s="663"/>
      <c r="C934" s="663"/>
      <c r="D934" s="663"/>
      <c r="E934" s="663"/>
    </row>
    <row r="935" spans="1:5" x14ac:dyDescent="0.2">
      <c r="A935"/>
      <c r="B935" s="663"/>
      <c r="C935" s="663"/>
      <c r="D935" s="663"/>
      <c r="E935" s="663"/>
    </row>
    <row r="936" spans="1:5" x14ac:dyDescent="0.2">
      <c r="A936"/>
      <c r="B936" s="663"/>
      <c r="C936" s="663"/>
      <c r="D936" s="663"/>
      <c r="E936" s="663"/>
    </row>
    <row r="937" spans="1:5" x14ac:dyDescent="0.2">
      <c r="A937"/>
      <c r="B937" s="663"/>
      <c r="C937" s="663"/>
      <c r="D937" s="663"/>
      <c r="E937" s="663"/>
    </row>
    <row r="938" spans="1:5" x14ac:dyDescent="0.2">
      <c r="A938"/>
      <c r="B938" s="663"/>
      <c r="C938" s="663"/>
      <c r="D938" s="663"/>
      <c r="E938" s="663"/>
    </row>
    <row r="939" spans="1:5" x14ac:dyDescent="0.2">
      <c r="A939"/>
      <c r="B939" s="663"/>
      <c r="C939" s="663"/>
      <c r="D939" s="663"/>
      <c r="E939" s="663"/>
    </row>
    <row r="940" spans="1:5" x14ac:dyDescent="0.2">
      <c r="A940"/>
      <c r="B940" s="663"/>
      <c r="C940" s="663"/>
      <c r="D940" s="663"/>
      <c r="E940" s="663"/>
    </row>
    <row r="941" spans="1:5" x14ac:dyDescent="0.2">
      <c r="A941"/>
      <c r="B941" s="663"/>
      <c r="C941" s="663"/>
      <c r="D941" s="663"/>
      <c r="E941" s="663"/>
    </row>
    <row r="942" spans="1:5" x14ac:dyDescent="0.2">
      <c r="A942"/>
      <c r="B942" s="663"/>
      <c r="C942" s="663"/>
      <c r="D942" s="663"/>
      <c r="E942" s="663"/>
    </row>
    <row r="943" spans="1:5" x14ac:dyDescent="0.2">
      <c r="A943"/>
      <c r="B943" s="663"/>
      <c r="C943" s="663"/>
      <c r="D943" s="663"/>
      <c r="E943" s="663"/>
    </row>
    <row r="944" spans="1:5" x14ac:dyDescent="0.2">
      <c r="A944"/>
      <c r="B944" s="663"/>
      <c r="C944" s="663"/>
      <c r="D944" s="663"/>
      <c r="E944" s="663"/>
    </row>
    <row r="945" spans="1:5" x14ac:dyDescent="0.2">
      <c r="A945"/>
      <c r="B945" s="663"/>
      <c r="C945" s="663"/>
      <c r="D945" s="663"/>
      <c r="E945" s="663"/>
    </row>
    <row r="946" spans="1:5" x14ac:dyDescent="0.2">
      <c r="A946"/>
      <c r="B946" s="663"/>
      <c r="C946" s="663"/>
      <c r="D946" s="663"/>
      <c r="E946" s="663"/>
    </row>
    <row r="947" spans="1:5" x14ac:dyDescent="0.2">
      <c r="A947"/>
      <c r="B947" s="663"/>
      <c r="C947" s="663"/>
      <c r="D947" s="663"/>
      <c r="E947" s="663"/>
    </row>
    <row r="948" spans="1:5" x14ac:dyDescent="0.2">
      <c r="A948"/>
      <c r="B948" s="663"/>
      <c r="C948" s="663"/>
      <c r="D948" s="663"/>
      <c r="E948" s="663"/>
    </row>
    <row r="949" spans="1:5" x14ac:dyDescent="0.2">
      <c r="A949"/>
      <c r="B949" s="663"/>
      <c r="C949" s="663"/>
      <c r="D949" s="663"/>
      <c r="E949" s="663"/>
    </row>
    <row r="950" spans="1:5" x14ac:dyDescent="0.2">
      <c r="A950"/>
      <c r="B950" s="663"/>
      <c r="C950" s="663"/>
      <c r="D950" s="663"/>
      <c r="E950" s="663"/>
    </row>
    <row r="951" spans="1:5" x14ac:dyDescent="0.2">
      <c r="A951"/>
      <c r="B951" s="663"/>
      <c r="C951" s="663"/>
      <c r="D951" s="663"/>
      <c r="E951" s="663"/>
    </row>
    <row r="952" spans="1:5" x14ac:dyDescent="0.2">
      <c r="A952"/>
      <c r="B952" s="663"/>
      <c r="C952" s="663"/>
      <c r="D952" s="663"/>
      <c r="E952" s="663"/>
    </row>
    <row r="953" spans="1:5" x14ac:dyDescent="0.2">
      <c r="A953"/>
      <c r="B953" s="663"/>
      <c r="C953" s="663"/>
      <c r="D953" s="663"/>
      <c r="E953" s="663"/>
    </row>
    <row r="954" spans="1:5" x14ac:dyDescent="0.2">
      <c r="A954"/>
      <c r="B954" s="663"/>
      <c r="C954" s="663"/>
      <c r="D954" s="663"/>
      <c r="E954" s="663"/>
    </row>
    <row r="955" spans="1:5" x14ac:dyDescent="0.2">
      <c r="A955"/>
      <c r="B955" s="663"/>
      <c r="C955" s="663"/>
      <c r="D955" s="663"/>
      <c r="E955" s="663"/>
    </row>
    <row r="956" spans="1:5" x14ac:dyDescent="0.2">
      <c r="A956"/>
      <c r="B956" s="663"/>
      <c r="C956" s="663"/>
      <c r="D956" s="663"/>
      <c r="E956" s="663"/>
    </row>
    <row r="957" spans="1:5" x14ac:dyDescent="0.2">
      <c r="A957"/>
      <c r="B957" s="663"/>
      <c r="C957" s="663"/>
      <c r="D957" s="663"/>
      <c r="E957" s="663"/>
    </row>
    <row r="958" spans="1:5" x14ac:dyDescent="0.2">
      <c r="A958"/>
      <c r="B958" s="663"/>
      <c r="C958" s="663"/>
      <c r="D958" s="663"/>
      <c r="E958" s="663"/>
    </row>
    <row r="959" spans="1:5" x14ac:dyDescent="0.2">
      <c r="A959"/>
      <c r="B959" s="663"/>
      <c r="C959" s="663"/>
      <c r="D959" s="663"/>
      <c r="E959" s="663"/>
    </row>
    <row r="960" spans="1:5" x14ac:dyDescent="0.2">
      <c r="A960"/>
      <c r="B960" s="663"/>
      <c r="C960" s="663"/>
      <c r="D960" s="663"/>
      <c r="E960" s="663"/>
    </row>
    <row r="961" spans="1:5" x14ac:dyDescent="0.2">
      <c r="A961"/>
      <c r="B961" s="663"/>
      <c r="C961" s="663"/>
      <c r="D961" s="663"/>
      <c r="E961" s="663"/>
    </row>
    <row r="962" spans="1:5" x14ac:dyDescent="0.2">
      <c r="A962"/>
      <c r="B962" s="663"/>
      <c r="C962" s="663"/>
      <c r="D962" s="663"/>
      <c r="E962" s="663"/>
    </row>
    <row r="963" spans="1:5" x14ac:dyDescent="0.2">
      <c r="A963"/>
      <c r="B963" s="663"/>
      <c r="C963" s="663"/>
      <c r="D963" s="663"/>
      <c r="E963" s="663"/>
    </row>
    <row r="964" spans="1:5" x14ac:dyDescent="0.2">
      <c r="A964"/>
      <c r="B964" s="663"/>
      <c r="C964" s="663"/>
      <c r="D964" s="663"/>
      <c r="E964" s="663"/>
    </row>
    <row r="965" spans="1:5" x14ac:dyDescent="0.2">
      <c r="A965"/>
      <c r="B965" s="663"/>
      <c r="C965" s="663"/>
      <c r="D965" s="663"/>
      <c r="E965" s="663"/>
    </row>
    <row r="966" spans="1:5" x14ac:dyDescent="0.2">
      <c r="A966"/>
      <c r="B966" s="663"/>
      <c r="C966" s="663"/>
      <c r="D966" s="663"/>
      <c r="E966" s="663"/>
    </row>
    <row r="967" spans="1:5" x14ac:dyDescent="0.2">
      <c r="A967"/>
      <c r="B967" s="663"/>
      <c r="C967" s="663"/>
      <c r="D967" s="663"/>
      <c r="E967" s="663"/>
    </row>
    <row r="968" spans="1:5" x14ac:dyDescent="0.2">
      <c r="A968"/>
      <c r="B968" s="663"/>
      <c r="C968" s="663"/>
      <c r="D968" s="663"/>
      <c r="E968" s="663"/>
    </row>
    <row r="969" spans="1:5" x14ac:dyDescent="0.2">
      <c r="A969"/>
      <c r="B969" s="663"/>
      <c r="C969" s="663"/>
      <c r="D969" s="663"/>
      <c r="E969" s="663"/>
    </row>
    <row r="970" spans="1:5" x14ac:dyDescent="0.2">
      <c r="A970"/>
      <c r="B970" s="663"/>
      <c r="C970" s="663"/>
      <c r="D970" s="663"/>
      <c r="E970" s="663"/>
    </row>
    <row r="971" spans="1:5" x14ac:dyDescent="0.2">
      <c r="A971"/>
      <c r="B971" s="663"/>
      <c r="C971" s="663"/>
      <c r="D971" s="663"/>
      <c r="E971" s="663"/>
    </row>
    <row r="972" spans="1:5" x14ac:dyDescent="0.2">
      <c r="A972"/>
      <c r="B972" s="663"/>
      <c r="C972" s="663"/>
      <c r="D972" s="663"/>
      <c r="E972" s="663"/>
    </row>
    <row r="973" spans="1:5" x14ac:dyDescent="0.2">
      <c r="A973"/>
      <c r="B973" s="663"/>
      <c r="C973" s="663"/>
      <c r="D973" s="663"/>
      <c r="E973" s="663"/>
    </row>
    <row r="974" spans="1:5" x14ac:dyDescent="0.2">
      <c r="A974"/>
      <c r="B974" s="663"/>
      <c r="C974" s="663"/>
      <c r="D974" s="663"/>
      <c r="E974" s="663"/>
    </row>
    <row r="975" spans="1:5" x14ac:dyDescent="0.2">
      <c r="A975"/>
      <c r="B975" s="663"/>
      <c r="C975" s="663"/>
      <c r="D975" s="663"/>
      <c r="E975" s="663"/>
    </row>
    <row r="976" spans="1:5" x14ac:dyDescent="0.2">
      <c r="A976"/>
      <c r="B976" s="663"/>
      <c r="C976" s="663"/>
      <c r="D976" s="663"/>
      <c r="E976" s="663"/>
    </row>
    <row r="977" spans="1:5" x14ac:dyDescent="0.2">
      <c r="A977"/>
      <c r="B977" s="663"/>
      <c r="C977" s="663"/>
      <c r="D977" s="663"/>
      <c r="E977" s="663"/>
    </row>
    <row r="978" spans="1:5" x14ac:dyDescent="0.2">
      <c r="A978"/>
      <c r="B978" s="663"/>
      <c r="C978" s="663"/>
      <c r="D978" s="663"/>
      <c r="E978" s="663"/>
    </row>
    <row r="979" spans="1:5" x14ac:dyDescent="0.2">
      <c r="A979"/>
      <c r="B979" s="663"/>
      <c r="C979" s="663"/>
      <c r="D979" s="663"/>
      <c r="E979" s="663"/>
    </row>
    <row r="980" spans="1:5" x14ac:dyDescent="0.2">
      <c r="A980"/>
      <c r="B980" s="663"/>
      <c r="C980" s="663"/>
      <c r="D980" s="663"/>
      <c r="E980" s="663"/>
    </row>
    <row r="981" spans="1:5" x14ac:dyDescent="0.2">
      <c r="A981"/>
      <c r="B981" s="663"/>
      <c r="C981" s="663"/>
      <c r="D981" s="663"/>
      <c r="E981" s="663"/>
    </row>
    <row r="982" spans="1:5" x14ac:dyDescent="0.2">
      <c r="A982"/>
      <c r="B982" s="663"/>
      <c r="C982" s="663"/>
      <c r="D982" s="663"/>
      <c r="E982" s="663"/>
    </row>
    <row r="983" spans="1:5" x14ac:dyDescent="0.2">
      <c r="A983"/>
      <c r="B983" s="663"/>
      <c r="C983" s="663"/>
      <c r="D983" s="663"/>
      <c r="E983" s="663"/>
    </row>
    <row r="984" spans="1:5" x14ac:dyDescent="0.2">
      <c r="A984"/>
      <c r="B984" s="663"/>
      <c r="C984" s="663"/>
      <c r="D984" s="663"/>
      <c r="E984" s="663"/>
    </row>
    <row r="985" spans="1:5" x14ac:dyDescent="0.2">
      <c r="A985"/>
      <c r="B985" s="663"/>
      <c r="C985" s="663"/>
      <c r="D985" s="663"/>
      <c r="E985" s="663"/>
    </row>
    <row r="986" spans="1:5" x14ac:dyDescent="0.2">
      <c r="A986"/>
      <c r="B986" s="663"/>
      <c r="C986" s="663"/>
      <c r="D986" s="663"/>
      <c r="E986" s="663"/>
    </row>
    <row r="987" spans="1:5" x14ac:dyDescent="0.2">
      <c r="A987"/>
      <c r="B987" s="663"/>
      <c r="C987" s="663"/>
      <c r="D987" s="663"/>
      <c r="E987" s="663"/>
    </row>
    <row r="988" spans="1:5" x14ac:dyDescent="0.2">
      <c r="A988"/>
      <c r="B988" s="663"/>
      <c r="C988" s="663"/>
      <c r="D988" s="663"/>
      <c r="E988" s="663"/>
    </row>
    <row r="989" spans="1:5" x14ac:dyDescent="0.2">
      <c r="A989"/>
      <c r="B989" s="663"/>
      <c r="C989" s="663"/>
      <c r="D989" s="663"/>
      <c r="E989" s="663"/>
    </row>
    <row r="990" spans="1:5" x14ac:dyDescent="0.2">
      <c r="A990"/>
      <c r="B990" s="663"/>
      <c r="C990" s="663"/>
      <c r="D990" s="663"/>
      <c r="E990" s="663"/>
    </row>
    <row r="991" spans="1:5" x14ac:dyDescent="0.2">
      <c r="A991"/>
      <c r="B991" s="663"/>
      <c r="C991" s="663"/>
      <c r="D991" s="663"/>
      <c r="E991" s="663"/>
    </row>
    <row r="992" spans="1:5" x14ac:dyDescent="0.2">
      <c r="A992"/>
      <c r="B992" s="663"/>
      <c r="C992" s="663"/>
      <c r="D992" s="663"/>
      <c r="E992" s="663"/>
    </row>
    <row r="993" spans="1:5" x14ac:dyDescent="0.2">
      <c r="A993"/>
      <c r="B993" s="663"/>
      <c r="C993" s="663"/>
      <c r="D993" s="663"/>
      <c r="E993" s="663"/>
    </row>
    <row r="994" spans="1:5" x14ac:dyDescent="0.2">
      <c r="A994"/>
      <c r="B994" s="663"/>
      <c r="C994" s="663"/>
      <c r="D994" s="663"/>
      <c r="E994" s="663"/>
    </row>
    <row r="995" spans="1:5" x14ac:dyDescent="0.2">
      <c r="A995"/>
      <c r="B995" s="663"/>
      <c r="C995" s="663"/>
      <c r="D995" s="663"/>
      <c r="E995" s="663"/>
    </row>
    <row r="996" spans="1:5" x14ac:dyDescent="0.2">
      <c r="A996"/>
      <c r="B996" s="663"/>
      <c r="C996" s="663"/>
      <c r="D996" s="663"/>
      <c r="E996" s="663"/>
    </row>
    <row r="997" spans="1:5" x14ac:dyDescent="0.2">
      <c r="A997"/>
      <c r="B997" s="663"/>
      <c r="C997" s="663"/>
      <c r="D997" s="663"/>
      <c r="E997" s="663"/>
    </row>
    <row r="998" spans="1:5" x14ac:dyDescent="0.2">
      <c r="A998"/>
      <c r="B998" s="663"/>
      <c r="C998" s="663"/>
      <c r="D998" s="663"/>
      <c r="E998" s="663"/>
    </row>
    <row r="999" spans="1:5" x14ac:dyDescent="0.2">
      <c r="A999"/>
      <c r="B999" s="663"/>
      <c r="C999" s="663"/>
      <c r="D999" s="663"/>
      <c r="E999" s="663"/>
    </row>
    <row r="1000" spans="1:5" x14ac:dyDescent="0.2">
      <c r="A1000"/>
      <c r="B1000" s="663"/>
      <c r="C1000" s="663"/>
      <c r="D1000" s="663"/>
      <c r="E1000" s="663"/>
    </row>
    <row r="1001" spans="1:5" x14ac:dyDescent="0.2">
      <c r="A1001"/>
      <c r="B1001" s="663"/>
      <c r="C1001" s="663"/>
      <c r="D1001" s="663"/>
      <c r="E1001" s="663"/>
    </row>
    <row r="1002" spans="1:5" x14ac:dyDescent="0.2">
      <c r="A1002"/>
      <c r="B1002" s="663"/>
      <c r="C1002" s="663"/>
      <c r="D1002" s="663"/>
      <c r="E1002" s="663"/>
    </row>
    <row r="1003" spans="1:5" x14ac:dyDescent="0.2">
      <c r="A1003"/>
      <c r="B1003" s="663"/>
      <c r="C1003" s="663"/>
      <c r="D1003" s="663"/>
      <c r="E1003" s="663"/>
    </row>
    <row r="1004" spans="1:5" x14ac:dyDescent="0.2">
      <c r="A1004"/>
      <c r="B1004" s="663"/>
      <c r="C1004" s="663"/>
      <c r="D1004" s="663"/>
      <c r="E1004" s="663"/>
    </row>
    <row r="1005" spans="1:5" x14ac:dyDescent="0.2">
      <c r="A1005"/>
      <c r="B1005" s="663"/>
      <c r="C1005" s="663"/>
      <c r="D1005" s="663"/>
      <c r="E1005" s="663"/>
    </row>
    <row r="1006" spans="1:5" x14ac:dyDescent="0.2">
      <c r="A1006"/>
      <c r="B1006" s="663"/>
      <c r="C1006" s="663"/>
      <c r="D1006" s="663"/>
      <c r="E1006" s="663"/>
    </row>
    <row r="1007" spans="1:5" x14ac:dyDescent="0.2">
      <c r="A1007"/>
      <c r="B1007" s="663"/>
      <c r="C1007" s="663"/>
      <c r="D1007" s="663"/>
      <c r="E1007" s="663"/>
    </row>
    <row r="1008" spans="1:5" x14ac:dyDescent="0.2">
      <c r="A1008"/>
      <c r="B1008" s="663"/>
      <c r="C1008" s="663"/>
      <c r="D1008" s="663"/>
      <c r="E1008" s="663"/>
    </row>
    <row r="1009" spans="1:5" x14ac:dyDescent="0.2">
      <c r="A1009"/>
      <c r="B1009" s="663"/>
      <c r="C1009" s="663"/>
      <c r="D1009" s="663"/>
      <c r="E1009" s="663"/>
    </row>
    <row r="1010" spans="1:5" x14ac:dyDescent="0.2">
      <c r="A1010"/>
      <c r="B1010" s="663"/>
      <c r="C1010" s="663"/>
      <c r="D1010" s="663"/>
      <c r="E1010" s="663"/>
    </row>
    <row r="1011" spans="1:5" x14ac:dyDescent="0.2">
      <c r="A1011"/>
      <c r="B1011" s="663"/>
      <c r="C1011" s="663"/>
      <c r="D1011" s="663"/>
      <c r="E1011" s="663"/>
    </row>
    <row r="1012" spans="1:5" x14ac:dyDescent="0.2">
      <c r="A1012"/>
      <c r="B1012" s="663"/>
      <c r="C1012" s="663"/>
      <c r="D1012" s="663"/>
      <c r="E1012" s="663"/>
    </row>
    <row r="1013" spans="1:5" x14ac:dyDescent="0.2">
      <c r="A1013"/>
      <c r="B1013" s="663"/>
      <c r="C1013" s="663"/>
      <c r="D1013" s="663"/>
      <c r="E1013" s="663"/>
    </row>
    <row r="1014" spans="1:5" x14ac:dyDescent="0.2">
      <c r="A1014"/>
      <c r="B1014" s="663"/>
      <c r="C1014" s="663"/>
      <c r="D1014" s="663"/>
      <c r="E1014" s="663"/>
    </row>
    <row r="1015" spans="1:5" x14ac:dyDescent="0.2">
      <c r="A1015"/>
      <c r="B1015" s="663"/>
      <c r="C1015" s="663"/>
      <c r="D1015" s="663"/>
      <c r="E1015" s="663"/>
    </row>
    <row r="1016" spans="1:5" x14ac:dyDescent="0.2">
      <c r="A1016"/>
      <c r="B1016" s="663"/>
      <c r="C1016" s="663"/>
      <c r="D1016" s="663"/>
      <c r="E1016" s="663"/>
    </row>
    <row r="1017" spans="1:5" x14ac:dyDescent="0.2">
      <c r="A1017"/>
      <c r="B1017" s="663"/>
      <c r="C1017" s="663"/>
      <c r="D1017" s="663"/>
      <c r="E1017" s="663"/>
    </row>
    <row r="1018" spans="1:5" x14ac:dyDescent="0.2">
      <c r="A1018"/>
      <c r="B1018" s="663"/>
      <c r="C1018" s="663"/>
      <c r="D1018" s="663"/>
      <c r="E1018" s="663"/>
    </row>
    <row r="1019" spans="1:5" x14ac:dyDescent="0.2">
      <c r="A1019"/>
      <c r="B1019" s="663"/>
      <c r="C1019" s="663"/>
      <c r="D1019" s="663"/>
      <c r="E1019" s="663"/>
    </row>
    <row r="1020" spans="1:5" x14ac:dyDescent="0.2">
      <c r="A1020"/>
      <c r="B1020" s="663"/>
      <c r="C1020" s="663"/>
      <c r="D1020" s="663"/>
      <c r="E1020" s="663"/>
    </row>
    <row r="1021" spans="1:5" x14ac:dyDescent="0.2">
      <c r="A1021"/>
      <c r="B1021" s="663"/>
      <c r="C1021" s="663"/>
      <c r="D1021" s="663"/>
      <c r="E1021" s="663"/>
    </row>
    <row r="1022" spans="1:5" x14ac:dyDescent="0.2">
      <c r="A1022"/>
      <c r="B1022" s="663"/>
      <c r="C1022" s="663"/>
      <c r="D1022" s="663"/>
      <c r="E1022" s="663"/>
    </row>
    <row r="1023" spans="1:5" x14ac:dyDescent="0.2">
      <c r="A1023"/>
      <c r="B1023" s="663"/>
      <c r="C1023" s="663"/>
      <c r="D1023" s="663"/>
      <c r="E1023" s="663"/>
    </row>
    <row r="1024" spans="1:5" x14ac:dyDescent="0.2">
      <c r="A1024"/>
      <c r="B1024" s="663"/>
      <c r="C1024" s="663"/>
      <c r="D1024" s="663"/>
      <c r="E1024" s="663"/>
    </row>
    <row r="1025" spans="1:5" x14ac:dyDescent="0.2">
      <c r="A1025"/>
      <c r="B1025" s="663"/>
      <c r="C1025" s="663"/>
      <c r="D1025" s="663"/>
      <c r="E1025" s="663"/>
    </row>
    <row r="1026" spans="1:5" x14ac:dyDescent="0.2">
      <c r="A1026"/>
      <c r="B1026" s="663"/>
      <c r="C1026" s="663"/>
      <c r="D1026" s="663"/>
      <c r="E1026" s="663"/>
    </row>
    <row r="1027" spans="1:5" x14ac:dyDescent="0.2">
      <c r="A1027"/>
      <c r="B1027" s="663"/>
      <c r="C1027" s="663"/>
      <c r="D1027" s="663"/>
      <c r="E1027" s="663"/>
    </row>
    <row r="1028" spans="1:5" x14ac:dyDescent="0.2">
      <c r="A1028"/>
      <c r="B1028" s="663"/>
      <c r="C1028" s="663"/>
      <c r="D1028" s="663"/>
      <c r="E1028" s="663"/>
    </row>
    <row r="1029" spans="1:5" x14ac:dyDescent="0.2">
      <c r="A1029"/>
      <c r="B1029" s="663"/>
      <c r="C1029" s="663"/>
      <c r="D1029" s="663"/>
      <c r="E1029" s="663"/>
    </row>
    <row r="1030" spans="1:5" x14ac:dyDescent="0.2">
      <c r="A1030"/>
      <c r="B1030" s="663"/>
      <c r="C1030" s="663"/>
      <c r="D1030" s="663"/>
      <c r="E1030" s="663"/>
    </row>
    <row r="1031" spans="1:5" x14ac:dyDescent="0.2">
      <c r="A1031"/>
      <c r="B1031" s="663"/>
      <c r="C1031" s="663"/>
      <c r="D1031" s="663"/>
      <c r="E1031" s="663"/>
    </row>
    <row r="1032" spans="1:5" x14ac:dyDescent="0.2">
      <c r="A1032"/>
      <c r="B1032" s="663"/>
      <c r="C1032" s="663"/>
      <c r="D1032" s="663"/>
      <c r="E1032" s="663"/>
    </row>
    <row r="1033" spans="1:5" x14ac:dyDescent="0.2">
      <c r="A1033"/>
      <c r="B1033" s="663"/>
      <c r="C1033" s="663"/>
      <c r="D1033" s="663"/>
      <c r="E1033" s="663"/>
    </row>
    <row r="1034" spans="1:5" x14ac:dyDescent="0.2">
      <c r="A1034"/>
      <c r="B1034" s="663"/>
      <c r="C1034" s="663"/>
      <c r="D1034" s="663"/>
      <c r="E1034" s="663"/>
    </row>
    <row r="1035" spans="1:5" x14ac:dyDescent="0.2">
      <c r="A1035"/>
      <c r="B1035" s="663"/>
      <c r="C1035" s="663"/>
      <c r="D1035" s="663"/>
      <c r="E1035" s="663"/>
    </row>
    <row r="1036" spans="1:5" x14ac:dyDescent="0.2">
      <c r="A1036"/>
      <c r="B1036" s="663"/>
      <c r="C1036" s="663"/>
      <c r="D1036" s="663"/>
      <c r="E1036" s="663"/>
    </row>
    <row r="1037" spans="1:5" x14ac:dyDescent="0.2">
      <c r="A1037"/>
      <c r="B1037" s="663"/>
      <c r="C1037" s="663"/>
      <c r="D1037" s="663"/>
      <c r="E1037" s="663"/>
    </row>
    <row r="1038" spans="1:5" x14ac:dyDescent="0.2">
      <c r="A1038"/>
      <c r="B1038" s="663"/>
      <c r="C1038" s="663"/>
      <c r="D1038" s="663"/>
      <c r="E1038" s="663"/>
    </row>
    <row r="1039" spans="1:5" x14ac:dyDescent="0.2">
      <c r="A1039"/>
      <c r="B1039" s="663"/>
      <c r="C1039" s="663"/>
      <c r="D1039" s="663"/>
      <c r="E1039" s="663"/>
    </row>
    <row r="1040" spans="1:5" x14ac:dyDescent="0.2">
      <c r="A1040"/>
      <c r="B1040" s="663"/>
      <c r="C1040" s="663"/>
      <c r="D1040" s="663"/>
      <c r="E1040" s="663"/>
    </row>
    <row r="1041" spans="1:5" x14ac:dyDescent="0.2">
      <c r="A1041"/>
      <c r="B1041" s="663"/>
      <c r="C1041" s="663"/>
      <c r="D1041" s="663"/>
      <c r="E1041" s="663"/>
    </row>
    <row r="1042" spans="1:5" x14ac:dyDescent="0.2">
      <c r="A1042"/>
      <c r="B1042" s="663"/>
      <c r="C1042" s="663"/>
      <c r="D1042" s="663"/>
      <c r="E1042" s="663"/>
    </row>
    <row r="1043" spans="1:5" x14ac:dyDescent="0.2">
      <c r="A1043"/>
      <c r="B1043" s="663"/>
      <c r="C1043" s="663"/>
      <c r="D1043" s="663"/>
      <c r="E1043" s="663"/>
    </row>
    <row r="1044" spans="1:5" x14ac:dyDescent="0.2">
      <c r="A1044"/>
      <c r="B1044" s="663"/>
      <c r="C1044" s="663"/>
      <c r="D1044" s="663"/>
      <c r="E1044" s="663"/>
    </row>
    <row r="1045" spans="1:5" x14ac:dyDescent="0.2">
      <c r="A1045"/>
      <c r="B1045" s="663"/>
      <c r="C1045" s="663"/>
      <c r="D1045" s="663"/>
      <c r="E1045" s="663"/>
    </row>
    <row r="1046" spans="1:5" x14ac:dyDescent="0.2">
      <c r="A1046"/>
      <c r="B1046" s="663"/>
      <c r="C1046" s="663"/>
      <c r="D1046" s="663"/>
      <c r="E1046" s="663"/>
    </row>
    <row r="1047" spans="1:5" x14ac:dyDescent="0.2">
      <c r="A1047"/>
      <c r="B1047" s="663"/>
      <c r="C1047" s="663"/>
      <c r="D1047" s="663"/>
      <c r="E1047" s="663"/>
    </row>
    <row r="1048" spans="1:5" x14ac:dyDescent="0.2">
      <c r="A1048"/>
      <c r="B1048" s="663"/>
      <c r="C1048" s="663"/>
      <c r="D1048" s="663"/>
      <c r="E1048" s="663"/>
    </row>
    <row r="1049" spans="1:5" x14ac:dyDescent="0.2">
      <c r="A1049"/>
      <c r="B1049" s="663"/>
      <c r="C1049" s="663"/>
      <c r="D1049" s="663"/>
      <c r="E1049" s="663"/>
    </row>
    <row r="1050" spans="1:5" x14ac:dyDescent="0.2">
      <c r="A1050"/>
      <c r="B1050" s="663"/>
      <c r="C1050" s="663"/>
      <c r="D1050" s="663"/>
      <c r="E1050" s="663"/>
    </row>
    <row r="1051" spans="1:5" x14ac:dyDescent="0.2">
      <c r="A1051"/>
      <c r="B1051" s="663"/>
      <c r="C1051" s="663"/>
      <c r="D1051" s="663"/>
      <c r="E1051" s="663"/>
    </row>
    <row r="1052" spans="1:5" x14ac:dyDescent="0.2">
      <c r="A1052"/>
      <c r="B1052" s="663"/>
      <c r="C1052" s="663"/>
      <c r="D1052" s="663"/>
      <c r="E1052" s="663"/>
    </row>
    <row r="1053" spans="1:5" x14ac:dyDescent="0.2">
      <c r="A1053"/>
      <c r="B1053" s="663"/>
      <c r="C1053" s="663"/>
      <c r="D1053" s="663"/>
      <c r="E1053" s="663"/>
    </row>
    <row r="1054" spans="1:5" x14ac:dyDescent="0.2">
      <c r="A1054"/>
      <c r="B1054" s="663"/>
      <c r="C1054" s="663"/>
      <c r="D1054" s="663"/>
      <c r="E1054" s="663"/>
    </row>
    <row r="1055" spans="1:5" x14ac:dyDescent="0.2">
      <c r="A1055"/>
      <c r="B1055" s="663"/>
      <c r="C1055" s="663"/>
      <c r="D1055" s="663"/>
      <c r="E1055" s="663"/>
    </row>
    <row r="1056" spans="1:5" x14ac:dyDescent="0.2">
      <c r="A1056"/>
      <c r="B1056" s="663"/>
      <c r="C1056" s="663"/>
      <c r="D1056" s="663"/>
      <c r="E1056" s="663"/>
    </row>
    <row r="1057" spans="1:5" x14ac:dyDescent="0.2">
      <c r="A1057"/>
      <c r="B1057" s="663"/>
      <c r="C1057" s="663"/>
      <c r="D1057" s="663"/>
      <c r="E1057" s="663"/>
    </row>
    <row r="1058" spans="1:5" x14ac:dyDescent="0.2">
      <c r="A1058"/>
      <c r="B1058" s="663"/>
      <c r="C1058" s="663"/>
      <c r="D1058" s="663"/>
      <c r="E1058" s="663"/>
    </row>
    <row r="1059" spans="1:5" x14ac:dyDescent="0.2">
      <c r="A1059"/>
      <c r="B1059" s="663"/>
      <c r="C1059" s="663"/>
      <c r="D1059" s="663"/>
      <c r="E1059" s="663"/>
    </row>
    <row r="1060" spans="1:5" x14ac:dyDescent="0.2">
      <c r="A1060"/>
      <c r="B1060" s="663"/>
      <c r="C1060" s="663"/>
      <c r="D1060" s="663"/>
      <c r="E1060" s="663"/>
    </row>
    <row r="1061" spans="1:5" x14ac:dyDescent="0.2">
      <c r="A1061"/>
      <c r="B1061" s="663"/>
      <c r="C1061" s="663"/>
      <c r="D1061" s="663"/>
      <c r="E1061" s="663"/>
    </row>
    <row r="1062" spans="1:5" x14ac:dyDescent="0.2">
      <c r="A1062"/>
      <c r="B1062" s="663"/>
      <c r="C1062" s="663"/>
      <c r="D1062" s="663"/>
      <c r="E1062" s="663"/>
    </row>
    <row r="1063" spans="1:5" x14ac:dyDescent="0.2">
      <c r="A1063"/>
      <c r="B1063" s="663"/>
      <c r="C1063" s="663"/>
      <c r="D1063" s="663"/>
      <c r="E1063" s="663"/>
    </row>
    <row r="1064" spans="1:5" x14ac:dyDescent="0.2">
      <c r="A1064"/>
      <c r="B1064" s="663"/>
      <c r="C1064" s="663"/>
      <c r="D1064" s="663"/>
      <c r="E1064" s="663"/>
    </row>
    <row r="1065" spans="1:5" x14ac:dyDescent="0.2">
      <c r="A1065"/>
      <c r="B1065" s="663"/>
      <c r="C1065" s="663"/>
      <c r="D1065" s="663"/>
      <c r="E1065" s="663"/>
    </row>
    <row r="1066" spans="1:5" x14ac:dyDescent="0.2">
      <c r="A1066"/>
      <c r="B1066" s="663"/>
      <c r="C1066" s="663"/>
      <c r="D1066" s="663"/>
      <c r="E1066" s="663"/>
    </row>
    <row r="1067" spans="1:5" x14ac:dyDescent="0.2">
      <c r="A1067"/>
      <c r="B1067" s="663"/>
      <c r="C1067" s="663"/>
      <c r="D1067" s="663"/>
      <c r="E1067" s="663"/>
    </row>
    <row r="1068" spans="1:5" x14ac:dyDescent="0.2">
      <c r="A1068"/>
      <c r="B1068" s="663"/>
      <c r="C1068" s="663"/>
      <c r="D1068" s="663"/>
      <c r="E1068" s="663"/>
    </row>
    <row r="1069" spans="1:5" x14ac:dyDescent="0.2">
      <c r="A1069"/>
      <c r="B1069" s="663"/>
      <c r="C1069" s="663"/>
      <c r="D1069" s="663"/>
      <c r="E1069" s="663"/>
    </row>
    <row r="1070" spans="1:5" x14ac:dyDescent="0.2">
      <c r="A1070"/>
      <c r="B1070" s="663"/>
      <c r="C1070" s="663"/>
      <c r="D1070" s="663"/>
      <c r="E1070" s="663"/>
    </row>
    <row r="1071" spans="1:5" x14ac:dyDescent="0.2">
      <c r="A1071"/>
      <c r="B1071" s="663"/>
      <c r="C1071" s="663"/>
      <c r="D1071" s="663"/>
      <c r="E1071" s="663"/>
    </row>
    <row r="1072" spans="1:5" x14ac:dyDescent="0.2">
      <c r="A1072"/>
      <c r="B1072" s="663"/>
      <c r="C1072" s="663"/>
      <c r="D1072" s="663"/>
      <c r="E1072" s="663"/>
    </row>
    <row r="1073" spans="1:5" x14ac:dyDescent="0.2">
      <c r="A1073"/>
      <c r="B1073" s="663"/>
      <c r="C1073" s="663"/>
      <c r="D1073" s="663"/>
      <c r="E1073" s="663"/>
    </row>
    <row r="1074" spans="1:5" x14ac:dyDescent="0.2">
      <c r="A1074"/>
      <c r="B1074" s="663"/>
      <c r="C1074" s="663"/>
      <c r="D1074" s="663"/>
      <c r="E1074" s="663"/>
    </row>
    <row r="1075" spans="1:5" x14ac:dyDescent="0.2">
      <c r="A1075"/>
      <c r="B1075" s="663"/>
      <c r="C1075" s="663"/>
      <c r="D1075" s="663"/>
      <c r="E1075" s="663"/>
    </row>
    <row r="1076" spans="1:5" x14ac:dyDescent="0.2">
      <c r="A1076"/>
      <c r="B1076" s="663"/>
      <c r="C1076" s="663"/>
      <c r="D1076" s="663"/>
      <c r="E1076" s="663"/>
    </row>
    <row r="1077" spans="1:5" x14ac:dyDescent="0.2">
      <c r="A1077"/>
      <c r="B1077" s="663"/>
      <c r="C1077" s="663"/>
      <c r="D1077" s="663"/>
      <c r="E1077" s="663"/>
    </row>
    <row r="1078" spans="1:5" x14ac:dyDescent="0.2">
      <c r="A1078"/>
      <c r="B1078" s="663"/>
      <c r="C1078" s="663"/>
      <c r="D1078" s="663"/>
      <c r="E1078" s="663"/>
    </row>
    <row r="1079" spans="1:5" x14ac:dyDescent="0.2">
      <c r="A1079"/>
      <c r="B1079" s="663"/>
      <c r="C1079" s="663"/>
      <c r="D1079" s="663"/>
      <c r="E1079" s="663"/>
    </row>
    <row r="1080" spans="1:5" x14ac:dyDescent="0.2">
      <c r="A1080"/>
      <c r="B1080" s="663"/>
      <c r="C1080" s="663"/>
      <c r="D1080" s="663"/>
      <c r="E1080" s="663"/>
    </row>
    <row r="1081" spans="1:5" x14ac:dyDescent="0.2">
      <c r="A1081"/>
      <c r="B1081" s="663"/>
      <c r="C1081" s="663"/>
      <c r="D1081" s="663"/>
      <c r="E1081" s="663"/>
    </row>
    <row r="1082" spans="1:5" x14ac:dyDescent="0.2">
      <c r="A1082"/>
      <c r="B1082" s="663"/>
      <c r="C1082" s="663"/>
      <c r="D1082" s="663"/>
      <c r="E1082" s="663"/>
    </row>
    <row r="1083" spans="1:5" x14ac:dyDescent="0.2">
      <c r="A1083"/>
      <c r="B1083" s="663"/>
      <c r="C1083" s="663"/>
      <c r="D1083" s="663"/>
      <c r="E1083" s="663"/>
    </row>
    <row r="1084" spans="1:5" x14ac:dyDescent="0.2">
      <c r="A1084"/>
      <c r="B1084" s="663"/>
      <c r="C1084" s="663"/>
      <c r="D1084" s="663"/>
      <c r="E1084" s="663"/>
    </row>
    <row r="1085" spans="1:5" x14ac:dyDescent="0.2">
      <c r="A1085"/>
      <c r="B1085" s="663"/>
      <c r="C1085" s="663"/>
      <c r="D1085" s="663"/>
      <c r="E1085" s="663"/>
    </row>
    <row r="1086" spans="1:5" x14ac:dyDescent="0.2">
      <c r="A1086"/>
      <c r="B1086" s="663"/>
      <c r="C1086" s="663"/>
      <c r="D1086" s="663"/>
      <c r="E1086" s="663"/>
    </row>
    <row r="1087" spans="1:5" x14ac:dyDescent="0.2">
      <c r="A1087"/>
      <c r="B1087" s="663"/>
      <c r="C1087" s="663"/>
      <c r="D1087" s="663"/>
      <c r="E1087" s="663"/>
    </row>
    <row r="1088" spans="1:5" x14ac:dyDescent="0.2">
      <c r="A1088"/>
      <c r="B1088" s="663"/>
      <c r="C1088" s="663"/>
      <c r="D1088" s="663"/>
      <c r="E1088" s="663"/>
    </row>
    <row r="1089" spans="1:5" x14ac:dyDescent="0.2">
      <c r="A1089"/>
      <c r="B1089" s="663"/>
      <c r="C1089" s="663"/>
      <c r="D1089" s="663"/>
      <c r="E1089" s="663"/>
    </row>
    <row r="1090" spans="1:5" x14ac:dyDescent="0.2">
      <c r="A1090"/>
      <c r="B1090" s="663"/>
      <c r="C1090" s="663"/>
      <c r="D1090" s="663"/>
      <c r="E1090" s="663"/>
    </row>
    <row r="1091" spans="1:5" x14ac:dyDescent="0.2">
      <c r="A1091"/>
      <c r="B1091" s="663"/>
      <c r="C1091" s="663"/>
      <c r="D1091" s="663"/>
      <c r="E1091" s="663"/>
    </row>
    <row r="1092" spans="1:5" x14ac:dyDescent="0.2">
      <c r="A1092"/>
      <c r="B1092" s="663"/>
      <c r="C1092" s="663"/>
      <c r="D1092" s="663"/>
      <c r="E1092" s="663"/>
    </row>
    <row r="1093" spans="1:5" x14ac:dyDescent="0.2">
      <c r="A1093"/>
      <c r="B1093" s="663"/>
      <c r="C1093" s="663"/>
      <c r="D1093" s="663"/>
      <c r="E1093" s="663"/>
    </row>
    <row r="1094" spans="1:5" x14ac:dyDescent="0.2">
      <c r="A1094"/>
      <c r="B1094" s="663"/>
      <c r="C1094" s="663"/>
      <c r="D1094" s="663"/>
      <c r="E1094" s="663"/>
    </row>
    <row r="1095" spans="1:5" x14ac:dyDescent="0.2">
      <c r="A1095"/>
      <c r="B1095" s="663"/>
      <c r="C1095" s="663"/>
      <c r="D1095" s="663"/>
      <c r="E1095" s="663"/>
    </row>
    <row r="1096" spans="1:5" x14ac:dyDescent="0.2">
      <c r="A1096"/>
      <c r="B1096" s="663"/>
      <c r="C1096" s="663"/>
      <c r="D1096" s="663"/>
      <c r="E1096" s="663"/>
    </row>
    <row r="1097" spans="1:5" x14ac:dyDescent="0.2">
      <c r="A1097"/>
      <c r="B1097" s="663"/>
      <c r="C1097" s="663"/>
      <c r="D1097" s="663"/>
      <c r="E1097" s="663"/>
    </row>
    <row r="1098" spans="1:5" x14ac:dyDescent="0.2">
      <c r="A1098"/>
      <c r="B1098" s="663"/>
      <c r="C1098" s="663"/>
      <c r="D1098" s="663"/>
      <c r="E1098" s="663"/>
    </row>
    <row r="1099" spans="1:5" x14ac:dyDescent="0.2">
      <c r="A1099"/>
      <c r="B1099" s="663"/>
      <c r="C1099" s="663"/>
      <c r="D1099" s="663"/>
      <c r="E1099" s="663"/>
    </row>
    <row r="1100" spans="1:5" x14ac:dyDescent="0.2">
      <c r="A1100"/>
      <c r="B1100" s="663"/>
      <c r="C1100" s="663"/>
      <c r="D1100" s="663"/>
      <c r="E1100" s="663"/>
    </row>
    <row r="1101" spans="1:5" x14ac:dyDescent="0.2">
      <c r="A1101"/>
      <c r="B1101" s="663"/>
      <c r="C1101" s="663"/>
      <c r="D1101" s="663"/>
      <c r="E1101" s="663"/>
    </row>
    <row r="1102" spans="1:5" x14ac:dyDescent="0.2">
      <c r="A1102"/>
      <c r="B1102" s="663"/>
      <c r="C1102" s="663"/>
      <c r="D1102" s="663"/>
      <c r="E1102" s="663"/>
    </row>
    <row r="1103" spans="1:5" x14ac:dyDescent="0.2">
      <c r="A1103"/>
      <c r="B1103" s="663"/>
      <c r="C1103" s="663"/>
      <c r="D1103" s="663"/>
      <c r="E1103" s="663"/>
    </row>
    <row r="1104" spans="1:5" x14ac:dyDescent="0.2">
      <c r="A1104"/>
      <c r="B1104" s="663"/>
      <c r="C1104" s="663"/>
      <c r="D1104" s="663"/>
      <c r="E1104" s="663"/>
    </row>
    <row r="1105" spans="1:5" x14ac:dyDescent="0.2">
      <c r="A1105"/>
      <c r="B1105" s="663"/>
      <c r="C1105" s="663"/>
      <c r="D1105" s="663"/>
      <c r="E1105" s="663"/>
    </row>
    <row r="1106" spans="1:5" x14ac:dyDescent="0.2">
      <c r="A1106"/>
      <c r="B1106" s="663"/>
      <c r="C1106" s="663"/>
      <c r="D1106" s="663"/>
      <c r="E1106" s="663"/>
    </row>
    <row r="1107" spans="1:5" x14ac:dyDescent="0.2">
      <c r="A1107"/>
      <c r="B1107" s="663"/>
      <c r="C1107" s="663"/>
      <c r="D1107" s="663"/>
      <c r="E1107" s="663"/>
    </row>
    <row r="1108" spans="1:5" x14ac:dyDescent="0.2">
      <c r="A1108"/>
      <c r="B1108" s="663"/>
      <c r="C1108" s="663"/>
      <c r="D1108" s="663"/>
      <c r="E1108" s="663"/>
    </row>
    <row r="1109" spans="1:5" x14ac:dyDescent="0.2">
      <c r="A1109"/>
      <c r="B1109" s="663"/>
      <c r="C1109" s="663"/>
      <c r="D1109" s="663"/>
      <c r="E1109" s="663"/>
    </row>
    <row r="1110" spans="1:5" x14ac:dyDescent="0.2">
      <c r="A1110"/>
      <c r="B1110" s="663"/>
      <c r="C1110" s="663"/>
      <c r="D1110" s="663"/>
      <c r="E1110" s="663"/>
    </row>
    <row r="1111" spans="1:5" x14ac:dyDescent="0.2">
      <c r="A1111"/>
      <c r="B1111" s="663"/>
      <c r="C1111" s="663"/>
      <c r="D1111" s="663"/>
      <c r="E1111" s="663"/>
    </row>
    <row r="1112" spans="1:5" x14ac:dyDescent="0.2">
      <c r="A1112"/>
      <c r="B1112" s="663"/>
      <c r="C1112" s="663"/>
      <c r="D1112" s="663"/>
      <c r="E1112" s="663"/>
    </row>
    <row r="1113" spans="1:5" x14ac:dyDescent="0.2">
      <c r="A1113"/>
      <c r="B1113" s="663"/>
      <c r="C1113" s="663"/>
      <c r="D1113" s="663"/>
      <c r="E1113" s="663"/>
    </row>
    <row r="1114" spans="1:5" x14ac:dyDescent="0.2">
      <c r="A1114"/>
      <c r="B1114" s="663"/>
      <c r="C1114" s="663"/>
      <c r="D1114" s="663"/>
      <c r="E1114" s="663"/>
    </row>
    <row r="1115" spans="1:5" x14ac:dyDescent="0.2">
      <c r="A1115"/>
      <c r="B1115" s="663"/>
      <c r="C1115" s="663"/>
      <c r="D1115" s="663"/>
      <c r="E1115" s="663"/>
    </row>
    <row r="1116" spans="1:5" x14ac:dyDescent="0.2">
      <c r="A1116"/>
      <c r="B1116" s="663"/>
      <c r="C1116" s="663"/>
      <c r="D1116" s="663"/>
      <c r="E1116" s="663"/>
    </row>
    <row r="1117" spans="1:5" x14ac:dyDescent="0.2">
      <c r="A1117"/>
      <c r="B1117" s="663"/>
      <c r="C1117" s="663"/>
      <c r="D1117" s="663"/>
      <c r="E1117" s="663"/>
    </row>
    <row r="1118" spans="1:5" x14ac:dyDescent="0.2">
      <c r="A1118"/>
      <c r="B1118" s="663"/>
      <c r="C1118" s="663"/>
      <c r="D1118" s="663"/>
      <c r="E1118" s="663"/>
    </row>
    <row r="1119" spans="1:5" x14ac:dyDescent="0.2">
      <c r="A1119"/>
      <c r="B1119" s="663"/>
      <c r="C1119" s="663"/>
      <c r="D1119" s="663"/>
      <c r="E1119" s="663"/>
    </row>
    <row r="1120" spans="1:5" x14ac:dyDescent="0.2">
      <c r="A1120"/>
      <c r="B1120" s="663"/>
      <c r="C1120" s="663"/>
      <c r="D1120" s="663"/>
      <c r="E1120" s="663"/>
    </row>
    <row r="1121" spans="1:5" x14ac:dyDescent="0.2">
      <c r="A1121"/>
      <c r="B1121" s="663"/>
      <c r="C1121" s="663"/>
      <c r="D1121" s="663"/>
      <c r="E1121" s="663"/>
    </row>
    <row r="1122" spans="1:5" x14ac:dyDescent="0.2">
      <c r="A1122"/>
      <c r="B1122" s="663"/>
      <c r="C1122" s="663"/>
      <c r="D1122" s="663"/>
      <c r="E1122" s="663"/>
    </row>
    <row r="1123" spans="1:5" x14ac:dyDescent="0.2">
      <c r="A1123"/>
      <c r="B1123" s="663"/>
      <c r="C1123" s="663"/>
      <c r="D1123" s="663"/>
      <c r="E1123" s="663"/>
    </row>
    <row r="1124" spans="1:5" x14ac:dyDescent="0.2">
      <c r="A1124"/>
      <c r="B1124" s="663"/>
      <c r="C1124" s="663"/>
      <c r="D1124" s="663"/>
      <c r="E1124" s="663"/>
    </row>
    <row r="1125" spans="1:5" x14ac:dyDescent="0.2">
      <c r="A1125"/>
      <c r="B1125" s="663"/>
      <c r="C1125" s="663"/>
      <c r="D1125" s="663"/>
      <c r="E1125" s="663"/>
    </row>
    <row r="1126" spans="1:5" x14ac:dyDescent="0.2">
      <c r="A1126"/>
      <c r="B1126" s="663"/>
      <c r="C1126" s="663"/>
      <c r="D1126" s="663"/>
      <c r="E1126" s="663"/>
    </row>
    <row r="1127" spans="1:5" x14ac:dyDescent="0.2">
      <c r="A1127"/>
      <c r="B1127" s="663"/>
      <c r="C1127" s="663"/>
      <c r="D1127" s="663"/>
      <c r="E1127" s="663"/>
    </row>
    <row r="1128" spans="1:5" x14ac:dyDescent="0.2">
      <c r="A1128"/>
      <c r="B1128" s="663"/>
      <c r="C1128" s="663"/>
      <c r="D1128" s="663"/>
      <c r="E1128" s="663"/>
    </row>
    <row r="1129" spans="1:5" x14ac:dyDescent="0.2">
      <c r="A1129"/>
      <c r="B1129" s="663"/>
      <c r="C1129" s="663"/>
      <c r="D1129" s="663"/>
      <c r="E1129" s="663"/>
    </row>
    <row r="1130" spans="1:5" x14ac:dyDescent="0.2">
      <c r="A1130"/>
      <c r="B1130" s="663"/>
      <c r="C1130" s="663"/>
      <c r="D1130" s="663"/>
      <c r="E1130" s="663"/>
    </row>
    <row r="1131" spans="1:5" x14ac:dyDescent="0.2">
      <c r="A1131"/>
      <c r="B1131" s="663"/>
      <c r="C1131" s="663"/>
      <c r="D1131" s="663"/>
      <c r="E1131" s="663"/>
    </row>
    <row r="1132" spans="1:5" x14ac:dyDescent="0.2">
      <c r="A1132"/>
      <c r="B1132" s="663"/>
      <c r="C1132" s="663"/>
      <c r="D1132" s="663"/>
      <c r="E1132" s="663"/>
    </row>
    <row r="1133" spans="1:5" x14ac:dyDescent="0.2">
      <c r="A1133"/>
      <c r="B1133" s="663"/>
      <c r="C1133" s="663"/>
      <c r="D1133" s="663"/>
      <c r="E1133" s="663"/>
    </row>
    <row r="1134" spans="1:5" x14ac:dyDescent="0.2">
      <c r="A1134"/>
      <c r="B1134" s="663"/>
      <c r="C1134" s="663"/>
      <c r="D1134" s="663"/>
      <c r="E1134" s="663"/>
    </row>
    <row r="1135" spans="1:5" x14ac:dyDescent="0.2">
      <c r="A1135"/>
      <c r="B1135" s="663"/>
      <c r="C1135" s="663"/>
      <c r="D1135" s="663"/>
      <c r="E1135" s="663"/>
    </row>
    <row r="1136" spans="1:5" x14ac:dyDescent="0.2">
      <c r="A1136"/>
      <c r="B1136" s="663"/>
      <c r="C1136" s="663"/>
      <c r="D1136" s="663"/>
      <c r="E1136" s="663"/>
    </row>
    <row r="1137" spans="1:5" x14ac:dyDescent="0.2">
      <c r="A1137"/>
      <c r="B1137" s="663"/>
      <c r="C1137" s="663"/>
      <c r="D1137" s="663"/>
      <c r="E1137" s="663"/>
    </row>
    <row r="1138" spans="1:5" x14ac:dyDescent="0.2">
      <c r="A1138"/>
      <c r="B1138" s="663"/>
      <c r="C1138" s="663"/>
      <c r="D1138" s="663"/>
      <c r="E1138" s="663"/>
    </row>
    <row r="1139" spans="1:5" x14ac:dyDescent="0.2">
      <c r="A1139"/>
      <c r="B1139" s="663"/>
      <c r="C1139" s="663"/>
      <c r="D1139" s="663"/>
      <c r="E1139" s="663"/>
    </row>
    <row r="1140" spans="1:5" x14ac:dyDescent="0.2">
      <c r="A1140"/>
      <c r="B1140" s="663"/>
      <c r="C1140" s="663"/>
      <c r="D1140" s="663"/>
      <c r="E1140" s="663"/>
    </row>
    <row r="1141" spans="1:5" x14ac:dyDescent="0.2">
      <c r="A1141"/>
      <c r="B1141" s="663"/>
      <c r="C1141" s="663"/>
      <c r="D1141" s="663"/>
      <c r="E1141" s="663"/>
    </row>
    <row r="1142" spans="1:5" x14ac:dyDescent="0.2">
      <c r="A1142"/>
      <c r="B1142" s="663"/>
      <c r="C1142" s="663"/>
      <c r="D1142" s="663"/>
      <c r="E1142" s="663"/>
    </row>
    <row r="1143" spans="1:5" x14ac:dyDescent="0.2">
      <c r="A1143"/>
      <c r="B1143" s="663"/>
      <c r="C1143" s="663"/>
      <c r="D1143" s="663"/>
      <c r="E1143" s="663"/>
    </row>
    <row r="1144" spans="1:5" x14ac:dyDescent="0.2">
      <c r="A1144"/>
      <c r="B1144" s="663"/>
      <c r="C1144" s="663"/>
      <c r="D1144" s="663"/>
      <c r="E1144" s="663"/>
    </row>
    <row r="1145" spans="1:5" x14ac:dyDescent="0.2">
      <c r="A1145"/>
      <c r="B1145" s="663"/>
      <c r="C1145" s="663"/>
      <c r="D1145" s="663"/>
      <c r="E1145" s="663"/>
    </row>
    <row r="1146" spans="1:5" x14ac:dyDescent="0.2">
      <c r="A1146"/>
      <c r="B1146" s="663"/>
      <c r="C1146" s="663"/>
      <c r="D1146" s="663"/>
      <c r="E1146" s="663"/>
    </row>
    <row r="1147" spans="1:5" x14ac:dyDescent="0.2">
      <c r="A1147"/>
      <c r="B1147" s="663"/>
      <c r="C1147" s="663"/>
      <c r="D1147" s="663"/>
      <c r="E1147" s="663"/>
    </row>
    <row r="1148" spans="1:5" x14ac:dyDescent="0.2">
      <c r="A1148"/>
      <c r="B1148" s="663"/>
      <c r="C1148" s="663"/>
      <c r="D1148" s="663"/>
      <c r="E1148" s="663"/>
    </row>
    <row r="1149" spans="1:5" x14ac:dyDescent="0.2">
      <c r="A1149"/>
      <c r="B1149" s="663"/>
      <c r="C1149" s="663"/>
      <c r="D1149" s="663"/>
      <c r="E1149" s="663"/>
    </row>
    <row r="1150" spans="1:5" x14ac:dyDescent="0.2">
      <c r="A1150"/>
      <c r="B1150" s="663"/>
      <c r="C1150" s="663"/>
      <c r="D1150" s="663"/>
      <c r="E1150" s="663"/>
    </row>
    <row r="1151" spans="1:5" x14ac:dyDescent="0.2">
      <c r="A1151"/>
      <c r="B1151" s="663"/>
      <c r="C1151" s="663"/>
      <c r="D1151" s="663"/>
      <c r="E1151" s="663"/>
    </row>
    <row r="1152" spans="1:5" x14ac:dyDescent="0.2">
      <c r="A1152"/>
      <c r="B1152" s="663"/>
      <c r="C1152" s="663"/>
      <c r="D1152" s="663"/>
      <c r="E1152" s="663"/>
    </row>
    <row r="1153" spans="1:5" x14ac:dyDescent="0.2">
      <c r="A1153"/>
      <c r="B1153" s="663"/>
      <c r="C1153" s="663"/>
      <c r="D1153" s="663"/>
      <c r="E1153" s="663"/>
    </row>
    <row r="1154" spans="1:5" x14ac:dyDescent="0.2">
      <c r="A1154"/>
      <c r="B1154" s="663"/>
      <c r="C1154" s="663"/>
      <c r="D1154" s="663"/>
      <c r="E1154" s="663"/>
    </row>
    <row r="1155" spans="1:5" x14ac:dyDescent="0.2">
      <c r="A1155"/>
      <c r="B1155" s="663"/>
      <c r="C1155" s="663"/>
      <c r="D1155" s="663"/>
      <c r="E1155" s="663"/>
    </row>
    <row r="1156" spans="1:5" x14ac:dyDescent="0.2">
      <c r="A1156"/>
      <c r="B1156" s="663"/>
      <c r="C1156" s="663"/>
      <c r="D1156" s="663"/>
      <c r="E1156" s="663"/>
    </row>
    <row r="1157" spans="1:5" x14ac:dyDescent="0.2">
      <c r="A1157"/>
      <c r="B1157" s="663"/>
      <c r="C1157" s="663"/>
      <c r="D1157" s="663"/>
      <c r="E1157" s="663"/>
    </row>
    <row r="1158" spans="1:5" x14ac:dyDescent="0.2">
      <c r="A1158"/>
      <c r="B1158" s="663"/>
      <c r="C1158" s="663"/>
      <c r="D1158" s="663"/>
      <c r="E1158" s="663"/>
    </row>
    <row r="1159" spans="1:5" x14ac:dyDescent="0.2">
      <c r="A1159"/>
      <c r="B1159" s="663"/>
      <c r="C1159" s="663"/>
      <c r="D1159" s="663"/>
      <c r="E1159" s="663"/>
    </row>
    <row r="1160" spans="1:5" x14ac:dyDescent="0.2">
      <c r="A1160"/>
      <c r="B1160" s="663"/>
      <c r="C1160" s="663"/>
      <c r="D1160" s="663"/>
      <c r="E1160" s="663"/>
    </row>
    <row r="1161" spans="1:5" x14ac:dyDescent="0.2">
      <c r="A1161"/>
      <c r="B1161" s="663"/>
      <c r="C1161" s="663"/>
      <c r="D1161" s="663"/>
      <c r="E1161" s="663"/>
    </row>
    <row r="1162" spans="1:5" x14ac:dyDescent="0.2">
      <c r="A1162"/>
      <c r="B1162" s="663"/>
      <c r="C1162" s="663"/>
      <c r="D1162" s="663"/>
      <c r="E1162" s="663"/>
    </row>
    <row r="1163" spans="1:5" x14ac:dyDescent="0.2">
      <c r="A1163"/>
      <c r="B1163" s="663"/>
      <c r="C1163" s="663"/>
      <c r="D1163" s="663"/>
      <c r="E1163" s="663"/>
    </row>
    <row r="1164" spans="1:5" x14ac:dyDescent="0.2">
      <c r="A1164"/>
      <c r="B1164" s="663"/>
      <c r="C1164" s="663"/>
      <c r="D1164" s="663"/>
      <c r="E1164" s="663"/>
    </row>
    <row r="1165" spans="1:5" x14ac:dyDescent="0.2">
      <c r="A1165"/>
      <c r="B1165" s="663"/>
      <c r="C1165" s="663"/>
      <c r="D1165" s="663"/>
      <c r="E1165" s="663"/>
    </row>
    <row r="1166" spans="1:5" x14ac:dyDescent="0.2">
      <c r="A1166"/>
      <c r="B1166" s="663"/>
      <c r="C1166" s="663"/>
      <c r="D1166" s="663"/>
      <c r="E1166" s="663"/>
    </row>
    <row r="1167" spans="1:5" x14ac:dyDescent="0.2">
      <c r="A1167"/>
      <c r="B1167" s="663"/>
      <c r="C1167" s="663"/>
      <c r="D1167" s="663"/>
      <c r="E1167" s="663"/>
    </row>
    <row r="1168" spans="1:5" x14ac:dyDescent="0.2">
      <c r="A1168"/>
      <c r="B1168" s="663"/>
      <c r="C1168" s="663"/>
      <c r="D1168" s="663"/>
      <c r="E1168" s="663"/>
    </row>
    <row r="1169" spans="1:5" x14ac:dyDescent="0.2">
      <c r="A1169"/>
      <c r="B1169" s="663"/>
      <c r="C1169" s="663"/>
      <c r="D1169" s="663"/>
      <c r="E1169" s="663"/>
    </row>
    <row r="1170" spans="1:5" x14ac:dyDescent="0.2">
      <c r="A1170"/>
      <c r="B1170" s="663"/>
      <c r="C1170" s="663"/>
      <c r="D1170" s="663"/>
      <c r="E1170" s="663"/>
    </row>
    <row r="1171" spans="1:5" x14ac:dyDescent="0.2">
      <c r="A1171"/>
      <c r="B1171" s="663"/>
      <c r="C1171" s="663"/>
      <c r="D1171" s="663"/>
      <c r="E1171" s="663"/>
    </row>
    <row r="1172" spans="1:5" x14ac:dyDescent="0.2">
      <c r="A1172"/>
      <c r="B1172" s="663"/>
      <c r="C1172" s="663"/>
      <c r="D1172" s="663"/>
      <c r="E1172" s="663"/>
    </row>
    <row r="1173" spans="1:5" x14ac:dyDescent="0.2">
      <c r="A1173"/>
      <c r="B1173" s="663"/>
      <c r="C1173" s="663"/>
      <c r="D1173" s="663"/>
      <c r="E1173" s="663"/>
    </row>
    <row r="1174" spans="1:5" x14ac:dyDescent="0.2">
      <c r="A1174"/>
      <c r="B1174" s="663"/>
      <c r="C1174" s="663"/>
      <c r="D1174" s="663"/>
      <c r="E1174" s="663"/>
    </row>
    <row r="1175" spans="1:5" x14ac:dyDescent="0.2">
      <c r="A1175"/>
      <c r="B1175" s="663"/>
      <c r="C1175" s="663"/>
      <c r="D1175" s="663"/>
      <c r="E1175" s="663"/>
    </row>
    <row r="1176" spans="1:5" x14ac:dyDescent="0.2">
      <c r="A1176"/>
      <c r="B1176" s="663"/>
      <c r="C1176" s="663"/>
      <c r="D1176" s="663"/>
      <c r="E1176" s="663"/>
    </row>
    <row r="1177" spans="1:5" x14ac:dyDescent="0.2">
      <c r="A1177"/>
      <c r="B1177" s="663"/>
      <c r="C1177" s="663"/>
      <c r="D1177" s="663"/>
      <c r="E1177" s="663"/>
    </row>
    <row r="1178" spans="1:5" x14ac:dyDescent="0.2">
      <c r="A1178"/>
      <c r="B1178" s="663"/>
      <c r="C1178" s="663"/>
      <c r="D1178" s="663"/>
      <c r="E1178" s="663"/>
    </row>
    <row r="1179" spans="1:5" x14ac:dyDescent="0.2">
      <c r="A1179"/>
      <c r="B1179" s="663"/>
      <c r="C1179" s="663"/>
      <c r="D1179" s="663"/>
      <c r="E1179" s="663"/>
    </row>
    <row r="1180" spans="1:5" x14ac:dyDescent="0.2">
      <c r="A1180"/>
      <c r="B1180" s="663"/>
      <c r="C1180" s="663"/>
      <c r="D1180" s="663"/>
      <c r="E1180" s="663"/>
    </row>
    <row r="1181" spans="1:5" x14ac:dyDescent="0.2">
      <c r="A1181"/>
      <c r="B1181" s="663"/>
      <c r="C1181" s="663"/>
      <c r="D1181" s="663"/>
      <c r="E1181" s="663"/>
    </row>
    <row r="1182" spans="1:5" x14ac:dyDescent="0.2">
      <c r="A1182"/>
      <c r="B1182" s="663"/>
      <c r="C1182" s="663"/>
      <c r="D1182" s="663"/>
      <c r="E1182" s="663"/>
    </row>
    <row r="1183" spans="1:5" x14ac:dyDescent="0.2">
      <c r="A1183"/>
      <c r="B1183" s="663"/>
      <c r="C1183" s="663"/>
      <c r="D1183" s="663"/>
      <c r="E1183" s="663"/>
    </row>
    <row r="1184" spans="1:5" x14ac:dyDescent="0.2">
      <c r="A1184"/>
      <c r="B1184" s="663"/>
      <c r="C1184" s="663"/>
      <c r="D1184" s="663"/>
      <c r="E1184" s="663"/>
    </row>
    <row r="1185" spans="1:5" x14ac:dyDescent="0.2">
      <c r="A1185"/>
      <c r="B1185" s="663"/>
      <c r="C1185" s="663"/>
      <c r="D1185" s="663"/>
      <c r="E1185" s="663"/>
    </row>
    <row r="1186" spans="1:5" x14ac:dyDescent="0.2">
      <c r="A1186"/>
      <c r="B1186" s="663"/>
      <c r="C1186" s="663"/>
      <c r="D1186" s="663"/>
      <c r="E1186" s="663"/>
    </row>
    <row r="1187" spans="1:5" x14ac:dyDescent="0.2">
      <c r="A1187"/>
      <c r="B1187" s="663"/>
      <c r="C1187" s="663"/>
      <c r="D1187" s="663"/>
      <c r="E1187" s="663"/>
    </row>
    <row r="1188" spans="1:5" x14ac:dyDescent="0.2">
      <c r="A1188"/>
      <c r="B1188" s="663"/>
      <c r="C1188" s="663"/>
      <c r="D1188" s="663"/>
      <c r="E1188" s="663"/>
    </row>
    <row r="1189" spans="1:5" x14ac:dyDescent="0.2">
      <c r="A1189"/>
      <c r="B1189" s="663"/>
      <c r="C1189" s="663"/>
      <c r="D1189" s="663"/>
      <c r="E1189" s="663"/>
    </row>
    <row r="1190" spans="1:5" x14ac:dyDescent="0.2">
      <c r="A1190"/>
      <c r="B1190" s="663"/>
      <c r="C1190" s="663"/>
      <c r="D1190" s="663"/>
      <c r="E1190" s="663"/>
    </row>
    <row r="1191" spans="1:5" x14ac:dyDescent="0.2">
      <c r="A1191"/>
      <c r="B1191" s="663"/>
      <c r="C1191" s="663"/>
      <c r="D1191" s="663"/>
      <c r="E1191" s="663"/>
    </row>
    <row r="1192" spans="1:5" x14ac:dyDescent="0.2">
      <c r="A1192"/>
      <c r="B1192" s="663"/>
      <c r="C1192" s="663"/>
      <c r="D1192" s="663"/>
      <c r="E1192" s="663"/>
    </row>
    <row r="1193" spans="1:5" x14ac:dyDescent="0.2">
      <c r="A1193"/>
      <c r="B1193" s="663"/>
      <c r="C1193" s="663"/>
      <c r="D1193" s="663"/>
      <c r="E1193" s="663"/>
    </row>
    <row r="1194" spans="1:5" x14ac:dyDescent="0.2">
      <c r="A1194"/>
      <c r="B1194" s="663"/>
      <c r="C1194" s="663"/>
      <c r="D1194" s="663"/>
      <c r="E1194" s="663"/>
    </row>
    <row r="1195" spans="1:5" x14ac:dyDescent="0.2">
      <c r="A1195"/>
      <c r="B1195" s="663"/>
      <c r="C1195" s="663"/>
      <c r="D1195" s="663"/>
      <c r="E1195" s="663"/>
    </row>
    <row r="1196" spans="1:5" x14ac:dyDescent="0.2">
      <c r="A1196"/>
      <c r="B1196" s="663"/>
      <c r="C1196" s="663"/>
      <c r="D1196" s="663"/>
      <c r="E1196" s="663"/>
    </row>
    <row r="1197" spans="1:5" x14ac:dyDescent="0.2">
      <c r="A1197"/>
      <c r="B1197" s="663"/>
      <c r="C1197" s="663"/>
      <c r="D1197" s="663"/>
      <c r="E1197" s="663"/>
    </row>
    <row r="1198" spans="1:5" x14ac:dyDescent="0.2">
      <c r="A1198"/>
      <c r="B1198" s="663"/>
      <c r="C1198" s="663"/>
      <c r="D1198" s="663"/>
      <c r="E1198" s="663"/>
    </row>
    <row r="1199" spans="1:5" x14ac:dyDescent="0.2">
      <c r="A1199"/>
      <c r="B1199" s="663"/>
      <c r="C1199" s="663"/>
      <c r="D1199" s="663"/>
      <c r="E1199" s="663"/>
    </row>
    <row r="1200" spans="1:5" x14ac:dyDescent="0.2">
      <c r="A1200"/>
      <c r="B1200" s="663"/>
      <c r="C1200" s="663"/>
      <c r="D1200" s="663"/>
      <c r="E1200" s="663"/>
    </row>
    <row r="1201" spans="1:5" x14ac:dyDescent="0.2">
      <c r="A1201"/>
      <c r="B1201" s="663"/>
      <c r="C1201" s="663"/>
      <c r="D1201" s="663"/>
      <c r="E1201" s="663"/>
    </row>
    <row r="1202" spans="1:5" x14ac:dyDescent="0.2">
      <c r="A1202"/>
      <c r="B1202" s="663"/>
      <c r="C1202" s="663"/>
      <c r="D1202" s="663"/>
      <c r="E1202" s="663"/>
    </row>
    <row r="1203" spans="1:5" x14ac:dyDescent="0.2">
      <c r="A1203"/>
      <c r="B1203" s="663"/>
      <c r="C1203" s="663"/>
      <c r="D1203" s="663"/>
      <c r="E1203" s="663"/>
    </row>
    <row r="1204" spans="1:5" x14ac:dyDescent="0.2">
      <c r="A1204"/>
      <c r="B1204" s="663"/>
      <c r="C1204" s="663"/>
      <c r="D1204" s="663"/>
      <c r="E1204" s="663"/>
    </row>
    <row r="1205" spans="1:5" x14ac:dyDescent="0.2">
      <c r="A1205"/>
      <c r="B1205" s="663"/>
      <c r="C1205" s="663"/>
      <c r="D1205" s="663"/>
      <c r="E1205" s="663"/>
    </row>
    <row r="1206" spans="1:5" x14ac:dyDescent="0.2">
      <c r="A1206"/>
      <c r="B1206" s="663"/>
      <c r="C1206" s="663"/>
      <c r="D1206" s="663"/>
      <c r="E1206" s="663"/>
    </row>
    <row r="1207" spans="1:5" x14ac:dyDescent="0.2">
      <c r="A1207"/>
      <c r="B1207" s="663"/>
      <c r="C1207" s="663"/>
      <c r="D1207" s="663"/>
      <c r="E1207" s="663"/>
    </row>
    <row r="1208" spans="1:5" x14ac:dyDescent="0.2">
      <c r="A1208"/>
      <c r="B1208" s="663"/>
      <c r="C1208" s="663"/>
      <c r="D1208" s="663"/>
      <c r="E1208" s="663"/>
    </row>
    <row r="1209" spans="1:5" x14ac:dyDescent="0.2">
      <c r="A1209"/>
      <c r="B1209" s="663"/>
      <c r="C1209" s="663"/>
      <c r="D1209" s="663"/>
      <c r="E1209" s="663"/>
    </row>
    <row r="1210" spans="1:5" x14ac:dyDescent="0.2">
      <c r="A1210"/>
      <c r="B1210" s="663"/>
      <c r="C1210" s="663"/>
      <c r="D1210" s="663"/>
      <c r="E1210" s="663"/>
    </row>
    <row r="1211" spans="1:5" x14ac:dyDescent="0.2">
      <c r="A1211"/>
      <c r="B1211" s="663"/>
      <c r="C1211" s="663"/>
      <c r="D1211" s="663"/>
      <c r="E1211" s="663"/>
    </row>
    <row r="1212" spans="1:5" x14ac:dyDescent="0.2">
      <c r="A1212"/>
      <c r="B1212" s="663"/>
      <c r="C1212" s="663"/>
      <c r="D1212" s="663"/>
      <c r="E1212" s="663"/>
    </row>
    <row r="1213" spans="1:5" x14ac:dyDescent="0.2">
      <c r="A1213"/>
      <c r="B1213" s="663"/>
      <c r="C1213" s="663"/>
      <c r="D1213" s="663"/>
      <c r="E1213" s="663"/>
    </row>
    <row r="1214" spans="1:5" x14ac:dyDescent="0.2">
      <c r="A1214"/>
      <c r="B1214" s="663"/>
      <c r="C1214" s="663"/>
      <c r="D1214" s="663"/>
      <c r="E1214" s="663"/>
    </row>
    <row r="1215" spans="1:5" x14ac:dyDescent="0.2">
      <c r="A1215"/>
      <c r="B1215" s="663"/>
      <c r="C1215" s="663"/>
      <c r="D1215" s="663"/>
      <c r="E1215" s="663"/>
    </row>
    <row r="1216" spans="1:5" x14ac:dyDescent="0.2">
      <c r="A1216"/>
      <c r="B1216" s="663"/>
      <c r="C1216" s="663"/>
      <c r="D1216" s="663"/>
      <c r="E1216" s="663"/>
    </row>
    <row r="1217" spans="1:5" x14ac:dyDescent="0.2">
      <c r="A1217"/>
      <c r="B1217" s="663"/>
      <c r="C1217" s="663"/>
      <c r="D1217" s="663"/>
      <c r="E1217" s="663"/>
    </row>
    <row r="1218" spans="1:5" x14ac:dyDescent="0.2">
      <c r="A1218"/>
      <c r="B1218" s="663"/>
      <c r="C1218" s="663"/>
      <c r="D1218" s="663"/>
      <c r="E1218" s="663"/>
    </row>
    <row r="1219" spans="1:5" x14ac:dyDescent="0.2">
      <c r="A1219"/>
      <c r="B1219" s="663"/>
      <c r="C1219" s="663"/>
      <c r="D1219" s="663"/>
      <c r="E1219" s="663"/>
    </row>
    <row r="1220" spans="1:5" x14ac:dyDescent="0.2">
      <c r="A1220"/>
      <c r="B1220" s="663"/>
      <c r="C1220" s="663"/>
      <c r="D1220" s="663"/>
      <c r="E1220" s="663"/>
    </row>
    <row r="1221" spans="1:5" x14ac:dyDescent="0.2">
      <c r="A1221"/>
      <c r="B1221" s="663"/>
      <c r="C1221" s="663"/>
      <c r="D1221" s="663"/>
      <c r="E1221" s="663"/>
    </row>
    <row r="1222" spans="1:5" x14ac:dyDescent="0.2">
      <c r="A1222"/>
      <c r="B1222" s="663"/>
      <c r="C1222" s="663"/>
      <c r="D1222" s="663"/>
      <c r="E1222" s="663"/>
    </row>
    <row r="1223" spans="1:5" x14ac:dyDescent="0.2">
      <c r="A1223"/>
      <c r="B1223" s="663"/>
      <c r="C1223" s="663"/>
      <c r="D1223" s="663"/>
      <c r="E1223" s="663"/>
    </row>
    <row r="1224" spans="1:5" x14ac:dyDescent="0.2">
      <c r="A1224"/>
      <c r="B1224" s="663"/>
      <c r="C1224" s="663"/>
      <c r="D1224" s="663"/>
      <c r="E1224" s="663"/>
    </row>
    <row r="1225" spans="1:5" x14ac:dyDescent="0.2">
      <c r="A1225"/>
      <c r="B1225" s="663"/>
      <c r="C1225" s="663"/>
      <c r="D1225" s="663"/>
      <c r="E1225" s="663"/>
    </row>
    <row r="1226" spans="1:5" x14ac:dyDescent="0.2">
      <c r="A1226"/>
      <c r="B1226" s="663"/>
      <c r="C1226" s="663"/>
      <c r="D1226" s="663"/>
      <c r="E1226" s="663"/>
    </row>
    <row r="1227" spans="1:5" x14ac:dyDescent="0.2">
      <c r="A1227"/>
      <c r="B1227" s="663"/>
      <c r="C1227" s="663"/>
      <c r="D1227" s="663"/>
      <c r="E1227" s="663"/>
    </row>
    <row r="1228" spans="1:5" x14ac:dyDescent="0.2">
      <c r="A1228"/>
      <c r="B1228" s="663"/>
      <c r="C1228" s="663"/>
      <c r="D1228" s="663"/>
      <c r="E1228" s="663"/>
    </row>
    <row r="1229" spans="1:5" x14ac:dyDescent="0.2">
      <c r="A1229"/>
      <c r="B1229" s="663"/>
      <c r="C1229" s="663"/>
      <c r="D1229" s="663"/>
      <c r="E1229" s="663"/>
    </row>
    <row r="1230" spans="1:5" x14ac:dyDescent="0.2">
      <c r="A1230"/>
      <c r="B1230" s="663"/>
      <c r="C1230" s="663"/>
      <c r="D1230" s="663"/>
      <c r="E1230" s="663"/>
    </row>
    <row r="1231" spans="1:5" x14ac:dyDescent="0.2">
      <c r="A1231"/>
      <c r="B1231" s="663"/>
      <c r="C1231" s="663"/>
      <c r="D1231" s="663"/>
      <c r="E1231" s="663"/>
    </row>
    <row r="1232" spans="1:5" x14ac:dyDescent="0.2">
      <c r="A1232"/>
      <c r="B1232" s="663"/>
      <c r="C1232" s="663"/>
      <c r="D1232" s="663"/>
      <c r="E1232" s="663"/>
    </row>
    <row r="1233" spans="1:5" x14ac:dyDescent="0.2">
      <c r="A1233"/>
      <c r="B1233" s="663"/>
      <c r="C1233" s="663"/>
      <c r="D1233" s="663"/>
      <c r="E1233" s="663"/>
    </row>
    <row r="1234" spans="1:5" x14ac:dyDescent="0.2">
      <c r="A1234"/>
      <c r="B1234" s="663"/>
      <c r="C1234" s="663"/>
      <c r="D1234" s="663"/>
      <c r="E1234" s="663"/>
    </row>
    <row r="1235" spans="1:5" x14ac:dyDescent="0.2">
      <c r="A1235"/>
      <c r="B1235" s="663"/>
      <c r="C1235" s="663"/>
      <c r="D1235" s="663"/>
      <c r="E1235" s="663"/>
    </row>
    <row r="1236" spans="1:5" x14ac:dyDescent="0.2">
      <c r="A1236"/>
      <c r="B1236" s="663"/>
      <c r="C1236" s="663"/>
      <c r="D1236" s="663"/>
      <c r="E1236" s="663"/>
    </row>
    <row r="1237" spans="1:5" x14ac:dyDescent="0.2">
      <c r="A1237"/>
      <c r="B1237" s="663"/>
      <c r="C1237" s="663"/>
      <c r="D1237" s="663"/>
      <c r="E1237" s="663"/>
    </row>
    <row r="1238" spans="1:5" x14ac:dyDescent="0.2">
      <c r="A1238"/>
      <c r="B1238" s="663"/>
      <c r="C1238" s="663"/>
      <c r="D1238" s="663"/>
      <c r="E1238" s="663"/>
    </row>
    <row r="1239" spans="1:5" x14ac:dyDescent="0.2">
      <c r="A1239"/>
      <c r="B1239" s="663"/>
      <c r="C1239" s="663"/>
      <c r="D1239" s="663"/>
      <c r="E1239" s="663"/>
    </row>
    <row r="1240" spans="1:5" x14ac:dyDescent="0.2">
      <c r="A1240"/>
      <c r="B1240" s="663"/>
      <c r="C1240" s="663"/>
      <c r="D1240" s="663"/>
      <c r="E1240" s="663"/>
    </row>
    <row r="1241" spans="1:5" x14ac:dyDescent="0.2">
      <c r="A1241"/>
      <c r="B1241" s="663"/>
      <c r="C1241" s="663"/>
      <c r="D1241" s="663"/>
      <c r="E1241" s="663"/>
    </row>
    <row r="1242" spans="1:5" x14ac:dyDescent="0.2">
      <c r="A1242"/>
      <c r="B1242" s="663"/>
      <c r="C1242" s="663"/>
      <c r="D1242" s="663"/>
      <c r="E1242" s="663"/>
    </row>
    <row r="1243" spans="1:5" x14ac:dyDescent="0.2">
      <c r="A1243"/>
      <c r="B1243" s="663"/>
      <c r="C1243" s="663"/>
      <c r="D1243" s="663"/>
      <c r="E1243" s="663"/>
    </row>
    <row r="1244" spans="1:5" x14ac:dyDescent="0.2">
      <c r="A1244"/>
      <c r="B1244" s="663"/>
      <c r="C1244" s="663"/>
      <c r="D1244" s="663"/>
      <c r="E1244" s="663"/>
    </row>
    <row r="1245" spans="1:5" x14ac:dyDescent="0.2">
      <c r="A1245"/>
      <c r="B1245" s="663"/>
      <c r="C1245" s="663"/>
      <c r="D1245" s="663"/>
      <c r="E1245" s="663"/>
    </row>
    <row r="1246" spans="1:5" x14ac:dyDescent="0.2">
      <c r="A1246"/>
      <c r="B1246" s="663"/>
      <c r="C1246" s="663"/>
      <c r="D1246" s="663"/>
      <c r="E1246" s="663"/>
    </row>
    <row r="1247" spans="1:5" x14ac:dyDescent="0.2">
      <c r="A1247"/>
      <c r="B1247" s="663"/>
      <c r="C1247" s="663"/>
      <c r="D1247" s="663"/>
      <c r="E1247" s="663"/>
    </row>
    <row r="1248" spans="1:5" x14ac:dyDescent="0.2">
      <c r="A1248"/>
      <c r="B1248" s="663"/>
      <c r="C1248" s="663"/>
      <c r="D1248" s="663"/>
      <c r="E1248" s="663"/>
    </row>
    <row r="1249" spans="1:5" x14ac:dyDescent="0.2">
      <c r="A1249"/>
      <c r="B1249" s="663"/>
      <c r="C1249" s="663"/>
      <c r="D1249" s="663"/>
      <c r="E1249" s="663"/>
    </row>
    <row r="1250" spans="1:5" x14ac:dyDescent="0.2">
      <c r="A1250"/>
      <c r="B1250" s="663"/>
      <c r="C1250" s="663"/>
      <c r="D1250" s="663"/>
      <c r="E1250" s="663"/>
    </row>
    <row r="1251" spans="1:5" x14ac:dyDescent="0.2">
      <c r="A1251"/>
      <c r="B1251" s="663"/>
      <c r="C1251" s="663"/>
      <c r="D1251" s="663"/>
      <c r="E1251" s="663"/>
    </row>
    <row r="1252" spans="1:5" x14ac:dyDescent="0.2">
      <c r="A1252"/>
      <c r="B1252" s="663"/>
      <c r="C1252" s="663"/>
      <c r="D1252" s="663"/>
      <c r="E1252" s="663"/>
    </row>
    <row r="1253" spans="1:5" x14ac:dyDescent="0.2">
      <c r="A1253"/>
      <c r="B1253" s="663"/>
      <c r="C1253" s="663"/>
      <c r="D1253" s="663"/>
      <c r="E1253" s="663"/>
    </row>
    <row r="1254" spans="1:5" x14ac:dyDescent="0.2">
      <c r="A1254"/>
      <c r="B1254" s="663"/>
      <c r="C1254" s="663"/>
      <c r="D1254" s="663"/>
      <c r="E1254" s="663"/>
    </row>
    <row r="1255" spans="1:5" x14ac:dyDescent="0.2">
      <c r="A1255"/>
      <c r="B1255" s="663"/>
      <c r="C1255" s="663"/>
      <c r="D1255" s="663"/>
      <c r="E1255" s="663"/>
    </row>
    <row r="1256" spans="1:5" x14ac:dyDescent="0.2">
      <c r="A1256"/>
      <c r="B1256" s="663"/>
      <c r="C1256" s="663"/>
      <c r="D1256" s="663"/>
      <c r="E1256" s="663"/>
    </row>
    <row r="1257" spans="1:5" x14ac:dyDescent="0.2">
      <c r="A1257"/>
      <c r="B1257" s="663"/>
      <c r="C1257" s="663"/>
      <c r="D1257" s="663"/>
      <c r="E1257" s="663"/>
    </row>
    <row r="1258" spans="1:5" x14ac:dyDescent="0.2">
      <c r="A1258"/>
      <c r="B1258" s="663"/>
      <c r="C1258" s="663"/>
      <c r="D1258" s="663"/>
      <c r="E1258" s="663"/>
    </row>
    <row r="1259" spans="1:5" x14ac:dyDescent="0.2">
      <c r="A1259"/>
      <c r="B1259" s="663"/>
      <c r="C1259" s="663"/>
      <c r="D1259" s="663"/>
      <c r="E1259" s="663"/>
    </row>
    <row r="1260" spans="1:5" x14ac:dyDescent="0.2">
      <c r="A1260"/>
      <c r="B1260" s="663"/>
      <c r="C1260" s="663"/>
      <c r="D1260" s="663"/>
      <c r="E1260" s="663"/>
    </row>
    <row r="1261" spans="1:5" x14ac:dyDescent="0.2">
      <c r="A1261"/>
      <c r="B1261" s="663"/>
      <c r="C1261" s="663"/>
      <c r="D1261" s="663"/>
      <c r="E1261" s="663"/>
    </row>
    <row r="1262" spans="1:5" x14ac:dyDescent="0.2">
      <c r="A1262"/>
      <c r="B1262" s="663"/>
      <c r="C1262" s="663"/>
      <c r="D1262" s="663"/>
      <c r="E1262" s="663"/>
    </row>
    <row r="1263" spans="1:5" x14ac:dyDescent="0.2">
      <c r="A1263"/>
      <c r="B1263" s="663"/>
      <c r="C1263" s="663"/>
      <c r="D1263" s="663"/>
      <c r="E1263" s="663"/>
    </row>
    <row r="1264" spans="1:5" x14ac:dyDescent="0.2">
      <c r="A1264"/>
      <c r="B1264" s="663"/>
      <c r="C1264" s="663"/>
      <c r="D1264" s="663"/>
      <c r="E1264" s="663"/>
    </row>
    <row r="1265" spans="1:5" x14ac:dyDescent="0.2">
      <c r="A1265"/>
      <c r="B1265" s="663"/>
      <c r="C1265" s="663"/>
      <c r="D1265" s="663"/>
      <c r="E1265" s="663"/>
    </row>
    <row r="1266" spans="1:5" x14ac:dyDescent="0.2">
      <c r="A1266"/>
      <c r="B1266" s="663"/>
      <c r="C1266" s="663"/>
      <c r="D1266" s="663"/>
      <c r="E1266" s="663"/>
    </row>
    <row r="1267" spans="1:5" x14ac:dyDescent="0.2">
      <c r="A1267"/>
      <c r="B1267" s="663"/>
      <c r="C1267" s="663"/>
      <c r="D1267" s="663"/>
      <c r="E1267" s="663"/>
    </row>
    <row r="1268" spans="1:5" x14ac:dyDescent="0.2">
      <c r="A1268"/>
      <c r="B1268" s="663"/>
      <c r="C1268" s="663"/>
      <c r="D1268" s="663"/>
      <c r="E1268" s="663"/>
    </row>
    <row r="1269" spans="1:5" x14ac:dyDescent="0.2">
      <c r="A1269"/>
      <c r="B1269" s="663"/>
      <c r="C1269" s="663"/>
      <c r="D1269" s="663"/>
      <c r="E1269" s="663"/>
    </row>
    <row r="1270" spans="1:5" x14ac:dyDescent="0.2">
      <c r="A1270"/>
      <c r="B1270" s="663"/>
      <c r="C1270" s="663"/>
      <c r="D1270" s="663"/>
      <c r="E1270" s="663"/>
    </row>
    <row r="1271" spans="1:5" x14ac:dyDescent="0.2">
      <c r="A1271"/>
      <c r="B1271" s="663"/>
      <c r="C1271" s="663"/>
      <c r="D1271" s="663"/>
      <c r="E1271" s="663"/>
    </row>
    <row r="1272" spans="1:5" x14ac:dyDescent="0.2">
      <c r="A1272"/>
      <c r="B1272" s="663"/>
      <c r="C1272" s="663"/>
      <c r="D1272" s="663"/>
      <c r="E1272" s="663"/>
    </row>
    <row r="1273" spans="1:5" x14ac:dyDescent="0.2">
      <c r="A1273"/>
      <c r="B1273" s="663"/>
      <c r="C1273" s="663"/>
      <c r="D1273" s="663"/>
      <c r="E1273" s="663"/>
    </row>
    <row r="1274" spans="1:5" x14ac:dyDescent="0.2">
      <c r="A1274"/>
      <c r="B1274" s="663"/>
      <c r="C1274" s="663"/>
      <c r="D1274" s="663"/>
      <c r="E1274" s="663"/>
    </row>
    <row r="1275" spans="1:5" x14ac:dyDescent="0.2">
      <c r="A1275"/>
      <c r="B1275" s="663"/>
      <c r="C1275" s="663"/>
      <c r="D1275" s="663"/>
      <c r="E1275" s="663"/>
    </row>
    <row r="1276" spans="1:5" x14ac:dyDescent="0.2">
      <c r="A1276"/>
      <c r="B1276" s="663"/>
      <c r="C1276" s="663"/>
      <c r="D1276" s="663"/>
      <c r="E1276" s="663"/>
    </row>
    <row r="1277" spans="1:5" x14ac:dyDescent="0.2">
      <c r="A1277"/>
      <c r="B1277" s="663"/>
      <c r="C1277" s="663"/>
      <c r="D1277" s="663"/>
      <c r="E1277" s="663"/>
    </row>
    <row r="1278" spans="1:5" x14ac:dyDescent="0.2">
      <c r="A1278"/>
      <c r="B1278" s="663"/>
      <c r="C1278" s="663"/>
      <c r="D1278" s="663"/>
      <c r="E1278" s="663"/>
    </row>
    <row r="1279" spans="1:5" x14ac:dyDescent="0.2">
      <c r="A1279"/>
      <c r="B1279" s="663"/>
      <c r="C1279" s="663"/>
      <c r="D1279" s="663"/>
      <c r="E1279" s="663"/>
    </row>
    <row r="1280" spans="1:5" x14ac:dyDescent="0.2">
      <c r="A1280"/>
      <c r="B1280" s="663"/>
      <c r="C1280" s="663"/>
      <c r="D1280" s="663"/>
      <c r="E1280" s="663"/>
    </row>
    <row r="1281" spans="1:5" x14ac:dyDescent="0.2">
      <c r="A1281"/>
      <c r="B1281" s="663"/>
      <c r="C1281" s="663"/>
      <c r="D1281" s="663"/>
      <c r="E1281" s="663"/>
    </row>
    <row r="1282" spans="1:5" x14ac:dyDescent="0.2">
      <c r="A1282"/>
      <c r="B1282" s="663"/>
      <c r="C1282" s="663"/>
      <c r="D1282" s="663"/>
      <c r="E1282" s="663"/>
    </row>
    <row r="1283" spans="1:5" x14ac:dyDescent="0.2">
      <c r="A1283"/>
      <c r="B1283" s="663"/>
      <c r="C1283" s="663"/>
      <c r="D1283" s="663"/>
      <c r="E1283" s="663"/>
    </row>
    <row r="1284" spans="1:5" x14ac:dyDescent="0.2">
      <c r="A1284"/>
      <c r="B1284" s="663"/>
      <c r="C1284" s="663"/>
      <c r="D1284" s="663"/>
      <c r="E1284" s="663"/>
    </row>
    <row r="1285" spans="1:5" x14ac:dyDescent="0.2">
      <c r="A1285"/>
      <c r="B1285" s="663"/>
      <c r="C1285" s="663"/>
      <c r="D1285" s="663"/>
      <c r="E1285" s="663"/>
    </row>
    <row r="1286" spans="1:5" x14ac:dyDescent="0.2">
      <c r="A1286"/>
      <c r="B1286" s="663"/>
      <c r="C1286" s="663"/>
      <c r="D1286" s="663"/>
      <c r="E1286" s="663"/>
    </row>
    <row r="1287" spans="1:5" x14ac:dyDescent="0.2">
      <c r="A1287"/>
      <c r="B1287" s="663"/>
      <c r="C1287" s="663"/>
      <c r="D1287" s="663"/>
      <c r="E1287" s="663"/>
    </row>
    <row r="1288" spans="1:5" x14ac:dyDescent="0.2">
      <c r="A1288"/>
      <c r="B1288" s="663"/>
      <c r="C1288" s="663"/>
      <c r="D1288" s="663"/>
      <c r="E1288" s="663"/>
    </row>
    <row r="1289" spans="1:5" x14ac:dyDescent="0.2">
      <c r="A1289"/>
      <c r="B1289" s="663"/>
      <c r="C1289" s="663"/>
      <c r="D1289" s="663"/>
      <c r="E1289" s="663"/>
    </row>
    <row r="1290" spans="1:5" x14ac:dyDescent="0.2">
      <c r="A1290"/>
      <c r="B1290" s="663"/>
      <c r="C1290" s="663"/>
      <c r="D1290" s="663"/>
      <c r="E1290" s="663"/>
    </row>
    <row r="1291" spans="1:5" x14ac:dyDescent="0.2">
      <c r="A1291"/>
      <c r="B1291" s="663"/>
      <c r="C1291" s="663"/>
      <c r="D1291" s="663"/>
      <c r="E1291" s="663"/>
    </row>
    <row r="1292" spans="1:5" x14ac:dyDescent="0.2">
      <c r="A1292"/>
      <c r="B1292" s="663"/>
      <c r="C1292" s="663"/>
      <c r="D1292" s="663"/>
      <c r="E1292" s="663"/>
    </row>
    <row r="1293" spans="1:5" x14ac:dyDescent="0.2">
      <c r="A1293"/>
      <c r="B1293" s="663"/>
      <c r="C1293" s="663"/>
      <c r="D1293" s="663"/>
      <c r="E1293" s="663"/>
    </row>
    <row r="1294" spans="1:5" x14ac:dyDescent="0.2">
      <c r="A1294"/>
      <c r="B1294" s="663"/>
      <c r="C1294" s="663"/>
      <c r="D1294" s="663"/>
      <c r="E1294" s="663"/>
    </row>
    <row r="1295" spans="1:5" x14ac:dyDescent="0.2">
      <c r="A1295"/>
      <c r="B1295" s="663"/>
      <c r="C1295" s="663"/>
      <c r="D1295" s="663"/>
      <c r="E1295" s="663"/>
    </row>
    <row r="1296" spans="1:5" x14ac:dyDescent="0.2">
      <c r="A1296"/>
      <c r="B1296" s="663"/>
      <c r="C1296" s="663"/>
      <c r="D1296" s="663"/>
      <c r="E1296" s="663"/>
    </row>
    <row r="1297" spans="1:5" x14ac:dyDescent="0.2">
      <c r="A1297"/>
      <c r="B1297" s="663"/>
      <c r="C1297" s="663"/>
      <c r="D1297" s="663"/>
      <c r="E1297" s="663"/>
    </row>
    <row r="1298" spans="1:5" x14ac:dyDescent="0.2">
      <c r="A1298"/>
      <c r="B1298" s="663"/>
      <c r="C1298" s="663"/>
      <c r="D1298" s="663"/>
      <c r="E1298" s="663"/>
    </row>
    <row r="1299" spans="1:5" x14ac:dyDescent="0.2">
      <c r="A1299"/>
      <c r="B1299" s="663"/>
      <c r="C1299" s="663"/>
      <c r="D1299" s="663"/>
      <c r="E1299" s="663"/>
    </row>
    <row r="1300" spans="1:5" x14ac:dyDescent="0.2">
      <c r="A1300"/>
      <c r="B1300" s="663"/>
      <c r="C1300" s="663"/>
      <c r="D1300" s="663"/>
      <c r="E1300" s="663"/>
    </row>
    <row r="1301" spans="1:5" x14ac:dyDescent="0.2">
      <c r="A1301"/>
      <c r="B1301" s="663"/>
      <c r="C1301" s="663"/>
      <c r="D1301" s="663"/>
      <c r="E1301" s="663"/>
    </row>
    <row r="1302" spans="1:5" x14ac:dyDescent="0.2">
      <c r="A1302"/>
      <c r="B1302" s="663"/>
      <c r="C1302" s="663"/>
      <c r="D1302" s="663"/>
      <c r="E1302" s="663"/>
    </row>
    <row r="1303" spans="1:5" x14ac:dyDescent="0.2">
      <c r="A1303"/>
      <c r="B1303" s="663"/>
      <c r="C1303" s="663"/>
      <c r="D1303" s="663"/>
      <c r="E1303" s="663"/>
    </row>
    <row r="1304" spans="1:5" x14ac:dyDescent="0.2">
      <c r="A1304"/>
      <c r="B1304" s="663"/>
      <c r="C1304" s="663"/>
      <c r="D1304" s="663"/>
      <c r="E1304" s="663"/>
    </row>
    <row r="1305" spans="1:5" x14ac:dyDescent="0.2">
      <c r="A1305"/>
      <c r="B1305" s="663"/>
      <c r="C1305" s="663"/>
      <c r="D1305" s="663"/>
      <c r="E1305" s="663"/>
    </row>
    <row r="1306" spans="1:5" x14ac:dyDescent="0.2">
      <c r="A1306"/>
      <c r="B1306" s="663"/>
      <c r="C1306" s="663"/>
      <c r="D1306" s="663"/>
      <c r="E1306" s="663"/>
    </row>
    <row r="1307" spans="1:5" x14ac:dyDescent="0.2">
      <c r="A1307"/>
      <c r="B1307" s="663"/>
      <c r="C1307" s="663"/>
      <c r="D1307" s="663"/>
      <c r="E1307" s="663"/>
    </row>
    <row r="1308" spans="1:5" x14ac:dyDescent="0.2">
      <c r="A1308"/>
      <c r="B1308" s="663"/>
      <c r="C1308" s="663"/>
      <c r="D1308" s="663"/>
      <c r="E1308" s="663"/>
    </row>
    <row r="1309" spans="1:5" x14ac:dyDescent="0.2">
      <c r="A1309"/>
      <c r="B1309" s="663"/>
      <c r="C1309" s="663"/>
      <c r="D1309" s="663"/>
      <c r="E1309" s="663"/>
    </row>
    <row r="1310" spans="1:5" x14ac:dyDescent="0.2">
      <c r="A1310"/>
      <c r="B1310" s="663"/>
      <c r="C1310" s="663"/>
      <c r="D1310" s="663"/>
      <c r="E1310" s="663"/>
    </row>
    <row r="1311" spans="1:5" x14ac:dyDescent="0.2">
      <c r="A1311"/>
      <c r="B1311" s="663"/>
      <c r="C1311" s="663"/>
      <c r="D1311" s="663"/>
      <c r="E1311" s="663"/>
    </row>
    <row r="1312" spans="1:5" x14ac:dyDescent="0.2">
      <c r="A1312"/>
      <c r="B1312" s="663"/>
      <c r="C1312" s="663"/>
      <c r="D1312" s="663"/>
      <c r="E1312" s="663"/>
    </row>
    <row r="1313" spans="1:5" x14ac:dyDescent="0.2">
      <c r="A1313"/>
      <c r="B1313" s="663"/>
      <c r="C1313" s="663"/>
      <c r="D1313" s="663"/>
      <c r="E1313" s="663"/>
    </row>
    <row r="1314" spans="1:5" x14ac:dyDescent="0.2">
      <c r="A1314"/>
      <c r="B1314" s="663"/>
      <c r="C1314" s="663"/>
      <c r="D1314" s="663"/>
      <c r="E1314" s="663"/>
    </row>
    <row r="1315" spans="1:5" x14ac:dyDescent="0.2">
      <c r="A1315"/>
      <c r="B1315" s="663"/>
      <c r="C1315" s="663"/>
      <c r="D1315" s="663"/>
      <c r="E1315" s="663"/>
    </row>
    <row r="1316" spans="1:5" x14ac:dyDescent="0.2">
      <c r="A1316"/>
      <c r="B1316" s="663"/>
      <c r="C1316" s="663"/>
      <c r="D1316" s="663"/>
      <c r="E1316" s="663"/>
    </row>
    <row r="1317" spans="1:5" x14ac:dyDescent="0.2">
      <c r="A1317"/>
      <c r="B1317" s="663"/>
      <c r="C1317" s="663"/>
      <c r="D1317" s="663"/>
      <c r="E1317" s="663"/>
    </row>
    <row r="1318" spans="1:5" x14ac:dyDescent="0.2">
      <c r="A1318"/>
      <c r="B1318" s="663"/>
      <c r="C1318" s="663"/>
      <c r="D1318" s="663"/>
      <c r="E1318" s="663"/>
    </row>
    <row r="1319" spans="1:5" x14ac:dyDescent="0.2">
      <c r="A1319"/>
      <c r="B1319" s="663"/>
      <c r="C1319" s="663"/>
      <c r="D1319" s="663"/>
      <c r="E1319" s="663"/>
    </row>
    <row r="1320" spans="1:5" x14ac:dyDescent="0.2">
      <c r="A1320"/>
      <c r="B1320" s="663"/>
      <c r="C1320" s="663"/>
      <c r="D1320" s="663"/>
      <c r="E1320" s="663"/>
    </row>
    <row r="1321" spans="1:5" x14ac:dyDescent="0.2">
      <c r="A1321"/>
      <c r="B1321" s="663"/>
      <c r="C1321" s="663"/>
      <c r="D1321" s="663"/>
      <c r="E1321" s="663"/>
    </row>
    <row r="1322" spans="1:5" x14ac:dyDescent="0.2">
      <c r="A1322"/>
      <c r="B1322" s="663"/>
      <c r="C1322" s="663"/>
      <c r="D1322" s="663"/>
      <c r="E1322" s="663"/>
    </row>
    <row r="1323" spans="1:5" x14ac:dyDescent="0.2">
      <c r="A1323"/>
      <c r="B1323" s="663"/>
      <c r="C1323" s="663"/>
      <c r="D1323" s="663"/>
      <c r="E1323" s="663"/>
    </row>
    <row r="1324" spans="1:5" x14ac:dyDescent="0.2">
      <c r="A1324"/>
      <c r="B1324" s="663"/>
      <c r="C1324" s="663"/>
      <c r="D1324" s="663"/>
      <c r="E1324" s="663"/>
    </row>
    <row r="1325" spans="1:5" x14ac:dyDescent="0.2">
      <c r="A1325"/>
      <c r="B1325" s="663"/>
      <c r="C1325" s="663"/>
      <c r="D1325" s="663"/>
      <c r="E1325" s="663"/>
    </row>
    <row r="1326" spans="1:5" x14ac:dyDescent="0.2">
      <c r="A1326"/>
      <c r="B1326" s="663"/>
      <c r="C1326" s="663"/>
      <c r="D1326" s="663"/>
      <c r="E1326" s="663"/>
    </row>
    <row r="1327" spans="1:5" x14ac:dyDescent="0.2">
      <c r="A1327"/>
      <c r="B1327" s="663"/>
      <c r="C1327" s="663"/>
      <c r="D1327" s="663"/>
      <c r="E1327" s="663"/>
    </row>
    <row r="1328" spans="1:5" x14ac:dyDescent="0.2">
      <c r="A1328"/>
      <c r="B1328" s="663"/>
      <c r="C1328" s="663"/>
      <c r="D1328" s="663"/>
      <c r="E1328" s="663"/>
    </row>
    <row r="1329" spans="1:5" x14ac:dyDescent="0.2">
      <c r="A1329"/>
      <c r="B1329" s="663"/>
      <c r="C1329" s="663"/>
      <c r="D1329" s="663"/>
      <c r="E1329" s="663"/>
    </row>
    <row r="1330" spans="1:5" x14ac:dyDescent="0.2">
      <c r="A1330"/>
      <c r="B1330" s="663"/>
      <c r="C1330" s="663"/>
      <c r="D1330" s="663"/>
      <c r="E1330" s="663"/>
    </row>
    <row r="1331" spans="1:5" x14ac:dyDescent="0.2">
      <c r="A1331"/>
      <c r="B1331" s="663"/>
      <c r="C1331" s="663"/>
      <c r="D1331" s="663"/>
      <c r="E1331" s="663"/>
    </row>
    <row r="1332" spans="1:5" x14ac:dyDescent="0.2">
      <c r="A1332"/>
      <c r="B1332" s="663"/>
      <c r="C1332" s="663"/>
      <c r="D1332" s="663"/>
      <c r="E1332" s="663"/>
    </row>
    <row r="1333" spans="1:5" x14ac:dyDescent="0.2">
      <c r="A1333"/>
      <c r="B1333" s="663"/>
      <c r="C1333" s="663"/>
      <c r="D1333" s="663"/>
      <c r="E1333" s="663"/>
    </row>
    <row r="1334" spans="1:5" x14ac:dyDescent="0.2">
      <c r="A1334"/>
      <c r="B1334" s="663"/>
      <c r="C1334" s="663"/>
      <c r="D1334" s="663"/>
      <c r="E1334" s="663"/>
    </row>
    <row r="1335" spans="1:5" x14ac:dyDescent="0.2">
      <c r="A1335"/>
      <c r="B1335" s="663"/>
      <c r="C1335" s="663"/>
      <c r="D1335" s="663"/>
      <c r="E1335" s="663"/>
    </row>
    <row r="1336" spans="1:5" x14ac:dyDescent="0.2">
      <c r="A1336"/>
      <c r="B1336" s="663"/>
      <c r="C1336" s="663"/>
      <c r="D1336" s="663"/>
      <c r="E1336" s="663"/>
    </row>
    <row r="1337" spans="1:5" x14ac:dyDescent="0.2">
      <c r="A1337"/>
      <c r="B1337" s="663"/>
      <c r="C1337" s="663"/>
      <c r="D1337" s="663"/>
      <c r="E1337" s="663"/>
    </row>
    <row r="1338" spans="1:5" x14ac:dyDescent="0.2">
      <c r="A1338"/>
      <c r="B1338" s="663"/>
      <c r="C1338" s="663"/>
      <c r="D1338" s="663"/>
      <c r="E1338" s="663"/>
    </row>
    <row r="1339" spans="1:5" x14ac:dyDescent="0.2">
      <c r="A1339"/>
      <c r="B1339" s="663"/>
      <c r="C1339" s="663"/>
      <c r="D1339" s="663"/>
      <c r="E1339" s="663"/>
    </row>
    <row r="1340" spans="1:5" x14ac:dyDescent="0.2">
      <c r="A1340"/>
      <c r="B1340" s="663"/>
      <c r="C1340" s="663"/>
      <c r="D1340" s="663"/>
      <c r="E1340" s="663"/>
    </row>
    <row r="1341" spans="1:5" x14ac:dyDescent="0.2">
      <c r="A1341"/>
      <c r="B1341" s="663"/>
      <c r="C1341" s="663"/>
      <c r="D1341" s="663"/>
      <c r="E1341" s="663"/>
    </row>
    <row r="1342" spans="1:5" x14ac:dyDescent="0.2">
      <c r="A1342"/>
      <c r="B1342" s="663"/>
      <c r="C1342" s="663"/>
      <c r="D1342" s="663"/>
      <c r="E1342" s="663"/>
    </row>
    <row r="1343" spans="1:5" x14ac:dyDescent="0.2">
      <c r="A1343"/>
      <c r="B1343" s="663"/>
      <c r="C1343" s="663"/>
      <c r="D1343" s="663"/>
      <c r="E1343" s="663"/>
    </row>
    <row r="1344" spans="1:5" x14ac:dyDescent="0.2">
      <c r="A1344"/>
      <c r="B1344" s="663"/>
      <c r="C1344" s="663"/>
      <c r="D1344" s="663"/>
      <c r="E1344" s="663"/>
    </row>
    <row r="1345" spans="1:5" x14ac:dyDescent="0.2">
      <c r="A1345"/>
      <c r="B1345" s="663"/>
      <c r="C1345" s="663"/>
      <c r="D1345" s="663"/>
      <c r="E1345" s="663"/>
    </row>
    <row r="1346" spans="1:5" x14ac:dyDescent="0.2">
      <c r="A1346"/>
      <c r="B1346" s="663"/>
      <c r="C1346" s="663"/>
      <c r="D1346" s="663"/>
      <c r="E1346" s="663"/>
    </row>
    <row r="1347" spans="1:5" x14ac:dyDescent="0.2">
      <c r="A1347"/>
      <c r="B1347" s="663"/>
      <c r="C1347" s="663"/>
      <c r="D1347" s="663"/>
      <c r="E1347" s="663"/>
    </row>
    <row r="1348" spans="1:5" x14ac:dyDescent="0.2">
      <c r="A1348"/>
      <c r="B1348" s="663"/>
      <c r="C1348" s="663"/>
      <c r="D1348" s="663"/>
      <c r="E1348" s="663"/>
    </row>
    <row r="1349" spans="1:5" x14ac:dyDescent="0.2">
      <c r="A1349"/>
      <c r="B1349" s="663"/>
      <c r="C1349" s="663"/>
      <c r="D1349" s="663"/>
      <c r="E1349" s="663"/>
    </row>
    <row r="1350" spans="1:5" x14ac:dyDescent="0.2">
      <c r="A1350"/>
      <c r="B1350" s="663"/>
      <c r="C1350" s="663"/>
      <c r="D1350" s="663"/>
      <c r="E1350" s="663"/>
    </row>
    <row r="1351" spans="1:5" x14ac:dyDescent="0.2">
      <c r="A1351"/>
      <c r="B1351" s="663"/>
      <c r="C1351" s="663"/>
      <c r="D1351" s="663"/>
      <c r="E1351" s="663"/>
    </row>
    <row r="1352" spans="1:5" x14ac:dyDescent="0.2">
      <c r="A1352"/>
      <c r="B1352" s="663"/>
      <c r="C1352" s="663"/>
      <c r="D1352" s="663"/>
      <c r="E1352" s="663"/>
    </row>
    <row r="1353" spans="1:5" x14ac:dyDescent="0.2">
      <c r="A1353"/>
      <c r="B1353" s="663"/>
      <c r="C1353" s="663"/>
      <c r="D1353" s="663"/>
      <c r="E1353" s="663"/>
    </row>
    <row r="1354" spans="1:5" x14ac:dyDescent="0.2">
      <c r="A1354"/>
      <c r="B1354" s="663"/>
      <c r="C1354" s="663"/>
      <c r="D1354" s="663"/>
      <c r="E1354" s="663"/>
    </row>
    <row r="1355" spans="1:5" x14ac:dyDescent="0.2">
      <c r="A1355"/>
      <c r="B1355" s="663"/>
      <c r="C1355" s="663"/>
      <c r="D1355" s="663"/>
      <c r="E1355" s="663"/>
    </row>
    <row r="1356" spans="1:5" x14ac:dyDescent="0.2">
      <c r="A1356"/>
      <c r="B1356" s="663"/>
      <c r="C1356" s="663"/>
      <c r="D1356" s="663"/>
      <c r="E1356" s="663"/>
    </row>
    <row r="1357" spans="1:5" x14ac:dyDescent="0.2">
      <c r="A1357"/>
      <c r="B1357" s="663"/>
      <c r="C1357" s="663"/>
      <c r="D1357" s="663"/>
      <c r="E1357" s="663"/>
    </row>
    <row r="1358" spans="1:5" x14ac:dyDescent="0.2">
      <c r="A1358"/>
      <c r="B1358" s="663"/>
      <c r="C1358" s="663"/>
      <c r="D1358" s="663"/>
      <c r="E1358" s="663"/>
    </row>
    <row r="1359" spans="1:5" x14ac:dyDescent="0.2">
      <c r="A1359"/>
      <c r="B1359" s="663"/>
      <c r="C1359" s="663"/>
      <c r="D1359" s="663"/>
      <c r="E1359" s="663"/>
    </row>
    <row r="1360" spans="1:5" x14ac:dyDescent="0.2">
      <c r="A1360"/>
      <c r="B1360" s="663"/>
      <c r="C1360" s="663"/>
      <c r="D1360" s="663"/>
      <c r="E1360" s="663"/>
    </row>
    <row r="1361" spans="1:5" x14ac:dyDescent="0.2">
      <c r="A1361"/>
      <c r="B1361" s="663"/>
      <c r="C1361" s="663"/>
      <c r="D1361" s="663"/>
      <c r="E1361" s="663"/>
    </row>
    <row r="1362" spans="1:5" x14ac:dyDescent="0.2">
      <c r="A1362"/>
      <c r="B1362" s="663"/>
      <c r="C1362" s="663"/>
      <c r="D1362" s="663"/>
      <c r="E1362" s="663"/>
    </row>
    <row r="1363" spans="1:5" x14ac:dyDescent="0.2">
      <c r="A1363"/>
      <c r="B1363" s="663"/>
      <c r="C1363" s="663"/>
      <c r="D1363" s="663"/>
      <c r="E1363" s="663"/>
    </row>
    <row r="1364" spans="1:5" x14ac:dyDescent="0.2">
      <c r="A1364"/>
      <c r="B1364" s="663"/>
      <c r="C1364" s="663"/>
      <c r="D1364" s="663"/>
      <c r="E1364" s="663"/>
    </row>
    <row r="1365" spans="1:5" x14ac:dyDescent="0.2">
      <c r="A1365"/>
      <c r="B1365" s="663"/>
      <c r="C1365" s="663"/>
      <c r="D1365" s="663"/>
      <c r="E1365" s="663"/>
    </row>
    <row r="1366" spans="1:5" x14ac:dyDescent="0.2">
      <c r="A1366"/>
      <c r="B1366" s="663"/>
      <c r="C1366" s="663"/>
      <c r="D1366" s="663"/>
      <c r="E1366" s="663"/>
    </row>
    <row r="1367" spans="1:5" x14ac:dyDescent="0.2">
      <c r="A1367"/>
      <c r="B1367" s="663"/>
      <c r="C1367" s="663"/>
      <c r="D1367" s="663"/>
      <c r="E1367" s="663"/>
    </row>
    <row r="1368" spans="1:5" x14ac:dyDescent="0.2">
      <c r="A1368"/>
      <c r="B1368" s="663"/>
      <c r="C1368" s="663"/>
      <c r="D1368" s="663"/>
      <c r="E1368" s="663"/>
    </row>
    <row r="1369" spans="1:5" x14ac:dyDescent="0.2">
      <c r="A1369"/>
      <c r="B1369" s="663"/>
      <c r="C1369" s="663"/>
      <c r="D1369" s="663"/>
      <c r="E1369" s="663"/>
    </row>
    <row r="1370" spans="1:5" x14ac:dyDescent="0.2">
      <c r="A1370"/>
      <c r="B1370" s="663"/>
      <c r="C1370" s="663"/>
      <c r="D1370" s="663"/>
      <c r="E1370" s="663"/>
    </row>
    <row r="1371" spans="1:5" x14ac:dyDescent="0.2">
      <c r="A1371"/>
      <c r="B1371" s="663"/>
      <c r="C1371" s="663"/>
      <c r="D1371" s="663"/>
      <c r="E1371" s="663"/>
    </row>
    <row r="1372" spans="1:5" x14ac:dyDescent="0.2">
      <c r="A1372"/>
      <c r="B1372" s="663"/>
      <c r="C1372" s="663"/>
      <c r="D1372" s="663"/>
      <c r="E1372" s="663"/>
    </row>
    <row r="1373" spans="1:5" x14ac:dyDescent="0.2">
      <c r="A1373"/>
      <c r="B1373" s="663"/>
      <c r="C1373" s="663"/>
      <c r="D1373" s="663"/>
      <c r="E1373" s="663"/>
    </row>
    <row r="1374" spans="1:5" x14ac:dyDescent="0.2">
      <c r="A1374"/>
      <c r="B1374" s="663"/>
      <c r="C1374" s="663"/>
      <c r="D1374" s="663"/>
      <c r="E1374" s="663"/>
    </row>
    <row r="1375" spans="1:5" x14ac:dyDescent="0.2">
      <c r="A1375"/>
      <c r="B1375" s="663"/>
      <c r="C1375" s="663"/>
      <c r="D1375" s="663"/>
      <c r="E1375" s="663"/>
    </row>
    <row r="1376" spans="1:5" x14ac:dyDescent="0.2">
      <c r="A1376"/>
      <c r="B1376" s="663"/>
      <c r="C1376" s="663"/>
      <c r="D1376" s="663"/>
      <c r="E1376" s="663"/>
    </row>
    <row r="1377" spans="1:5" x14ac:dyDescent="0.2">
      <c r="A1377"/>
      <c r="B1377" s="663"/>
      <c r="C1377" s="663"/>
      <c r="D1377" s="663"/>
      <c r="E1377" s="663"/>
    </row>
    <row r="1378" spans="1:5" x14ac:dyDescent="0.2">
      <c r="A1378"/>
      <c r="B1378" s="663"/>
      <c r="C1378" s="663"/>
      <c r="D1378" s="663"/>
      <c r="E1378" s="663"/>
    </row>
    <row r="1379" spans="1:5" x14ac:dyDescent="0.2">
      <c r="A1379"/>
      <c r="B1379" s="663"/>
      <c r="C1379" s="663"/>
      <c r="D1379" s="663"/>
      <c r="E1379" s="663"/>
    </row>
    <row r="1380" spans="1:5" x14ac:dyDescent="0.2">
      <c r="A1380"/>
      <c r="B1380" s="663"/>
      <c r="C1380" s="663"/>
      <c r="D1380" s="663"/>
      <c r="E1380" s="663"/>
    </row>
    <row r="1381" spans="1:5" x14ac:dyDescent="0.2">
      <c r="A1381"/>
      <c r="B1381" s="663"/>
      <c r="C1381" s="663"/>
      <c r="D1381" s="663"/>
      <c r="E1381" s="663"/>
    </row>
    <row r="1382" spans="1:5" x14ac:dyDescent="0.2">
      <c r="A1382"/>
      <c r="B1382" s="663"/>
      <c r="C1382" s="663"/>
      <c r="D1382" s="663"/>
      <c r="E1382" s="663"/>
    </row>
    <row r="1383" spans="1:5" x14ac:dyDescent="0.2">
      <c r="A1383"/>
      <c r="B1383" s="663"/>
      <c r="C1383" s="663"/>
      <c r="D1383" s="663"/>
      <c r="E1383" s="663"/>
    </row>
    <row r="1384" spans="1:5" x14ac:dyDescent="0.2">
      <c r="A1384"/>
      <c r="B1384" s="663"/>
      <c r="C1384" s="663"/>
      <c r="D1384" s="663"/>
      <c r="E1384" s="663"/>
    </row>
    <row r="1385" spans="1:5" x14ac:dyDescent="0.2">
      <c r="A1385"/>
      <c r="B1385" s="663"/>
      <c r="C1385" s="663"/>
      <c r="D1385" s="663"/>
      <c r="E1385" s="663"/>
    </row>
    <row r="1386" spans="1:5" x14ac:dyDescent="0.2">
      <c r="A1386"/>
      <c r="B1386" s="663"/>
      <c r="C1386" s="663"/>
      <c r="D1386" s="663"/>
      <c r="E1386" s="663"/>
    </row>
    <row r="1387" spans="1:5" x14ac:dyDescent="0.2">
      <c r="A1387"/>
      <c r="B1387" s="663"/>
      <c r="C1387" s="663"/>
      <c r="D1387" s="663"/>
      <c r="E1387" s="663"/>
    </row>
    <row r="1388" spans="1:5" x14ac:dyDescent="0.2">
      <c r="A1388"/>
      <c r="B1388" s="663"/>
      <c r="C1388" s="663"/>
      <c r="D1388" s="663"/>
      <c r="E1388" s="663"/>
    </row>
    <row r="1389" spans="1:5" x14ac:dyDescent="0.2">
      <c r="A1389"/>
      <c r="B1389" s="663"/>
      <c r="C1389" s="663"/>
      <c r="D1389" s="663"/>
      <c r="E1389" s="663"/>
    </row>
    <row r="1390" spans="1:5" x14ac:dyDescent="0.2">
      <c r="A1390"/>
      <c r="B1390" s="663"/>
      <c r="C1390" s="663"/>
      <c r="D1390" s="663"/>
      <c r="E1390" s="663"/>
    </row>
    <row r="1391" spans="1:5" x14ac:dyDescent="0.2">
      <c r="A1391"/>
      <c r="B1391" s="663"/>
      <c r="C1391" s="663"/>
      <c r="D1391" s="663"/>
      <c r="E1391" s="663"/>
    </row>
    <row r="1392" spans="1:5" x14ac:dyDescent="0.2">
      <c r="A1392"/>
      <c r="B1392" s="663"/>
      <c r="C1392" s="663"/>
      <c r="D1392" s="663"/>
      <c r="E1392" s="663"/>
    </row>
    <row r="1393" spans="1:5" x14ac:dyDescent="0.2">
      <c r="A1393"/>
      <c r="B1393" s="663"/>
      <c r="C1393" s="663"/>
      <c r="D1393" s="663"/>
      <c r="E1393" s="663"/>
    </row>
    <row r="1394" spans="1:5" x14ac:dyDescent="0.2">
      <c r="A1394"/>
      <c r="B1394" s="663"/>
      <c r="C1394" s="663"/>
      <c r="D1394" s="663"/>
      <c r="E1394" s="663"/>
    </row>
    <row r="1395" spans="1:5" x14ac:dyDescent="0.2">
      <c r="A1395"/>
      <c r="B1395" s="663"/>
      <c r="C1395" s="663"/>
      <c r="D1395" s="663"/>
      <c r="E1395" s="663"/>
    </row>
    <row r="1396" spans="1:5" x14ac:dyDescent="0.2">
      <c r="A1396"/>
      <c r="B1396" s="663"/>
      <c r="C1396" s="663"/>
      <c r="D1396" s="663"/>
      <c r="E1396" s="663"/>
    </row>
    <row r="1397" spans="1:5" x14ac:dyDescent="0.2">
      <c r="A1397"/>
      <c r="B1397" s="663"/>
      <c r="C1397" s="663"/>
      <c r="D1397" s="663"/>
      <c r="E1397" s="663"/>
    </row>
    <row r="1398" spans="1:5" x14ac:dyDescent="0.2">
      <c r="A1398"/>
      <c r="B1398" s="663"/>
      <c r="C1398" s="663"/>
      <c r="D1398" s="663"/>
      <c r="E1398" s="663"/>
    </row>
    <row r="1399" spans="1:5" x14ac:dyDescent="0.2">
      <c r="A1399"/>
      <c r="B1399" s="663"/>
      <c r="C1399" s="663"/>
      <c r="D1399" s="663"/>
      <c r="E1399" s="663"/>
    </row>
    <row r="1400" spans="1:5" x14ac:dyDescent="0.2">
      <c r="A1400"/>
      <c r="B1400" s="663"/>
      <c r="C1400" s="663"/>
      <c r="D1400" s="663"/>
      <c r="E1400" s="663"/>
    </row>
    <row r="1401" spans="1:5" x14ac:dyDescent="0.2">
      <c r="A1401"/>
      <c r="B1401" s="663"/>
      <c r="C1401" s="663"/>
      <c r="D1401" s="663"/>
      <c r="E1401" s="663"/>
    </row>
    <row r="1402" spans="1:5" x14ac:dyDescent="0.2">
      <c r="A1402"/>
      <c r="B1402" s="663"/>
      <c r="C1402" s="663"/>
      <c r="D1402" s="663"/>
      <c r="E1402" s="663"/>
    </row>
    <row r="1403" spans="1:5" x14ac:dyDescent="0.2">
      <c r="A1403"/>
      <c r="B1403" s="663"/>
      <c r="C1403" s="663"/>
      <c r="D1403" s="663"/>
      <c r="E1403" s="663"/>
    </row>
    <row r="1404" spans="1:5" x14ac:dyDescent="0.2">
      <c r="A1404"/>
      <c r="B1404" s="663"/>
      <c r="C1404" s="663"/>
      <c r="D1404" s="663"/>
      <c r="E1404" s="663"/>
    </row>
    <row r="1405" spans="1:5" x14ac:dyDescent="0.2">
      <c r="A1405"/>
      <c r="B1405" s="663"/>
      <c r="C1405" s="663"/>
      <c r="D1405" s="663"/>
      <c r="E1405" s="663"/>
    </row>
    <row r="1406" spans="1:5" x14ac:dyDescent="0.2">
      <c r="A1406"/>
      <c r="B1406" s="663"/>
      <c r="C1406" s="663"/>
      <c r="D1406" s="663"/>
      <c r="E1406" s="663"/>
    </row>
    <row r="1407" spans="1:5" x14ac:dyDescent="0.2">
      <c r="A1407"/>
      <c r="B1407" s="663"/>
      <c r="C1407" s="663"/>
      <c r="D1407" s="663"/>
      <c r="E1407" s="663"/>
    </row>
    <row r="1408" spans="1:5" x14ac:dyDescent="0.2">
      <c r="A1408"/>
      <c r="B1408" s="663"/>
      <c r="C1408" s="663"/>
      <c r="D1408" s="663"/>
      <c r="E1408" s="663"/>
    </row>
    <row r="1409" spans="1:5" x14ac:dyDescent="0.2">
      <c r="A1409"/>
      <c r="B1409" s="663"/>
      <c r="C1409" s="663"/>
      <c r="D1409" s="663"/>
      <c r="E1409" s="663"/>
    </row>
    <row r="1410" spans="1:5" x14ac:dyDescent="0.2">
      <c r="A1410"/>
      <c r="B1410" s="663"/>
      <c r="C1410" s="663"/>
      <c r="D1410" s="663"/>
      <c r="E1410" s="663"/>
    </row>
    <row r="1411" spans="1:5" x14ac:dyDescent="0.2">
      <c r="A1411"/>
      <c r="B1411" s="663"/>
      <c r="C1411" s="663"/>
      <c r="D1411" s="663"/>
      <c r="E1411" s="663"/>
    </row>
    <row r="1412" spans="1:5" x14ac:dyDescent="0.2">
      <c r="A1412"/>
      <c r="B1412" s="663"/>
      <c r="C1412" s="663"/>
      <c r="D1412" s="663"/>
      <c r="E1412" s="663"/>
    </row>
    <row r="1413" spans="1:5" x14ac:dyDescent="0.2">
      <c r="A1413"/>
      <c r="B1413" s="663"/>
      <c r="C1413" s="663"/>
      <c r="D1413" s="663"/>
      <c r="E1413" s="663"/>
    </row>
    <row r="1414" spans="1:5" x14ac:dyDescent="0.2">
      <c r="A1414"/>
      <c r="B1414" s="663"/>
      <c r="C1414" s="663"/>
      <c r="D1414" s="663"/>
      <c r="E1414" s="663"/>
    </row>
    <row r="1415" spans="1:5" x14ac:dyDescent="0.2">
      <c r="A1415"/>
      <c r="B1415" s="663"/>
      <c r="C1415" s="663"/>
      <c r="D1415" s="663"/>
      <c r="E1415" s="663"/>
    </row>
    <row r="1416" spans="1:5" x14ac:dyDescent="0.2">
      <c r="A1416"/>
      <c r="B1416" s="663"/>
      <c r="C1416" s="663"/>
      <c r="D1416" s="663"/>
      <c r="E1416" s="663"/>
    </row>
    <row r="1417" spans="1:5" x14ac:dyDescent="0.2">
      <c r="A1417"/>
      <c r="B1417" s="663"/>
      <c r="C1417" s="663"/>
      <c r="D1417" s="663"/>
      <c r="E1417" s="663"/>
    </row>
    <row r="1418" spans="1:5" x14ac:dyDescent="0.2">
      <c r="A1418"/>
      <c r="B1418" s="663"/>
      <c r="C1418" s="663"/>
      <c r="D1418" s="663"/>
      <c r="E1418" s="663"/>
    </row>
    <row r="1419" spans="1:5" x14ac:dyDescent="0.2">
      <c r="A1419"/>
      <c r="B1419" s="663"/>
      <c r="C1419" s="663"/>
      <c r="D1419" s="663"/>
      <c r="E1419" s="663"/>
    </row>
    <row r="1420" spans="1:5" x14ac:dyDescent="0.2">
      <c r="A1420"/>
      <c r="B1420" s="663"/>
      <c r="C1420" s="663"/>
      <c r="D1420" s="663"/>
      <c r="E1420" s="663"/>
    </row>
    <row r="1421" spans="1:5" x14ac:dyDescent="0.2">
      <c r="A1421"/>
      <c r="B1421" s="663"/>
      <c r="C1421" s="663"/>
      <c r="D1421" s="663"/>
      <c r="E1421" s="663"/>
    </row>
    <row r="1422" spans="1:5" x14ac:dyDescent="0.2">
      <c r="A1422"/>
      <c r="B1422" s="663"/>
      <c r="C1422" s="663"/>
      <c r="D1422" s="663"/>
      <c r="E1422" s="663"/>
    </row>
    <row r="1423" spans="1:5" x14ac:dyDescent="0.2">
      <c r="A1423"/>
      <c r="B1423" s="663"/>
      <c r="C1423" s="663"/>
      <c r="D1423" s="663"/>
      <c r="E1423" s="663"/>
    </row>
    <row r="1424" spans="1:5" x14ac:dyDescent="0.2">
      <c r="A1424"/>
      <c r="B1424" s="663"/>
      <c r="C1424" s="663"/>
      <c r="D1424" s="663"/>
      <c r="E1424" s="663"/>
    </row>
    <row r="1425" spans="1:5" x14ac:dyDescent="0.2">
      <c r="A1425"/>
      <c r="B1425" s="663"/>
      <c r="C1425" s="663"/>
      <c r="D1425" s="663"/>
      <c r="E1425" s="663"/>
    </row>
    <row r="1426" spans="1:5" x14ac:dyDescent="0.2">
      <c r="A1426"/>
      <c r="B1426" s="663"/>
      <c r="C1426" s="663"/>
      <c r="D1426" s="663"/>
      <c r="E1426" s="663"/>
    </row>
    <row r="1427" spans="1:5" x14ac:dyDescent="0.2">
      <c r="A1427"/>
      <c r="B1427" s="663"/>
      <c r="C1427" s="663"/>
      <c r="D1427" s="663"/>
      <c r="E1427" s="663"/>
    </row>
    <row r="1428" spans="1:5" x14ac:dyDescent="0.2">
      <c r="A1428"/>
      <c r="B1428" s="663"/>
      <c r="C1428" s="663"/>
      <c r="D1428" s="663"/>
      <c r="E1428" s="663"/>
    </row>
    <row r="1429" spans="1:5" x14ac:dyDescent="0.2">
      <c r="A1429"/>
      <c r="B1429" s="663"/>
      <c r="C1429" s="663"/>
      <c r="D1429" s="663"/>
      <c r="E1429" s="663"/>
    </row>
    <row r="1430" spans="1:5" x14ac:dyDescent="0.2">
      <c r="A1430"/>
      <c r="B1430" s="663"/>
      <c r="C1430" s="663"/>
      <c r="D1430" s="663"/>
      <c r="E1430" s="663"/>
    </row>
    <row r="1431" spans="1:5" x14ac:dyDescent="0.2">
      <c r="A1431"/>
      <c r="B1431" s="663"/>
      <c r="C1431" s="663"/>
      <c r="D1431" s="663"/>
      <c r="E1431" s="663"/>
    </row>
    <row r="1432" spans="1:5" x14ac:dyDescent="0.2">
      <c r="A1432"/>
      <c r="B1432" s="663"/>
      <c r="C1432" s="663"/>
      <c r="D1432" s="663"/>
      <c r="E1432" s="663"/>
    </row>
    <row r="1433" spans="1:5" x14ac:dyDescent="0.2">
      <c r="A1433"/>
      <c r="B1433" s="663"/>
      <c r="C1433" s="663"/>
      <c r="D1433" s="663"/>
      <c r="E1433" s="663"/>
    </row>
    <row r="1434" spans="1:5" x14ac:dyDescent="0.2">
      <c r="A1434"/>
      <c r="B1434" s="663"/>
      <c r="C1434" s="663"/>
      <c r="D1434" s="663"/>
      <c r="E1434" s="663"/>
    </row>
    <row r="1435" spans="1:5" x14ac:dyDescent="0.2">
      <c r="A1435"/>
      <c r="B1435" s="663"/>
      <c r="C1435" s="663"/>
      <c r="D1435" s="663"/>
      <c r="E1435" s="663"/>
    </row>
    <row r="1436" spans="1:5" x14ac:dyDescent="0.2">
      <c r="A1436"/>
      <c r="B1436" s="663"/>
      <c r="C1436" s="663"/>
      <c r="D1436" s="663"/>
      <c r="E1436" s="663"/>
    </row>
    <row r="1437" spans="1:5" x14ac:dyDescent="0.2">
      <c r="A1437"/>
      <c r="B1437" s="663"/>
      <c r="C1437" s="663"/>
      <c r="D1437" s="663"/>
      <c r="E1437" s="663"/>
    </row>
    <row r="1438" spans="1:5" x14ac:dyDescent="0.2">
      <c r="A1438"/>
      <c r="B1438" s="663"/>
      <c r="C1438" s="663"/>
      <c r="D1438" s="663"/>
      <c r="E1438" s="663"/>
    </row>
    <row r="1439" spans="1:5" x14ac:dyDescent="0.2">
      <c r="A1439"/>
      <c r="B1439" s="663"/>
      <c r="C1439" s="663"/>
      <c r="D1439" s="663"/>
      <c r="E1439" s="663"/>
    </row>
    <row r="1440" spans="1:5" x14ac:dyDescent="0.2">
      <c r="A1440"/>
      <c r="B1440" s="663"/>
      <c r="C1440" s="663"/>
      <c r="D1440" s="663"/>
      <c r="E1440" s="663"/>
    </row>
    <row r="1441" spans="1:5" x14ac:dyDescent="0.2">
      <c r="A1441"/>
      <c r="B1441" s="663"/>
      <c r="C1441" s="663"/>
      <c r="D1441" s="663"/>
      <c r="E1441" s="663"/>
    </row>
    <row r="1442" spans="1:5" x14ac:dyDescent="0.2">
      <c r="A1442"/>
      <c r="B1442" s="663"/>
      <c r="C1442" s="663"/>
      <c r="D1442" s="663"/>
      <c r="E1442" s="663"/>
    </row>
    <row r="1443" spans="1:5" x14ac:dyDescent="0.2">
      <c r="A1443"/>
      <c r="B1443" s="663"/>
      <c r="C1443" s="663"/>
      <c r="D1443" s="663"/>
      <c r="E1443" s="663"/>
    </row>
    <row r="1444" spans="1:5" x14ac:dyDescent="0.2">
      <c r="A1444"/>
      <c r="B1444" s="663"/>
      <c r="C1444" s="663"/>
      <c r="D1444" s="663"/>
      <c r="E1444" s="663"/>
    </row>
    <row r="1445" spans="1:5" x14ac:dyDescent="0.2">
      <c r="A1445"/>
      <c r="B1445" s="663"/>
      <c r="C1445" s="663"/>
      <c r="D1445" s="663"/>
      <c r="E1445" s="663"/>
    </row>
    <row r="1446" spans="1:5" x14ac:dyDescent="0.2">
      <c r="A1446"/>
      <c r="B1446" s="663"/>
      <c r="C1446" s="663"/>
      <c r="D1446" s="663"/>
      <c r="E1446" s="663"/>
    </row>
    <row r="1447" spans="1:5" x14ac:dyDescent="0.2">
      <c r="A1447"/>
      <c r="B1447" s="663"/>
      <c r="C1447" s="663"/>
      <c r="D1447" s="663"/>
      <c r="E1447" s="663"/>
    </row>
    <row r="1448" spans="1:5" x14ac:dyDescent="0.2">
      <c r="A1448"/>
      <c r="B1448" s="663"/>
      <c r="C1448" s="663"/>
      <c r="D1448" s="663"/>
      <c r="E1448" s="663"/>
    </row>
    <row r="1449" spans="1:5" x14ac:dyDescent="0.2">
      <c r="A1449"/>
      <c r="B1449" s="663"/>
      <c r="C1449" s="663"/>
      <c r="D1449" s="663"/>
      <c r="E1449" s="663"/>
    </row>
    <row r="1450" spans="1:5" x14ac:dyDescent="0.2">
      <c r="A1450"/>
      <c r="B1450" s="663"/>
      <c r="C1450" s="663"/>
      <c r="D1450" s="663"/>
      <c r="E1450" s="663"/>
    </row>
    <row r="1451" spans="1:5" x14ac:dyDescent="0.2">
      <c r="A1451"/>
      <c r="B1451" s="663"/>
      <c r="C1451" s="663"/>
      <c r="D1451" s="663"/>
      <c r="E1451" s="663"/>
    </row>
    <row r="1452" spans="1:5" x14ac:dyDescent="0.2">
      <c r="A1452"/>
      <c r="B1452" s="663"/>
      <c r="C1452" s="663"/>
      <c r="D1452" s="663"/>
      <c r="E1452" s="663"/>
    </row>
    <row r="1453" spans="1:5" x14ac:dyDescent="0.2">
      <c r="A1453"/>
      <c r="B1453" s="663"/>
      <c r="C1453" s="663"/>
      <c r="D1453" s="663"/>
      <c r="E1453" s="663"/>
    </row>
    <row r="1454" spans="1:5" x14ac:dyDescent="0.2">
      <c r="A1454"/>
      <c r="B1454" s="663"/>
      <c r="C1454" s="663"/>
      <c r="D1454" s="663"/>
      <c r="E1454" s="663"/>
    </row>
    <row r="1455" spans="1:5" x14ac:dyDescent="0.2">
      <c r="A1455"/>
      <c r="B1455" s="663"/>
      <c r="C1455" s="663"/>
      <c r="D1455" s="663"/>
      <c r="E1455" s="663"/>
    </row>
    <row r="1456" spans="1:5" x14ac:dyDescent="0.2">
      <c r="A1456"/>
      <c r="B1456" s="663"/>
      <c r="C1456" s="663"/>
      <c r="D1456" s="663"/>
      <c r="E1456" s="663"/>
    </row>
    <row r="1457" spans="1:5" x14ac:dyDescent="0.2">
      <c r="A1457"/>
      <c r="B1457" s="663"/>
      <c r="C1457" s="663"/>
      <c r="D1457" s="663"/>
      <c r="E1457" s="663"/>
    </row>
    <row r="1458" spans="1:5" x14ac:dyDescent="0.2">
      <c r="A1458"/>
      <c r="B1458" s="663"/>
      <c r="C1458" s="663"/>
      <c r="D1458" s="663"/>
      <c r="E1458" s="663"/>
    </row>
    <row r="1459" spans="1:5" x14ac:dyDescent="0.2">
      <c r="A1459"/>
      <c r="B1459" s="663"/>
      <c r="C1459" s="663"/>
      <c r="D1459" s="663"/>
      <c r="E1459" s="663"/>
    </row>
    <row r="1460" spans="1:5" x14ac:dyDescent="0.2">
      <c r="A1460"/>
      <c r="B1460" s="663"/>
      <c r="C1460" s="663"/>
      <c r="D1460" s="663"/>
      <c r="E1460" s="663"/>
    </row>
    <row r="1461" spans="1:5" x14ac:dyDescent="0.2">
      <c r="A1461"/>
      <c r="B1461" s="663"/>
      <c r="C1461" s="663"/>
      <c r="D1461" s="663"/>
      <c r="E1461" s="663"/>
    </row>
    <row r="1462" spans="1:5" x14ac:dyDescent="0.2">
      <c r="A1462"/>
      <c r="B1462" s="663"/>
      <c r="C1462" s="663"/>
      <c r="D1462" s="663"/>
      <c r="E1462" s="663"/>
    </row>
    <row r="1463" spans="1:5" x14ac:dyDescent="0.2">
      <c r="A1463"/>
      <c r="B1463" s="663"/>
      <c r="C1463" s="663"/>
      <c r="D1463" s="663"/>
      <c r="E1463" s="663"/>
    </row>
    <row r="1464" spans="1:5" x14ac:dyDescent="0.2">
      <c r="A1464"/>
      <c r="B1464" s="663"/>
      <c r="C1464" s="663"/>
      <c r="D1464" s="663"/>
      <c r="E1464" s="663"/>
    </row>
    <row r="1465" spans="1:5" x14ac:dyDescent="0.2">
      <c r="A1465"/>
      <c r="B1465" s="663"/>
      <c r="C1465" s="663"/>
      <c r="D1465" s="663"/>
      <c r="E1465" s="663"/>
    </row>
    <row r="1466" spans="1:5" x14ac:dyDescent="0.2">
      <c r="A1466"/>
      <c r="B1466" s="663"/>
      <c r="C1466" s="663"/>
      <c r="D1466" s="663"/>
      <c r="E1466" s="663"/>
    </row>
    <row r="1467" spans="1:5" x14ac:dyDescent="0.2">
      <c r="A1467"/>
      <c r="B1467" s="663"/>
      <c r="C1467" s="663"/>
      <c r="D1467" s="663"/>
      <c r="E1467" s="663"/>
    </row>
    <row r="1468" spans="1:5" x14ac:dyDescent="0.2">
      <c r="A1468"/>
      <c r="B1468" s="663"/>
      <c r="C1468" s="663"/>
      <c r="D1468" s="663"/>
      <c r="E1468" s="663"/>
    </row>
    <row r="1469" spans="1:5" x14ac:dyDescent="0.2">
      <c r="A1469"/>
      <c r="B1469" s="663"/>
      <c r="C1469" s="663"/>
      <c r="D1469" s="663"/>
      <c r="E1469" s="663"/>
    </row>
    <row r="1470" spans="1:5" x14ac:dyDescent="0.2">
      <c r="A1470"/>
      <c r="B1470" s="663"/>
      <c r="C1470" s="663"/>
      <c r="D1470" s="663"/>
      <c r="E1470" s="663"/>
    </row>
    <row r="1471" spans="1:5" x14ac:dyDescent="0.2">
      <c r="A1471"/>
      <c r="B1471" s="663"/>
      <c r="C1471" s="663"/>
      <c r="D1471" s="663"/>
      <c r="E1471" s="663"/>
    </row>
    <row r="1472" spans="1:5" x14ac:dyDescent="0.2">
      <c r="A1472"/>
      <c r="B1472" s="663"/>
      <c r="C1472" s="663"/>
      <c r="D1472" s="663"/>
      <c r="E1472" s="663"/>
    </row>
    <row r="1473" spans="1:5" x14ac:dyDescent="0.2">
      <c r="A1473"/>
      <c r="B1473" s="663"/>
      <c r="C1473" s="663"/>
      <c r="D1473" s="663"/>
      <c r="E1473" s="663"/>
    </row>
    <row r="1474" spans="1:5" x14ac:dyDescent="0.2">
      <c r="A1474"/>
      <c r="B1474" s="663"/>
      <c r="C1474" s="663"/>
      <c r="D1474" s="663"/>
      <c r="E1474" s="663"/>
    </row>
    <row r="1475" spans="1:5" x14ac:dyDescent="0.2">
      <c r="A1475"/>
      <c r="B1475" s="663"/>
      <c r="C1475" s="663"/>
      <c r="D1475" s="663"/>
      <c r="E1475" s="663"/>
    </row>
    <row r="1476" spans="1:5" x14ac:dyDescent="0.2">
      <c r="A1476"/>
      <c r="B1476" s="663"/>
      <c r="C1476" s="663"/>
      <c r="D1476" s="663"/>
      <c r="E1476" s="663"/>
    </row>
    <row r="1477" spans="1:5" x14ac:dyDescent="0.2">
      <c r="A1477"/>
      <c r="B1477" s="663"/>
      <c r="C1477" s="663"/>
      <c r="D1477" s="663"/>
      <c r="E1477" s="663"/>
    </row>
    <row r="1478" spans="1:5" x14ac:dyDescent="0.2">
      <c r="A1478"/>
      <c r="B1478" s="663"/>
      <c r="C1478" s="663"/>
      <c r="D1478" s="663"/>
      <c r="E1478" s="663"/>
    </row>
    <row r="1479" spans="1:5" x14ac:dyDescent="0.2">
      <c r="A1479"/>
      <c r="B1479" s="663"/>
      <c r="C1479" s="663"/>
      <c r="D1479" s="663"/>
      <c r="E1479" s="663"/>
    </row>
    <row r="1480" spans="1:5" x14ac:dyDescent="0.2">
      <c r="A1480"/>
      <c r="B1480" s="663"/>
      <c r="C1480" s="663"/>
      <c r="D1480" s="663"/>
      <c r="E1480" s="663"/>
    </row>
    <row r="1481" spans="1:5" x14ac:dyDescent="0.2">
      <c r="A1481"/>
      <c r="B1481" s="663"/>
      <c r="C1481" s="663"/>
      <c r="D1481" s="663"/>
      <c r="E1481" s="663"/>
    </row>
    <row r="1482" spans="1:5" x14ac:dyDescent="0.2">
      <c r="A1482"/>
      <c r="B1482" s="663"/>
      <c r="C1482" s="663"/>
      <c r="D1482" s="663"/>
      <c r="E1482" s="663"/>
    </row>
    <row r="1483" spans="1:5" x14ac:dyDescent="0.2">
      <c r="A1483"/>
      <c r="B1483" s="663"/>
      <c r="C1483" s="663"/>
      <c r="D1483" s="663"/>
      <c r="E1483" s="663"/>
    </row>
    <row r="1484" spans="1:5" x14ac:dyDescent="0.2">
      <c r="A1484"/>
      <c r="B1484" s="663"/>
      <c r="C1484" s="663"/>
      <c r="D1484" s="663"/>
      <c r="E1484" s="663"/>
    </row>
    <row r="1485" spans="1:5" x14ac:dyDescent="0.2">
      <c r="A1485"/>
      <c r="B1485" s="663"/>
      <c r="C1485" s="663"/>
      <c r="D1485" s="663"/>
      <c r="E1485" s="663"/>
    </row>
    <row r="1486" spans="1:5" x14ac:dyDescent="0.2">
      <c r="A1486"/>
      <c r="B1486" s="663"/>
      <c r="C1486" s="663"/>
      <c r="D1486" s="663"/>
      <c r="E1486" s="663"/>
    </row>
    <row r="1487" spans="1:5" x14ac:dyDescent="0.2">
      <c r="A1487"/>
      <c r="B1487" s="663"/>
      <c r="C1487" s="663"/>
      <c r="D1487" s="663"/>
      <c r="E1487" s="663"/>
    </row>
    <row r="1488" spans="1:5" x14ac:dyDescent="0.2">
      <c r="A1488"/>
      <c r="B1488" s="663"/>
      <c r="C1488" s="663"/>
      <c r="D1488" s="663"/>
      <c r="E1488" s="663"/>
    </row>
    <row r="1489" spans="1:5" x14ac:dyDescent="0.2">
      <c r="A1489"/>
      <c r="B1489" s="663"/>
      <c r="C1489" s="663"/>
      <c r="D1489" s="663"/>
      <c r="E1489" s="663"/>
    </row>
    <row r="1490" spans="1:5" x14ac:dyDescent="0.2">
      <c r="A1490"/>
      <c r="B1490" s="663"/>
      <c r="C1490" s="663"/>
      <c r="D1490" s="663"/>
      <c r="E1490" s="663"/>
    </row>
    <row r="1491" spans="1:5" x14ac:dyDescent="0.2">
      <c r="A1491"/>
      <c r="B1491" s="663"/>
      <c r="C1491" s="663"/>
      <c r="D1491" s="663"/>
      <c r="E1491" s="663"/>
    </row>
    <row r="1492" spans="1:5" x14ac:dyDescent="0.2">
      <c r="A1492"/>
      <c r="B1492" s="663"/>
      <c r="C1492" s="663"/>
      <c r="D1492" s="663"/>
      <c r="E1492" s="663"/>
    </row>
    <row r="1493" spans="1:5" x14ac:dyDescent="0.2">
      <c r="A1493"/>
      <c r="B1493" s="663"/>
      <c r="C1493" s="663"/>
      <c r="D1493" s="663"/>
      <c r="E1493" s="663"/>
    </row>
    <row r="1494" spans="1:5" x14ac:dyDescent="0.2">
      <c r="A1494"/>
      <c r="B1494" s="663"/>
      <c r="C1494" s="663"/>
      <c r="D1494" s="663"/>
      <c r="E1494" s="663"/>
    </row>
    <row r="1495" spans="1:5" x14ac:dyDescent="0.2">
      <c r="A1495"/>
      <c r="B1495" s="663"/>
      <c r="C1495" s="663"/>
      <c r="D1495" s="663"/>
      <c r="E1495" s="663"/>
    </row>
    <row r="1496" spans="1:5" x14ac:dyDescent="0.2">
      <c r="A1496"/>
      <c r="B1496" s="663"/>
      <c r="C1496" s="663"/>
      <c r="D1496" s="663"/>
      <c r="E1496" s="663"/>
    </row>
    <row r="1497" spans="1:5" x14ac:dyDescent="0.2">
      <c r="A1497"/>
      <c r="B1497" s="663"/>
      <c r="C1497" s="663"/>
      <c r="D1497" s="663"/>
      <c r="E1497" s="663"/>
    </row>
    <row r="1498" spans="1:5" x14ac:dyDescent="0.2">
      <c r="A1498"/>
      <c r="B1498" s="663"/>
      <c r="C1498" s="663"/>
      <c r="D1498" s="663"/>
      <c r="E1498" s="663"/>
    </row>
    <row r="1499" spans="1:5" x14ac:dyDescent="0.2">
      <c r="A1499"/>
      <c r="B1499" s="663"/>
      <c r="C1499" s="663"/>
      <c r="D1499" s="663"/>
      <c r="E1499" s="663"/>
    </row>
    <row r="1500" spans="1:5" x14ac:dyDescent="0.2">
      <c r="A1500"/>
      <c r="B1500" s="663"/>
      <c r="C1500" s="663"/>
      <c r="D1500" s="663"/>
      <c r="E1500" s="663"/>
    </row>
    <row r="1501" spans="1:5" x14ac:dyDescent="0.2">
      <c r="A1501"/>
      <c r="B1501" s="663"/>
      <c r="C1501" s="663"/>
      <c r="D1501" s="663"/>
      <c r="E1501" s="663"/>
    </row>
    <row r="1502" spans="1:5" x14ac:dyDescent="0.2">
      <c r="A1502"/>
      <c r="B1502" s="663"/>
      <c r="C1502" s="663"/>
      <c r="D1502" s="663"/>
      <c r="E1502" s="663"/>
    </row>
    <row r="1503" spans="1:5" x14ac:dyDescent="0.2">
      <c r="A1503"/>
      <c r="B1503" s="663"/>
      <c r="C1503" s="663"/>
      <c r="D1503" s="663"/>
      <c r="E1503" s="663"/>
    </row>
    <row r="1504" spans="1:5" x14ac:dyDescent="0.2">
      <c r="A1504"/>
      <c r="B1504" s="663"/>
      <c r="C1504" s="663"/>
      <c r="D1504" s="663"/>
      <c r="E1504" s="663"/>
    </row>
    <row r="1505" spans="1:5" x14ac:dyDescent="0.2">
      <c r="A1505"/>
      <c r="B1505" s="663"/>
      <c r="C1505" s="663"/>
      <c r="D1505" s="663"/>
      <c r="E1505" s="663"/>
    </row>
    <row r="1506" spans="1:5" x14ac:dyDescent="0.2">
      <c r="A1506"/>
      <c r="B1506" s="663"/>
      <c r="C1506" s="663"/>
      <c r="D1506" s="663"/>
      <c r="E1506" s="663"/>
    </row>
    <row r="1507" spans="1:5" x14ac:dyDescent="0.2">
      <c r="A1507"/>
      <c r="B1507" s="663"/>
      <c r="C1507" s="663"/>
      <c r="D1507" s="663"/>
      <c r="E1507" s="663"/>
    </row>
    <row r="1508" spans="1:5" x14ac:dyDescent="0.2">
      <c r="A1508"/>
      <c r="B1508" s="663"/>
      <c r="C1508" s="663"/>
      <c r="D1508" s="663"/>
      <c r="E1508" s="663"/>
    </row>
    <row r="1509" spans="1:5" x14ac:dyDescent="0.2">
      <c r="A1509"/>
      <c r="B1509" s="663"/>
      <c r="C1509" s="663"/>
      <c r="D1509" s="663"/>
      <c r="E1509" s="663"/>
    </row>
    <row r="1510" spans="1:5" x14ac:dyDescent="0.2">
      <c r="A1510"/>
      <c r="B1510" s="663"/>
      <c r="C1510" s="663"/>
      <c r="D1510" s="663"/>
      <c r="E1510" s="663"/>
    </row>
    <row r="1511" spans="1:5" x14ac:dyDescent="0.2">
      <c r="A1511"/>
      <c r="B1511" s="663"/>
      <c r="C1511" s="663"/>
      <c r="D1511" s="663"/>
      <c r="E1511" s="663"/>
    </row>
    <row r="1512" spans="1:5" x14ac:dyDescent="0.2">
      <c r="A1512"/>
      <c r="B1512" s="663"/>
      <c r="C1512" s="663"/>
      <c r="D1512" s="663"/>
      <c r="E1512" s="663"/>
    </row>
    <row r="1513" spans="1:5" x14ac:dyDescent="0.2">
      <c r="A1513"/>
      <c r="B1513" s="663"/>
      <c r="C1513" s="663"/>
      <c r="D1513" s="663"/>
      <c r="E1513" s="663"/>
    </row>
    <row r="1514" spans="1:5" x14ac:dyDescent="0.2">
      <c r="A1514"/>
      <c r="B1514" s="663"/>
      <c r="C1514" s="663"/>
      <c r="D1514" s="663"/>
      <c r="E1514" s="663"/>
    </row>
    <row r="1515" spans="1:5" x14ac:dyDescent="0.2">
      <c r="A1515"/>
      <c r="B1515" s="663"/>
      <c r="C1515" s="663"/>
      <c r="D1515" s="663"/>
      <c r="E1515" s="663"/>
    </row>
    <row r="1516" spans="1:5" x14ac:dyDescent="0.2">
      <c r="A1516"/>
      <c r="B1516" s="663"/>
      <c r="C1516" s="663"/>
      <c r="D1516" s="663"/>
      <c r="E1516" s="663"/>
    </row>
    <row r="1517" spans="1:5" x14ac:dyDescent="0.2">
      <c r="A1517"/>
      <c r="B1517" s="663"/>
      <c r="C1517" s="663"/>
      <c r="D1517" s="663"/>
      <c r="E1517" s="663"/>
    </row>
    <row r="1518" spans="1:5" x14ac:dyDescent="0.2">
      <c r="A1518"/>
      <c r="B1518" s="663"/>
      <c r="C1518" s="663"/>
      <c r="D1518" s="663"/>
      <c r="E1518" s="663"/>
    </row>
    <row r="1519" spans="1:5" x14ac:dyDescent="0.2">
      <c r="A1519"/>
      <c r="B1519" s="663"/>
      <c r="C1519" s="663"/>
      <c r="D1519" s="663"/>
      <c r="E1519" s="663"/>
    </row>
    <row r="1520" spans="1:5" x14ac:dyDescent="0.2">
      <c r="A1520"/>
      <c r="B1520" s="663"/>
      <c r="C1520" s="663"/>
      <c r="D1520" s="663"/>
      <c r="E1520" s="663"/>
    </row>
    <row r="1521" spans="1:5" x14ac:dyDescent="0.2">
      <c r="A1521"/>
      <c r="B1521" s="663"/>
      <c r="C1521" s="663"/>
      <c r="D1521" s="663"/>
      <c r="E1521" s="663"/>
    </row>
    <row r="1522" spans="1:5" x14ac:dyDescent="0.2">
      <c r="A1522"/>
      <c r="B1522" s="663"/>
      <c r="C1522" s="663"/>
      <c r="D1522" s="663"/>
      <c r="E1522" s="663"/>
    </row>
    <row r="1523" spans="1:5" x14ac:dyDescent="0.2">
      <c r="A1523"/>
      <c r="B1523" s="663"/>
      <c r="C1523" s="663"/>
      <c r="D1523" s="663"/>
      <c r="E1523" s="663"/>
    </row>
    <row r="1524" spans="1:5" x14ac:dyDescent="0.2">
      <c r="A1524"/>
      <c r="B1524" s="663"/>
      <c r="C1524" s="663"/>
      <c r="D1524" s="663"/>
      <c r="E1524" s="663"/>
    </row>
    <row r="1525" spans="1:5" x14ac:dyDescent="0.2">
      <c r="A1525"/>
      <c r="B1525" s="663"/>
      <c r="C1525" s="663"/>
      <c r="D1525" s="663"/>
      <c r="E1525" s="663"/>
    </row>
    <row r="1526" spans="1:5" x14ac:dyDescent="0.2">
      <c r="A1526"/>
      <c r="B1526" s="663"/>
      <c r="C1526" s="663"/>
      <c r="D1526" s="663"/>
      <c r="E1526" s="663"/>
    </row>
    <row r="1527" spans="1:5" x14ac:dyDescent="0.2">
      <c r="A1527"/>
      <c r="B1527" s="663"/>
      <c r="C1527" s="663"/>
      <c r="D1527" s="663"/>
      <c r="E1527" s="663"/>
    </row>
    <row r="1528" spans="1:5" x14ac:dyDescent="0.2">
      <c r="A1528"/>
      <c r="B1528" s="663"/>
      <c r="C1528" s="663"/>
      <c r="D1528" s="663"/>
      <c r="E1528" s="663"/>
    </row>
    <row r="1529" spans="1:5" x14ac:dyDescent="0.2">
      <c r="A1529"/>
      <c r="B1529" s="663"/>
      <c r="C1529" s="663"/>
      <c r="D1529" s="663"/>
      <c r="E1529" s="663"/>
    </row>
    <row r="1530" spans="1:5" x14ac:dyDescent="0.2">
      <c r="A1530"/>
      <c r="B1530" s="663"/>
      <c r="C1530" s="663"/>
      <c r="D1530" s="663"/>
      <c r="E1530" s="663"/>
    </row>
    <row r="1531" spans="1:5" x14ac:dyDescent="0.2">
      <c r="A1531"/>
      <c r="B1531" s="663"/>
      <c r="C1531" s="663"/>
      <c r="D1531" s="663"/>
      <c r="E1531" s="663"/>
    </row>
    <row r="1532" spans="1:5" x14ac:dyDescent="0.2">
      <c r="A1532"/>
      <c r="B1532" s="663"/>
      <c r="C1532" s="663"/>
      <c r="D1532" s="663"/>
      <c r="E1532" s="663"/>
    </row>
    <row r="1533" spans="1:5" x14ac:dyDescent="0.2">
      <c r="A1533"/>
      <c r="B1533" s="663"/>
      <c r="C1533" s="663"/>
      <c r="D1533" s="663"/>
      <c r="E1533" s="663"/>
    </row>
    <row r="1534" spans="1:5" x14ac:dyDescent="0.2">
      <c r="A1534"/>
      <c r="B1534" s="663"/>
      <c r="C1534" s="663"/>
      <c r="D1534" s="663"/>
      <c r="E1534" s="663"/>
    </row>
    <row r="1535" spans="1:5" x14ac:dyDescent="0.2">
      <c r="A1535"/>
      <c r="B1535" s="663"/>
      <c r="C1535" s="663"/>
      <c r="D1535" s="663"/>
      <c r="E1535" s="663"/>
    </row>
    <row r="1536" spans="1:5" x14ac:dyDescent="0.2">
      <c r="A1536"/>
      <c r="B1536" s="663"/>
      <c r="C1536" s="663"/>
      <c r="D1536" s="663"/>
      <c r="E1536" s="663"/>
    </row>
    <row r="1537" spans="1:5" x14ac:dyDescent="0.2">
      <c r="A1537"/>
      <c r="B1537" s="663"/>
      <c r="C1537" s="663"/>
      <c r="D1537" s="663"/>
      <c r="E1537" s="663"/>
    </row>
    <row r="1538" spans="1:5" x14ac:dyDescent="0.2">
      <c r="A1538"/>
      <c r="B1538" s="663"/>
      <c r="C1538" s="663"/>
      <c r="D1538" s="663"/>
      <c r="E1538" s="663"/>
    </row>
    <row r="1539" spans="1:5" x14ac:dyDescent="0.2">
      <c r="A1539"/>
      <c r="B1539" s="663"/>
      <c r="C1539" s="663"/>
      <c r="D1539" s="663"/>
      <c r="E1539" s="663"/>
    </row>
    <row r="1540" spans="1:5" x14ac:dyDescent="0.2">
      <c r="A1540"/>
      <c r="B1540" s="663"/>
      <c r="C1540" s="663"/>
      <c r="D1540" s="663"/>
      <c r="E1540" s="663"/>
    </row>
    <row r="1541" spans="1:5" x14ac:dyDescent="0.2">
      <c r="A1541"/>
      <c r="B1541" s="663"/>
      <c r="C1541" s="663"/>
      <c r="D1541" s="663"/>
      <c r="E1541" s="663"/>
    </row>
    <row r="1542" spans="1:5" x14ac:dyDescent="0.2">
      <c r="A1542"/>
      <c r="B1542" s="663"/>
      <c r="C1542" s="663"/>
      <c r="D1542" s="663"/>
      <c r="E1542" s="663"/>
    </row>
    <row r="1543" spans="1:5" x14ac:dyDescent="0.2">
      <c r="A1543"/>
      <c r="B1543" s="663"/>
      <c r="C1543" s="663"/>
      <c r="D1543" s="663"/>
      <c r="E1543" s="663"/>
    </row>
    <row r="1544" spans="1:5" x14ac:dyDescent="0.2">
      <c r="A1544"/>
      <c r="B1544" s="663"/>
      <c r="C1544" s="663"/>
      <c r="D1544" s="663"/>
      <c r="E1544" s="663"/>
    </row>
    <row r="1545" spans="1:5" x14ac:dyDescent="0.2">
      <c r="A1545"/>
      <c r="B1545" s="663"/>
      <c r="C1545" s="663"/>
      <c r="D1545" s="663"/>
      <c r="E1545" s="663"/>
    </row>
    <row r="1546" spans="1:5" x14ac:dyDescent="0.2">
      <c r="A1546"/>
      <c r="B1546" s="663"/>
      <c r="C1546" s="663"/>
      <c r="D1546" s="663"/>
      <c r="E1546" s="663"/>
    </row>
    <row r="1547" spans="1:5" x14ac:dyDescent="0.2">
      <c r="A1547"/>
      <c r="B1547" s="663"/>
      <c r="C1547" s="663"/>
      <c r="D1547" s="663"/>
      <c r="E1547" s="663"/>
    </row>
    <row r="1548" spans="1:5" x14ac:dyDescent="0.2">
      <c r="A1548"/>
      <c r="B1548" s="663"/>
      <c r="C1548" s="663"/>
      <c r="D1548" s="663"/>
      <c r="E1548" s="663"/>
    </row>
    <row r="1549" spans="1:5" x14ac:dyDescent="0.2">
      <c r="A1549"/>
      <c r="B1549" s="663"/>
      <c r="C1549" s="663"/>
      <c r="D1549" s="663"/>
      <c r="E1549" s="663"/>
    </row>
    <row r="1550" spans="1:5" x14ac:dyDescent="0.2">
      <c r="A1550"/>
      <c r="B1550" s="663"/>
      <c r="C1550" s="663"/>
      <c r="D1550" s="663"/>
      <c r="E1550" s="663"/>
    </row>
    <row r="1551" spans="1:5" x14ac:dyDescent="0.2">
      <c r="A1551"/>
      <c r="B1551" s="663"/>
      <c r="C1551" s="663"/>
      <c r="D1551" s="663"/>
      <c r="E1551" s="663"/>
    </row>
    <row r="1552" spans="1:5" x14ac:dyDescent="0.2">
      <c r="A1552"/>
      <c r="B1552" s="663"/>
      <c r="C1552" s="663"/>
      <c r="D1552" s="663"/>
      <c r="E1552" s="663"/>
    </row>
    <row r="1553" spans="1:5" x14ac:dyDescent="0.2">
      <c r="A1553"/>
      <c r="B1553" s="663"/>
      <c r="C1553" s="663"/>
      <c r="D1553" s="663"/>
      <c r="E1553" s="663"/>
    </row>
    <row r="1554" spans="1:5" x14ac:dyDescent="0.2">
      <c r="A1554"/>
      <c r="B1554" s="663"/>
      <c r="C1554" s="663"/>
      <c r="D1554" s="663"/>
      <c r="E1554" s="663"/>
    </row>
    <row r="1555" spans="1:5" x14ac:dyDescent="0.2">
      <c r="A1555"/>
      <c r="B1555" s="663"/>
      <c r="C1555" s="663"/>
      <c r="D1555" s="663"/>
      <c r="E1555" s="663"/>
    </row>
    <row r="1556" spans="1:5" x14ac:dyDescent="0.2">
      <c r="A1556"/>
      <c r="B1556" s="663"/>
      <c r="C1556" s="663"/>
      <c r="D1556" s="663"/>
      <c r="E1556" s="663"/>
    </row>
    <row r="1557" spans="1:5" x14ac:dyDescent="0.2">
      <c r="A1557"/>
      <c r="B1557" s="663"/>
      <c r="C1557" s="663"/>
      <c r="D1557" s="663"/>
      <c r="E1557" s="663"/>
    </row>
    <row r="1558" spans="1:5" x14ac:dyDescent="0.2">
      <c r="A1558"/>
      <c r="B1558" s="663"/>
      <c r="C1558" s="663"/>
      <c r="D1558" s="663"/>
      <c r="E1558" s="663"/>
    </row>
    <row r="1559" spans="1:5" x14ac:dyDescent="0.2">
      <c r="A1559"/>
      <c r="B1559" s="663"/>
      <c r="C1559" s="663"/>
      <c r="D1559" s="663"/>
      <c r="E1559" s="663"/>
    </row>
    <row r="1560" spans="1:5" x14ac:dyDescent="0.2">
      <c r="A1560"/>
      <c r="B1560" s="663"/>
      <c r="C1560" s="663"/>
      <c r="D1560" s="663"/>
      <c r="E1560" s="663"/>
    </row>
    <row r="1561" spans="1:5" x14ac:dyDescent="0.2">
      <c r="A1561"/>
      <c r="B1561" s="663"/>
      <c r="C1561" s="663"/>
      <c r="D1561" s="663"/>
      <c r="E1561" s="663"/>
    </row>
    <row r="1562" spans="1:5" x14ac:dyDescent="0.2">
      <c r="A1562"/>
      <c r="B1562" s="663"/>
      <c r="C1562" s="663"/>
      <c r="D1562" s="663"/>
      <c r="E1562" s="663"/>
    </row>
    <row r="1563" spans="1:5" x14ac:dyDescent="0.2">
      <c r="A1563"/>
      <c r="B1563" s="663"/>
      <c r="C1563" s="663"/>
      <c r="D1563" s="663"/>
      <c r="E1563" s="663"/>
    </row>
    <row r="1564" spans="1:5" x14ac:dyDescent="0.2">
      <c r="A1564"/>
      <c r="B1564" s="663"/>
      <c r="C1564" s="663"/>
      <c r="D1564" s="663"/>
      <c r="E1564" s="663"/>
    </row>
    <row r="1565" spans="1:5" x14ac:dyDescent="0.2">
      <c r="A1565"/>
      <c r="B1565" s="663"/>
      <c r="C1565" s="663"/>
      <c r="D1565" s="663"/>
      <c r="E1565" s="663"/>
    </row>
    <row r="1566" spans="1:5" x14ac:dyDescent="0.2">
      <c r="A1566"/>
      <c r="B1566" s="663"/>
      <c r="C1566" s="663"/>
      <c r="D1566" s="663"/>
      <c r="E1566" s="663"/>
    </row>
    <row r="1567" spans="1:5" x14ac:dyDescent="0.2">
      <c r="A1567"/>
      <c r="B1567" s="663"/>
      <c r="C1567" s="663"/>
      <c r="D1567" s="663"/>
      <c r="E1567" s="663"/>
    </row>
    <row r="1568" spans="1:5" x14ac:dyDescent="0.2">
      <c r="A1568"/>
      <c r="B1568" s="663"/>
      <c r="C1568" s="663"/>
      <c r="D1568" s="663"/>
      <c r="E1568" s="663"/>
    </row>
    <row r="1569" spans="1:5" x14ac:dyDescent="0.2">
      <c r="A1569"/>
      <c r="B1569" s="663"/>
      <c r="C1569" s="663"/>
      <c r="D1569" s="663"/>
      <c r="E1569" s="663"/>
    </row>
    <row r="1570" spans="1:5" x14ac:dyDescent="0.2">
      <c r="A1570"/>
      <c r="B1570" s="663"/>
      <c r="C1570" s="663"/>
      <c r="D1570" s="663"/>
      <c r="E1570" s="663"/>
    </row>
    <row r="1571" spans="1:5" x14ac:dyDescent="0.2">
      <c r="A1571"/>
      <c r="B1571" s="663"/>
      <c r="C1571" s="663"/>
      <c r="D1571" s="663"/>
      <c r="E1571" s="663"/>
    </row>
    <row r="1572" spans="1:5" x14ac:dyDescent="0.2">
      <c r="A1572"/>
      <c r="B1572" s="663"/>
      <c r="C1572" s="663"/>
      <c r="D1572" s="663"/>
      <c r="E1572" s="663"/>
    </row>
    <row r="1573" spans="1:5" x14ac:dyDescent="0.2">
      <c r="A1573"/>
      <c r="B1573" s="663"/>
      <c r="C1573" s="663"/>
      <c r="D1573" s="663"/>
      <c r="E1573" s="663"/>
    </row>
    <row r="1574" spans="1:5" x14ac:dyDescent="0.2">
      <c r="A1574"/>
      <c r="B1574" s="663"/>
      <c r="C1574" s="663"/>
      <c r="D1574" s="663"/>
      <c r="E1574" s="663"/>
    </row>
    <row r="1575" spans="1:5" x14ac:dyDescent="0.2">
      <c r="A1575"/>
      <c r="B1575" s="663"/>
      <c r="C1575" s="663"/>
      <c r="D1575" s="663"/>
      <c r="E1575" s="663"/>
    </row>
    <row r="1576" spans="1:5" x14ac:dyDescent="0.2">
      <c r="A1576"/>
      <c r="B1576" s="663"/>
      <c r="C1576" s="663"/>
      <c r="D1576" s="663"/>
      <c r="E1576" s="663"/>
    </row>
    <row r="1577" spans="1:5" x14ac:dyDescent="0.2">
      <c r="A1577"/>
      <c r="B1577" s="663"/>
      <c r="C1577" s="663"/>
      <c r="D1577" s="663"/>
      <c r="E1577" s="663"/>
    </row>
    <row r="1578" spans="1:5" x14ac:dyDescent="0.2">
      <c r="A1578"/>
      <c r="B1578" s="663"/>
      <c r="C1578" s="663"/>
      <c r="D1578" s="663"/>
      <c r="E1578" s="663"/>
    </row>
    <row r="1579" spans="1:5" x14ac:dyDescent="0.2">
      <c r="A1579"/>
      <c r="B1579" s="663"/>
      <c r="C1579" s="663"/>
      <c r="D1579" s="663"/>
      <c r="E1579" s="663"/>
    </row>
    <row r="1580" spans="1:5" x14ac:dyDescent="0.2">
      <c r="A1580"/>
      <c r="B1580" s="663"/>
      <c r="C1580" s="663"/>
      <c r="D1580" s="663"/>
      <c r="E1580" s="663"/>
    </row>
    <row r="1581" spans="1:5" x14ac:dyDescent="0.2">
      <c r="A1581"/>
      <c r="B1581" s="663"/>
      <c r="C1581" s="663"/>
      <c r="D1581" s="663"/>
      <c r="E1581" s="663"/>
    </row>
    <row r="1582" spans="1:5" x14ac:dyDescent="0.2">
      <c r="A1582"/>
      <c r="B1582" s="663"/>
      <c r="C1582" s="663"/>
      <c r="D1582" s="663"/>
      <c r="E1582" s="663"/>
    </row>
    <row r="1583" spans="1:5" x14ac:dyDescent="0.2">
      <c r="A1583"/>
      <c r="B1583" s="663"/>
      <c r="C1583" s="663"/>
      <c r="D1583" s="663"/>
      <c r="E1583" s="663"/>
    </row>
    <row r="1584" spans="1:5" x14ac:dyDescent="0.2">
      <c r="A1584"/>
      <c r="B1584" s="663"/>
      <c r="C1584" s="663"/>
      <c r="D1584" s="663"/>
      <c r="E1584" s="663"/>
    </row>
    <row r="1585" spans="1:5" x14ac:dyDescent="0.2">
      <c r="A1585"/>
      <c r="B1585" s="663"/>
      <c r="C1585" s="663"/>
      <c r="D1585" s="663"/>
      <c r="E1585" s="663"/>
    </row>
    <row r="1586" spans="1:5" x14ac:dyDescent="0.2">
      <c r="A1586"/>
      <c r="B1586" s="663"/>
      <c r="C1586" s="663"/>
      <c r="D1586" s="663"/>
      <c r="E1586" s="663"/>
    </row>
    <row r="1587" spans="1:5" x14ac:dyDescent="0.2">
      <c r="A1587"/>
      <c r="B1587" s="663"/>
      <c r="C1587" s="663"/>
      <c r="D1587" s="663"/>
      <c r="E1587" s="663"/>
    </row>
    <row r="1588" spans="1:5" x14ac:dyDescent="0.2">
      <c r="A1588"/>
      <c r="B1588" s="663"/>
      <c r="C1588" s="663"/>
      <c r="D1588" s="663"/>
      <c r="E1588" s="663"/>
    </row>
    <row r="1589" spans="1:5" x14ac:dyDescent="0.2">
      <c r="A1589"/>
      <c r="B1589" s="663"/>
      <c r="C1589" s="663"/>
      <c r="D1589" s="663"/>
      <c r="E1589" s="663"/>
    </row>
    <row r="1590" spans="1:5" x14ac:dyDescent="0.2">
      <c r="A1590"/>
      <c r="B1590" s="663"/>
      <c r="C1590" s="663"/>
      <c r="D1590" s="663"/>
      <c r="E1590" s="663"/>
    </row>
    <row r="1591" spans="1:5" x14ac:dyDescent="0.2">
      <c r="A1591"/>
      <c r="B1591" s="663"/>
      <c r="C1591" s="663"/>
      <c r="D1591" s="663"/>
      <c r="E1591" s="663"/>
    </row>
    <row r="1592" spans="1:5" x14ac:dyDescent="0.2">
      <c r="A1592"/>
      <c r="B1592" s="663"/>
      <c r="C1592" s="663"/>
      <c r="D1592" s="663"/>
      <c r="E1592" s="663"/>
    </row>
    <row r="1593" spans="1:5" x14ac:dyDescent="0.2">
      <c r="A1593"/>
      <c r="B1593" s="663"/>
      <c r="C1593" s="663"/>
      <c r="D1593" s="663"/>
      <c r="E1593" s="663"/>
    </row>
    <row r="1594" spans="1:5" x14ac:dyDescent="0.2">
      <c r="A1594"/>
      <c r="B1594" s="663"/>
      <c r="C1594" s="663"/>
      <c r="D1594" s="663"/>
      <c r="E1594" s="663"/>
    </row>
    <row r="1595" spans="1:5" x14ac:dyDescent="0.2">
      <c r="A1595"/>
      <c r="B1595" s="663"/>
      <c r="C1595" s="663"/>
      <c r="D1595" s="663"/>
      <c r="E1595" s="663"/>
    </row>
    <row r="1596" spans="1:5" x14ac:dyDescent="0.2">
      <c r="A1596"/>
      <c r="B1596" s="663"/>
      <c r="C1596" s="663"/>
      <c r="D1596" s="663"/>
      <c r="E1596" s="663"/>
    </row>
    <row r="1597" spans="1:5" x14ac:dyDescent="0.2">
      <c r="A1597"/>
      <c r="B1597" s="663"/>
      <c r="C1597" s="663"/>
      <c r="D1597" s="663"/>
      <c r="E1597" s="663"/>
    </row>
    <row r="1598" spans="1:5" x14ac:dyDescent="0.2">
      <c r="A1598"/>
      <c r="B1598" s="663"/>
      <c r="C1598" s="663"/>
      <c r="D1598" s="663"/>
      <c r="E1598" s="663"/>
    </row>
    <row r="1599" spans="1:5" x14ac:dyDescent="0.2">
      <c r="A1599"/>
      <c r="B1599" s="663"/>
      <c r="C1599" s="663"/>
      <c r="D1599" s="663"/>
      <c r="E1599" s="663"/>
    </row>
    <row r="1600" spans="1:5" x14ac:dyDescent="0.2">
      <c r="A1600"/>
      <c r="B1600" s="663"/>
      <c r="C1600" s="663"/>
      <c r="D1600" s="663"/>
      <c r="E1600" s="663"/>
    </row>
    <row r="1601" spans="1:5" x14ac:dyDescent="0.2">
      <c r="A1601"/>
      <c r="B1601" s="663"/>
      <c r="C1601" s="663"/>
      <c r="D1601" s="663"/>
      <c r="E1601" s="663"/>
    </row>
    <row r="1602" spans="1:5" x14ac:dyDescent="0.2">
      <c r="A1602"/>
      <c r="B1602" s="663"/>
      <c r="C1602" s="663"/>
      <c r="D1602" s="663"/>
      <c r="E1602" s="663"/>
    </row>
    <row r="1603" spans="1:5" x14ac:dyDescent="0.2">
      <c r="A1603"/>
      <c r="B1603" s="663"/>
      <c r="C1603" s="663"/>
      <c r="D1603" s="663"/>
      <c r="E1603" s="663"/>
    </row>
    <row r="1604" spans="1:5" x14ac:dyDescent="0.2">
      <c r="A1604"/>
      <c r="B1604" s="663"/>
      <c r="C1604" s="663"/>
      <c r="D1604" s="663"/>
      <c r="E1604" s="663"/>
    </row>
    <row r="1605" spans="1:5" x14ac:dyDescent="0.2">
      <c r="A1605"/>
      <c r="B1605" s="663"/>
      <c r="C1605" s="663"/>
      <c r="D1605" s="663"/>
      <c r="E1605" s="663"/>
    </row>
    <row r="1606" spans="1:5" x14ac:dyDescent="0.2">
      <c r="A1606"/>
      <c r="B1606" s="663"/>
      <c r="C1606" s="663"/>
      <c r="D1606" s="663"/>
      <c r="E1606" s="663"/>
    </row>
    <row r="1607" spans="1:5" x14ac:dyDescent="0.2">
      <c r="A1607"/>
      <c r="B1607" s="663"/>
      <c r="C1607" s="663"/>
      <c r="D1607" s="663"/>
      <c r="E1607" s="663"/>
    </row>
    <row r="1608" spans="1:5" x14ac:dyDescent="0.2">
      <c r="A1608"/>
      <c r="B1608" s="663"/>
      <c r="C1608" s="663"/>
      <c r="D1608" s="663"/>
      <c r="E1608" s="663"/>
    </row>
    <row r="1609" spans="1:5" x14ac:dyDescent="0.2">
      <c r="A1609"/>
      <c r="B1609" s="663"/>
      <c r="C1609" s="663"/>
      <c r="D1609" s="663"/>
      <c r="E1609" s="663"/>
    </row>
    <row r="1610" spans="1:5" x14ac:dyDescent="0.2">
      <c r="A1610"/>
      <c r="B1610" s="663"/>
      <c r="C1610" s="663"/>
      <c r="D1610" s="663"/>
      <c r="E1610" s="663"/>
    </row>
    <row r="1611" spans="1:5" x14ac:dyDescent="0.2">
      <c r="A1611"/>
      <c r="B1611" s="663"/>
      <c r="C1611" s="663"/>
      <c r="D1611" s="663"/>
      <c r="E1611" s="663"/>
    </row>
    <row r="1612" spans="1:5" x14ac:dyDescent="0.2">
      <c r="A1612"/>
      <c r="B1612" s="663"/>
      <c r="C1612" s="663"/>
      <c r="D1612" s="663"/>
      <c r="E1612" s="663"/>
    </row>
    <row r="1613" spans="1:5" x14ac:dyDescent="0.2">
      <c r="A1613"/>
      <c r="B1613" s="663"/>
      <c r="C1613" s="663"/>
      <c r="D1613" s="663"/>
      <c r="E1613" s="663"/>
    </row>
    <row r="1614" spans="1:5" x14ac:dyDescent="0.2">
      <c r="A1614"/>
      <c r="B1614" s="663"/>
      <c r="C1614" s="663"/>
      <c r="D1614" s="663"/>
      <c r="E1614" s="663"/>
    </row>
    <row r="1615" spans="1:5" x14ac:dyDescent="0.2">
      <c r="A1615"/>
      <c r="B1615" s="663"/>
      <c r="C1615" s="663"/>
      <c r="D1615" s="663"/>
      <c r="E1615" s="663"/>
    </row>
    <row r="1616" spans="1:5" x14ac:dyDescent="0.2">
      <c r="A1616"/>
      <c r="B1616" s="663"/>
      <c r="C1616" s="663"/>
      <c r="D1616" s="663"/>
      <c r="E1616" s="663"/>
    </row>
    <row r="1617" spans="1:5" x14ac:dyDescent="0.2">
      <c r="A1617"/>
      <c r="B1617" s="663"/>
      <c r="C1617" s="663"/>
      <c r="D1617" s="663"/>
      <c r="E1617" s="663"/>
    </row>
    <row r="1618" spans="1:5" x14ac:dyDescent="0.2">
      <c r="A1618"/>
      <c r="B1618" s="663"/>
      <c r="C1618" s="663"/>
      <c r="D1618" s="663"/>
      <c r="E1618" s="663"/>
    </row>
    <row r="1619" spans="1:5" x14ac:dyDescent="0.2">
      <c r="A1619"/>
      <c r="B1619" s="663"/>
      <c r="C1619" s="663"/>
      <c r="D1619" s="663"/>
      <c r="E1619" s="663"/>
    </row>
    <row r="1620" spans="1:5" x14ac:dyDescent="0.2">
      <c r="A1620"/>
      <c r="B1620" s="663"/>
      <c r="C1620" s="663"/>
      <c r="D1620" s="663"/>
      <c r="E1620" s="663"/>
    </row>
    <row r="1621" spans="1:5" x14ac:dyDescent="0.2">
      <c r="A1621"/>
      <c r="B1621" s="663"/>
      <c r="C1621" s="663"/>
      <c r="D1621" s="663"/>
      <c r="E1621" s="663"/>
    </row>
    <row r="1622" spans="1:5" x14ac:dyDescent="0.2">
      <c r="A1622"/>
      <c r="B1622" s="663"/>
      <c r="C1622" s="663"/>
      <c r="D1622" s="663"/>
      <c r="E1622" s="663"/>
    </row>
    <row r="1623" spans="1:5" x14ac:dyDescent="0.2">
      <c r="A1623"/>
      <c r="B1623" s="663"/>
      <c r="C1623" s="663"/>
      <c r="D1623" s="663"/>
      <c r="E1623" s="663"/>
    </row>
    <row r="1624" spans="1:5" x14ac:dyDescent="0.2">
      <c r="A1624"/>
      <c r="B1624" s="663"/>
      <c r="C1624" s="663"/>
      <c r="D1624" s="663"/>
      <c r="E1624" s="663"/>
    </row>
    <row r="1625" spans="1:5" x14ac:dyDescent="0.2">
      <c r="A1625"/>
      <c r="B1625" s="663"/>
      <c r="C1625" s="663"/>
      <c r="D1625" s="663"/>
      <c r="E1625" s="663"/>
    </row>
    <row r="1626" spans="1:5" x14ac:dyDescent="0.2">
      <c r="A1626"/>
      <c r="B1626" s="663"/>
      <c r="C1626" s="663"/>
      <c r="D1626" s="663"/>
      <c r="E1626" s="663"/>
    </row>
    <row r="1627" spans="1:5" x14ac:dyDescent="0.2">
      <c r="A1627"/>
      <c r="B1627" s="663"/>
      <c r="C1627" s="663"/>
      <c r="D1627" s="663"/>
      <c r="E1627" s="663"/>
    </row>
    <row r="1628" spans="1:5" x14ac:dyDescent="0.2">
      <c r="A1628"/>
      <c r="B1628" s="663"/>
      <c r="C1628" s="663"/>
      <c r="D1628" s="663"/>
      <c r="E1628" s="663"/>
    </row>
    <row r="1629" spans="1:5" x14ac:dyDescent="0.2">
      <c r="A1629"/>
      <c r="B1629" s="663"/>
      <c r="C1629" s="663"/>
      <c r="D1629" s="663"/>
      <c r="E1629" s="663"/>
    </row>
    <row r="1630" spans="1:5" x14ac:dyDescent="0.2">
      <c r="A1630"/>
      <c r="B1630" s="663"/>
      <c r="C1630" s="663"/>
      <c r="D1630" s="663"/>
      <c r="E1630" s="663"/>
    </row>
    <row r="1631" spans="1:5" x14ac:dyDescent="0.2">
      <c r="A1631"/>
      <c r="B1631" s="663"/>
      <c r="C1631" s="663"/>
      <c r="D1631" s="663"/>
      <c r="E1631" s="663"/>
    </row>
    <row r="1632" spans="1:5" x14ac:dyDescent="0.2">
      <c r="A1632"/>
      <c r="B1632" s="663"/>
      <c r="C1632" s="663"/>
      <c r="D1632" s="663"/>
      <c r="E1632" s="663"/>
    </row>
    <row r="1633" spans="1:5" x14ac:dyDescent="0.2">
      <c r="A1633"/>
      <c r="B1633" s="663"/>
      <c r="C1633" s="663"/>
      <c r="D1633" s="663"/>
      <c r="E1633" s="663"/>
    </row>
    <row r="1634" spans="1:5" x14ac:dyDescent="0.2">
      <c r="A1634"/>
      <c r="B1634" s="663"/>
      <c r="C1634" s="663"/>
      <c r="D1634" s="663"/>
      <c r="E1634" s="663"/>
    </row>
    <row r="1635" spans="1:5" x14ac:dyDescent="0.2">
      <c r="A1635"/>
      <c r="B1635" s="663"/>
      <c r="C1635" s="663"/>
      <c r="D1635" s="663"/>
      <c r="E1635" s="663"/>
    </row>
    <row r="1636" spans="1:5" x14ac:dyDescent="0.2">
      <c r="A1636"/>
      <c r="B1636" s="663"/>
      <c r="C1636" s="663"/>
      <c r="D1636" s="663"/>
      <c r="E1636" s="663"/>
    </row>
    <row r="1637" spans="1:5" x14ac:dyDescent="0.2">
      <c r="A1637"/>
      <c r="B1637" s="663"/>
      <c r="C1637" s="663"/>
      <c r="D1637" s="663"/>
      <c r="E1637" s="663"/>
    </row>
    <row r="1638" spans="1:5" x14ac:dyDescent="0.2">
      <c r="A1638"/>
      <c r="B1638" s="663"/>
      <c r="C1638" s="663"/>
      <c r="D1638" s="663"/>
      <c r="E1638" s="663"/>
    </row>
    <row r="1639" spans="1:5" x14ac:dyDescent="0.2">
      <c r="A1639"/>
      <c r="B1639" s="663"/>
      <c r="C1639" s="663"/>
      <c r="D1639" s="663"/>
      <c r="E1639" s="663"/>
    </row>
    <row r="1640" spans="1:5" x14ac:dyDescent="0.2">
      <c r="A1640"/>
      <c r="B1640" s="663"/>
      <c r="C1640" s="663"/>
      <c r="D1640" s="663"/>
      <c r="E1640" s="663"/>
    </row>
    <row r="1641" spans="1:5" x14ac:dyDescent="0.2">
      <c r="A1641"/>
      <c r="B1641" s="663"/>
      <c r="C1641" s="663"/>
      <c r="D1641" s="663"/>
      <c r="E1641" s="663"/>
    </row>
    <row r="1642" spans="1:5" x14ac:dyDescent="0.2">
      <c r="A1642"/>
      <c r="B1642" s="663"/>
      <c r="C1642" s="663"/>
      <c r="D1642" s="663"/>
      <c r="E1642" s="663"/>
    </row>
    <row r="1643" spans="1:5" x14ac:dyDescent="0.2">
      <c r="A1643"/>
      <c r="B1643" s="663"/>
      <c r="C1643" s="663"/>
      <c r="D1643" s="663"/>
      <c r="E1643" s="663"/>
    </row>
    <row r="1644" spans="1:5" x14ac:dyDescent="0.2">
      <c r="A1644"/>
      <c r="B1644" s="663"/>
      <c r="C1644" s="663"/>
      <c r="D1644" s="663"/>
      <c r="E1644" s="663"/>
    </row>
    <row r="1645" spans="1:5" x14ac:dyDescent="0.2">
      <c r="A1645"/>
      <c r="B1645" s="663"/>
      <c r="C1645" s="663"/>
      <c r="D1645" s="663"/>
      <c r="E1645" s="663"/>
    </row>
    <row r="1646" spans="1:5" x14ac:dyDescent="0.2">
      <c r="A1646"/>
      <c r="B1646" s="663"/>
      <c r="C1646" s="663"/>
      <c r="D1646" s="663"/>
      <c r="E1646" s="663"/>
    </row>
    <row r="1647" spans="1:5" x14ac:dyDescent="0.2">
      <c r="A1647"/>
      <c r="B1647" s="663"/>
      <c r="C1647" s="663"/>
      <c r="D1647" s="663"/>
      <c r="E1647" s="663"/>
    </row>
    <row r="1648" spans="1:5" x14ac:dyDescent="0.2">
      <c r="A1648"/>
      <c r="B1648" s="663"/>
      <c r="C1648" s="663"/>
      <c r="D1648" s="663"/>
      <c r="E1648" s="663"/>
    </row>
    <row r="1649" spans="1:5" x14ac:dyDescent="0.2">
      <c r="A1649"/>
      <c r="B1649" s="663"/>
      <c r="C1649" s="663"/>
      <c r="D1649" s="663"/>
      <c r="E1649" s="663"/>
    </row>
    <row r="1650" spans="1:5" x14ac:dyDescent="0.2">
      <c r="A1650"/>
      <c r="B1650" s="663"/>
      <c r="C1650" s="663"/>
      <c r="D1650" s="663"/>
      <c r="E1650" s="663"/>
    </row>
    <row r="1651" spans="1:5" x14ac:dyDescent="0.2">
      <c r="A1651"/>
      <c r="B1651" s="663"/>
      <c r="C1651" s="663"/>
      <c r="D1651" s="663"/>
      <c r="E1651" s="663"/>
    </row>
    <row r="1652" spans="1:5" x14ac:dyDescent="0.2">
      <c r="A1652"/>
      <c r="B1652" s="663"/>
      <c r="C1652" s="663"/>
      <c r="D1652" s="663"/>
      <c r="E1652" s="663"/>
    </row>
    <row r="1653" spans="1:5" x14ac:dyDescent="0.2">
      <c r="A1653"/>
      <c r="B1653" s="663"/>
      <c r="C1653" s="663"/>
      <c r="D1653" s="663"/>
      <c r="E1653" s="663"/>
    </row>
    <row r="1654" spans="1:5" x14ac:dyDescent="0.2">
      <c r="A1654"/>
      <c r="B1654" s="663"/>
      <c r="C1654" s="663"/>
      <c r="D1654" s="663"/>
      <c r="E1654" s="663"/>
    </row>
    <row r="1655" spans="1:5" x14ac:dyDescent="0.2">
      <c r="A1655"/>
      <c r="B1655" s="663"/>
      <c r="C1655" s="663"/>
      <c r="D1655" s="663"/>
      <c r="E1655" s="663"/>
    </row>
    <row r="1656" spans="1:5" x14ac:dyDescent="0.2">
      <c r="A1656"/>
      <c r="B1656" s="663"/>
      <c r="C1656" s="663"/>
      <c r="D1656" s="663"/>
      <c r="E1656" s="663"/>
    </row>
    <row r="1657" spans="1:5" x14ac:dyDescent="0.2">
      <c r="A1657"/>
      <c r="B1657" s="663"/>
      <c r="C1657" s="663"/>
      <c r="D1657" s="663"/>
      <c r="E1657" s="663"/>
    </row>
    <row r="1658" spans="1:5" x14ac:dyDescent="0.2">
      <c r="A1658"/>
      <c r="B1658" s="663"/>
      <c r="C1658" s="663"/>
      <c r="D1658" s="663"/>
      <c r="E1658" s="663"/>
    </row>
    <row r="1659" spans="1:5" x14ac:dyDescent="0.2">
      <c r="A1659"/>
      <c r="B1659" s="663"/>
      <c r="C1659" s="663"/>
      <c r="D1659" s="663"/>
      <c r="E1659" s="663"/>
    </row>
    <row r="1660" spans="1:5" x14ac:dyDescent="0.2">
      <c r="A1660"/>
      <c r="B1660" s="663"/>
      <c r="C1660" s="663"/>
      <c r="D1660" s="663"/>
      <c r="E1660" s="663"/>
    </row>
    <row r="1661" spans="1:5" x14ac:dyDescent="0.2">
      <c r="A1661"/>
      <c r="B1661" s="663"/>
      <c r="C1661" s="663"/>
      <c r="D1661" s="663"/>
      <c r="E1661" s="663"/>
    </row>
    <row r="1662" spans="1:5" x14ac:dyDescent="0.2">
      <c r="A1662"/>
      <c r="B1662" s="663"/>
      <c r="C1662" s="663"/>
      <c r="D1662" s="663"/>
      <c r="E1662" s="663"/>
    </row>
    <row r="1663" spans="1:5" x14ac:dyDescent="0.2">
      <c r="A1663"/>
      <c r="B1663" s="663"/>
      <c r="C1663" s="663"/>
      <c r="D1663" s="663"/>
      <c r="E1663" s="663"/>
    </row>
    <row r="1664" spans="1:5" x14ac:dyDescent="0.2">
      <c r="A1664"/>
      <c r="B1664" s="663"/>
      <c r="C1664" s="663"/>
      <c r="D1664" s="663"/>
      <c r="E1664" s="663"/>
    </row>
    <row r="1665" spans="1:5" x14ac:dyDescent="0.2">
      <c r="A1665"/>
      <c r="B1665" s="663"/>
      <c r="C1665" s="663"/>
      <c r="D1665" s="663"/>
      <c r="E1665" s="663"/>
    </row>
    <row r="1666" spans="1:5" x14ac:dyDescent="0.2">
      <c r="A1666"/>
      <c r="B1666" s="663"/>
      <c r="C1666" s="663"/>
      <c r="D1666" s="663"/>
      <c r="E1666" s="663"/>
    </row>
    <row r="1667" spans="1:5" x14ac:dyDescent="0.2">
      <c r="A1667"/>
      <c r="B1667" s="663"/>
      <c r="C1667" s="663"/>
      <c r="D1667" s="663"/>
      <c r="E1667" s="663"/>
    </row>
    <row r="1668" spans="1:5" x14ac:dyDescent="0.2">
      <c r="A1668"/>
      <c r="B1668" s="663"/>
      <c r="C1668" s="663"/>
      <c r="D1668" s="663"/>
      <c r="E1668" s="663"/>
    </row>
    <row r="1669" spans="1:5" x14ac:dyDescent="0.2">
      <c r="A1669"/>
      <c r="B1669" s="663"/>
      <c r="C1669" s="663"/>
      <c r="D1669" s="663"/>
      <c r="E1669" s="663"/>
    </row>
    <row r="1670" spans="1:5" x14ac:dyDescent="0.2">
      <c r="A1670"/>
      <c r="B1670" s="663"/>
      <c r="C1670" s="663"/>
      <c r="D1670" s="663"/>
      <c r="E1670" s="663"/>
    </row>
    <row r="1671" spans="1:5" x14ac:dyDescent="0.2">
      <c r="A1671"/>
      <c r="B1671" s="663"/>
      <c r="C1671" s="663"/>
      <c r="D1671" s="663"/>
      <c r="E1671" s="663"/>
    </row>
    <row r="1672" spans="1:5" x14ac:dyDescent="0.2">
      <c r="A1672"/>
      <c r="B1672" s="663"/>
      <c r="C1672" s="663"/>
      <c r="D1672" s="663"/>
      <c r="E1672" s="663"/>
    </row>
    <row r="1673" spans="1:5" x14ac:dyDescent="0.2">
      <c r="A1673"/>
      <c r="B1673" s="663"/>
      <c r="C1673" s="663"/>
      <c r="D1673" s="663"/>
      <c r="E1673" s="663"/>
    </row>
    <row r="1674" spans="1:5" x14ac:dyDescent="0.2">
      <c r="A1674"/>
      <c r="B1674" s="663"/>
      <c r="C1674" s="663"/>
      <c r="D1674" s="663"/>
      <c r="E1674" s="663"/>
    </row>
    <row r="1675" spans="1:5" x14ac:dyDescent="0.2">
      <c r="A1675"/>
      <c r="B1675" s="663"/>
      <c r="C1675" s="663"/>
      <c r="D1675" s="663"/>
      <c r="E1675" s="663"/>
    </row>
    <row r="1676" spans="1:5" x14ac:dyDescent="0.2">
      <c r="A1676"/>
      <c r="B1676" s="663"/>
      <c r="C1676" s="663"/>
      <c r="D1676" s="663"/>
      <c r="E1676" s="663"/>
    </row>
    <row r="1677" spans="1:5" x14ac:dyDescent="0.2">
      <c r="A1677"/>
      <c r="B1677" s="663"/>
      <c r="C1677" s="663"/>
      <c r="D1677" s="663"/>
      <c r="E1677" s="663"/>
    </row>
    <row r="1678" spans="1:5" x14ac:dyDescent="0.2">
      <c r="A1678"/>
      <c r="B1678" s="663"/>
      <c r="C1678" s="663"/>
      <c r="D1678" s="663"/>
      <c r="E1678" s="663"/>
    </row>
    <row r="1679" spans="1:5" x14ac:dyDescent="0.2">
      <c r="A1679"/>
      <c r="B1679" s="663"/>
      <c r="C1679" s="663"/>
      <c r="D1679" s="663"/>
      <c r="E1679" s="663"/>
    </row>
    <row r="1680" spans="1:5" x14ac:dyDescent="0.2">
      <c r="A1680"/>
      <c r="B1680" s="663"/>
      <c r="C1680" s="663"/>
      <c r="D1680" s="663"/>
      <c r="E1680" s="663"/>
    </row>
    <row r="1681" spans="1:5" x14ac:dyDescent="0.2">
      <c r="A1681"/>
      <c r="B1681" s="663"/>
      <c r="C1681" s="663"/>
      <c r="D1681" s="663"/>
      <c r="E1681" s="663"/>
    </row>
    <row r="1682" spans="1:5" x14ac:dyDescent="0.2">
      <c r="A1682"/>
      <c r="B1682" s="663"/>
      <c r="C1682" s="663"/>
      <c r="D1682" s="663"/>
      <c r="E1682" s="663"/>
    </row>
    <row r="1683" spans="1:5" x14ac:dyDescent="0.2">
      <c r="A1683"/>
      <c r="B1683" s="663"/>
      <c r="C1683" s="663"/>
      <c r="D1683" s="663"/>
      <c r="E1683" s="663"/>
    </row>
    <row r="1684" spans="1:5" x14ac:dyDescent="0.2">
      <c r="A1684"/>
      <c r="B1684" s="663"/>
      <c r="C1684" s="663"/>
      <c r="D1684" s="663"/>
      <c r="E1684" s="663"/>
    </row>
    <row r="1685" spans="1:5" x14ac:dyDescent="0.2">
      <c r="A1685"/>
      <c r="B1685" s="663"/>
      <c r="C1685" s="663"/>
      <c r="D1685" s="663"/>
      <c r="E1685" s="663"/>
    </row>
    <row r="1686" spans="1:5" x14ac:dyDescent="0.2">
      <c r="A1686"/>
      <c r="B1686" s="663"/>
      <c r="C1686" s="663"/>
      <c r="D1686" s="663"/>
      <c r="E1686" s="663"/>
    </row>
    <row r="1687" spans="1:5" x14ac:dyDescent="0.2">
      <c r="A1687"/>
      <c r="B1687" s="663"/>
      <c r="C1687" s="663"/>
      <c r="D1687" s="663"/>
      <c r="E1687" s="663"/>
    </row>
    <row r="1688" spans="1:5" x14ac:dyDescent="0.2">
      <c r="A1688"/>
      <c r="B1688" s="663"/>
      <c r="C1688" s="663"/>
      <c r="D1688" s="663"/>
      <c r="E1688" s="663"/>
    </row>
    <row r="1689" spans="1:5" x14ac:dyDescent="0.2">
      <c r="A1689"/>
      <c r="B1689" s="663"/>
      <c r="C1689" s="663"/>
      <c r="D1689" s="663"/>
      <c r="E1689" s="663"/>
    </row>
    <row r="1690" spans="1:5" x14ac:dyDescent="0.2">
      <c r="A1690"/>
      <c r="B1690" s="663"/>
      <c r="C1690" s="663"/>
      <c r="D1690" s="663"/>
      <c r="E1690" s="663"/>
    </row>
    <row r="1691" spans="1:5" x14ac:dyDescent="0.2">
      <c r="A1691"/>
      <c r="B1691" s="663"/>
      <c r="C1691" s="663"/>
      <c r="D1691" s="663"/>
      <c r="E1691" s="663"/>
    </row>
    <row r="1692" spans="1:5" x14ac:dyDescent="0.2">
      <c r="A1692"/>
      <c r="B1692" s="663"/>
      <c r="C1692" s="663"/>
      <c r="D1692" s="663"/>
      <c r="E1692" s="663"/>
    </row>
    <row r="1693" spans="1:5" x14ac:dyDescent="0.2">
      <c r="A1693"/>
      <c r="B1693" s="663"/>
      <c r="C1693" s="663"/>
      <c r="D1693" s="663"/>
      <c r="E1693" s="663"/>
    </row>
    <row r="1694" spans="1:5" x14ac:dyDescent="0.2">
      <c r="A1694"/>
      <c r="B1694" s="663"/>
      <c r="C1694" s="663"/>
      <c r="D1694" s="663"/>
      <c r="E1694" s="663"/>
    </row>
    <row r="1695" spans="1:5" x14ac:dyDescent="0.2">
      <c r="A1695"/>
      <c r="B1695" s="663"/>
      <c r="C1695" s="663"/>
      <c r="D1695" s="663"/>
      <c r="E1695" s="663"/>
    </row>
    <row r="1696" spans="1:5" x14ac:dyDescent="0.2">
      <c r="A1696"/>
      <c r="B1696" s="663"/>
      <c r="C1696" s="663"/>
      <c r="D1696" s="663"/>
      <c r="E1696" s="663"/>
    </row>
    <row r="1697" spans="1:5" x14ac:dyDescent="0.2">
      <c r="A1697"/>
      <c r="B1697" s="663"/>
      <c r="C1697" s="663"/>
      <c r="D1697" s="663"/>
      <c r="E1697" s="663"/>
    </row>
    <row r="1698" spans="1:5" x14ac:dyDescent="0.2">
      <c r="A1698"/>
      <c r="B1698" s="663"/>
      <c r="C1698" s="663"/>
      <c r="D1698" s="663"/>
      <c r="E1698" s="663"/>
    </row>
    <row r="1699" spans="1:5" x14ac:dyDescent="0.2">
      <c r="A1699"/>
      <c r="B1699" s="663"/>
      <c r="C1699" s="663"/>
      <c r="D1699" s="663"/>
      <c r="E1699" s="663"/>
    </row>
    <row r="1700" spans="1:5" x14ac:dyDescent="0.2">
      <c r="A1700"/>
      <c r="B1700" s="663"/>
      <c r="C1700" s="663"/>
      <c r="D1700" s="663"/>
      <c r="E1700" s="663"/>
    </row>
    <row r="1701" spans="1:5" x14ac:dyDescent="0.2">
      <c r="A1701"/>
      <c r="B1701" s="663"/>
      <c r="C1701" s="663"/>
      <c r="D1701" s="663"/>
      <c r="E1701" s="663"/>
    </row>
    <row r="1702" spans="1:5" x14ac:dyDescent="0.2">
      <c r="A1702"/>
      <c r="B1702" s="663"/>
      <c r="C1702" s="663"/>
      <c r="D1702" s="663"/>
      <c r="E1702" s="663"/>
    </row>
    <row r="1703" spans="1:5" x14ac:dyDescent="0.2">
      <c r="A1703"/>
      <c r="B1703" s="663"/>
      <c r="C1703" s="663"/>
      <c r="D1703" s="663"/>
      <c r="E1703" s="663"/>
    </row>
    <row r="1704" spans="1:5" x14ac:dyDescent="0.2">
      <c r="A1704"/>
      <c r="B1704" s="663"/>
      <c r="C1704" s="663"/>
      <c r="D1704" s="663"/>
      <c r="E1704" s="663"/>
    </row>
    <row r="1705" spans="1:5" x14ac:dyDescent="0.2">
      <c r="A1705"/>
      <c r="B1705" s="663"/>
      <c r="C1705" s="663"/>
      <c r="D1705" s="663"/>
      <c r="E1705" s="663"/>
    </row>
    <row r="1706" spans="1:5" x14ac:dyDescent="0.2">
      <c r="A1706"/>
      <c r="B1706" s="663"/>
      <c r="C1706" s="663"/>
      <c r="D1706" s="663"/>
      <c r="E1706" s="663"/>
    </row>
    <row r="1707" spans="1:5" x14ac:dyDescent="0.2">
      <c r="A1707"/>
      <c r="B1707" s="663"/>
      <c r="C1707" s="663"/>
      <c r="D1707" s="663"/>
      <c r="E1707" s="663"/>
    </row>
    <row r="1708" spans="1:5" x14ac:dyDescent="0.2">
      <c r="A1708"/>
      <c r="B1708" s="663"/>
      <c r="C1708" s="663"/>
      <c r="D1708" s="663"/>
      <c r="E1708" s="663"/>
    </row>
    <row r="1709" spans="1:5" x14ac:dyDescent="0.2">
      <c r="A1709"/>
      <c r="B1709" s="663"/>
      <c r="C1709" s="663"/>
      <c r="D1709" s="663"/>
      <c r="E1709" s="663"/>
    </row>
    <row r="1710" spans="1:5" x14ac:dyDescent="0.2">
      <c r="A1710"/>
      <c r="B1710" s="663"/>
      <c r="C1710" s="663"/>
      <c r="D1710" s="663"/>
      <c r="E1710" s="663"/>
    </row>
    <row r="1711" spans="1:5" x14ac:dyDescent="0.2">
      <c r="A1711"/>
      <c r="B1711" s="663"/>
      <c r="C1711" s="663"/>
      <c r="D1711" s="663"/>
      <c r="E1711" s="663"/>
    </row>
    <row r="1712" spans="1:5" x14ac:dyDescent="0.2">
      <c r="A1712"/>
      <c r="B1712" s="663"/>
      <c r="C1712" s="663"/>
      <c r="D1712" s="663"/>
      <c r="E1712" s="663"/>
    </row>
    <row r="1713" spans="1:5" x14ac:dyDescent="0.2">
      <c r="A1713"/>
      <c r="B1713" s="663"/>
      <c r="C1713" s="663"/>
      <c r="D1713" s="663"/>
      <c r="E1713" s="663"/>
    </row>
    <row r="1714" spans="1:5" x14ac:dyDescent="0.2">
      <c r="A1714"/>
      <c r="B1714" s="663"/>
      <c r="C1714" s="663"/>
      <c r="D1714" s="663"/>
      <c r="E1714" s="663"/>
    </row>
    <row r="1715" spans="1:5" x14ac:dyDescent="0.2">
      <c r="A1715"/>
      <c r="B1715" s="663"/>
      <c r="C1715" s="663"/>
      <c r="D1715" s="663"/>
      <c r="E1715" s="663"/>
    </row>
    <row r="1716" spans="1:5" x14ac:dyDescent="0.2">
      <c r="A1716"/>
      <c r="B1716" s="663"/>
      <c r="C1716" s="663"/>
      <c r="D1716" s="663"/>
      <c r="E1716" s="663"/>
    </row>
    <row r="1717" spans="1:5" x14ac:dyDescent="0.2">
      <c r="A1717"/>
      <c r="B1717" s="663"/>
      <c r="C1717" s="663"/>
      <c r="D1717" s="663"/>
      <c r="E1717" s="663"/>
    </row>
    <row r="1718" spans="1:5" x14ac:dyDescent="0.2">
      <c r="A1718"/>
      <c r="B1718" s="663"/>
      <c r="C1718" s="663"/>
      <c r="D1718" s="663"/>
      <c r="E1718" s="663"/>
    </row>
    <row r="1719" spans="1:5" x14ac:dyDescent="0.2">
      <c r="A1719"/>
      <c r="B1719" s="663"/>
      <c r="C1719" s="663"/>
      <c r="D1719" s="663"/>
      <c r="E1719" s="663"/>
    </row>
    <row r="1720" spans="1:5" x14ac:dyDescent="0.2">
      <c r="A1720"/>
      <c r="B1720" s="663"/>
      <c r="C1720" s="663"/>
      <c r="D1720" s="663"/>
      <c r="E1720" s="663"/>
    </row>
    <row r="1721" spans="1:5" x14ac:dyDescent="0.2">
      <c r="A1721"/>
      <c r="B1721" s="663"/>
      <c r="C1721" s="663"/>
      <c r="D1721" s="663"/>
      <c r="E1721" s="663"/>
    </row>
    <row r="1722" spans="1:5" x14ac:dyDescent="0.2">
      <c r="A1722"/>
      <c r="B1722" s="663"/>
      <c r="C1722" s="663"/>
      <c r="D1722" s="663"/>
      <c r="E1722" s="663"/>
    </row>
    <row r="1723" spans="1:5" x14ac:dyDescent="0.2">
      <c r="A1723"/>
      <c r="B1723" s="663"/>
      <c r="C1723" s="663"/>
      <c r="D1723" s="663"/>
      <c r="E1723" s="663"/>
    </row>
    <row r="1724" spans="1:5" x14ac:dyDescent="0.2">
      <c r="A1724"/>
      <c r="B1724" s="663"/>
      <c r="C1724" s="663"/>
      <c r="D1724" s="663"/>
      <c r="E1724" s="663"/>
    </row>
    <row r="1725" spans="1:5" x14ac:dyDescent="0.2">
      <c r="A1725"/>
      <c r="B1725" s="663"/>
      <c r="C1725" s="663"/>
      <c r="D1725" s="663"/>
      <c r="E1725" s="663"/>
    </row>
    <row r="1726" spans="1:5" x14ac:dyDescent="0.2">
      <c r="A1726"/>
      <c r="B1726" s="663"/>
      <c r="C1726" s="663"/>
      <c r="D1726" s="663"/>
      <c r="E1726" s="663"/>
    </row>
    <row r="1727" spans="1:5" x14ac:dyDescent="0.2">
      <c r="A1727"/>
      <c r="B1727" s="663"/>
      <c r="C1727" s="663"/>
      <c r="D1727" s="663"/>
      <c r="E1727" s="663"/>
    </row>
    <row r="1728" spans="1:5" x14ac:dyDescent="0.2">
      <c r="A1728"/>
      <c r="B1728" s="663"/>
      <c r="C1728" s="663"/>
      <c r="D1728" s="663"/>
      <c r="E1728" s="663"/>
    </row>
    <row r="1729" spans="1:5" x14ac:dyDescent="0.2">
      <c r="A1729"/>
      <c r="B1729" s="663"/>
      <c r="C1729" s="663"/>
      <c r="D1729" s="663"/>
      <c r="E1729" s="663"/>
    </row>
    <row r="1730" spans="1:5" x14ac:dyDescent="0.2">
      <c r="A1730"/>
      <c r="B1730" s="663"/>
      <c r="C1730" s="663"/>
      <c r="D1730" s="663"/>
      <c r="E1730" s="663"/>
    </row>
    <row r="1731" spans="1:5" x14ac:dyDescent="0.2">
      <c r="A1731"/>
      <c r="B1731" s="663"/>
      <c r="C1731" s="663"/>
      <c r="D1731" s="663"/>
      <c r="E1731" s="663"/>
    </row>
    <row r="1732" spans="1:5" x14ac:dyDescent="0.2">
      <c r="A1732"/>
      <c r="B1732" s="663"/>
      <c r="C1732" s="663"/>
      <c r="D1732" s="663"/>
      <c r="E1732" s="663"/>
    </row>
    <row r="1733" spans="1:5" x14ac:dyDescent="0.2">
      <c r="A1733"/>
      <c r="B1733" s="663"/>
      <c r="C1733" s="663"/>
      <c r="D1733" s="663"/>
      <c r="E1733" s="663"/>
    </row>
    <row r="1734" spans="1:5" x14ac:dyDescent="0.2">
      <c r="A1734"/>
      <c r="B1734" s="663"/>
      <c r="C1734" s="663"/>
      <c r="D1734" s="663"/>
      <c r="E1734" s="663"/>
    </row>
    <row r="1735" spans="1:5" x14ac:dyDescent="0.2">
      <c r="A1735"/>
      <c r="B1735" s="663"/>
      <c r="C1735" s="663"/>
      <c r="D1735" s="663"/>
      <c r="E1735" s="663"/>
    </row>
    <row r="1736" spans="1:5" x14ac:dyDescent="0.2">
      <c r="A1736"/>
      <c r="B1736" s="663"/>
      <c r="C1736" s="663"/>
      <c r="D1736" s="663"/>
      <c r="E1736" s="663"/>
    </row>
    <row r="1737" spans="1:5" x14ac:dyDescent="0.2">
      <c r="A1737"/>
      <c r="B1737" s="663"/>
      <c r="C1737" s="663"/>
      <c r="D1737" s="663"/>
      <c r="E1737" s="663"/>
    </row>
    <row r="1738" spans="1:5" x14ac:dyDescent="0.2">
      <c r="A1738"/>
      <c r="B1738" s="663"/>
      <c r="C1738" s="663"/>
      <c r="D1738" s="663"/>
      <c r="E1738" s="663"/>
    </row>
    <row r="1739" spans="1:5" x14ac:dyDescent="0.2">
      <c r="A1739"/>
      <c r="B1739" s="663"/>
      <c r="C1739" s="663"/>
      <c r="D1739" s="663"/>
      <c r="E1739" s="663"/>
    </row>
    <row r="1740" spans="1:5" x14ac:dyDescent="0.2">
      <c r="A1740"/>
      <c r="B1740" s="663"/>
      <c r="C1740" s="663"/>
      <c r="D1740" s="663"/>
      <c r="E1740" s="663"/>
    </row>
    <row r="1741" spans="1:5" x14ac:dyDescent="0.2">
      <c r="A1741"/>
      <c r="B1741" s="663"/>
      <c r="C1741" s="663"/>
      <c r="D1741" s="663"/>
      <c r="E1741" s="663"/>
    </row>
    <row r="1742" spans="1:5" x14ac:dyDescent="0.2">
      <c r="A1742"/>
      <c r="B1742" s="663"/>
      <c r="C1742" s="663"/>
      <c r="D1742" s="663"/>
      <c r="E1742" s="663"/>
    </row>
    <row r="1743" spans="1:5" x14ac:dyDescent="0.2">
      <c r="A1743"/>
      <c r="B1743" s="663"/>
      <c r="C1743" s="663"/>
      <c r="D1743" s="663"/>
      <c r="E1743" s="663"/>
    </row>
    <row r="1744" spans="1:5" x14ac:dyDescent="0.2">
      <c r="A1744"/>
      <c r="B1744" s="663"/>
      <c r="C1744" s="663"/>
      <c r="D1744" s="663"/>
      <c r="E1744" s="663"/>
    </row>
    <row r="1745" spans="1:5" x14ac:dyDescent="0.2">
      <c r="A1745"/>
      <c r="B1745" s="663"/>
      <c r="C1745" s="663"/>
      <c r="D1745" s="663"/>
      <c r="E1745" s="663"/>
    </row>
    <row r="1746" spans="1:5" x14ac:dyDescent="0.2">
      <c r="A1746"/>
      <c r="B1746" s="663"/>
      <c r="C1746" s="663"/>
      <c r="D1746" s="663"/>
      <c r="E1746" s="663"/>
    </row>
    <row r="1747" spans="1:5" x14ac:dyDescent="0.2">
      <c r="A1747"/>
      <c r="B1747" s="663"/>
      <c r="C1747" s="663"/>
      <c r="D1747" s="663"/>
      <c r="E1747" s="663"/>
    </row>
    <row r="1748" spans="1:5" x14ac:dyDescent="0.2">
      <c r="A1748"/>
      <c r="B1748" s="663"/>
      <c r="C1748" s="663"/>
      <c r="D1748" s="663"/>
      <c r="E1748" s="663"/>
    </row>
    <row r="1749" spans="1:5" x14ac:dyDescent="0.2">
      <c r="A1749"/>
      <c r="B1749" s="663"/>
      <c r="C1749" s="663"/>
      <c r="D1749" s="663"/>
      <c r="E1749" s="663"/>
    </row>
    <row r="1750" spans="1:5" x14ac:dyDescent="0.2">
      <c r="A1750"/>
      <c r="B1750" s="663"/>
      <c r="C1750" s="663"/>
      <c r="D1750" s="663"/>
      <c r="E1750" s="663"/>
    </row>
    <row r="1751" spans="1:5" x14ac:dyDescent="0.2">
      <c r="A1751"/>
      <c r="B1751" s="663"/>
      <c r="C1751" s="663"/>
      <c r="D1751" s="663"/>
      <c r="E1751" s="663"/>
    </row>
    <row r="1752" spans="1:5" x14ac:dyDescent="0.2">
      <c r="A1752"/>
      <c r="B1752" s="663"/>
      <c r="C1752" s="663"/>
      <c r="D1752" s="663"/>
      <c r="E1752" s="663"/>
    </row>
    <row r="1753" spans="1:5" x14ac:dyDescent="0.2">
      <c r="A1753"/>
      <c r="B1753" s="663"/>
      <c r="C1753" s="663"/>
      <c r="D1753" s="663"/>
      <c r="E1753" s="663"/>
    </row>
    <row r="1754" spans="1:5" x14ac:dyDescent="0.2">
      <c r="A1754"/>
      <c r="B1754" s="663"/>
      <c r="C1754" s="663"/>
      <c r="D1754" s="663"/>
      <c r="E1754" s="663"/>
    </row>
    <row r="1755" spans="1:5" x14ac:dyDescent="0.2">
      <c r="A1755"/>
      <c r="B1755" s="663"/>
      <c r="C1755" s="663"/>
      <c r="D1755" s="663"/>
      <c r="E1755" s="663"/>
    </row>
    <row r="1756" spans="1:5" x14ac:dyDescent="0.2">
      <c r="A1756"/>
      <c r="B1756" s="663"/>
      <c r="C1756" s="663"/>
      <c r="D1756" s="663"/>
      <c r="E1756" s="663"/>
    </row>
    <row r="1757" spans="1:5" x14ac:dyDescent="0.2">
      <c r="A1757"/>
      <c r="B1757" s="663"/>
      <c r="C1757" s="663"/>
      <c r="D1757" s="663"/>
      <c r="E1757" s="663"/>
    </row>
    <row r="1758" spans="1:5" x14ac:dyDescent="0.2">
      <c r="A1758"/>
      <c r="B1758" s="663"/>
      <c r="C1758" s="663"/>
      <c r="D1758" s="663"/>
      <c r="E1758" s="663"/>
    </row>
    <row r="1759" spans="1:5" x14ac:dyDescent="0.2">
      <c r="A1759"/>
      <c r="B1759" s="663"/>
      <c r="C1759" s="663"/>
      <c r="D1759" s="663"/>
      <c r="E1759" s="663"/>
    </row>
    <row r="1760" spans="1:5" x14ac:dyDescent="0.2">
      <c r="A1760"/>
      <c r="B1760" s="663"/>
      <c r="C1760" s="663"/>
      <c r="D1760" s="663"/>
      <c r="E1760" s="663"/>
    </row>
    <row r="1761" spans="1:5" x14ac:dyDescent="0.2">
      <c r="A1761"/>
      <c r="B1761" s="663"/>
      <c r="C1761" s="663"/>
      <c r="D1761" s="663"/>
      <c r="E1761" s="663"/>
    </row>
    <row r="1762" spans="1:5" x14ac:dyDescent="0.2">
      <c r="A1762"/>
      <c r="B1762" s="663"/>
      <c r="C1762" s="663"/>
      <c r="D1762" s="663"/>
      <c r="E1762" s="663"/>
    </row>
    <row r="1763" spans="1:5" x14ac:dyDescent="0.2">
      <c r="A1763"/>
      <c r="B1763" s="663"/>
      <c r="C1763" s="663"/>
      <c r="D1763" s="663"/>
      <c r="E1763" s="663"/>
    </row>
    <row r="1764" spans="1:5" x14ac:dyDescent="0.2">
      <c r="A1764"/>
      <c r="B1764" s="663"/>
      <c r="C1764" s="663"/>
      <c r="D1764" s="663"/>
      <c r="E1764" s="663"/>
    </row>
    <row r="1765" spans="1:5" x14ac:dyDescent="0.2">
      <c r="A1765"/>
      <c r="B1765" s="663"/>
      <c r="C1765" s="663"/>
      <c r="D1765" s="663"/>
      <c r="E1765" s="663"/>
    </row>
    <row r="1766" spans="1:5" x14ac:dyDescent="0.2">
      <c r="A1766"/>
      <c r="B1766" s="663"/>
      <c r="C1766" s="663"/>
      <c r="D1766" s="663"/>
      <c r="E1766" s="663"/>
    </row>
    <row r="1767" spans="1:5" x14ac:dyDescent="0.2">
      <c r="A1767"/>
      <c r="B1767" s="663"/>
      <c r="C1767" s="663"/>
      <c r="D1767" s="663"/>
      <c r="E1767" s="663"/>
    </row>
    <row r="1768" spans="1:5" x14ac:dyDescent="0.2">
      <c r="A1768"/>
      <c r="B1768" s="663"/>
      <c r="C1768" s="663"/>
      <c r="D1768" s="663"/>
      <c r="E1768" s="663"/>
    </row>
    <row r="1769" spans="1:5" x14ac:dyDescent="0.2">
      <c r="A1769"/>
      <c r="B1769" s="663"/>
      <c r="C1769" s="663"/>
      <c r="D1769" s="663"/>
      <c r="E1769" s="663"/>
    </row>
    <row r="1770" spans="1:5" x14ac:dyDescent="0.2">
      <c r="A1770"/>
      <c r="B1770" s="663"/>
      <c r="C1770" s="663"/>
      <c r="D1770" s="663"/>
      <c r="E1770" s="663"/>
    </row>
    <row r="1771" spans="1:5" x14ac:dyDescent="0.2">
      <c r="A1771"/>
      <c r="B1771" s="663"/>
      <c r="C1771" s="663"/>
      <c r="D1771" s="663"/>
      <c r="E1771" s="663"/>
    </row>
    <row r="1772" spans="1:5" x14ac:dyDescent="0.2">
      <c r="A1772"/>
      <c r="B1772" s="663"/>
      <c r="C1772" s="663"/>
      <c r="D1772" s="663"/>
      <c r="E1772" s="663"/>
    </row>
    <row r="1773" spans="1:5" x14ac:dyDescent="0.2">
      <c r="A1773"/>
      <c r="B1773" s="663"/>
      <c r="C1773" s="663"/>
      <c r="D1773" s="663"/>
      <c r="E1773" s="663"/>
    </row>
    <row r="1774" spans="1:5" x14ac:dyDescent="0.2">
      <c r="A1774"/>
      <c r="B1774" s="663"/>
      <c r="C1774" s="663"/>
      <c r="D1774" s="663"/>
      <c r="E1774" s="663"/>
    </row>
    <row r="1775" spans="1:5" x14ac:dyDescent="0.2">
      <c r="A1775"/>
      <c r="B1775" s="663"/>
      <c r="C1775" s="663"/>
      <c r="D1775" s="663"/>
      <c r="E1775" s="663"/>
    </row>
    <row r="1776" spans="1:5" x14ac:dyDescent="0.2">
      <c r="A1776"/>
      <c r="B1776" s="663"/>
      <c r="C1776" s="663"/>
      <c r="D1776" s="663"/>
      <c r="E1776" s="663"/>
    </row>
    <row r="1777" spans="1:5" x14ac:dyDescent="0.2">
      <c r="A1777"/>
      <c r="B1777" s="663"/>
      <c r="C1777" s="663"/>
      <c r="D1777" s="663"/>
      <c r="E1777" s="663"/>
    </row>
    <row r="1778" spans="1:5" x14ac:dyDescent="0.2">
      <c r="A1778"/>
      <c r="B1778" s="663"/>
      <c r="C1778" s="663"/>
      <c r="D1778" s="663"/>
      <c r="E1778" s="663"/>
    </row>
    <row r="1779" spans="1:5" x14ac:dyDescent="0.2">
      <c r="A1779"/>
      <c r="B1779" s="663"/>
      <c r="C1779" s="663"/>
      <c r="D1779" s="663"/>
      <c r="E1779" s="663"/>
    </row>
    <row r="1780" spans="1:5" x14ac:dyDescent="0.2">
      <c r="A1780"/>
      <c r="B1780" s="663"/>
      <c r="C1780" s="663"/>
      <c r="D1780" s="663"/>
      <c r="E1780" s="663"/>
    </row>
    <row r="1781" spans="1:5" x14ac:dyDescent="0.2">
      <c r="A1781"/>
      <c r="B1781" s="663"/>
      <c r="C1781" s="663"/>
      <c r="D1781" s="663"/>
      <c r="E1781" s="663"/>
    </row>
    <row r="1782" spans="1:5" x14ac:dyDescent="0.2">
      <c r="A1782"/>
      <c r="B1782" s="663"/>
      <c r="C1782" s="663"/>
      <c r="D1782" s="663"/>
      <c r="E1782" s="663"/>
    </row>
    <row r="1783" spans="1:5" x14ac:dyDescent="0.2">
      <c r="A1783"/>
      <c r="B1783" s="663"/>
      <c r="C1783" s="663"/>
      <c r="D1783" s="663"/>
      <c r="E1783" s="663"/>
    </row>
    <row r="1784" spans="1:5" x14ac:dyDescent="0.2">
      <c r="A1784"/>
      <c r="B1784" s="663"/>
      <c r="C1784" s="663"/>
      <c r="D1784" s="663"/>
      <c r="E1784" s="663"/>
    </row>
    <row r="1785" spans="1:5" x14ac:dyDescent="0.2">
      <c r="A1785"/>
      <c r="B1785" s="663"/>
      <c r="C1785" s="663"/>
      <c r="D1785" s="663"/>
      <c r="E1785" s="663"/>
    </row>
    <row r="1786" spans="1:5" x14ac:dyDescent="0.2">
      <c r="A1786"/>
      <c r="B1786" s="663"/>
      <c r="C1786" s="663"/>
      <c r="D1786" s="663"/>
      <c r="E1786" s="663"/>
    </row>
    <row r="1787" spans="1:5" x14ac:dyDescent="0.2">
      <c r="A1787"/>
      <c r="B1787" s="663"/>
      <c r="C1787" s="663"/>
      <c r="D1787" s="663"/>
      <c r="E1787" s="663"/>
    </row>
    <row r="1788" spans="1:5" x14ac:dyDescent="0.2">
      <c r="A1788"/>
      <c r="B1788" s="663"/>
      <c r="C1788" s="663"/>
      <c r="D1788" s="663"/>
      <c r="E1788" s="663"/>
    </row>
    <row r="1789" spans="1:5" x14ac:dyDescent="0.2">
      <c r="A1789"/>
      <c r="B1789" s="663"/>
      <c r="C1789" s="663"/>
      <c r="D1789" s="663"/>
      <c r="E1789" s="663"/>
    </row>
    <row r="1790" spans="1:5" x14ac:dyDescent="0.2">
      <c r="A1790"/>
      <c r="B1790" s="663"/>
      <c r="C1790" s="663"/>
      <c r="D1790" s="663"/>
      <c r="E1790" s="663"/>
    </row>
    <row r="1791" spans="1:5" x14ac:dyDescent="0.2">
      <c r="A1791"/>
      <c r="B1791" s="663"/>
      <c r="C1791" s="663"/>
      <c r="D1791" s="663"/>
      <c r="E1791" s="663"/>
    </row>
    <row r="1792" spans="1:5" x14ac:dyDescent="0.2">
      <c r="A1792"/>
      <c r="B1792" s="663"/>
      <c r="C1792" s="663"/>
      <c r="D1792" s="663"/>
      <c r="E1792" s="663"/>
    </row>
    <row r="1793" spans="1:5" x14ac:dyDescent="0.2">
      <c r="A1793"/>
      <c r="B1793" s="663"/>
      <c r="C1793" s="663"/>
      <c r="D1793" s="663"/>
      <c r="E1793" s="663"/>
    </row>
    <row r="1794" spans="1:5" x14ac:dyDescent="0.2">
      <c r="A1794"/>
      <c r="B1794" s="663"/>
      <c r="C1794" s="663"/>
      <c r="D1794" s="663"/>
      <c r="E1794" s="663"/>
    </row>
    <row r="1795" spans="1:5" x14ac:dyDescent="0.2">
      <c r="A1795"/>
      <c r="B1795" s="663"/>
      <c r="C1795" s="663"/>
      <c r="D1795" s="663"/>
      <c r="E1795" s="663"/>
    </row>
    <row r="1796" spans="1:5" x14ac:dyDescent="0.2">
      <c r="A1796"/>
      <c r="B1796" s="663"/>
      <c r="C1796" s="663"/>
      <c r="D1796" s="663"/>
      <c r="E1796" s="663"/>
    </row>
    <row r="1797" spans="1:5" x14ac:dyDescent="0.2">
      <c r="A1797"/>
      <c r="B1797" s="663"/>
      <c r="C1797" s="663"/>
      <c r="D1797" s="663"/>
      <c r="E1797" s="663"/>
    </row>
    <row r="1798" spans="1:5" x14ac:dyDescent="0.2">
      <c r="A1798"/>
      <c r="B1798" s="663"/>
      <c r="C1798" s="663"/>
      <c r="D1798" s="663"/>
      <c r="E1798" s="663"/>
    </row>
    <row r="1799" spans="1:5" x14ac:dyDescent="0.2">
      <c r="A1799"/>
      <c r="B1799" s="663"/>
      <c r="C1799" s="663"/>
      <c r="D1799" s="663"/>
      <c r="E1799" s="663"/>
    </row>
    <row r="1800" spans="1:5" x14ac:dyDescent="0.2">
      <c r="A1800"/>
      <c r="B1800" s="663"/>
      <c r="C1800" s="663"/>
      <c r="D1800" s="663"/>
      <c r="E1800" s="663"/>
    </row>
    <row r="1801" spans="1:5" x14ac:dyDescent="0.2">
      <c r="A1801"/>
      <c r="B1801" s="663"/>
      <c r="C1801" s="663"/>
      <c r="D1801" s="663"/>
      <c r="E1801" s="663"/>
    </row>
    <row r="1802" spans="1:5" x14ac:dyDescent="0.2">
      <c r="A1802"/>
      <c r="B1802" s="663"/>
      <c r="C1802" s="663"/>
      <c r="D1802" s="663"/>
      <c r="E1802" s="663"/>
    </row>
    <row r="1803" spans="1:5" x14ac:dyDescent="0.2">
      <c r="A1803"/>
      <c r="B1803" s="663"/>
      <c r="C1803" s="663"/>
      <c r="D1803" s="663"/>
      <c r="E1803" s="663"/>
    </row>
    <row r="1804" spans="1:5" x14ac:dyDescent="0.2">
      <c r="A1804"/>
      <c r="B1804" s="663"/>
      <c r="C1804" s="663"/>
      <c r="D1804" s="663"/>
      <c r="E1804" s="663"/>
    </row>
    <row r="1805" spans="1:5" x14ac:dyDescent="0.2">
      <c r="A1805"/>
      <c r="B1805" s="663"/>
      <c r="C1805" s="663"/>
      <c r="D1805" s="663"/>
      <c r="E1805" s="663"/>
    </row>
    <row r="1806" spans="1:5" x14ac:dyDescent="0.2">
      <c r="A1806"/>
      <c r="B1806" s="663"/>
      <c r="C1806" s="663"/>
      <c r="D1806" s="663"/>
      <c r="E1806" s="663"/>
    </row>
    <row r="1807" spans="1:5" x14ac:dyDescent="0.2">
      <c r="A1807"/>
      <c r="B1807" s="663"/>
      <c r="C1807" s="663"/>
      <c r="D1807" s="663"/>
      <c r="E1807" s="663"/>
    </row>
    <row r="1808" spans="1:5" x14ac:dyDescent="0.2">
      <c r="A1808"/>
      <c r="B1808" s="663"/>
      <c r="C1808" s="663"/>
      <c r="D1808" s="663"/>
      <c r="E1808" s="663"/>
    </row>
    <row r="1809" spans="1:5" x14ac:dyDescent="0.2">
      <c r="A1809"/>
      <c r="B1809" s="663"/>
      <c r="C1809" s="663"/>
      <c r="D1809" s="663"/>
      <c r="E1809" s="663"/>
    </row>
    <row r="1810" spans="1:5" x14ac:dyDescent="0.2">
      <c r="A1810"/>
      <c r="B1810" s="663"/>
      <c r="C1810" s="663"/>
      <c r="D1810" s="663"/>
      <c r="E1810" s="663"/>
    </row>
    <row r="1811" spans="1:5" x14ac:dyDescent="0.2">
      <c r="A1811"/>
      <c r="B1811" s="663"/>
      <c r="C1811" s="663"/>
      <c r="D1811" s="663"/>
      <c r="E1811" s="663"/>
    </row>
    <row r="1812" spans="1:5" x14ac:dyDescent="0.2">
      <c r="A1812"/>
      <c r="B1812" s="663"/>
      <c r="C1812" s="663"/>
      <c r="D1812" s="663"/>
      <c r="E1812" s="663"/>
    </row>
    <row r="1813" spans="1:5" x14ac:dyDescent="0.2">
      <c r="A1813"/>
      <c r="B1813" s="663"/>
      <c r="C1813" s="663"/>
      <c r="D1813" s="663"/>
      <c r="E1813" s="663"/>
    </row>
    <row r="1814" spans="1:5" x14ac:dyDescent="0.2">
      <c r="A1814"/>
      <c r="B1814" s="663"/>
      <c r="C1814" s="663"/>
      <c r="D1814" s="663"/>
      <c r="E1814" s="663"/>
    </row>
    <row r="1815" spans="1:5" x14ac:dyDescent="0.2">
      <c r="A1815"/>
      <c r="B1815" s="663"/>
      <c r="C1815" s="663"/>
      <c r="D1815" s="663"/>
      <c r="E1815" s="663"/>
    </row>
    <row r="1816" spans="1:5" x14ac:dyDescent="0.2">
      <c r="A1816"/>
      <c r="B1816" s="663"/>
      <c r="C1816" s="663"/>
      <c r="D1816" s="663"/>
      <c r="E1816" s="663"/>
    </row>
    <row r="1817" spans="1:5" x14ac:dyDescent="0.2">
      <c r="A1817"/>
      <c r="B1817" s="663"/>
      <c r="C1817" s="663"/>
      <c r="D1817" s="663"/>
      <c r="E1817" s="663"/>
    </row>
    <row r="1818" spans="1:5" x14ac:dyDescent="0.2">
      <c r="A1818"/>
      <c r="B1818" s="663"/>
      <c r="C1818" s="663"/>
      <c r="D1818" s="663"/>
      <c r="E1818" s="663"/>
    </row>
    <row r="1819" spans="1:5" x14ac:dyDescent="0.2">
      <c r="A1819"/>
      <c r="B1819" s="663"/>
      <c r="C1819" s="663"/>
      <c r="D1819" s="663"/>
      <c r="E1819" s="663"/>
    </row>
    <row r="1820" spans="1:5" x14ac:dyDescent="0.2">
      <c r="A1820"/>
      <c r="B1820" s="663"/>
      <c r="C1820" s="663"/>
      <c r="D1820" s="663"/>
      <c r="E1820" s="663"/>
    </row>
    <row r="1821" spans="1:5" x14ac:dyDescent="0.2">
      <c r="A1821"/>
      <c r="B1821" s="663"/>
      <c r="C1821" s="663"/>
      <c r="D1821" s="663"/>
      <c r="E1821" s="663"/>
    </row>
    <row r="1822" spans="1:5" x14ac:dyDescent="0.2">
      <c r="A1822"/>
      <c r="B1822" s="663"/>
      <c r="C1822" s="663"/>
      <c r="D1822" s="663"/>
      <c r="E1822" s="663"/>
    </row>
    <row r="1823" spans="1:5" x14ac:dyDescent="0.2">
      <c r="A1823"/>
      <c r="B1823" s="663"/>
      <c r="C1823" s="663"/>
      <c r="D1823" s="663"/>
      <c r="E1823" s="663"/>
    </row>
    <row r="1824" spans="1:5" x14ac:dyDescent="0.2">
      <c r="A1824"/>
      <c r="B1824" s="663"/>
      <c r="C1824" s="663"/>
      <c r="D1824" s="663"/>
      <c r="E1824" s="663"/>
    </row>
    <row r="1825" spans="1:5" x14ac:dyDescent="0.2">
      <c r="A1825"/>
      <c r="B1825" s="663"/>
      <c r="C1825" s="663"/>
      <c r="D1825" s="663"/>
      <c r="E1825" s="663"/>
    </row>
    <row r="1826" spans="1:5" x14ac:dyDescent="0.2">
      <c r="A1826"/>
      <c r="B1826" s="663"/>
      <c r="C1826" s="663"/>
      <c r="D1826" s="663"/>
      <c r="E1826" s="663"/>
    </row>
    <row r="1827" spans="1:5" x14ac:dyDescent="0.2">
      <c r="A1827"/>
      <c r="B1827" s="663"/>
      <c r="C1827" s="663"/>
      <c r="D1827" s="663"/>
      <c r="E1827" s="663"/>
    </row>
    <row r="1828" spans="1:5" x14ac:dyDescent="0.2">
      <c r="A1828"/>
      <c r="B1828" s="663"/>
      <c r="C1828" s="663"/>
      <c r="D1828" s="663"/>
      <c r="E1828" s="663"/>
    </row>
    <row r="1829" spans="1:5" x14ac:dyDescent="0.2">
      <c r="A1829"/>
      <c r="B1829" s="663"/>
      <c r="C1829" s="663"/>
      <c r="D1829" s="663"/>
      <c r="E1829" s="663"/>
    </row>
    <row r="1830" spans="1:5" x14ac:dyDescent="0.2">
      <c r="A1830"/>
      <c r="B1830" s="663"/>
      <c r="C1830" s="663"/>
      <c r="D1830" s="663"/>
      <c r="E1830" s="663"/>
    </row>
    <row r="1831" spans="1:5" x14ac:dyDescent="0.2">
      <c r="A1831"/>
      <c r="B1831" s="663"/>
      <c r="C1831" s="663"/>
      <c r="D1831" s="663"/>
      <c r="E1831" s="663"/>
    </row>
    <row r="1832" spans="1:5" x14ac:dyDescent="0.2">
      <c r="A1832"/>
      <c r="B1832" s="663"/>
      <c r="C1832" s="663"/>
      <c r="D1832" s="663"/>
      <c r="E1832" s="663"/>
    </row>
    <row r="1833" spans="1:5" x14ac:dyDescent="0.2">
      <c r="A1833"/>
      <c r="B1833" s="663"/>
      <c r="C1833" s="663"/>
      <c r="D1833" s="663"/>
      <c r="E1833" s="663"/>
    </row>
    <row r="1834" spans="1:5" x14ac:dyDescent="0.2">
      <c r="A1834"/>
      <c r="B1834" s="663"/>
      <c r="C1834" s="663"/>
      <c r="D1834" s="663"/>
      <c r="E1834" s="663"/>
    </row>
    <row r="1835" spans="1:5" x14ac:dyDescent="0.2">
      <c r="A1835"/>
      <c r="B1835" s="663"/>
      <c r="C1835" s="663"/>
      <c r="D1835" s="663"/>
      <c r="E1835" s="663"/>
    </row>
    <row r="1836" spans="1:5" x14ac:dyDescent="0.2">
      <c r="A1836"/>
      <c r="B1836" s="663"/>
      <c r="C1836" s="663"/>
      <c r="D1836" s="663"/>
      <c r="E1836" s="663"/>
    </row>
    <row r="1837" spans="1:5" x14ac:dyDescent="0.2">
      <c r="A1837"/>
      <c r="B1837" s="663"/>
      <c r="C1837" s="663"/>
      <c r="D1837" s="663"/>
      <c r="E1837" s="663"/>
    </row>
    <row r="1838" spans="1:5" x14ac:dyDescent="0.2">
      <c r="A1838"/>
      <c r="B1838" s="663"/>
      <c r="C1838" s="663"/>
      <c r="D1838" s="663"/>
      <c r="E1838" s="663"/>
    </row>
    <row r="1839" spans="1:5" x14ac:dyDescent="0.2">
      <c r="A1839"/>
      <c r="B1839" s="663"/>
      <c r="C1839" s="663"/>
      <c r="D1839" s="663"/>
      <c r="E1839" s="663"/>
    </row>
    <row r="1840" spans="1:5" x14ac:dyDescent="0.2">
      <c r="A1840"/>
      <c r="B1840" s="663"/>
      <c r="C1840" s="663"/>
      <c r="D1840" s="663"/>
      <c r="E1840" s="663"/>
    </row>
    <row r="1841" spans="1:5" x14ac:dyDescent="0.2">
      <c r="A1841"/>
      <c r="B1841" s="663"/>
      <c r="C1841" s="663"/>
      <c r="D1841" s="663"/>
      <c r="E1841" s="663"/>
    </row>
    <row r="1842" spans="1:5" x14ac:dyDescent="0.2">
      <c r="A1842"/>
      <c r="B1842" s="663"/>
      <c r="C1842" s="663"/>
      <c r="D1842" s="663"/>
      <c r="E1842" s="663"/>
    </row>
    <row r="1843" spans="1:5" x14ac:dyDescent="0.2">
      <c r="A1843"/>
      <c r="B1843" s="663"/>
      <c r="C1843" s="663"/>
      <c r="D1843" s="663"/>
      <c r="E1843" s="663"/>
    </row>
    <row r="1844" spans="1:5" x14ac:dyDescent="0.2">
      <c r="A1844"/>
      <c r="B1844" s="663"/>
      <c r="C1844" s="663"/>
      <c r="D1844" s="663"/>
      <c r="E1844" s="663"/>
    </row>
    <row r="1845" spans="1:5" x14ac:dyDescent="0.2">
      <c r="A1845"/>
      <c r="B1845" s="663"/>
      <c r="C1845" s="663"/>
      <c r="D1845" s="663"/>
      <c r="E1845" s="663"/>
    </row>
    <row r="1846" spans="1:5" x14ac:dyDescent="0.2">
      <c r="A1846"/>
      <c r="B1846" s="663"/>
      <c r="C1846" s="663"/>
      <c r="D1846" s="663"/>
      <c r="E1846" s="663"/>
    </row>
    <row r="1847" spans="1:5" x14ac:dyDescent="0.2">
      <c r="A1847"/>
      <c r="B1847" s="663"/>
      <c r="C1847" s="663"/>
      <c r="D1847" s="663"/>
      <c r="E1847" s="663"/>
    </row>
    <row r="1848" spans="1:5" x14ac:dyDescent="0.2">
      <c r="A1848"/>
      <c r="B1848" s="663"/>
      <c r="C1848" s="663"/>
      <c r="D1848" s="663"/>
      <c r="E1848" s="663"/>
    </row>
    <row r="1849" spans="1:5" x14ac:dyDescent="0.2">
      <c r="A1849"/>
      <c r="B1849" s="663"/>
      <c r="C1849" s="663"/>
      <c r="D1849" s="663"/>
      <c r="E1849" s="663"/>
    </row>
    <row r="1850" spans="1:5" x14ac:dyDescent="0.2">
      <c r="A1850"/>
      <c r="B1850" s="663"/>
      <c r="C1850" s="663"/>
      <c r="D1850" s="663"/>
      <c r="E1850" s="663"/>
    </row>
    <row r="1851" spans="1:5" x14ac:dyDescent="0.2">
      <c r="A1851"/>
      <c r="B1851" s="663"/>
      <c r="C1851" s="663"/>
      <c r="D1851" s="663"/>
      <c r="E1851" s="663"/>
    </row>
    <row r="1852" spans="1:5" x14ac:dyDescent="0.2">
      <c r="A1852"/>
      <c r="B1852" s="663"/>
      <c r="C1852" s="663"/>
      <c r="D1852" s="663"/>
      <c r="E1852" s="663"/>
    </row>
    <row r="1853" spans="1:5" x14ac:dyDescent="0.2">
      <c r="A1853"/>
      <c r="B1853" s="663"/>
      <c r="C1853" s="663"/>
      <c r="D1853" s="663"/>
      <c r="E1853" s="663"/>
    </row>
    <row r="1854" spans="1:5" x14ac:dyDescent="0.2">
      <c r="A1854"/>
      <c r="B1854" s="663"/>
      <c r="C1854" s="663"/>
      <c r="D1854" s="663"/>
      <c r="E1854" s="663"/>
    </row>
    <row r="1855" spans="1:5" x14ac:dyDescent="0.2">
      <c r="A1855"/>
      <c r="B1855" s="663"/>
      <c r="C1855" s="663"/>
      <c r="D1855" s="663"/>
      <c r="E1855" s="663"/>
    </row>
    <row r="1856" spans="1:5" x14ac:dyDescent="0.2">
      <c r="A1856"/>
      <c r="B1856" s="663"/>
      <c r="C1856" s="663"/>
      <c r="D1856" s="663"/>
      <c r="E1856" s="663"/>
    </row>
    <row r="1857" spans="1:5" x14ac:dyDescent="0.2">
      <c r="A1857"/>
      <c r="B1857" s="663"/>
      <c r="C1857" s="663"/>
      <c r="D1857" s="663"/>
      <c r="E1857" s="663"/>
    </row>
    <row r="1858" spans="1:5" x14ac:dyDescent="0.2">
      <c r="A1858"/>
      <c r="B1858" s="663"/>
      <c r="C1858" s="663"/>
      <c r="D1858" s="663"/>
      <c r="E1858" s="663"/>
    </row>
    <row r="1859" spans="1:5" x14ac:dyDescent="0.2">
      <c r="A1859"/>
      <c r="B1859" s="663"/>
      <c r="C1859" s="663"/>
      <c r="D1859" s="663"/>
      <c r="E1859" s="663"/>
    </row>
    <row r="1860" spans="1:5" x14ac:dyDescent="0.2">
      <c r="A1860"/>
      <c r="B1860" s="663"/>
      <c r="C1860" s="663"/>
      <c r="D1860" s="663"/>
      <c r="E1860" s="663"/>
    </row>
    <row r="1861" spans="1:5" x14ac:dyDescent="0.2">
      <c r="A1861"/>
      <c r="B1861" s="663"/>
      <c r="C1861" s="663"/>
      <c r="D1861" s="663"/>
      <c r="E1861" s="663"/>
    </row>
    <row r="1862" spans="1:5" x14ac:dyDescent="0.2">
      <c r="A1862"/>
      <c r="B1862" s="663"/>
      <c r="C1862" s="663"/>
      <c r="D1862" s="663"/>
      <c r="E1862" s="663"/>
    </row>
    <row r="1863" spans="1:5" x14ac:dyDescent="0.2">
      <c r="A1863"/>
      <c r="B1863" s="663"/>
      <c r="C1863" s="663"/>
      <c r="D1863" s="663"/>
      <c r="E1863" s="663"/>
    </row>
    <row r="1864" spans="1:5" x14ac:dyDescent="0.2">
      <c r="A1864"/>
      <c r="B1864" s="663"/>
      <c r="C1864" s="663"/>
      <c r="D1864" s="663"/>
      <c r="E1864" s="663"/>
    </row>
    <row r="1865" spans="1:5" x14ac:dyDescent="0.2">
      <c r="A1865"/>
      <c r="B1865" s="663"/>
      <c r="C1865" s="663"/>
      <c r="D1865" s="663"/>
      <c r="E1865" s="663"/>
    </row>
    <row r="1866" spans="1:5" x14ac:dyDescent="0.2">
      <c r="A1866"/>
      <c r="B1866" s="663"/>
      <c r="C1866" s="663"/>
      <c r="D1866" s="663"/>
      <c r="E1866" s="663"/>
    </row>
    <row r="1867" spans="1:5" x14ac:dyDescent="0.2">
      <c r="A1867"/>
      <c r="B1867" s="663"/>
      <c r="C1867" s="663"/>
      <c r="D1867" s="663"/>
      <c r="E1867" s="663"/>
    </row>
    <row r="1868" spans="1:5" x14ac:dyDescent="0.2">
      <c r="A1868"/>
      <c r="B1868" s="663"/>
      <c r="C1868" s="663"/>
      <c r="D1868" s="663"/>
      <c r="E1868" s="663"/>
    </row>
    <row r="1869" spans="1:5" x14ac:dyDescent="0.2">
      <c r="A1869"/>
      <c r="B1869" s="663"/>
      <c r="C1869" s="663"/>
      <c r="D1869" s="663"/>
      <c r="E1869" s="663"/>
    </row>
    <row r="1870" spans="1:5" x14ac:dyDescent="0.2">
      <c r="A1870"/>
      <c r="B1870" s="663"/>
      <c r="C1870" s="663"/>
      <c r="D1870" s="663"/>
      <c r="E1870" s="663"/>
    </row>
    <row r="1871" spans="1:5" x14ac:dyDescent="0.2">
      <c r="A1871"/>
      <c r="B1871" s="663"/>
      <c r="C1871" s="663"/>
      <c r="D1871" s="663"/>
      <c r="E1871" s="663"/>
    </row>
    <row r="1872" spans="1:5" x14ac:dyDescent="0.2">
      <c r="A1872"/>
      <c r="B1872" s="663"/>
      <c r="C1872" s="663"/>
      <c r="D1872" s="663"/>
      <c r="E1872" s="663"/>
    </row>
    <row r="1873" spans="1:5" x14ac:dyDescent="0.2">
      <c r="A1873"/>
      <c r="B1873" s="663"/>
      <c r="C1873" s="663"/>
      <c r="D1873" s="663"/>
      <c r="E1873" s="663"/>
    </row>
    <row r="1874" spans="1:5" x14ac:dyDescent="0.2">
      <c r="A1874"/>
      <c r="B1874" s="663"/>
      <c r="C1874" s="663"/>
      <c r="D1874" s="663"/>
      <c r="E1874" s="663"/>
    </row>
    <row r="1875" spans="1:5" x14ac:dyDescent="0.2">
      <c r="A1875"/>
      <c r="B1875" s="663"/>
      <c r="C1875" s="663"/>
      <c r="D1875" s="663"/>
      <c r="E1875" s="663"/>
    </row>
    <row r="1876" spans="1:5" x14ac:dyDescent="0.2">
      <c r="A1876"/>
      <c r="B1876" s="663"/>
      <c r="C1876" s="663"/>
      <c r="D1876" s="663"/>
      <c r="E1876" s="663"/>
    </row>
    <row r="1877" spans="1:5" x14ac:dyDescent="0.2">
      <c r="A1877"/>
      <c r="B1877" s="663"/>
      <c r="C1877" s="663"/>
      <c r="D1877" s="663"/>
      <c r="E1877" s="663"/>
    </row>
    <row r="1878" spans="1:5" x14ac:dyDescent="0.2">
      <c r="A1878"/>
      <c r="B1878" s="663"/>
      <c r="C1878" s="663"/>
      <c r="D1878" s="663"/>
      <c r="E1878" s="663"/>
    </row>
    <row r="1879" spans="1:5" x14ac:dyDescent="0.2">
      <c r="A1879"/>
      <c r="B1879" s="663"/>
      <c r="C1879" s="663"/>
      <c r="D1879" s="663"/>
      <c r="E1879" s="663"/>
    </row>
    <row r="1880" spans="1:5" x14ac:dyDescent="0.2">
      <c r="A1880"/>
      <c r="B1880" s="663"/>
      <c r="C1880" s="663"/>
      <c r="D1880" s="663"/>
      <c r="E1880" s="663"/>
    </row>
    <row r="1881" spans="1:5" x14ac:dyDescent="0.2">
      <c r="A1881"/>
      <c r="B1881" s="663"/>
      <c r="C1881" s="663"/>
      <c r="D1881" s="663"/>
      <c r="E1881" s="663"/>
    </row>
    <row r="1882" spans="1:5" x14ac:dyDescent="0.2">
      <c r="A1882"/>
      <c r="B1882" s="663"/>
      <c r="C1882" s="663"/>
      <c r="D1882" s="663"/>
      <c r="E1882" s="663"/>
    </row>
    <row r="1883" spans="1:5" x14ac:dyDescent="0.2">
      <c r="A1883"/>
      <c r="B1883" s="663"/>
      <c r="C1883" s="663"/>
      <c r="D1883" s="663"/>
      <c r="E1883" s="663"/>
    </row>
    <row r="1884" spans="1:5" x14ac:dyDescent="0.2">
      <c r="A1884"/>
      <c r="B1884" s="663"/>
      <c r="C1884" s="663"/>
      <c r="D1884" s="663"/>
      <c r="E1884" s="663"/>
    </row>
    <row r="1885" spans="1:5" x14ac:dyDescent="0.2">
      <c r="A1885"/>
      <c r="B1885" s="663"/>
      <c r="C1885" s="663"/>
      <c r="D1885" s="663"/>
      <c r="E1885" s="663"/>
    </row>
    <row r="1886" spans="1:5" x14ac:dyDescent="0.2">
      <c r="A1886"/>
      <c r="B1886" s="663"/>
      <c r="C1886" s="663"/>
      <c r="D1886" s="663"/>
      <c r="E1886" s="663"/>
    </row>
    <row r="1887" spans="1:5" x14ac:dyDescent="0.2">
      <c r="A1887"/>
      <c r="B1887" s="663"/>
      <c r="C1887" s="663"/>
      <c r="D1887" s="663"/>
      <c r="E1887" s="663"/>
    </row>
    <row r="1888" spans="1:5" x14ac:dyDescent="0.2">
      <c r="A1888"/>
      <c r="B1888" s="663"/>
      <c r="C1888" s="663"/>
      <c r="D1888" s="663"/>
      <c r="E1888" s="663"/>
    </row>
    <row r="1889" spans="1:5" x14ac:dyDescent="0.2">
      <c r="A1889"/>
      <c r="B1889" s="663"/>
      <c r="C1889" s="663"/>
      <c r="D1889" s="663"/>
      <c r="E1889" s="663"/>
    </row>
    <row r="1890" spans="1:5" x14ac:dyDescent="0.2">
      <c r="A1890"/>
      <c r="B1890" s="663"/>
      <c r="C1890" s="663"/>
      <c r="D1890" s="663"/>
      <c r="E1890" s="663"/>
    </row>
    <row r="1891" spans="1:5" x14ac:dyDescent="0.2">
      <c r="A1891"/>
      <c r="B1891" s="663"/>
      <c r="C1891" s="663"/>
      <c r="D1891" s="663"/>
      <c r="E1891" s="663"/>
    </row>
    <row r="1892" spans="1:5" x14ac:dyDescent="0.2">
      <c r="A1892"/>
      <c r="B1892" s="663"/>
      <c r="C1892" s="663"/>
      <c r="D1892" s="663"/>
      <c r="E1892" s="663"/>
    </row>
    <row r="1893" spans="1:5" x14ac:dyDescent="0.2">
      <c r="A1893"/>
      <c r="B1893" s="663"/>
      <c r="C1893" s="663"/>
      <c r="D1893" s="663"/>
      <c r="E1893" s="663"/>
    </row>
    <row r="1894" spans="1:5" x14ac:dyDescent="0.2">
      <c r="A1894"/>
      <c r="B1894" s="663"/>
      <c r="C1894" s="663"/>
      <c r="D1894" s="663"/>
      <c r="E1894" s="663"/>
    </row>
    <row r="1895" spans="1:5" x14ac:dyDescent="0.2">
      <c r="A1895"/>
      <c r="B1895" s="663"/>
      <c r="C1895" s="663"/>
      <c r="D1895" s="663"/>
      <c r="E1895" s="663"/>
    </row>
    <row r="1896" spans="1:5" x14ac:dyDescent="0.2">
      <c r="A1896"/>
      <c r="B1896" s="663"/>
      <c r="C1896" s="663"/>
      <c r="D1896" s="663"/>
      <c r="E1896" s="663"/>
    </row>
    <row r="1897" spans="1:5" x14ac:dyDescent="0.2">
      <c r="A1897"/>
      <c r="B1897" s="663"/>
      <c r="C1897" s="663"/>
      <c r="D1897" s="663"/>
      <c r="E1897" s="663"/>
    </row>
    <row r="1898" spans="1:5" x14ac:dyDescent="0.2">
      <c r="A1898"/>
      <c r="B1898" s="663"/>
      <c r="C1898" s="663"/>
      <c r="D1898" s="663"/>
      <c r="E1898" s="663"/>
    </row>
    <row r="1899" spans="1:5" x14ac:dyDescent="0.2">
      <c r="A1899"/>
      <c r="B1899" s="663"/>
      <c r="C1899" s="663"/>
      <c r="D1899" s="663"/>
      <c r="E1899" s="663"/>
    </row>
    <row r="1900" spans="1:5" x14ac:dyDescent="0.2">
      <c r="A1900"/>
      <c r="B1900" s="663"/>
      <c r="C1900" s="663"/>
      <c r="D1900" s="663"/>
      <c r="E1900" s="663"/>
    </row>
    <row r="1901" spans="1:5" x14ac:dyDescent="0.2">
      <c r="A1901"/>
      <c r="B1901" s="663"/>
      <c r="C1901" s="663"/>
      <c r="D1901" s="663"/>
      <c r="E1901" s="663"/>
    </row>
    <row r="1902" spans="1:5" x14ac:dyDescent="0.2">
      <c r="A1902"/>
      <c r="B1902" s="663"/>
      <c r="C1902" s="663"/>
      <c r="D1902" s="663"/>
      <c r="E1902" s="663"/>
    </row>
    <row r="1903" spans="1:5" x14ac:dyDescent="0.2">
      <c r="A1903"/>
      <c r="B1903" s="663"/>
      <c r="C1903" s="663"/>
      <c r="D1903" s="663"/>
      <c r="E1903" s="663"/>
    </row>
    <row r="1904" spans="1:5" x14ac:dyDescent="0.2">
      <c r="A1904"/>
      <c r="B1904" s="663"/>
      <c r="C1904" s="663"/>
      <c r="D1904" s="663"/>
      <c r="E1904" s="663"/>
    </row>
    <row r="1905" spans="1:5" x14ac:dyDescent="0.2">
      <c r="A1905"/>
      <c r="B1905" s="663"/>
      <c r="C1905" s="663"/>
      <c r="D1905" s="663"/>
      <c r="E1905" s="663"/>
    </row>
    <row r="1906" spans="1:5" x14ac:dyDescent="0.2">
      <c r="A1906"/>
      <c r="B1906" s="663"/>
      <c r="C1906" s="663"/>
      <c r="D1906" s="663"/>
      <c r="E1906" s="663"/>
    </row>
    <row r="1907" spans="1:5" x14ac:dyDescent="0.2">
      <c r="A1907"/>
      <c r="B1907" s="663"/>
      <c r="C1907" s="663"/>
      <c r="D1907" s="663"/>
      <c r="E1907" s="663"/>
    </row>
    <row r="1908" spans="1:5" x14ac:dyDescent="0.2">
      <c r="A1908"/>
      <c r="B1908" s="663"/>
      <c r="C1908" s="663"/>
      <c r="D1908" s="663"/>
      <c r="E1908" s="663"/>
    </row>
    <row r="1909" spans="1:5" x14ac:dyDescent="0.2">
      <c r="A1909"/>
      <c r="B1909" s="663"/>
      <c r="C1909" s="663"/>
      <c r="D1909" s="663"/>
      <c r="E1909" s="663"/>
    </row>
    <row r="1910" spans="1:5" x14ac:dyDescent="0.2">
      <c r="A1910"/>
      <c r="B1910" s="663"/>
      <c r="C1910" s="663"/>
      <c r="D1910" s="663"/>
      <c r="E1910" s="663"/>
    </row>
    <row r="1911" spans="1:5" x14ac:dyDescent="0.2">
      <c r="A1911"/>
      <c r="B1911" s="663"/>
      <c r="C1911" s="663"/>
      <c r="D1911" s="663"/>
      <c r="E1911" s="663"/>
    </row>
    <row r="1912" spans="1:5" x14ac:dyDescent="0.2">
      <c r="A1912"/>
      <c r="B1912" s="663"/>
      <c r="C1912" s="663"/>
      <c r="D1912" s="663"/>
      <c r="E1912" s="663"/>
    </row>
    <row r="1913" spans="1:5" x14ac:dyDescent="0.2">
      <c r="A1913"/>
      <c r="B1913" s="663"/>
      <c r="C1913" s="663"/>
      <c r="D1913" s="663"/>
      <c r="E1913" s="663"/>
    </row>
    <row r="1914" spans="1:5" x14ac:dyDescent="0.2">
      <c r="A1914"/>
      <c r="B1914" s="663"/>
      <c r="C1914" s="663"/>
      <c r="D1914" s="663"/>
      <c r="E1914" s="663"/>
    </row>
    <row r="1915" spans="1:5" x14ac:dyDescent="0.2">
      <c r="A1915"/>
      <c r="B1915" s="663"/>
      <c r="C1915" s="663"/>
      <c r="D1915" s="663"/>
      <c r="E1915" s="663"/>
    </row>
    <row r="1916" spans="1:5" x14ac:dyDescent="0.2">
      <c r="A1916"/>
      <c r="B1916" s="663"/>
      <c r="C1916" s="663"/>
      <c r="D1916" s="663"/>
      <c r="E1916" s="663"/>
    </row>
    <row r="1917" spans="1:5" x14ac:dyDescent="0.2">
      <c r="A1917"/>
      <c r="B1917" s="663"/>
      <c r="C1917" s="663"/>
      <c r="D1917" s="663"/>
      <c r="E1917" s="663"/>
    </row>
    <row r="1918" spans="1:5" x14ac:dyDescent="0.2">
      <c r="A1918"/>
      <c r="B1918" s="663"/>
      <c r="C1918" s="663"/>
      <c r="D1918" s="663"/>
      <c r="E1918" s="663"/>
    </row>
    <row r="1919" spans="1:5" x14ac:dyDescent="0.2">
      <c r="A1919"/>
      <c r="B1919" s="663"/>
      <c r="C1919" s="663"/>
      <c r="D1919" s="663"/>
      <c r="E1919" s="663"/>
    </row>
    <row r="1920" spans="1:5" x14ac:dyDescent="0.2">
      <c r="A1920"/>
      <c r="B1920" s="663"/>
      <c r="C1920" s="663"/>
      <c r="D1920" s="663"/>
      <c r="E1920" s="663"/>
    </row>
    <row r="1921" spans="1:5" x14ac:dyDescent="0.2">
      <c r="A1921"/>
      <c r="B1921" s="663"/>
      <c r="C1921" s="663"/>
      <c r="D1921" s="663"/>
      <c r="E1921" s="663"/>
    </row>
    <row r="1922" spans="1:5" x14ac:dyDescent="0.2">
      <c r="A1922"/>
      <c r="B1922" s="663"/>
      <c r="C1922" s="663"/>
      <c r="D1922" s="663"/>
      <c r="E1922" s="663"/>
    </row>
    <row r="1923" spans="1:5" x14ac:dyDescent="0.2">
      <c r="A1923"/>
      <c r="B1923" s="663"/>
      <c r="C1923" s="663"/>
      <c r="D1923" s="663"/>
      <c r="E1923" s="663"/>
    </row>
    <row r="1924" spans="1:5" x14ac:dyDescent="0.2">
      <c r="A1924"/>
      <c r="B1924" s="663"/>
      <c r="C1924" s="663"/>
      <c r="D1924" s="663"/>
      <c r="E1924" s="663"/>
    </row>
    <row r="1925" spans="1:5" x14ac:dyDescent="0.2">
      <c r="A1925"/>
      <c r="B1925" s="663"/>
      <c r="C1925" s="663"/>
      <c r="D1925" s="663"/>
      <c r="E1925" s="663"/>
    </row>
    <row r="1926" spans="1:5" x14ac:dyDescent="0.2">
      <c r="A1926"/>
      <c r="B1926" s="663"/>
      <c r="C1926" s="663"/>
      <c r="D1926" s="663"/>
      <c r="E1926" s="663"/>
    </row>
    <row r="1927" spans="1:5" x14ac:dyDescent="0.2">
      <c r="A1927"/>
      <c r="B1927" s="663"/>
      <c r="C1927" s="663"/>
      <c r="D1927" s="663"/>
      <c r="E1927" s="663"/>
    </row>
    <row r="1928" spans="1:5" x14ac:dyDescent="0.2">
      <c r="A1928"/>
      <c r="B1928" s="663"/>
      <c r="C1928" s="663"/>
      <c r="D1928" s="663"/>
      <c r="E1928" s="663"/>
    </row>
    <row r="1929" spans="1:5" x14ac:dyDescent="0.2">
      <c r="A1929"/>
      <c r="B1929" s="663"/>
      <c r="C1929" s="663"/>
      <c r="D1929" s="663"/>
      <c r="E1929" s="663"/>
    </row>
    <row r="1930" spans="1:5" x14ac:dyDescent="0.2">
      <c r="A1930"/>
      <c r="B1930" s="663"/>
      <c r="C1930" s="663"/>
      <c r="D1930" s="663"/>
      <c r="E1930" s="663"/>
    </row>
    <row r="1931" spans="1:5" x14ac:dyDescent="0.2">
      <c r="A1931"/>
      <c r="B1931" s="663"/>
      <c r="C1931" s="663"/>
      <c r="D1931" s="663"/>
      <c r="E1931" s="663"/>
    </row>
    <row r="1932" spans="1:5" x14ac:dyDescent="0.2">
      <c r="A1932"/>
      <c r="B1932" s="663"/>
      <c r="C1932" s="663"/>
      <c r="D1932" s="663"/>
      <c r="E1932" s="663"/>
    </row>
    <row r="1933" spans="1:5" x14ac:dyDescent="0.2">
      <c r="A1933"/>
      <c r="B1933" s="663"/>
      <c r="C1933" s="663"/>
      <c r="D1933" s="663"/>
      <c r="E1933" s="663"/>
    </row>
    <row r="1934" spans="1:5" x14ac:dyDescent="0.2">
      <c r="A1934"/>
      <c r="B1934" s="663"/>
      <c r="C1934" s="663"/>
      <c r="D1934" s="663"/>
      <c r="E1934" s="663"/>
    </row>
    <row r="1935" spans="1:5" x14ac:dyDescent="0.2">
      <c r="A1935"/>
      <c r="B1935" s="663"/>
      <c r="C1935" s="663"/>
      <c r="D1935" s="663"/>
      <c r="E1935" s="663"/>
    </row>
    <row r="1936" spans="1:5" x14ac:dyDescent="0.2">
      <c r="A1936"/>
      <c r="B1936" s="663"/>
      <c r="C1936" s="663"/>
      <c r="D1936" s="663"/>
      <c r="E1936" s="663"/>
    </row>
    <row r="1937" spans="1:5" x14ac:dyDescent="0.2">
      <c r="A1937"/>
      <c r="B1937" s="663"/>
      <c r="C1937" s="663"/>
      <c r="D1937" s="663"/>
      <c r="E1937" s="663"/>
    </row>
    <row r="1938" spans="1:5" x14ac:dyDescent="0.2">
      <c r="A1938"/>
      <c r="B1938" s="663"/>
      <c r="C1938" s="663"/>
      <c r="D1938" s="663"/>
      <c r="E1938" s="663"/>
    </row>
    <row r="1939" spans="1:5" x14ac:dyDescent="0.2">
      <c r="A1939"/>
      <c r="B1939" s="663"/>
      <c r="C1939" s="663"/>
      <c r="D1939" s="663"/>
      <c r="E1939" s="663"/>
    </row>
    <row r="1940" spans="1:5" x14ac:dyDescent="0.2">
      <c r="A1940"/>
      <c r="B1940" s="663"/>
      <c r="C1940" s="663"/>
      <c r="D1940" s="663"/>
      <c r="E1940" s="663"/>
    </row>
    <row r="1941" spans="1:5" x14ac:dyDescent="0.2">
      <c r="A1941"/>
      <c r="B1941" s="663"/>
      <c r="C1941" s="663"/>
      <c r="D1941" s="663"/>
      <c r="E1941" s="663"/>
    </row>
    <row r="1942" spans="1:5" x14ac:dyDescent="0.2">
      <c r="A1942"/>
      <c r="B1942" s="663"/>
      <c r="C1942" s="663"/>
      <c r="D1942" s="663"/>
      <c r="E1942" s="663"/>
    </row>
    <row r="1943" spans="1:5" x14ac:dyDescent="0.2">
      <c r="A1943"/>
      <c r="B1943" s="663"/>
      <c r="C1943" s="663"/>
      <c r="D1943" s="663"/>
      <c r="E1943" s="663"/>
    </row>
    <row r="1944" spans="1:5" x14ac:dyDescent="0.2">
      <c r="A1944"/>
      <c r="B1944" s="663"/>
      <c r="C1944" s="663"/>
      <c r="D1944" s="663"/>
      <c r="E1944" s="663"/>
    </row>
    <row r="1945" spans="1:5" x14ac:dyDescent="0.2">
      <c r="A1945"/>
      <c r="B1945" s="663"/>
      <c r="C1945" s="663"/>
      <c r="D1945" s="663"/>
      <c r="E1945" s="663"/>
    </row>
    <row r="1946" spans="1:5" x14ac:dyDescent="0.2">
      <c r="A1946"/>
      <c r="B1946" s="663"/>
      <c r="C1946" s="663"/>
      <c r="D1946" s="663"/>
      <c r="E1946" s="663"/>
    </row>
    <row r="1947" spans="1:5" x14ac:dyDescent="0.2">
      <c r="A1947"/>
      <c r="B1947" s="663"/>
      <c r="C1947" s="663"/>
      <c r="D1947" s="663"/>
      <c r="E1947" s="663"/>
    </row>
    <row r="1948" spans="1:5" x14ac:dyDescent="0.2">
      <c r="A1948"/>
      <c r="B1948" s="663"/>
      <c r="C1948" s="663"/>
      <c r="D1948" s="663"/>
      <c r="E1948" s="663"/>
    </row>
    <row r="1949" spans="1:5" x14ac:dyDescent="0.2">
      <c r="A1949"/>
      <c r="B1949" s="663"/>
      <c r="C1949" s="663"/>
      <c r="D1949" s="663"/>
      <c r="E1949" s="663"/>
    </row>
    <row r="1950" spans="1:5" x14ac:dyDescent="0.2">
      <c r="A1950"/>
      <c r="B1950" s="663"/>
      <c r="C1950" s="663"/>
      <c r="D1950" s="663"/>
      <c r="E1950" s="663"/>
    </row>
    <row r="1951" spans="1:5" x14ac:dyDescent="0.2">
      <c r="A1951"/>
      <c r="B1951" s="663"/>
      <c r="C1951" s="663"/>
      <c r="D1951" s="663"/>
      <c r="E1951" s="663"/>
    </row>
    <row r="1952" spans="1:5" x14ac:dyDescent="0.2">
      <c r="A1952"/>
      <c r="B1952" s="663"/>
      <c r="C1952" s="663"/>
      <c r="D1952" s="663"/>
      <c r="E1952" s="663"/>
    </row>
    <row r="1953" spans="1:5" x14ac:dyDescent="0.2">
      <c r="A1953"/>
      <c r="B1953" s="663"/>
      <c r="C1953" s="663"/>
      <c r="D1953" s="663"/>
      <c r="E1953" s="663"/>
    </row>
    <row r="1954" spans="1:5" x14ac:dyDescent="0.2">
      <c r="A1954"/>
      <c r="B1954" s="663"/>
      <c r="C1954" s="663"/>
      <c r="D1954" s="663"/>
      <c r="E1954" s="663"/>
    </row>
    <row r="1955" spans="1:5" x14ac:dyDescent="0.2">
      <c r="A1955"/>
      <c r="B1955" s="663"/>
      <c r="C1955" s="663"/>
      <c r="D1955" s="663"/>
      <c r="E1955" s="663"/>
    </row>
    <row r="1956" spans="1:5" x14ac:dyDescent="0.2">
      <c r="A1956"/>
      <c r="B1956" s="663"/>
      <c r="C1956" s="663"/>
      <c r="D1956" s="663"/>
      <c r="E1956" s="663"/>
    </row>
    <row r="1957" spans="1:5" x14ac:dyDescent="0.2">
      <c r="A1957"/>
      <c r="B1957" s="663"/>
      <c r="C1957" s="663"/>
      <c r="D1957" s="663"/>
      <c r="E1957" s="663"/>
    </row>
    <row r="1958" spans="1:5" x14ac:dyDescent="0.2">
      <c r="A1958"/>
      <c r="B1958" s="663"/>
      <c r="C1958" s="663"/>
      <c r="D1958" s="663"/>
      <c r="E1958" s="663"/>
    </row>
    <row r="1959" spans="1:5" x14ac:dyDescent="0.2">
      <c r="A1959"/>
      <c r="B1959" s="663"/>
      <c r="C1959" s="663"/>
      <c r="D1959" s="663"/>
      <c r="E1959" s="663"/>
    </row>
    <row r="1960" spans="1:5" x14ac:dyDescent="0.2">
      <c r="A1960"/>
      <c r="B1960" s="663"/>
      <c r="C1960" s="663"/>
      <c r="D1960" s="663"/>
      <c r="E1960" s="663"/>
    </row>
    <row r="1961" spans="1:5" x14ac:dyDescent="0.2">
      <c r="A1961"/>
      <c r="B1961" s="663"/>
      <c r="C1961" s="663"/>
      <c r="D1961" s="663"/>
      <c r="E1961" s="663"/>
    </row>
    <row r="1962" spans="1:5" x14ac:dyDescent="0.2">
      <c r="A1962"/>
      <c r="B1962" s="663"/>
      <c r="C1962" s="663"/>
      <c r="D1962" s="663"/>
      <c r="E1962" s="663"/>
    </row>
    <row r="1963" spans="1:5" x14ac:dyDescent="0.2">
      <c r="A1963"/>
      <c r="B1963" s="663"/>
      <c r="C1963" s="663"/>
      <c r="D1963" s="663"/>
      <c r="E1963" s="663"/>
    </row>
    <row r="1964" spans="1:5" x14ac:dyDescent="0.2">
      <c r="A1964"/>
      <c r="B1964" s="663"/>
      <c r="C1964" s="663"/>
      <c r="D1964" s="663"/>
      <c r="E1964" s="663"/>
    </row>
    <row r="1965" spans="1:5" x14ac:dyDescent="0.2">
      <c r="A1965"/>
      <c r="B1965" s="663"/>
      <c r="C1965" s="663"/>
      <c r="D1965" s="663"/>
      <c r="E1965" s="663"/>
    </row>
    <row r="1966" spans="1:5" x14ac:dyDescent="0.2">
      <c r="A1966"/>
      <c r="B1966" s="663"/>
      <c r="C1966" s="663"/>
      <c r="D1966" s="663"/>
      <c r="E1966" s="663"/>
    </row>
    <row r="1967" spans="1:5" x14ac:dyDescent="0.2">
      <c r="A1967"/>
      <c r="B1967" s="663"/>
      <c r="C1967" s="663"/>
      <c r="D1967" s="663"/>
      <c r="E1967" s="663"/>
    </row>
    <row r="1968" spans="1:5" x14ac:dyDescent="0.2">
      <c r="A1968"/>
      <c r="B1968" s="663"/>
      <c r="C1968" s="663"/>
      <c r="D1968" s="663"/>
      <c r="E1968" s="663"/>
    </row>
    <row r="1969" spans="1:5" x14ac:dyDescent="0.2">
      <c r="A1969"/>
      <c r="B1969" s="663"/>
      <c r="C1969" s="663"/>
      <c r="D1969" s="663"/>
      <c r="E1969" s="663"/>
    </row>
    <row r="1970" spans="1:5" x14ac:dyDescent="0.2">
      <c r="A1970"/>
      <c r="B1970" s="663"/>
      <c r="C1970" s="663"/>
      <c r="D1970" s="663"/>
      <c r="E1970" s="663"/>
    </row>
    <row r="1971" spans="1:5" x14ac:dyDescent="0.2">
      <c r="A1971"/>
      <c r="B1971" s="663"/>
      <c r="C1971" s="663"/>
      <c r="D1971" s="663"/>
      <c r="E1971" s="663"/>
    </row>
    <row r="1972" spans="1:5" x14ac:dyDescent="0.2">
      <c r="A1972"/>
      <c r="B1972" s="663"/>
      <c r="C1972" s="663"/>
      <c r="D1972" s="663"/>
      <c r="E1972" s="663"/>
    </row>
    <row r="1973" spans="1:5" x14ac:dyDescent="0.2">
      <c r="A1973"/>
      <c r="B1973" s="663"/>
      <c r="C1973" s="663"/>
      <c r="D1973" s="663"/>
      <c r="E1973" s="663"/>
    </row>
    <row r="1974" spans="1:5" x14ac:dyDescent="0.2">
      <c r="A1974"/>
      <c r="B1974" s="663"/>
      <c r="C1974" s="663"/>
      <c r="D1974" s="663"/>
      <c r="E1974" s="663"/>
    </row>
    <row r="1975" spans="1:5" x14ac:dyDescent="0.2">
      <c r="A1975"/>
      <c r="B1975" s="663"/>
      <c r="C1975" s="663"/>
      <c r="D1975" s="663"/>
      <c r="E1975" s="663"/>
    </row>
    <row r="1976" spans="1:5" x14ac:dyDescent="0.2">
      <c r="A1976"/>
      <c r="B1976" s="663"/>
      <c r="C1976" s="663"/>
      <c r="D1976" s="663"/>
      <c r="E1976" s="663"/>
    </row>
    <row r="1977" spans="1:5" x14ac:dyDescent="0.2">
      <c r="A1977"/>
      <c r="B1977" s="663"/>
      <c r="C1977" s="663"/>
      <c r="D1977" s="663"/>
      <c r="E1977" s="663"/>
    </row>
    <row r="1978" spans="1:5" x14ac:dyDescent="0.2">
      <c r="A1978"/>
      <c r="B1978" s="663"/>
      <c r="C1978" s="663"/>
      <c r="D1978" s="663"/>
      <c r="E1978" s="663"/>
    </row>
    <row r="1979" spans="1:5" x14ac:dyDescent="0.2">
      <c r="A1979"/>
      <c r="B1979" s="663"/>
      <c r="C1979" s="663"/>
      <c r="D1979" s="663"/>
      <c r="E1979" s="663"/>
    </row>
    <row r="1980" spans="1:5" x14ac:dyDescent="0.2">
      <c r="A1980"/>
      <c r="B1980" s="663"/>
      <c r="C1980" s="663"/>
      <c r="D1980" s="663"/>
      <c r="E1980" s="663"/>
    </row>
    <row r="1981" spans="1:5" x14ac:dyDescent="0.2">
      <c r="A1981"/>
      <c r="B1981" s="663"/>
      <c r="C1981" s="663"/>
      <c r="D1981" s="663"/>
      <c r="E1981" s="663"/>
    </row>
    <row r="1982" spans="1:5" x14ac:dyDescent="0.2">
      <c r="A1982"/>
      <c r="B1982" s="663"/>
      <c r="C1982" s="663"/>
      <c r="D1982" s="663"/>
      <c r="E1982" s="663"/>
    </row>
    <row r="1983" spans="1:5" x14ac:dyDescent="0.2">
      <c r="A1983"/>
      <c r="B1983" s="663"/>
      <c r="C1983" s="663"/>
      <c r="D1983" s="663"/>
      <c r="E1983" s="663"/>
    </row>
    <row r="1984" spans="1:5" x14ac:dyDescent="0.2">
      <c r="A1984"/>
      <c r="B1984" s="663"/>
      <c r="C1984" s="663"/>
      <c r="D1984" s="663"/>
      <c r="E1984" s="663"/>
    </row>
    <row r="1985" spans="1:5" x14ac:dyDescent="0.2">
      <c r="A1985"/>
      <c r="B1985" s="663"/>
      <c r="C1985" s="663"/>
      <c r="D1985" s="663"/>
      <c r="E1985" s="663"/>
    </row>
    <row r="1986" spans="1:5" x14ac:dyDescent="0.2">
      <c r="A1986"/>
      <c r="B1986" s="663"/>
      <c r="C1986" s="663"/>
      <c r="D1986" s="663"/>
      <c r="E1986" s="663"/>
    </row>
    <row r="1987" spans="1:5" x14ac:dyDescent="0.2">
      <c r="A1987"/>
      <c r="B1987" s="663"/>
      <c r="C1987" s="663"/>
      <c r="D1987" s="663"/>
      <c r="E1987" s="663"/>
    </row>
    <row r="1988" spans="1:5" x14ac:dyDescent="0.2">
      <c r="A1988"/>
      <c r="B1988" s="663"/>
      <c r="C1988" s="663"/>
      <c r="D1988" s="663"/>
      <c r="E1988" s="663"/>
    </row>
    <row r="1989" spans="1:5" x14ac:dyDescent="0.2">
      <c r="A1989"/>
      <c r="B1989" s="663"/>
      <c r="C1989" s="663"/>
      <c r="D1989" s="663"/>
      <c r="E1989" s="663"/>
    </row>
    <row r="1990" spans="1:5" x14ac:dyDescent="0.2">
      <c r="A1990"/>
      <c r="B1990" s="663"/>
      <c r="C1990" s="663"/>
      <c r="D1990" s="663"/>
      <c r="E1990" s="663"/>
    </row>
    <row r="1991" spans="1:5" x14ac:dyDescent="0.2">
      <c r="A1991"/>
      <c r="B1991" s="663"/>
      <c r="C1991" s="663"/>
      <c r="D1991" s="663"/>
      <c r="E1991" s="663"/>
    </row>
    <row r="1992" spans="1:5" x14ac:dyDescent="0.2">
      <c r="A1992"/>
      <c r="B1992" s="663"/>
      <c r="C1992" s="663"/>
      <c r="D1992" s="663"/>
      <c r="E1992" s="663"/>
    </row>
    <row r="1993" spans="1:5" x14ac:dyDescent="0.2">
      <c r="A1993"/>
      <c r="B1993" s="663"/>
      <c r="C1993" s="663"/>
      <c r="D1993" s="663"/>
      <c r="E1993" s="663"/>
    </row>
    <row r="1994" spans="1:5" x14ac:dyDescent="0.2">
      <c r="A1994"/>
      <c r="B1994" s="663"/>
      <c r="C1994" s="663"/>
      <c r="D1994" s="663"/>
      <c r="E1994" s="663"/>
    </row>
    <row r="1995" spans="1:5" x14ac:dyDescent="0.2">
      <c r="A1995"/>
      <c r="B1995" s="663"/>
      <c r="C1995" s="663"/>
      <c r="D1995" s="663"/>
      <c r="E1995" s="663"/>
    </row>
    <row r="1996" spans="1:5" x14ac:dyDescent="0.2">
      <c r="A1996"/>
      <c r="B1996" s="663"/>
      <c r="C1996" s="663"/>
      <c r="D1996" s="663"/>
      <c r="E1996" s="663"/>
    </row>
    <row r="1997" spans="1:5" x14ac:dyDescent="0.2">
      <c r="A1997"/>
      <c r="B1997" s="663"/>
      <c r="C1997" s="663"/>
      <c r="D1997" s="663"/>
      <c r="E1997" s="663"/>
    </row>
    <row r="1998" spans="1:5" x14ac:dyDescent="0.2">
      <c r="A1998"/>
      <c r="B1998" s="663"/>
      <c r="C1998" s="663"/>
      <c r="D1998" s="663"/>
      <c r="E1998" s="663"/>
    </row>
    <row r="1999" spans="1:5" x14ac:dyDescent="0.2">
      <c r="A1999"/>
      <c r="B1999" s="663"/>
      <c r="C1999" s="663"/>
      <c r="D1999" s="663"/>
      <c r="E1999" s="663"/>
    </row>
    <row r="2000" spans="1:5" x14ac:dyDescent="0.2">
      <c r="A2000"/>
      <c r="B2000" s="663"/>
      <c r="C2000" s="663"/>
      <c r="D2000" s="663"/>
      <c r="E2000" s="663"/>
    </row>
    <row r="2001" spans="1:5" x14ac:dyDescent="0.2">
      <c r="A2001"/>
      <c r="B2001" s="663"/>
      <c r="C2001" s="663"/>
      <c r="D2001" s="663"/>
      <c r="E2001" s="663"/>
    </row>
    <row r="2002" spans="1:5" x14ac:dyDescent="0.2">
      <c r="A2002"/>
      <c r="B2002" s="663"/>
      <c r="C2002" s="663"/>
      <c r="D2002" s="663"/>
      <c r="E2002" s="663"/>
    </row>
    <row r="2003" spans="1:5" x14ac:dyDescent="0.2">
      <c r="A2003"/>
      <c r="B2003" s="663"/>
      <c r="C2003" s="663"/>
      <c r="D2003" s="663"/>
      <c r="E2003" s="663"/>
    </row>
    <row r="2004" spans="1:5" x14ac:dyDescent="0.2">
      <c r="A2004"/>
      <c r="B2004" s="663"/>
      <c r="C2004" s="663"/>
      <c r="D2004" s="663"/>
      <c r="E2004" s="663"/>
    </row>
    <row r="2005" spans="1:5" x14ac:dyDescent="0.2">
      <c r="A2005"/>
      <c r="B2005" s="663"/>
      <c r="C2005" s="663"/>
      <c r="D2005" s="663"/>
      <c r="E2005" s="663"/>
    </row>
    <row r="2006" spans="1:5" x14ac:dyDescent="0.2">
      <c r="A2006"/>
      <c r="B2006" s="663"/>
      <c r="C2006" s="663"/>
      <c r="D2006" s="663"/>
      <c r="E2006" s="663"/>
    </row>
    <row r="2007" spans="1:5" x14ac:dyDescent="0.2">
      <c r="A2007"/>
      <c r="B2007" s="663"/>
      <c r="C2007" s="663"/>
      <c r="D2007" s="663"/>
      <c r="E2007" s="663"/>
    </row>
    <row r="2008" spans="1:5" x14ac:dyDescent="0.2">
      <c r="A2008"/>
      <c r="B2008" s="663"/>
      <c r="C2008" s="663"/>
      <c r="D2008" s="663"/>
      <c r="E2008" s="663"/>
    </row>
    <row r="2009" spans="1:5" x14ac:dyDescent="0.2">
      <c r="A2009"/>
      <c r="B2009" s="663"/>
      <c r="C2009" s="663"/>
      <c r="D2009" s="663"/>
      <c r="E2009" s="663"/>
    </row>
    <row r="2010" spans="1:5" x14ac:dyDescent="0.2">
      <c r="A2010"/>
      <c r="B2010" s="663"/>
      <c r="C2010" s="663"/>
      <c r="D2010" s="663"/>
      <c r="E2010" s="663"/>
    </row>
    <row r="2011" spans="1:5" x14ac:dyDescent="0.2">
      <c r="A2011"/>
      <c r="B2011" s="663"/>
      <c r="C2011" s="663"/>
      <c r="D2011" s="663"/>
      <c r="E2011" s="663"/>
    </row>
    <row r="2012" spans="1:5" x14ac:dyDescent="0.2">
      <c r="A2012"/>
      <c r="B2012" s="663"/>
      <c r="C2012" s="663"/>
      <c r="D2012" s="663"/>
      <c r="E2012" s="663"/>
    </row>
    <row r="2013" spans="1:5" x14ac:dyDescent="0.2">
      <c r="A2013"/>
      <c r="B2013" s="663"/>
      <c r="C2013" s="663"/>
      <c r="D2013" s="663"/>
      <c r="E2013" s="663"/>
    </row>
    <row r="2014" spans="1:5" x14ac:dyDescent="0.2">
      <c r="A2014"/>
      <c r="B2014" s="663"/>
      <c r="C2014" s="663"/>
      <c r="D2014" s="663"/>
      <c r="E2014" s="663"/>
    </row>
    <row r="2015" spans="1:5" x14ac:dyDescent="0.2">
      <c r="A2015"/>
      <c r="B2015" s="663"/>
      <c r="C2015" s="663"/>
      <c r="D2015" s="663"/>
      <c r="E2015" s="663"/>
    </row>
    <row r="2016" spans="1:5" x14ac:dyDescent="0.2">
      <c r="A2016"/>
      <c r="B2016" s="663"/>
      <c r="C2016" s="663"/>
      <c r="D2016" s="663"/>
      <c r="E2016" s="663"/>
    </row>
    <row r="2017" spans="1:5" x14ac:dyDescent="0.2">
      <c r="A2017"/>
      <c r="B2017" s="663"/>
      <c r="C2017" s="663"/>
      <c r="D2017" s="663"/>
      <c r="E2017" s="663"/>
    </row>
    <row r="2018" spans="1:5" x14ac:dyDescent="0.2">
      <c r="A2018"/>
      <c r="B2018" s="663"/>
      <c r="C2018" s="663"/>
      <c r="D2018" s="663"/>
      <c r="E2018" s="663"/>
    </row>
    <row r="2019" spans="1:5" x14ac:dyDescent="0.2">
      <c r="A2019"/>
      <c r="B2019" s="663"/>
      <c r="C2019" s="663"/>
      <c r="D2019" s="663"/>
      <c r="E2019" s="663"/>
    </row>
    <row r="2020" spans="1:5" x14ac:dyDescent="0.2">
      <c r="A2020"/>
      <c r="B2020" s="663"/>
      <c r="C2020" s="663"/>
      <c r="D2020" s="663"/>
      <c r="E2020" s="663"/>
    </row>
    <row r="2021" spans="1:5" x14ac:dyDescent="0.2">
      <c r="A2021"/>
      <c r="B2021" s="663"/>
      <c r="C2021" s="663"/>
      <c r="D2021" s="663"/>
      <c r="E2021" s="663"/>
    </row>
    <row r="2022" spans="1:5" x14ac:dyDescent="0.2">
      <c r="A2022"/>
      <c r="B2022" s="663"/>
      <c r="C2022" s="663"/>
      <c r="D2022" s="663"/>
      <c r="E2022" s="663"/>
    </row>
    <row r="2023" spans="1:5" x14ac:dyDescent="0.2">
      <c r="A2023"/>
      <c r="B2023" s="663"/>
      <c r="C2023" s="663"/>
      <c r="D2023" s="663"/>
      <c r="E2023" s="663"/>
    </row>
    <row r="2024" spans="1:5" x14ac:dyDescent="0.2">
      <c r="A2024"/>
      <c r="B2024" s="663"/>
      <c r="C2024" s="663"/>
      <c r="D2024" s="663"/>
      <c r="E2024" s="663"/>
    </row>
    <row r="2025" spans="1:5" x14ac:dyDescent="0.2">
      <c r="A2025"/>
      <c r="B2025" s="663"/>
      <c r="C2025" s="663"/>
      <c r="D2025" s="663"/>
      <c r="E2025" s="663"/>
    </row>
    <row r="2026" spans="1:5" x14ac:dyDescent="0.2">
      <c r="A2026"/>
      <c r="B2026" s="663"/>
      <c r="C2026" s="663"/>
      <c r="D2026" s="663"/>
      <c r="E2026" s="663"/>
    </row>
    <row r="2027" spans="1:5" x14ac:dyDescent="0.2">
      <c r="A2027"/>
      <c r="B2027" s="663"/>
      <c r="C2027" s="663"/>
      <c r="D2027" s="663"/>
      <c r="E2027" s="663"/>
    </row>
    <row r="2028" spans="1:5" x14ac:dyDescent="0.2">
      <c r="A2028"/>
      <c r="B2028" s="663"/>
      <c r="C2028" s="663"/>
      <c r="D2028" s="663"/>
      <c r="E2028" s="663"/>
    </row>
    <row r="2029" spans="1:5" x14ac:dyDescent="0.2">
      <c r="A2029"/>
      <c r="B2029" s="663"/>
      <c r="C2029" s="663"/>
      <c r="D2029" s="663"/>
      <c r="E2029" s="663"/>
    </row>
    <row r="2030" spans="1:5" x14ac:dyDescent="0.2">
      <c r="A2030"/>
      <c r="B2030" s="663"/>
      <c r="C2030" s="663"/>
      <c r="D2030" s="663"/>
      <c r="E2030" s="663"/>
    </row>
    <row r="2031" spans="1:5" x14ac:dyDescent="0.2">
      <c r="A2031"/>
      <c r="B2031" s="663"/>
      <c r="C2031" s="663"/>
      <c r="D2031" s="663"/>
      <c r="E2031" s="663"/>
    </row>
    <row r="2032" spans="1:5" x14ac:dyDescent="0.2">
      <c r="A2032"/>
      <c r="B2032" s="663"/>
      <c r="C2032" s="663"/>
      <c r="D2032" s="663"/>
      <c r="E2032" s="663"/>
    </row>
    <row r="2033" spans="1:5" x14ac:dyDescent="0.2">
      <c r="A2033"/>
      <c r="B2033" s="663"/>
      <c r="C2033" s="663"/>
      <c r="D2033" s="663"/>
      <c r="E2033" s="663"/>
    </row>
    <row r="2034" spans="1:5" x14ac:dyDescent="0.2">
      <c r="A2034"/>
      <c r="B2034" s="663"/>
      <c r="C2034" s="663"/>
      <c r="D2034" s="663"/>
      <c r="E2034" s="663"/>
    </row>
    <row r="2035" spans="1:5" x14ac:dyDescent="0.2">
      <c r="A2035"/>
      <c r="B2035" s="663"/>
      <c r="C2035" s="663"/>
      <c r="D2035" s="663"/>
      <c r="E2035" s="663"/>
    </row>
    <row r="2036" spans="1:5" x14ac:dyDescent="0.2">
      <c r="A2036"/>
      <c r="B2036" s="663"/>
      <c r="C2036" s="663"/>
      <c r="D2036" s="663"/>
      <c r="E2036" s="663"/>
    </row>
    <row r="2037" spans="1:5" x14ac:dyDescent="0.2">
      <c r="A2037"/>
      <c r="B2037" s="663"/>
      <c r="C2037" s="663"/>
      <c r="D2037" s="663"/>
      <c r="E2037" s="663"/>
    </row>
    <row r="2038" spans="1:5" x14ac:dyDescent="0.2">
      <c r="A2038"/>
      <c r="B2038" s="663"/>
      <c r="C2038" s="663"/>
      <c r="D2038" s="663"/>
      <c r="E2038" s="663"/>
    </row>
    <row r="2039" spans="1:5" x14ac:dyDescent="0.2">
      <c r="A2039"/>
      <c r="B2039" s="663"/>
      <c r="C2039" s="663"/>
      <c r="D2039" s="663"/>
      <c r="E2039" s="663"/>
    </row>
    <row r="2040" spans="1:5" x14ac:dyDescent="0.2">
      <c r="A2040"/>
      <c r="B2040" s="663"/>
      <c r="C2040" s="663"/>
      <c r="D2040" s="663"/>
      <c r="E2040" s="663"/>
    </row>
    <row r="2041" spans="1:5" x14ac:dyDescent="0.2">
      <c r="A2041"/>
      <c r="B2041" s="663"/>
      <c r="C2041" s="663"/>
      <c r="D2041" s="663"/>
      <c r="E2041" s="663"/>
    </row>
    <row r="2042" spans="1:5" x14ac:dyDescent="0.2">
      <c r="A2042"/>
      <c r="B2042" s="663"/>
      <c r="C2042" s="663"/>
      <c r="D2042" s="663"/>
      <c r="E2042" s="663"/>
    </row>
    <row r="2043" spans="1:5" x14ac:dyDescent="0.2">
      <c r="A2043"/>
      <c r="B2043" s="663"/>
      <c r="C2043" s="663"/>
      <c r="D2043" s="663"/>
      <c r="E2043" s="663"/>
    </row>
    <row r="2044" spans="1:5" x14ac:dyDescent="0.2">
      <c r="A2044"/>
      <c r="B2044" s="663"/>
      <c r="C2044" s="663"/>
      <c r="D2044" s="663"/>
      <c r="E2044" s="663"/>
    </row>
    <row r="2045" spans="1:5" x14ac:dyDescent="0.2">
      <c r="A2045"/>
      <c r="B2045" s="663"/>
      <c r="C2045" s="663"/>
      <c r="D2045" s="663"/>
      <c r="E2045" s="663"/>
    </row>
    <row r="2046" spans="1:5" x14ac:dyDescent="0.2">
      <c r="A2046"/>
      <c r="B2046" s="663"/>
      <c r="C2046" s="663"/>
      <c r="D2046" s="663"/>
      <c r="E2046" s="663"/>
    </row>
    <row r="2047" spans="1:5" x14ac:dyDescent="0.2">
      <c r="A2047"/>
      <c r="B2047" s="663"/>
      <c r="C2047" s="663"/>
      <c r="D2047" s="663"/>
      <c r="E2047" s="663"/>
    </row>
    <row r="2048" spans="1:5" x14ac:dyDescent="0.2">
      <c r="A2048"/>
      <c r="B2048" s="663"/>
      <c r="C2048" s="663"/>
      <c r="D2048" s="663"/>
      <c r="E2048" s="663"/>
    </row>
    <row r="2049" spans="1:5" x14ac:dyDescent="0.2">
      <c r="A2049"/>
      <c r="B2049" s="663"/>
      <c r="C2049" s="663"/>
      <c r="D2049" s="663"/>
      <c r="E2049" s="663"/>
    </row>
    <row r="2050" spans="1:5" x14ac:dyDescent="0.2">
      <c r="A2050"/>
      <c r="B2050" s="663"/>
      <c r="C2050" s="663"/>
      <c r="D2050" s="663"/>
      <c r="E2050" s="663"/>
    </row>
    <row r="2051" spans="1:5" x14ac:dyDescent="0.2">
      <c r="A2051"/>
      <c r="B2051" s="663"/>
      <c r="C2051" s="663"/>
      <c r="D2051" s="663"/>
      <c r="E2051" s="663"/>
    </row>
    <row r="2052" spans="1:5" x14ac:dyDescent="0.2">
      <c r="A2052"/>
      <c r="B2052" s="663"/>
      <c r="C2052" s="663"/>
      <c r="D2052" s="663"/>
      <c r="E2052" s="663"/>
    </row>
    <row r="2053" spans="1:5" x14ac:dyDescent="0.2">
      <c r="A2053"/>
      <c r="B2053" s="663"/>
      <c r="C2053" s="663"/>
      <c r="D2053" s="663"/>
      <c r="E2053" s="663"/>
    </row>
    <row r="2054" spans="1:5" x14ac:dyDescent="0.2">
      <c r="A2054"/>
      <c r="B2054" s="663"/>
      <c r="C2054" s="663"/>
      <c r="D2054" s="663"/>
      <c r="E2054" s="663"/>
    </row>
    <row r="2055" spans="1:5" x14ac:dyDescent="0.2">
      <c r="A2055"/>
      <c r="B2055" s="663"/>
      <c r="C2055" s="663"/>
      <c r="D2055" s="663"/>
      <c r="E2055" s="663"/>
    </row>
    <row r="2056" spans="1:5" x14ac:dyDescent="0.2">
      <c r="A2056"/>
      <c r="B2056" s="663"/>
      <c r="C2056" s="663"/>
      <c r="D2056" s="663"/>
      <c r="E2056" s="663"/>
    </row>
    <row r="2057" spans="1:5" x14ac:dyDescent="0.2">
      <c r="A2057"/>
      <c r="B2057" s="663"/>
      <c r="C2057" s="663"/>
      <c r="D2057" s="663"/>
      <c r="E2057" s="663"/>
    </row>
    <row r="2058" spans="1:5" x14ac:dyDescent="0.2">
      <c r="A2058"/>
      <c r="B2058" s="663"/>
      <c r="C2058" s="663"/>
      <c r="D2058" s="663"/>
      <c r="E2058" s="663"/>
    </row>
    <row r="2059" spans="1:5" x14ac:dyDescent="0.2">
      <c r="A2059"/>
      <c r="B2059" s="663"/>
      <c r="C2059" s="663"/>
      <c r="D2059" s="663"/>
      <c r="E2059" s="663"/>
    </row>
    <row r="2060" spans="1:5" x14ac:dyDescent="0.2">
      <c r="A2060"/>
      <c r="B2060" s="663"/>
      <c r="C2060" s="663"/>
      <c r="D2060" s="663"/>
      <c r="E2060" s="663"/>
    </row>
    <row r="2061" spans="1:5" x14ac:dyDescent="0.2">
      <c r="A2061"/>
      <c r="B2061" s="663"/>
      <c r="C2061" s="663"/>
      <c r="D2061" s="663"/>
      <c r="E2061" s="663"/>
    </row>
    <row r="2062" spans="1:5" x14ac:dyDescent="0.2">
      <c r="A2062"/>
      <c r="B2062" s="663"/>
      <c r="C2062" s="663"/>
      <c r="D2062" s="663"/>
      <c r="E2062" s="663"/>
    </row>
    <row r="2063" spans="1:5" x14ac:dyDescent="0.2">
      <c r="A2063"/>
      <c r="B2063" s="663"/>
      <c r="C2063" s="663"/>
      <c r="D2063" s="663"/>
      <c r="E2063" s="663"/>
    </row>
    <row r="2064" spans="1:5" x14ac:dyDescent="0.2">
      <c r="A2064"/>
      <c r="B2064" s="663"/>
      <c r="C2064" s="663"/>
      <c r="D2064" s="663"/>
      <c r="E2064" s="663"/>
    </row>
    <row r="2065" spans="1:5" x14ac:dyDescent="0.2">
      <c r="A2065"/>
      <c r="B2065" s="663"/>
      <c r="C2065" s="663"/>
      <c r="D2065" s="663"/>
      <c r="E2065" s="663"/>
    </row>
    <row r="2066" spans="1:5" x14ac:dyDescent="0.2">
      <c r="A2066"/>
      <c r="B2066" s="663"/>
      <c r="C2066" s="663"/>
      <c r="D2066" s="663"/>
      <c r="E2066" s="663"/>
    </row>
    <row r="2067" spans="1:5" x14ac:dyDescent="0.2">
      <c r="A2067"/>
      <c r="B2067" s="663"/>
      <c r="C2067" s="663"/>
      <c r="D2067" s="663"/>
      <c r="E2067" s="663"/>
    </row>
    <row r="2068" spans="1:5" x14ac:dyDescent="0.2">
      <c r="A2068"/>
      <c r="B2068" s="663"/>
      <c r="C2068" s="663"/>
      <c r="D2068" s="663"/>
      <c r="E2068" s="663"/>
    </row>
    <row r="2069" spans="1:5" x14ac:dyDescent="0.2">
      <c r="A2069"/>
      <c r="B2069" s="663"/>
      <c r="C2069" s="663"/>
      <c r="D2069" s="663"/>
      <c r="E2069" s="663"/>
    </row>
    <row r="2070" spans="1:5" x14ac:dyDescent="0.2">
      <c r="A2070"/>
      <c r="B2070" s="663"/>
      <c r="C2070" s="663"/>
      <c r="D2070" s="663"/>
      <c r="E2070" s="663"/>
    </row>
    <row r="2071" spans="1:5" x14ac:dyDescent="0.2">
      <c r="A2071"/>
      <c r="B2071" s="663"/>
      <c r="C2071" s="663"/>
      <c r="D2071" s="663"/>
      <c r="E2071" s="663"/>
    </row>
    <row r="2072" spans="1:5" x14ac:dyDescent="0.2">
      <c r="A2072"/>
      <c r="B2072" s="663"/>
      <c r="C2072" s="663"/>
      <c r="D2072" s="663"/>
      <c r="E2072" s="663"/>
    </row>
    <row r="2073" spans="1:5" x14ac:dyDescent="0.2">
      <c r="A2073"/>
      <c r="B2073" s="663"/>
      <c r="C2073" s="663"/>
      <c r="D2073" s="663"/>
      <c r="E2073" s="663"/>
    </row>
    <row r="2074" spans="1:5" x14ac:dyDescent="0.2">
      <c r="A2074"/>
      <c r="B2074" s="663"/>
      <c r="C2074" s="663"/>
      <c r="D2074" s="663"/>
      <c r="E2074" s="663"/>
    </row>
    <row r="2075" spans="1:5" x14ac:dyDescent="0.2">
      <c r="A2075"/>
      <c r="B2075" s="663"/>
      <c r="C2075" s="663"/>
      <c r="D2075" s="663"/>
      <c r="E2075" s="663"/>
    </row>
    <row r="2076" spans="1:5" x14ac:dyDescent="0.2">
      <c r="A2076"/>
      <c r="B2076" s="663"/>
      <c r="C2076" s="663"/>
      <c r="D2076" s="663"/>
      <c r="E2076" s="663"/>
    </row>
    <row r="2077" spans="1:5" x14ac:dyDescent="0.2">
      <c r="A2077"/>
      <c r="B2077" s="663"/>
      <c r="C2077" s="663"/>
      <c r="D2077" s="663"/>
      <c r="E2077" s="663"/>
    </row>
    <row r="2078" spans="1:5" x14ac:dyDescent="0.2">
      <c r="A2078"/>
      <c r="B2078" s="663"/>
      <c r="C2078" s="663"/>
      <c r="D2078" s="663"/>
      <c r="E2078" s="663"/>
    </row>
    <row r="2079" spans="1:5" x14ac:dyDescent="0.2">
      <c r="A2079"/>
      <c r="B2079" s="663"/>
      <c r="C2079" s="663"/>
      <c r="D2079" s="663"/>
      <c r="E2079" s="663"/>
    </row>
    <row r="2080" spans="1:5" x14ac:dyDescent="0.2">
      <c r="A2080"/>
      <c r="B2080" s="663"/>
      <c r="C2080" s="663"/>
      <c r="D2080" s="663"/>
      <c r="E2080" s="663"/>
    </row>
    <row r="2081" spans="1:5" x14ac:dyDescent="0.2">
      <c r="A2081"/>
      <c r="B2081" s="663"/>
      <c r="C2081" s="663"/>
      <c r="D2081" s="663"/>
      <c r="E2081" s="663"/>
    </row>
    <row r="2082" spans="1:5" x14ac:dyDescent="0.2">
      <c r="A2082"/>
      <c r="B2082" s="663"/>
      <c r="C2082" s="663"/>
      <c r="D2082" s="663"/>
      <c r="E2082" s="663"/>
    </row>
    <row r="2083" spans="1:5" x14ac:dyDescent="0.2">
      <c r="A2083"/>
      <c r="B2083" s="663"/>
      <c r="C2083" s="663"/>
      <c r="D2083" s="663"/>
      <c r="E2083" s="663"/>
    </row>
    <row r="2084" spans="1:5" x14ac:dyDescent="0.2">
      <c r="A2084"/>
      <c r="B2084" s="663"/>
      <c r="C2084" s="663"/>
      <c r="D2084" s="663"/>
      <c r="E2084" s="663"/>
    </row>
    <row r="2085" spans="1:5" x14ac:dyDescent="0.2">
      <c r="A2085"/>
      <c r="B2085" s="663"/>
      <c r="C2085" s="663"/>
      <c r="D2085" s="663"/>
      <c r="E2085" s="663"/>
    </row>
    <row r="2086" spans="1:5" x14ac:dyDescent="0.2">
      <c r="A2086"/>
      <c r="B2086" s="663"/>
      <c r="C2086" s="663"/>
      <c r="D2086" s="663"/>
      <c r="E2086" s="663"/>
    </row>
    <row r="2087" spans="1:5" x14ac:dyDescent="0.2">
      <c r="A2087"/>
      <c r="B2087" s="663"/>
      <c r="C2087" s="663"/>
      <c r="D2087" s="663"/>
      <c r="E2087" s="663"/>
    </row>
    <row r="2088" spans="1:5" x14ac:dyDescent="0.2">
      <c r="A2088"/>
      <c r="B2088" s="663"/>
      <c r="C2088" s="663"/>
      <c r="D2088" s="663"/>
      <c r="E2088" s="663"/>
    </row>
    <row r="2089" spans="1:5" x14ac:dyDescent="0.2">
      <c r="A2089"/>
      <c r="B2089" s="663"/>
      <c r="C2089" s="663"/>
      <c r="D2089" s="663"/>
      <c r="E2089" s="663"/>
    </row>
    <row r="2090" spans="1:5" x14ac:dyDescent="0.2">
      <c r="A2090"/>
      <c r="B2090" s="663"/>
      <c r="C2090" s="663"/>
      <c r="D2090" s="663"/>
      <c r="E2090" s="663"/>
    </row>
    <row r="2091" spans="1:5" x14ac:dyDescent="0.2">
      <c r="A2091"/>
      <c r="B2091" s="663"/>
      <c r="C2091" s="663"/>
      <c r="D2091" s="663"/>
      <c r="E2091" s="663"/>
    </row>
    <row r="2092" spans="1:5" x14ac:dyDescent="0.2">
      <c r="A2092"/>
      <c r="B2092" s="663"/>
      <c r="C2092" s="663"/>
      <c r="D2092" s="663"/>
      <c r="E2092" s="663"/>
    </row>
    <row r="2093" spans="1:5" x14ac:dyDescent="0.2">
      <c r="A2093"/>
      <c r="B2093" s="663"/>
      <c r="C2093" s="663"/>
      <c r="D2093" s="663"/>
      <c r="E2093" s="663"/>
    </row>
    <row r="2094" spans="1:5" x14ac:dyDescent="0.2">
      <c r="A2094"/>
      <c r="B2094" s="663"/>
      <c r="C2094" s="663"/>
      <c r="D2094" s="663"/>
      <c r="E2094" s="663"/>
    </row>
    <row r="2095" spans="1:5" x14ac:dyDescent="0.2">
      <c r="A2095"/>
      <c r="B2095" s="663"/>
      <c r="C2095" s="663"/>
      <c r="D2095" s="663"/>
      <c r="E2095" s="663"/>
    </row>
    <row r="2096" spans="1:5" x14ac:dyDescent="0.2">
      <c r="A2096"/>
      <c r="B2096" s="663"/>
      <c r="C2096" s="663"/>
      <c r="D2096" s="663"/>
      <c r="E2096" s="663"/>
    </row>
    <row r="2097" spans="1:5" x14ac:dyDescent="0.2">
      <c r="A2097"/>
      <c r="B2097" s="663"/>
      <c r="C2097" s="663"/>
      <c r="D2097" s="663"/>
      <c r="E2097" s="663"/>
    </row>
    <row r="2098" spans="1:5" x14ac:dyDescent="0.2">
      <c r="A2098"/>
      <c r="B2098" s="663"/>
      <c r="C2098" s="663"/>
      <c r="D2098" s="663"/>
      <c r="E2098" s="663"/>
    </row>
    <row r="2099" spans="1:5" x14ac:dyDescent="0.2">
      <c r="A2099"/>
      <c r="B2099" s="663"/>
      <c r="C2099" s="663"/>
      <c r="D2099" s="663"/>
      <c r="E2099" s="663"/>
    </row>
    <row r="2100" spans="1:5" x14ac:dyDescent="0.2">
      <c r="A2100"/>
      <c r="B2100" s="663"/>
      <c r="C2100" s="663"/>
      <c r="D2100" s="663"/>
      <c r="E2100" s="663"/>
    </row>
    <row r="2101" spans="1:5" x14ac:dyDescent="0.2">
      <c r="A2101"/>
      <c r="B2101" s="663"/>
      <c r="C2101" s="663"/>
      <c r="D2101" s="663"/>
      <c r="E2101" s="663"/>
    </row>
    <row r="2102" spans="1:5" x14ac:dyDescent="0.2">
      <c r="A2102"/>
      <c r="B2102" s="663"/>
      <c r="C2102" s="663"/>
      <c r="D2102" s="663"/>
      <c r="E2102" s="663"/>
    </row>
    <row r="2103" spans="1:5" x14ac:dyDescent="0.2">
      <c r="A2103"/>
      <c r="B2103" s="663"/>
      <c r="C2103" s="663"/>
      <c r="D2103" s="663"/>
      <c r="E2103" s="663"/>
    </row>
    <row r="2104" spans="1:5" x14ac:dyDescent="0.2">
      <c r="A2104"/>
      <c r="B2104" s="663"/>
      <c r="C2104" s="663"/>
      <c r="D2104" s="663"/>
      <c r="E2104" s="663"/>
    </row>
    <row r="2105" spans="1:5" x14ac:dyDescent="0.2">
      <c r="A2105"/>
      <c r="B2105" s="663"/>
      <c r="C2105" s="663"/>
      <c r="D2105" s="663"/>
      <c r="E2105" s="663"/>
    </row>
    <row r="2106" spans="1:5" x14ac:dyDescent="0.2">
      <c r="A2106"/>
      <c r="B2106" s="663"/>
      <c r="C2106" s="663"/>
      <c r="D2106" s="663"/>
      <c r="E2106" s="663"/>
    </row>
    <row r="2107" spans="1:5" x14ac:dyDescent="0.2">
      <c r="A2107"/>
      <c r="B2107" s="663"/>
      <c r="C2107" s="663"/>
      <c r="D2107" s="663"/>
      <c r="E2107" s="663"/>
    </row>
    <row r="2108" spans="1:5" x14ac:dyDescent="0.2">
      <c r="A2108"/>
      <c r="B2108" s="663"/>
      <c r="C2108" s="663"/>
      <c r="D2108" s="663"/>
      <c r="E2108" s="663"/>
    </row>
    <row r="2109" spans="1:5" x14ac:dyDescent="0.2">
      <c r="A2109"/>
      <c r="B2109" s="663"/>
      <c r="C2109" s="663"/>
      <c r="D2109" s="663"/>
      <c r="E2109" s="663"/>
    </row>
    <row r="2110" spans="1:5" x14ac:dyDescent="0.2">
      <c r="A2110"/>
      <c r="B2110" s="663"/>
      <c r="C2110" s="663"/>
      <c r="D2110" s="663"/>
      <c r="E2110" s="663"/>
    </row>
    <row r="2111" spans="1:5" x14ac:dyDescent="0.2">
      <c r="A2111"/>
      <c r="B2111" s="663"/>
      <c r="C2111" s="663"/>
      <c r="D2111" s="663"/>
      <c r="E2111" s="663"/>
    </row>
    <row r="2112" spans="1:5" x14ac:dyDescent="0.2">
      <c r="A2112"/>
      <c r="B2112" s="663"/>
      <c r="C2112" s="663"/>
      <c r="D2112" s="663"/>
      <c r="E2112" s="663"/>
    </row>
    <row r="2113" spans="1:5" x14ac:dyDescent="0.2">
      <c r="A2113"/>
      <c r="B2113" s="663"/>
      <c r="C2113" s="663"/>
      <c r="D2113" s="663"/>
      <c r="E2113" s="663"/>
    </row>
    <row r="2114" spans="1:5" x14ac:dyDescent="0.2">
      <c r="A2114"/>
      <c r="B2114" s="663"/>
      <c r="C2114" s="663"/>
      <c r="D2114" s="663"/>
      <c r="E2114" s="663"/>
    </row>
    <row r="2115" spans="1:5" x14ac:dyDescent="0.2">
      <c r="A2115"/>
      <c r="B2115" s="663"/>
      <c r="C2115" s="663"/>
      <c r="D2115" s="663"/>
      <c r="E2115" s="663"/>
    </row>
    <row r="2116" spans="1:5" x14ac:dyDescent="0.2">
      <c r="A2116"/>
      <c r="B2116" s="663"/>
      <c r="C2116" s="663"/>
      <c r="D2116" s="663"/>
      <c r="E2116" s="663"/>
    </row>
    <row r="2117" spans="1:5" x14ac:dyDescent="0.2">
      <c r="A2117"/>
      <c r="B2117" s="663"/>
      <c r="C2117" s="663"/>
      <c r="D2117" s="663"/>
      <c r="E2117" s="663"/>
    </row>
    <row r="2118" spans="1:5" x14ac:dyDescent="0.2">
      <c r="A2118"/>
      <c r="B2118" s="663"/>
      <c r="C2118" s="663"/>
      <c r="D2118" s="663"/>
      <c r="E2118" s="663"/>
    </row>
    <row r="2119" spans="1:5" x14ac:dyDescent="0.2">
      <c r="A2119"/>
      <c r="B2119" s="663"/>
      <c r="C2119" s="663"/>
      <c r="D2119" s="663"/>
      <c r="E2119" s="663"/>
    </row>
    <row r="2120" spans="1:5" x14ac:dyDescent="0.2">
      <c r="A2120"/>
      <c r="B2120" s="663"/>
      <c r="C2120" s="663"/>
      <c r="D2120" s="663"/>
      <c r="E2120" s="663"/>
    </row>
    <row r="2121" spans="1:5" x14ac:dyDescent="0.2">
      <c r="A2121"/>
      <c r="B2121" s="663"/>
      <c r="C2121" s="663"/>
      <c r="D2121" s="663"/>
      <c r="E2121" s="663"/>
    </row>
    <row r="2122" spans="1:5" x14ac:dyDescent="0.2">
      <c r="A2122"/>
      <c r="B2122" s="663"/>
      <c r="C2122" s="663"/>
      <c r="D2122" s="663"/>
      <c r="E2122" s="663"/>
    </row>
    <row r="2123" spans="1:5" x14ac:dyDescent="0.2">
      <c r="A2123"/>
      <c r="B2123" s="663"/>
      <c r="C2123" s="663"/>
      <c r="D2123" s="663"/>
      <c r="E2123" s="663"/>
    </row>
    <row r="2124" spans="1:5" x14ac:dyDescent="0.2">
      <c r="A2124"/>
      <c r="B2124" s="663"/>
      <c r="C2124" s="663"/>
      <c r="D2124" s="663"/>
      <c r="E2124" s="663"/>
    </row>
    <row r="2125" spans="1:5" x14ac:dyDescent="0.2">
      <c r="A2125"/>
      <c r="B2125" s="663"/>
      <c r="C2125" s="663"/>
      <c r="D2125" s="663"/>
      <c r="E2125" s="663"/>
    </row>
    <row r="2126" spans="1:5" x14ac:dyDescent="0.2">
      <c r="A2126"/>
      <c r="B2126" s="663"/>
      <c r="C2126" s="663"/>
      <c r="D2126" s="663"/>
      <c r="E2126" s="663"/>
    </row>
    <row r="2127" spans="1:5" x14ac:dyDescent="0.2">
      <c r="A2127"/>
      <c r="B2127" s="663"/>
      <c r="C2127" s="663"/>
      <c r="D2127" s="663"/>
      <c r="E2127" s="663"/>
    </row>
    <row r="2128" spans="1:5" x14ac:dyDescent="0.2">
      <c r="A2128"/>
      <c r="B2128" s="663"/>
      <c r="C2128" s="663"/>
      <c r="D2128" s="663"/>
      <c r="E2128" s="663"/>
    </row>
    <row r="2129" spans="1:5" x14ac:dyDescent="0.2">
      <c r="A2129"/>
      <c r="B2129" s="663"/>
      <c r="C2129" s="663"/>
      <c r="D2129" s="663"/>
      <c r="E2129" s="663"/>
    </row>
    <row r="2130" spans="1:5" x14ac:dyDescent="0.2">
      <c r="A2130"/>
      <c r="B2130" s="663"/>
      <c r="C2130" s="663"/>
      <c r="D2130" s="663"/>
      <c r="E2130" s="663"/>
    </row>
    <row r="2131" spans="1:5" x14ac:dyDescent="0.2">
      <c r="A2131"/>
      <c r="B2131" s="663"/>
      <c r="C2131" s="663"/>
      <c r="D2131" s="663"/>
      <c r="E2131" s="663"/>
    </row>
    <row r="2132" spans="1:5" x14ac:dyDescent="0.2">
      <c r="A2132"/>
      <c r="B2132" s="663"/>
      <c r="C2132" s="663"/>
      <c r="D2132" s="663"/>
      <c r="E2132" s="663"/>
    </row>
    <row r="2133" spans="1:5" x14ac:dyDescent="0.2">
      <c r="A2133"/>
      <c r="B2133" s="663"/>
      <c r="C2133" s="663"/>
      <c r="D2133" s="663"/>
      <c r="E2133" s="663"/>
    </row>
    <row r="2134" spans="1:5" x14ac:dyDescent="0.2">
      <c r="A2134"/>
      <c r="B2134" s="663"/>
      <c r="C2134" s="663"/>
      <c r="D2134" s="663"/>
      <c r="E2134" s="663"/>
    </row>
    <row r="2135" spans="1:5" x14ac:dyDescent="0.2">
      <c r="A2135"/>
      <c r="B2135" s="663"/>
      <c r="C2135" s="663"/>
      <c r="D2135" s="663"/>
      <c r="E2135" s="663"/>
    </row>
    <row r="2136" spans="1:5" x14ac:dyDescent="0.2">
      <c r="A2136"/>
      <c r="B2136" s="663"/>
      <c r="C2136" s="663"/>
      <c r="D2136" s="663"/>
      <c r="E2136" s="663"/>
    </row>
    <row r="2137" spans="1:5" x14ac:dyDescent="0.2">
      <c r="A2137"/>
      <c r="B2137" s="663"/>
      <c r="C2137" s="663"/>
      <c r="D2137" s="663"/>
      <c r="E2137" s="663"/>
    </row>
    <row r="2138" spans="1:5" x14ac:dyDescent="0.2">
      <c r="A2138"/>
      <c r="B2138" s="663"/>
      <c r="C2138" s="663"/>
      <c r="D2138" s="663"/>
      <c r="E2138" s="663"/>
    </row>
    <row r="2139" spans="1:5" x14ac:dyDescent="0.2">
      <c r="A2139"/>
      <c r="B2139" s="663"/>
      <c r="C2139" s="663"/>
      <c r="D2139" s="663"/>
      <c r="E2139" s="663"/>
    </row>
    <row r="2140" spans="1:5" x14ac:dyDescent="0.2">
      <c r="A2140"/>
      <c r="B2140" s="663"/>
      <c r="C2140" s="663"/>
      <c r="D2140" s="663"/>
      <c r="E2140" s="663"/>
    </row>
    <row r="2141" spans="1:5" x14ac:dyDescent="0.2">
      <c r="A2141"/>
      <c r="B2141" s="663"/>
      <c r="C2141" s="663"/>
      <c r="D2141" s="663"/>
      <c r="E2141" s="663"/>
    </row>
    <row r="2142" spans="1:5" x14ac:dyDescent="0.2">
      <c r="A2142"/>
      <c r="B2142" s="663"/>
      <c r="C2142" s="663"/>
      <c r="D2142" s="663"/>
      <c r="E2142" s="663"/>
    </row>
    <row r="2143" spans="1:5" x14ac:dyDescent="0.2">
      <c r="A2143"/>
      <c r="B2143" s="663"/>
      <c r="C2143" s="663"/>
      <c r="D2143" s="663"/>
      <c r="E2143" s="663"/>
    </row>
    <row r="2144" spans="1:5" x14ac:dyDescent="0.2">
      <c r="A2144"/>
      <c r="B2144" s="663"/>
      <c r="C2144" s="663"/>
      <c r="D2144" s="663"/>
      <c r="E2144" s="663"/>
    </row>
    <row r="2145" spans="1:5" x14ac:dyDescent="0.2">
      <c r="A2145"/>
      <c r="B2145" s="663"/>
      <c r="C2145" s="663"/>
      <c r="D2145" s="663"/>
      <c r="E2145" s="663"/>
    </row>
    <row r="2146" spans="1:5" x14ac:dyDescent="0.2">
      <c r="A2146"/>
      <c r="B2146" s="663"/>
      <c r="C2146" s="663"/>
      <c r="D2146" s="663"/>
      <c r="E2146" s="663"/>
    </row>
    <row r="2147" spans="1:5" x14ac:dyDescent="0.2">
      <c r="A2147"/>
      <c r="B2147" s="663"/>
      <c r="C2147" s="663"/>
      <c r="D2147" s="663"/>
      <c r="E2147" s="663"/>
    </row>
    <row r="2148" spans="1:5" x14ac:dyDescent="0.2">
      <c r="A2148"/>
      <c r="B2148" s="663"/>
      <c r="C2148" s="663"/>
      <c r="D2148" s="663"/>
      <c r="E2148" s="663"/>
    </row>
    <row r="2149" spans="1:5" x14ac:dyDescent="0.2">
      <c r="A2149"/>
      <c r="B2149" s="663"/>
      <c r="C2149" s="663"/>
      <c r="D2149" s="663"/>
      <c r="E2149" s="663"/>
    </row>
    <row r="2150" spans="1:5" x14ac:dyDescent="0.2">
      <c r="A2150"/>
      <c r="B2150" s="663"/>
      <c r="C2150" s="663"/>
      <c r="D2150" s="663"/>
      <c r="E2150" s="663"/>
    </row>
    <row r="2151" spans="1:5" x14ac:dyDescent="0.2">
      <c r="A2151"/>
      <c r="B2151" s="663"/>
      <c r="C2151" s="663"/>
      <c r="D2151" s="663"/>
      <c r="E2151" s="663"/>
    </row>
    <row r="2152" spans="1:5" x14ac:dyDescent="0.2">
      <c r="A2152"/>
      <c r="B2152" s="663"/>
      <c r="C2152" s="663"/>
      <c r="D2152" s="663"/>
      <c r="E2152" s="663"/>
    </row>
    <row r="2153" spans="1:5" x14ac:dyDescent="0.2">
      <c r="A2153"/>
      <c r="B2153" s="663"/>
      <c r="C2153" s="663"/>
      <c r="D2153" s="663"/>
      <c r="E2153" s="663"/>
    </row>
    <row r="2154" spans="1:5" x14ac:dyDescent="0.2">
      <c r="A2154"/>
      <c r="B2154" s="663"/>
      <c r="C2154" s="663"/>
      <c r="D2154" s="663"/>
      <c r="E2154" s="663"/>
    </row>
    <row r="2155" spans="1:5" x14ac:dyDescent="0.2">
      <c r="A2155"/>
      <c r="B2155" s="663"/>
      <c r="C2155" s="663"/>
      <c r="D2155" s="663"/>
      <c r="E2155" s="663"/>
    </row>
    <row r="2156" spans="1:5" x14ac:dyDescent="0.2">
      <c r="A2156"/>
      <c r="B2156" s="663"/>
      <c r="C2156" s="663"/>
      <c r="D2156" s="663"/>
      <c r="E2156" s="663"/>
    </row>
    <row r="2157" spans="1:5" x14ac:dyDescent="0.2">
      <c r="A2157"/>
      <c r="B2157" s="663"/>
      <c r="C2157" s="663"/>
      <c r="D2157" s="663"/>
      <c r="E2157" s="663"/>
    </row>
    <row r="2158" spans="1:5" x14ac:dyDescent="0.2">
      <c r="A2158"/>
      <c r="B2158" s="663"/>
      <c r="C2158" s="663"/>
      <c r="D2158" s="663"/>
      <c r="E2158" s="663"/>
    </row>
    <row r="2159" spans="1:5" x14ac:dyDescent="0.2">
      <c r="A2159"/>
      <c r="B2159" s="663"/>
      <c r="C2159" s="663"/>
      <c r="D2159" s="663"/>
      <c r="E2159" s="663"/>
    </row>
    <row r="2160" spans="1:5" x14ac:dyDescent="0.2">
      <c r="A2160"/>
      <c r="B2160" s="663"/>
      <c r="C2160" s="663"/>
      <c r="D2160" s="663"/>
      <c r="E2160" s="663"/>
    </row>
    <row r="2161" spans="1:5" x14ac:dyDescent="0.2">
      <c r="A2161"/>
      <c r="B2161" s="663"/>
      <c r="C2161" s="663"/>
      <c r="D2161" s="663"/>
      <c r="E2161" s="663"/>
    </row>
    <row r="2162" spans="1:5" x14ac:dyDescent="0.2">
      <c r="A2162"/>
      <c r="B2162" s="663"/>
      <c r="C2162" s="663"/>
      <c r="D2162" s="663"/>
      <c r="E2162" s="663"/>
    </row>
    <row r="2163" spans="1:5" x14ac:dyDescent="0.2">
      <c r="A2163"/>
      <c r="B2163" s="663"/>
      <c r="C2163" s="663"/>
      <c r="D2163" s="663"/>
      <c r="E2163" s="663"/>
    </row>
    <row r="2164" spans="1:5" x14ac:dyDescent="0.2">
      <c r="A2164"/>
      <c r="B2164" s="663"/>
      <c r="C2164" s="663"/>
      <c r="D2164" s="663"/>
      <c r="E2164" s="663"/>
    </row>
    <row r="2165" spans="1:5" x14ac:dyDescent="0.2">
      <c r="A2165"/>
      <c r="B2165" s="663"/>
      <c r="C2165" s="663"/>
      <c r="D2165" s="663"/>
      <c r="E2165" s="663"/>
    </row>
    <row r="2166" spans="1:5" x14ac:dyDescent="0.2">
      <c r="A2166"/>
      <c r="B2166" s="663"/>
      <c r="C2166" s="663"/>
      <c r="D2166" s="663"/>
      <c r="E2166" s="663"/>
    </row>
    <row r="2167" spans="1:5" x14ac:dyDescent="0.2">
      <c r="A2167"/>
      <c r="B2167" s="663"/>
      <c r="C2167" s="663"/>
      <c r="D2167" s="663"/>
      <c r="E2167" s="663"/>
    </row>
    <row r="2168" spans="1:5" x14ac:dyDescent="0.2">
      <c r="A2168"/>
      <c r="B2168" s="663"/>
      <c r="C2168" s="663"/>
      <c r="D2168" s="663"/>
      <c r="E2168" s="663"/>
    </row>
    <row r="2169" spans="1:5" x14ac:dyDescent="0.2">
      <c r="A2169"/>
      <c r="B2169" s="663"/>
      <c r="C2169" s="663"/>
      <c r="D2169" s="663"/>
      <c r="E2169" s="663"/>
    </row>
    <row r="2170" spans="1:5" x14ac:dyDescent="0.2">
      <c r="A2170"/>
      <c r="B2170" s="663"/>
      <c r="C2170" s="663"/>
      <c r="D2170" s="663"/>
      <c r="E2170" s="663"/>
    </row>
    <row r="2171" spans="1:5" x14ac:dyDescent="0.2">
      <c r="A2171"/>
      <c r="B2171" s="663"/>
      <c r="C2171" s="663"/>
      <c r="D2171" s="663"/>
      <c r="E2171" s="663"/>
    </row>
    <row r="2172" spans="1:5" x14ac:dyDescent="0.2">
      <c r="A2172"/>
      <c r="B2172" s="663"/>
      <c r="C2172" s="663"/>
      <c r="D2172" s="663"/>
      <c r="E2172" s="663"/>
    </row>
    <row r="2173" spans="1:5" x14ac:dyDescent="0.2">
      <c r="A2173"/>
      <c r="B2173" s="663"/>
      <c r="C2173" s="663"/>
      <c r="D2173" s="663"/>
      <c r="E2173" s="663"/>
    </row>
    <row r="2174" spans="1:5" x14ac:dyDescent="0.2">
      <c r="A2174"/>
      <c r="B2174" s="663"/>
      <c r="C2174" s="663"/>
      <c r="D2174" s="663"/>
      <c r="E2174" s="663"/>
    </row>
    <row r="2175" spans="1:5" x14ac:dyDescent="0.2">
      <c r="A2175"/>
      <c r="B2175" s="663"/>
      <c r="C2175" s="663"/>
      <c r="D2175" s="663"/>
      <c r="E2175" s="663"/>
    </row>
    <row r="2176" spans="1:5" x14ac:dyDescent="0.2">
      <c r="A2176"/>
      <c r="B2176" s="663"/>
      <c r="C2176" s="663"/>
      <c r="D2176" s="663"/>
      <c r="E2176" s="663"/>
    </row>
    <row r="2177" spans="1:5" x14ac:dyDescent="0.2">
      <c r="A2177"/>
      <c r="B2177" s="663"/>
      <c r="C2177" s="663"/>
      <c r="D2177" s="663"/>
      <c r="E2177" s="663"/>
    </row>
    <row r="2178" spans="1:5" x14ac:dyDescent="0.2">
      <c r="A2178"/>
      <c r="B2178" s="663"/>
      <c r="C2178" s="663"/>
      <c r="D2178" s="663"/>
      <c r="E2178" s="663"/>
    </row>
    <row r="2179" spans="1:5" x14ac:dyDescent="0.2">
      <c r="A2179"/>
      <c r="B2179" s="663"/>
      <c r="C2179" s="663"/>
      <c r="D2179" s="663"/>
      <c r="E2179" s="663"/>
    </row>
    <row r="2180" spans="1:5" x14ac:dyDescent="0.2">
      <c r="A2180"/>
      <c r="B2180" s="663"/>
      <c r="C2180" s="663"/>
      <c r="D2180" s="663"/>
      <c r="E2180" s="663"/>
    </row>
    <row r="2181" spans="1:5" x14ac:dyDescent="0.2">
      <c r="A2181"/>
      <c r="B2181" s="663"/>
      <c r="C2181" s="663"/>
      <c r="D2181" s="663"/>
      <c r="E2181" s="663"/>
    </row>
    <row r="2182" spans="1:5" x14ac:dyDescent="0.2">
      <c r="A2182"/>
      <c r="B2182" s="663"/>
      <c r="C2182" s="663"/>
      <c r="D2182" s="663"/>
      <c r="E2182" s="663"/>
    </row>
    <row r="2183" spans="1:5" x14ac:dyDescent="0.2">
      <c r="A2183"/>
      <c r="B2183" s="663"/>
      <c r="C2183" s="663"/>
      <c r="D2183" s="663"/>
      <c r="E2183" s="663"/>
    </row>
    <row r="2184" spans="1:5" x14ac:dyDescent="0.2">
      <c r="A2184"/>
      <c r="B2184" s="663"/>
      <c r="C2184" s="663"/>
      <c r="D2184" s="663"/>
      <c r="E2184" s="663"/>
    </row>
    <row r="2185" spans="1:5" x14ac:dyDescent="0.2">
      <c r="A2185"/>
      <c r="B2185" s="663"/>
      <c r="C2185" s="663"/>
      <c r="D2185" s="663"/>
      <c r="E2185" s="663"/>
    </row>
    <row r="2186" spans="1:5" x14ac:dyDescent="0.2">
      <c r="A2186"/>
      <c r="B2186" s="663"/>
      <c r="C2186" s="663"/>
      <c r="D2186" s="663"/>
      <c r="E2186" s="663"/>
    </row>
    <row r="2187" spans="1:5" x14ac:dyDescent="0.2">
      <c r="A2187"/>
      <c r="B2187" s="663"/>
      <c r="C2187" s="663"/>
      <c r="D2187" s="663"/>
      <c r="E2187" s="663"/>
    </row>
    <row r="2188" spans="1:5" x14ac:dyDescent="0.2">
      <c r="A2188"/>
      <c r="B2188" s="663"/>
      <c r="C2188" s="663"/>
      <c r="D2188" s="663"/>
      <c r="E2188" s="663"/>
    </row>
    <row r="2189" spans="1:5" x14ac:dyDescent="0.2">
      <c r="A2189"/>
      <c r="B2189" s="663"/>
      <c r="C2189" s="663"/>
      <c r="D2189" s="663"/>
      <c r="E2189" s="663"/>
    </row>
    <row r="2190" spans="1:5" x14ac:dyDescent="0.2">
      <c r="A2190"/>
      <c r="B2190" s="663"/>
      <c r="C2190" s="663"/>
      <c r="D2190" s="663"/>
      <c r="E2190" s="663"/>
    </row>
    <row r="2191" spans="1:5" x14ac:dyDescent="0.2">
      <c r="A2191"/>
      <c r="B2191" s="663"/>
      <c r="C2191" s="663"/>
      <c r="D2191" s="663"/>
      <c r="E2191" s="663"/>
    </row>
    <row r="2192" spans="1:5" x14ac:dyDescent="0.2">
      <c r="A2192"/>
      <c r="B2192" s="663"/>
      <c r="C2192" s="663"/>
      <c r="D2192" s="663"/>
      <c r="E2192" s="663"/>
    </row>
    <row r="2193" spans="1:5" x14ac:dyDescent="0.2">
      <c r="A2193"/>
      <c r="B2193" s="663"/>
      <c r="C2193" s="663"/>
      <c r="D2193" s="663"/>
      <c r="E2193" s="663"/>
    </row>
    <row r="2194" spans="1:5" x14ac:dyDescent="0.2">
      <c r="A2194"/>
      <c r="B2194" s="663"/>
      <c r="C2194" s="663"/>
      <c r="D2194" s="663"/>
      <c r="E2194" s="663"/>
    </row>
    <row r="2195" spans="1:5" x14ac:dyDescent="0.2">
      <c r="A2195"/>
      <c r="B2195" s="663"/>
      <c r="C2195" s="663"/>
      <c r="D2195" s="663"/>
      <c r="E2195" s="663"/>
    </row>
    <row r="2196" spans="1:5" x14ac:dyDescent="0.2">
      <c r="A2196"/>
      <c r="B2196" s="663"/>
      <c r="C2196" s="663"/>
      <c r="D2196" s="663"/>
      <c r="E2196" s="663"/>
    </row>
    <row r="2197" spans="1:5" x14ac:dyDescent="0.2">
      <c r="A2197"/>
      <c r="B2197" s="663"/>
      <c r="C2197" s="663"/>
      <c r="D2197" s="663"/>
      <c r="E2197" s="663"/>
    </row>
    <row r="2198" spans="1:5" x14ac:dyDescent="0.2">
      <c r="A2198"/>
      <c r="B2198" s="663"/>
      <c r="C2198" s="663"/>
      <c r="D2198" s="663"/>
      <c r="E2198" s="663"/>
    </row>
    <row r="2199" spans="1:5" x14ac:dyDescent="0.2">
      <c r="A2199"/>
      <c r="B2199" s="663"/>
      <c r="C2199" s="663"/>
      <c r="D2199" s="663"/>
      <c r="E2199" s="663"/>
    </row>
    <row r="2200" spans="1:5" x14ac:dyDescent="0.2">
      <c r="A2200"/>
      <c r="B2200" s="663"/>
      <c r="C2200" s="663"/>
      <c r="D2200" s="663"/>
      <c r="E2200" s="663"/>
    </row>
    <row r="2201" spans="1:5" x14ac:dyDescent="0.2">
      <c r="A2201"/>
      <c r="B2201" s="663"/>
      <c r="C2201" s="663"/>
      <c r="D2201" s="663"/>
      <c r="E2201" s="663"/>
    </row>
    <row r="2202" spans="1:5" x14ac:dyDescent="0.2">
      <c r="A2202"/>
      <c r="B2202" s="663"/>
      <c r="C2202" s="663"/>
      <c r="D2202" s="663"/>
      <c r="E2202" s="663"/>
    </row>
    <row r="2203" spans="1:5" x14ac:dyDescent="0.2">
      <c r="A2203"/>
      <c r="B2203" s="663"/>
      <c r="C2203" s="663"/>
      <c r="D2203" s="663"/>
      <c r="E2203" s="663"/>
    </row>
    <row r="2204" spans="1:5" x14ac:dyDescent="0.2">
      <c r="A2204"/>
      <c r="B2204" s="663"/>
      <c r="C2204" s="663"/>
      <c r="D2204" s="663"/>
      <c r="E2204" s="663"/>
    </row>
    <row r="2205" spans="1:5" x14ac:dyDescent="0.2">
      <c r="A2205"/>
      <c r="B2205" s="663"/>
      <c r="C2205" s="663"/>
      <c r="D2205" s="663"/>
      <c r="E2205" s="663"/>
    </row>
    <row r="2206" spans="1:5" x14ac:dyDescent="0.2">
      <c r="A2206"/>
      <c r="B2206" s="663"/>
      <c r="C2206" s="663"/>
      <c r="D2206" s="663"/>
      <c r="E2206" s="663"/>
    </row>
    <row r="2207" spans="1:5" x14ac:dyDescent="0.2">
      <c r="A2207"/>
      <c r="B2207" s="663"/>
      <c r="C2207" s="663"/>
      <c r="D2207" s="663"/>
      <c r="E2207" s="663"/>
    </row>
    <row r="2208" spans="1:5" x14ac:dyDescent="0.2">
      <c r="A2208"/>
      <c r="B2208" s="663"/>
      <c r="C2208" s="663"/>
      <c r="D2208" s="663"/>
      <c r="E2208" s="663"/>
    </row>
    <row r="2209" spans="1:5" x14ac:dyDescent="0.2">
      <c r="A2209"/>
      <c r="B2209" s="663"/>
      <c r="C2209" s="663"/>
      <c r="D2209" s="663"/>
      <c r="E2209" s="663"/>
    </row>
    <row r="2210" spans="1:5" x14ac:dyDescent="0.2">
      <c r="A2210"/>
      <c r="B2210" s="663"/>
      <c r="C2210" s="663"/>
      <c r="D2210" s="663"/>
      <c r="E2210" s="663"/>
    </row>
    <row r="2211" spans="1:5" x14ac:dyDescent="0.2">
      <c r="A2211"/>
      <c r="B2211" s="663"/>
      <c r="C2211" s="663"/>
      <c r="D2211" s="663"/>
      <c r="E2211" s="663"/>
    </row>
    <row r="2212" spans="1:5" x14ac:dyDescent="0.2">
      <c r="A2212"/>
      <c r="B2212" s="663"/>
      <c r="C2212" s="663"/>
      <c r="D2212" s="663"/>
      <c r="E2212" s="663"/>
    </row>
    <row r="2213" spans="1:5" x14ac:dyDescent="0.2">
      <c r="A2213"/>
      <c r="B2213" s="663"/>
      <c r="C2213" s="663"/>
      <c r="D2213" s="663"/>
      <c r="E2213" s="663"/>
    </row>
    <row r="2214" spans="1:5" x14ac:dyDescent="0.2">
      <c r="A2214"/>
      <c r="B2214" s="663"/>
      <c r="C2214" s="663"/>
      <c r="D2214" s="663"/>
      <c r="E2214" s="663"/>
    </row>
    <row r="2215" spans="1:5" x14ac:dyDescent="0.2">
      <c r="A2215"/>
      <c r="B2215" s="663"/>
      <c r="C2215" s="663"/>
      <c r="D2215" s="663"/>
      <c r="E2215" s="663"/>
    </row>
    <row r="2216" spans="1:5" x14ac:dyDescent="0.2">
      <c r="A2216"/>
      <c r="B2216" s="663"/>
      <c r="C2216" s="663"/>
      <c r="D2216" s="663"/>
      <c r="E2216" s="663"/>
    </row>
    <row r="2217" spans="1:5" x14ac:dyDescent="0.2">
      <c r="A2217"/>
      <c r="B2217" s="663"/>
      <c r="C2217" s="663"/>
      <c r="D2217" s="663"/>
      <c r="E2217" s="663"/>
    </row>
    <row r="2218" spans="1:5" x14ac:dyDescent="0.2">
      <c r="A2218"/>
      <c r="B2218" s="663"/>
      <c r="C2218" s="663"/>
      <c r="D2218" s="663"/>
      <c r="E2218" s="663"/>
    </row>
    <row r="2219" spans="1:5" x14ac:dyDescent="0.2">
      <c r="A2219"/>
      <c r="B2219" s="663"/>
      <c r="C2219" s="663"/>
      <c r="D2219" s="663"/>
      <c r="E2219" s="663"/>
    </row>
    <row r="2220" spans="1:5" x14ac:dyDescent="0.2">
      <c r="A2220"/>
      <c r="B2220" s="663"/>
      <c r="C2220" s="663"/>
      <c r="D2220" s="663"/>
      <c r="E2220" s="663"/>
    </row>
    <row r="2221" spans="1:5" x14ac:dyDescent="0.2">
      <c r="A2221"/>
      <c r="B2221" s="663"/>
      <c r="C2221" s="663"/>
      <c r="D2221" s="663"/>
      <c r="E2221" s="663"/>
    </row>
    <row r="2222" spans="1:5" x14ac:dyDescent="0.2">
      <c r="A2222"/>
      <c r="B2222" s="663"/>
      <c r="C2222" s="663"/>
      <c r="D2222" s="663"/>
      <c r="E2222" s="663"/>
    </row>
    <row r="2223" spans="1:5" x14ac:dyDescent="0.2">
      <c r="A2223"/>
      <c r="B2223" s="663"/>
      <c r="C2223" s="663"/>
      <c r="D2223" s="663"/>
      <c r="E2223" s="663"/>
    </row>
    <row r="2224" spans="1:5" x14ac:dyDescent="0.2">
      <c r="A2224"/>
      <c r="B2224" s="663"/>
      <c r="C2224" s="663"/>
      <c r="D2224" s="663"/>
      <c r="E2224" s="663"/>
    </row>
    <row r="2225" spans="1:5" x14ac:dyDescent="0.2">
      <c r="A2225"/>
      <c r="B2225" s="663"/>
      <c r="C2225" s="663"/>
      <c r="D2225" s="663"/>
      <c r="E2225" s="663"/>
    </row>
    <row r="2226" spans="1:5" x14ac:dyDescent="0.2">
      <c r="A2226"/>
      <c r="B2226" s="663"/>
      <c r="C2226" s="663"/>
      <c r="D2226" s="663"/>
      <c r="E2226" s="663"/>
    </row>
    <row r="2227" spans="1:5" x14ac:dyDescent="0.2">
      <c r="A2227"/>
      <c r="B2227" s="663"/>
      <c r="C2227" s="663"/>
      <c r="D2227" s="663"/>
      <c r="E2227" s="663"/>
    </row>
    <row r="2228" spans="1:5" x14ac:dyDescent="0.2">
      <c r="A2228"/>
      <c r="B2228" s="663"/>
      <c r="C2228" s="663"/>
      <c r="D2228" s="663"/>
      <c r="E2228" s="663"/>
    </row>
    <row r="2229" spans="1:5" x14ac:dyDescent="0.2">
      <c r="A2229"/>
      <c r="B2229" s="663"/>
      <c r="C2229" s="663"/>
      <c r="D2229" s="663"/>
      <c r="E2229" s="663"/>
    </row>
    <row r="2230" spans="1:5" x14ac:dyDescent="0.2">
      <c r="A2230"/>
      <c r="B2230" s="663"/>
      <c r="C2230" s="663"/>
      <c r="D2230" s="663"/>
      <c r="E2230" s="663"/>
    </row>
    <row r="2231" spans="1:5" x14ac:dyDescent="0.2">
      <c r="A2231"/>
      <c r="B2231" s="663"/>
      <c r="C2231" s="663"/>
      <c r="D2231" s="663"/>
      <c r="E2231" s="663"/>
    </row>
    <row r="2232" spans="1:5" x14ac:dyDescent="0.2">
      <c r="A2232"/>
      <c r="B2232" s="663"/>
      <c r="C2232" s="663"/>
      <c r="D2232" s="663"/>
      <c r="E2232" s="663"/>
    </row>
    <row r="2233" spans="1:5" x14ac:dyDescent="0.2">
      <c r="A2233"/>
      <c r="B2233" s="663"/>
      <c r="C2233" s="663"/>
      <c r="D2233" s="663"/>
      <c r="E2233" s="663"/>
    </row>
    <row r="2234" spans="1:5" x14ac:dyDescent="0.2">
      <c r="A2234"/>
      <c r="B2234" s="663"/>
      <c r="C2234" s="663"/>
      <c r="D2234" s="663"/>
      <c r="E2234" s="663"/>
    </row>
    <row r="2235" spans="1:5" x14ac:dyDescent="0.2">
      <c r="A2235"/>
      <c r="B2235" s="663"/>
      <c r="C2235" s="663"/>
      <c r="D2235" s="663"/>
      <c r="E2235" s="663"/>
    </row>
    <row r="2236" spans="1:5" x14ac:dyDescent="0.2">
      <c r="A2236"/>
      <c r="B2236" s="663"/>
      <c r="C2236" s="663"/>
      <c r="D2236" s="663"/>
      <c r="E2236" s="663"/>
    </row>
    <row r="2237" spans="1:5" x14ac:dyDescent="0.2">
      <c r="A2237"/>
      <c r="B2237" s="663"/>
      <c r="C2237" s="663"/>
      <c r="D2237" s="663"/>
      <c r="E2237" s="663"/>
    </row>
    <row r="2238" spans="1:5" x14ac:dyDescent="0.2">
      <c r="A2238"/>
      <c r="B2238" s="663"/>
      <c r="C2238" s="663"/>
      <c r="D2238" s="663"/>
      <c r="E2238" s="663"/>
    </row>
    <row r="2239" spans="1:5" x14ac:dyDescent="0.2">
      <c r="A2239"/>
      <c r="B2239" s="663"/>
      <c r="C2239" s="663"/>
      <c r="D2239" s="663"/>
      <c r="E2239" s="663"/>
    </row>
    <row r="2240" spans="1:5" x14ac:dyDescent="0.2">
      <c r="A2240"/>
      <c r="B2240" s="663"/>
      <c r="C2240" s="663"/>
      <c r="D2240" s="663"/>
      <c r="E2240" s="663"/>
    </row>
    <row r="2241" spans="1:5" x14ac:dyDescent="0.2">
      <c r="A2241"/>
      <c r="B2241" s="663"/>
      <c r="C2241" s="663"/>
      <c r="D2241" s="663"/>
      <c r="E2241" s="663"/>
    </row>
    <row r="2242" spans="1:5" x14ac:dyDescent="0.2">
      <c r="A2242"/>
      <c r="B2242" s="663"/>
      <c r="C2242" s="663"/>
      <c r="D2242" s="663"/>
      <c r="E2242" s="663"/>
    </row>
    <row r="2243" spans="1:5" x14ac:dyDescent="0.2">
      <c r="A2243"/>
      <c r="B2243" s="663"/>
      <c r="C2243" s="663"/>
      <c r="D2243" s="663"/>
      <c r="E2243" s="663"/>
    </row>
    <row r="2244" spans="1:5" x14ac:dyDescent="0.2">
      <c r="A2244"/>
      <c r="B2244" s="663"/>
      <c r="C2244" s="663"/>
      <c r="D2244" s="663"/>
      <c r="E2244" s="663"/>
    </row>
    <row r="2245" spans="1:5" x14ac:dyDescent="0.2">
      <c r="A2245"/>
      <c r="B2245" s="663"/>
      <c r="C2245" s="663"/>
      <c r="D2245" s="663"/>
      <c r="E2245" s="663"/>
    </row>
    <row r="2246" spans="1:5" x14ac:dyDescent="0.2">
      <c r="A2246"/>
      <c r="B2246" s="663"/>
      <c r="C2246" s="663"/>
      <c r="D2246" s="663"/>
      <c r="E2246" s="663"/>
    </row>
    <row r="2247" spans="1:5" x14ac:dyDescent="0.2">
      <c r="A2247"/>
      <c r="B2247" s="663"/>
      <c r="C2247" s="663"/>
      <c r="D2247" s="663"/>
      <c r="E2247" s="663"/>
    </row>
    <row r="2248" spans="1:5" x14ac:dyDescent="0.2">
      <c r="A2248"/>
      <c r="B2248" s="663"/>
      <c r="C2248" s="663"/>
      <c r="D2248" s="663"/>
      <c r="E2248" s="663"/>
    </row>
    <row r="2249" spans="1:5" x14ac:dyDescent="0.2">
      <c r="A2249"/>
      <c r="B2249" s="663"/>
      <c r="C2249" s="663"/>
      <c r="D2249" s="663"/>
      <c r="E2249" s="663"/>
    </row>
    <row r="2250" spans="1:5" x14ac:dyDescent="0.2">
      <c r="A2250"/>
      <c r="B2250" s="663"/>
      <c r="C2250" s="663"/>
      <c r="D2250" s="663"/>
      <c r="E2250" s="663"/>
    </row>
    <row r="2251" spans="1:5" x14ac:dyDescent="0.2">
      <c r="A2251"/>
      <c r="B2251" s="663"/>
      <c r="C2251" s="663"/>
      <c r="D2251" s="663"/>
      <c r="E2251" s="663"/>
    </row>
    <row r="2252" spans="1:5" x14ac:dyDescent="0.2">
      <c r="A2252"/>
      <c r="B2252" s="663"/>
      <c r="C2252" s="663"/>
      <c r="D2252" s="663"/>
      <c r="E2252" s="663"/>
    </row>
    <row r="2253" spans="1:5" x14ac:dyDescent="0.2">
      <c r="A2253"/>
      <c r="B2253" s="663"/>
      <c r="C2253" s="663"/>
      <c r="D2253" s="663"/>
      <c r="E2253" s="663"/>
    </row>
    <row r="2254" spans="1:5" x14ac:dyDescent="0.2">
      <c r="A2254"/>
      <c r="B2254" s="663"/>
      <c r="C2254" s="663"/>
      <c r="D2254" s="663"/>
      <c r="E2254" s="663"/>
    </row>
    <row r="2255" spans="1:5" x14ac:dyDescent="0.2">
      <c r="A2255"/>
      <c r="B2255" s="663"/>
      <c r="C2255" s="663"/>
      <c r="D2255" s="663"/>
      <c r="E2255" s="663"/>
    </row>
    <row r="2256" spans="1:5" x14ac:dyDescent="0.2">
      <c r="A2256"/>
      <c r="B2256" s="663"/>
      <c r="C2256" s="663"/>
      <c r="D2256" s="663"/>
      <c r="E2256" s="663"/>
    </row>
    <row r="2257" spans="1:5" x14ac:dyDescent="0.2">
      <c r="A2257"/>
      <c r="B2257" s="663"/>
      <c r="C2257" s="663"/>
      <c r="D2257" s="663"/>
      <c r="E2257" s="663"/>
    </row>
    <row r="2258" spans="1:5" x14ac:dyDescent="0.2">
      <c r="A2258"/>
      <c r="B2258" s="663"/>
      <c r="C2258" s="663"/>
      <c r="D2258" s="663"/>
      <c r="E2258" s="663"/>
    </row>
    <row r="2259" spans="1:5" x14ac:dyDescent="0.2">
      <c r="A2259"/>
      <c r="B2259" s="663"/>
      <c r="C2259" s="663"/>
      <c r="D2259" s="663"/>
      <c r="E2259" s="663"/>
    </row>
    <row r="2260" spans="1:5" x14ac:dyDescent="0.2">
      <c r="A2260"/>
      <c r="B2260" s="663"/>
      <c r="C2260" s="663"/>
      <c r="D2260" s="663"/>
      <c r="E2260" s="663"/>
    </row>
    <row r="2261" spans="1:5" x14ac:dyDescent="0.2">
      <c r="A2261"/>
      <c r="B2261" s="663"/>
      <c r="C2261" s="663"/>
      <c r="D2261" s="663"/>
      <c r="E2261" s="663"/>
    </row>
    <row r="2262" spans="1:5" x14ac:dyDescent="0.2">
      <c r="A2262"/>
      <c r="B2262" s="663"/>
      <c r="C2262" s="663"/>
      <c r="D2262" s="663"/>
      <c r="E2262" s="663"/>
    </row>
    <row r="2263" spans="1:5" x14ac:dyDescent="0.2">
      <c r="A2263"/>
      <c r="B2263" s="663"/>
      <c r="C2263" s="663"/>
      <c r="D2263" s="663"/>
      <c r="E2263" s="663"/>
    </row>
    <row r="2264" spans="1:5" x14ac:dyDescent="0.2">
      <c r="A2264"/>
      <c r="B2264" s="663"/>
      <c r="C2264" s="663"/>
      <c r="D2264" s="663"/>
      <c r="E2264" s="663"/>
    </row>
    <row r="2265" spans="1:5" x14ac:dyDescent="0.2">
      <c r="A2265"/>
      <c r="B2265" s="663"/>
      <c r="C2265" s="663"/>
      <c r="D2265" s="663"/>
      <c r="E2265" s="663"/>
    </row>
    <row r="2266" spans="1:5" x14ac:dyDescent="0.2">
      <c r="A2266"/>
      <c r="B2266" s="663"/>
      <c r="C2266" s="663"/>
      <c r="D2266" s="663"/>
      <c r="E2266" s="663"/>
    </row>
    <row r="2267" spans="1:5" x14ac:dyDescent="0.2">
      <c r="A2267"/>
      <c r="B2267" s="663"/>
      <c r="C2267" s="663"/>
      <c r="D2267" s="663"/>
      <c r="E2267" s="663"/>
    </row>
    <row r="2268" spans="1:5" x14ac:dyDescent="0.2">
      <c r="A2268"/>
      <c r="B2268" s="663"/>
      <c r="C2268" s="663"/>
      <c r="D2268" s="663"/>
      <c r="E2268" s="663"/>
    </row>
    <row r="2269" spans="1:5" x14ac:dyDescent="0.2">
      <c r="A2269"/>
      <c r="B2269" s="663"/>
      <c r="C2269" s="663"/>
      <c r="D2269" s="663"/>
      <c r="E2269" s="663"/>
    </row>
    <row r="2270" spans="1:5" x14ac:dyDescent="0.2">
      <c r="A2270"/>
      <c r="B2270" s="663"/>
      <c r="C2270" s="663"/>
      <c r="D2270" s="663"/>
      <c r="E2270" s="663"/>
    </row>
    <row r="2271" spans="1:5" x14ac:dyDescent="0.2">
      <c r="A2271"/>
      <c r="B2271" s="663"/>
      <c r="C2271" s="663"/>
      <c r="D2271" s="663"/>
      <c r="E2271" s="663"/>
    </row>
    <row r="2272" spans="1:5" x14ac:dyDescent="0.2">
      <c r="A2272"/>
      <c r="B2272" s="663"/>
      <c r="C2272" s="663"/>
      <c r="D2272" s="663"/>
      <c r="E2272" s="663"/>
    </row>
    <row r="2273" spans="1:5" x14ac:dyDescent="0.2">
      <c r="A2273"/>
      <c r="B2273" s="663"/>
      <c r="C2273" s="663"/>
      <c r="D2273" s="663"/>
      <c r="E2273" s="663"/>
    </row>
    <row r="2274" spans="1:5" x14ac:dyDescent="0.2">
      <c r="A2274"/>
      <c r="B2274" s="663"/>
      <c r="C2274" s="663"/>
      <c r="D2274" s="663"/>
      <c r="E2274" s="663"/>
    </row>
    <row r="2275" spans="1:5" x14ac:dyDescent="0.2">
      <c r="A2275"/>
      <c r="B2275" s="663"/>
      <c r="C2275" s="663"/>
      <c r="D2275" s="663"/>
      <c r="E2275" s="663"/>
    </row>
    <row r="2276" spans="1:5" x14ac:dyDescent="0.2">
      <c r="A2276"/>
      <c r="B2276" s="663"/>
      <c r="C2276" s="663"/>
      <c r="D2276" s="663"/>
      <c r="E2276" s="663"/>
    </row>
    <row r="2277" spans="1:5" x14ac:dyDescent="0.2">
      <c r="A2277"/>
      <c r="B2277" s="663"/>
      <c r="C2277" s="663"/>
      <c r="D2277" s="663"/>
      <c r="E2277" s="663"/>
    </row>
    <row r="2278" spans="1:5" x14ac:dyDescent="0.2">
      <c r="A2278"/>
      <c r="B2278" s="663"/>
      <c r="C2278" s="663"/>
      <c r="D2278" s="663"/>
      <c r="E2278" s="663"/>
    </row>
    <row r="2279" spans="1:5" x14ac:dyDescent="0.2">
      <c r="A2279"/>
      <c r="B2279" s="663"/>
      <c r="C2279" s="663"/>
      <c r="D2279" s="663"/>
      <c r="E2279" s="663"/>
    </row>
    <row r="2280" spans="1:5" x14ac:dyDescent="0.2">
      <c r="A2280"/>
      <c r="B2280" s="663"/>
      <c r="C2280" s="663"/>
      <c r="D2280" s="663"/>
      <c r="E2280" s="663"/>
    </row>
    <row r="2281" spans="1:5" x14ac:dyDescent="0.2">
      <c r="A2281"/>
      <c r="B2281" s="663"/>
      <c r="C2281" s="663"/>
      <c r="D2281" s="663"/>
      <c r="E2281" s="663"/>
    </row>
    <row r="2282" spans="1:5" x14ac:dyDescent="0.2">
      <c r="A2282"/>
      <c r="B2282" s="663"/>
      <c r="C2282" s="663"/>
      <c r="D2282" s="663"/>
      <c r="E2282" s="663"/>
    </row>
    <row r="2283" spans="1:5" x14ac:dyDescent="0.2">
      <c r="A2283"/>
      <c r="B2283" s="663"/>
      <c r="C2283" s="663"/>
      <c r="D2283" s="663"/>
      <c r="E2283" s="663"/>
    </row>
    <row r="2284" spans="1:5" x14ac:dyDescent="0.2">
      <c r="A2284"/>
      <c r="B2284" s="663"/>
      <c r="C2284" s="663"/>
      <c r="D2284" s="663"/>
      <c r="E2284" s="663"/>
    </row>
    <row r="2285" spans="1:5" x14ac:dyDescent="0.2">
      <c r="A2285"/>
      <c r="B2285" s="663"/>
      <c r="C2285" s="663"/>
      <c r="D2285" s="663"/>
      <c r="E2285" s="663"/>
    </row>
    <row r="2286" spans="1:5" x14ac:dyDescent="0.2">
      <c r="A2286"/>
      <c r="B2286" s="663"/>
      <c r="C2286" s="663"/>
      <c r="D2286" s="663"/>
      <c r="E2286" s="663"/>
    </row>
    <row r="2287" spans="1:5" x14ac:dyDescent="0.2">
      <c r="A2287"/>
      <c r="B2287" s="663"/>
      <c r="C2287" s="663"/>
      <c r="D2287" s="663"/>
      <c r="E2287" s="663"/>
    </row>
    <row r="2288" spans="1:5" x14ac:dyDescent="0.2">
      <c r="A2288"/>
      <c r="B2288" s="663"/>
      <c r="C2288" s="663"/>
      <c r="D2288" s="663"/>
      <c r="E2288" s="663"/>
    </row>
    <row r="2289" spans="1:5" x14ac:dyDescent="0.2">
      <c r="A2289"/>
      <c r="B2289" s="663"/>
      <c r="C2289" s="663"/>
      <c r="D2289" s="663"/>
      <c r="E2289" s="663"/>
    </row>
    <row r="2290" spans="1:5" x14ac:dyDescent="0.2">
      <c r="A2290"/>
      <c r="B2290" s="663"/>
      <c r="C2290" s="663"/>
      <c r="D2290" s="663"/>
      <c r="E2290" s="663"/>
    </row>
    <row r="2291" spans="1:5" x14ac:dyDescent="0.2">
      <c r="A2291"/>
      <c r="B2291" s="663"/>
      <c r="C2291" s="663"/>
      <c r="D2291" s="663"/>
      <c r="E2291" s="663"/>
    </row>
    <row r="2292" spans="1:5" x14ac:dyDescent="0.2">
      <c r="A2292"/>
      <c r="B2292" s="663"/>
      <c r="C2292" s="663"/>
      <c r="D2292" s="663"/>
      <c r="E2292" s="663"/>
    </row>
    <row r="2293" spans="1:5" x14ac:dyDescent="0.2">
      <c r="A2293"/>
      <c r="B2293" s="663"/>
      <c r="C2293" s="663"/>
      <c r="D2293" s="663"/>
      <c r="E2293" s="663"/>
    </row>
    <row r="2294" spans="1:5" x14ac:dyDescent="0.2">
      <c r="A2294"/>
      <c r="B2294" s="663"/>
      <c r="C2294" s="663"/>
      <c r="D2294" s="663"/>
      <c r="E2294" s="663"/>
    </row>
    <row r="2295" spans="1:5" x14ac:dyDescent="0.2">
      <c r="A2295"/>
      <c r="B2295" s="663"/>
      <c r="C2295" s="663"/>
      <c r="D2295" s="663"/>
      <c r="E2295" s="663"/>
    </row>
    <row r="2296" spans="1:5" x14ac:dyDescent="0.2">
      <c r="A2296"/>
      <c r="B2296" s="663"/>
      <c r="C2296" s="663"/>
      <c r="D2296" s="663"/>
      <c r="E2296" s="663"/>
    </row>
    <row r="2297" spans="1:5" x14ac:dyDescent="0.2">
      <c r="A2297"/>
      <c r="B2297" s="663"/>
      <c r="C2297" s="663"/>
      <c r="D2297" s="663"/>
      <c r="E2297" s="663"/>
    </row>
    <row r="2298" spans="1:5" x14ac:dyDescent="0.2">
      <c r="A2298"/>
      <c r="B2298" s="663"/>
      <c r="C2298" s="663"/>
      <c r="D2298" s="663"/>
      <c r="E2298" s="663"/>
    </row>
    <row r="2299" spans="1:5" x14ac:dyDescent="0.2">
      <c r="A2299"/>
      <c r="B2299" s="663"/>
      <c r="C2299" s="663"/>
      <c r="D2299" s="663"/>
      <c r="E2299" s="663"/>
    </row>
    <row r="2300" spans="1:5" x14ac:dyDescent="0.2">
      <c r="A2300"/>
      <c r="B2300" s="663"/>
      <c r="C2300" s="663"/>
      <c r="D2300" s="663"/>
      <c r="E2300" s="663"/>
    </row>
    <row r="2301" spans="1:5" x14ac:dyDescent="0.2">
      <c r="A2301"/>
      <c r="B2301" s="663"/>
      <c r="C2301" s="663"/>
      <c r="D2301" s="663"/>
      <c r="E2301" s="663"/>
    </row>
    <row r="2302" spans="1:5" x14ac:dyDescent="0.2">
      <c r="A2302"/>
      <c r="B2302" s="663"/>
      <c r="C2302" s="663"/>
      <c r="D2302" s="663"/>
      <c r="E2302" s="663"/>
    </row>
    <row r="2303" spans="1:5" x14ac:dyDescent="0.2">
      <c r="A2303"/>
      <c r="B2303" s="663"/>
      <c r="C2303" s="663"/>
      <c r="D2303" s="663"/>
      <c r="E2303" s="663"/>
    </row>
    <row r="2304" spans="1:5" x14ac:dyDescent="0.2">
      <c r="A2304"/>
      <c r="B2304" s="663"/>
      <c r="C2304" s="663"/>
      <c r="D2304" s="663"/>
      <c r="E2304" s="663"/>
    </row>
    <row r="2305" spans="1:5" x14ac:dyDescent="0.2">
      <c r="A2305"/>
      <c r="B2305" s="663"/>
      <c r="C2305" s="663"/>
      <c r="D2305" s="663"/>
      <c r="E2305" s="663"/>
    </row>
    <row r="2306" spans="1:5" x14ac:dyDescent="0.2">
      <c r="A2306"/>
      <c r="B2306" s="663"/>
      <c r="C2306" s="663"/>
      <c r="D2306" s="663"/>
      <c r="E2306" s="663"/>
    </row>
    <row r="2307" spans="1:5" x14ac:dyDescent="0.2">
      <c r="A2307"/>
      <c r="B2307" s="663"/>
      <c r="C2307" s="663"/>
      <c r="D2307" s="663"/>
      <c r="E2307" s="663"/>
    </row>
    <row r="2308" spans="1:5" x14ac:dyDescent="0.2">
      <c r="A2308"/>
      <c r="B2308" s="663"/>
      <c r="C2308" s="663"/>
      <c r="D2308" s="663"/>
      <c r="E2308" s="663"/>
    </row>
    <row r="2309" spans="1:5" x14ac:dyDescent="0.2">
      <c r="A2309"/>
      <c r="B2309" s="663"/>
      <c r="C2309" s="663"/>
      <c r="D2309" s="663"/>
      <c r="E2309" s="663"/>
    </row>
    <row r="2310" spans="1:5" x14ac:dyDescent="0.2">
      <c r="A2310"/>
      <c r="B2310" s="663"/>
      <c r="C2310" s="663"/>
      <c r="D2310" s="663"/>
      <c r="E2310" s="663"/>
    </row>
    <row r="2311" spans="1:5" x14ac:dyDescent="0.2">
      <c r="A2311"/>
      <c r="B2311" s="663"/>
      <c r="C2311" s="663"/>
      <c r="D2311" s="663"/>
      <c r="E2311" s="663"/>
    </row>
    <row r="2312" spans="1:5" x14ac:dyDescent="0.2">
      <c r="A2312"/>
      <c r="B2312" s="663"/>
      <c r="C2312" s="663"/>
      <c r="D2312" s="663"/>
      <c r="E2312" s="663"/>
    </row>
    <row r="2313" spans="1:5" x14ac:dyDescent="0.2">
      <c r="A2313"/>
      <c r="B2313" s="663"/>
      <c r="C2313" s="663"/>
      <c r="D2313" s="663"/>
      <c r="E2313" s="663"/>
    </row>
    <row r="2314" spans="1:5" x14ac:dyDescent="0.2">
      <c r="A2314"/>
      <c r="B2314" s="663"/>
      <c r="C2314" s="663"/>
      <c r="D2314" s="663"/>
      <c r="E2314" s="663"/>
    </row>
    <row r="2315" spans="1:5" x14ac:dyDescent="0.2">
      <c r="A2315"/>
      <c r="B2315" s="663"/>
      <c r="C2315" s="663"/>
      <c r="D2315" s="663"/>
      <c r="E2315" s="663"/>
    </row>
    <row r="2316" spans="1:5" x14ac:dyDescent="0.2">
      <c r="A2316"/>
      <c r="B2316" s="663"/>
      <c r="C2316" s="663"/>
      <c r="D2316" s="663"/>
      <c r="E2316" s="663"/>
    </row>
    <row r="2317" spans="1:5" x14ac:dyDescent="0.2">
      <c r="A2317"/>
      <c r="B2317" s="663"/>
      <c r="C2317" s="663"/>
      <c r="D2317" s="663"/>
      <c r="E2317" s="663"/>
    </row>
    <row r="2318" spans="1:5" x14ac:dyDescent="0.2">
      <c r="A2318"/>
      <c r="B2318" s="663"/>
      <c r="C2318" s="663"/>
      <c r="D2318" s="663"/>
      <c r="E2318" s="663"/>
    </row>
    <row r="2319" spans="1:5" x14ac:dyDescent="0.2">
      <c r="A2319"/>
      <c r="B2319" s="663"/>
      <c r="C2319" s="663"/>
      <c r="D2319" s="663"/>
      <c r="E2319" s="663"/>
    </row>
    <row r="2320" spans="1:5" x14ac:dyDescent="0.2">
      <c r="A2320"/>
      <c r="B2320" s="663"/>
      <c r="C2320" s="663"/>
      <c r="D2320" s="663"/>
      <c r="E2320" s="663"/>
    </row>
    <row r="2321" spans="1:5" x14ac:dyDescent="0.2">
      <c r="A2321"/>
      <c r="B2321" s="663"/>
      <c r="C2321" s="663"/>
      <c r="D2321" s="663"/>
      <c r="E2321" s="663"/>
    </row>
    <row r="2322" spans="1:5" x14ac:dyDescent="0.2">
      <c r="A2322"/>
      <c r="B2322" s="663"/>
      <c r="C2322" s="663"/>
      <c r="D2322" s="663"/>
      <c r="E2322" s="663"/>
    </row>
    <row r="2323" spans="1:5" x14ac:dyDescent="0.2">
      <c r="A2323"/>
      <c r="B2323" s="663"/>
      <c r="C2323" s="663"/>
      <c r="D2323" s="663"/>
      <c r="E2323" s="663"/>
    </row>
    <row r="2324" spans="1:5" x14ac:dyDescent="0.2">
      <c r="A2324"/>
      <c r="B2324" s="663"/>
      <c r="C2324" s="663"/>
      <c r="D2324" s="663"/>
      <c r="E2324" s="663"/>
    </row>
    <row r="2325" spans="1:5" x14ac:dyDescent="0.2">
      <c r="A2325"/>
      <c r="B2325" s="663"/>
      <c r="C2325" s="663"/>
      <c r="D2325" s="663"/>
      <c r="E2325" s="663"/>
    </row>
    <row r="2326" spans="1:5" x14ac:dyDescent="0.2">
      <c r="A2326"/>
      <c r="B2326" s="663"/>
      <c r="C2326" s="663"/>
      <c r="D2326" s="663"/>
      <c r="E2326" s="663"/>
    </row>
    <row r="2327" spans="1:5" x14ac:dyDescent="0.2">
      <c r="A2327"/>
      <c r="B2327" s="663"/>
      <c r="C2327" s="663"/>
      <c r="D2327" s="663"/>
      <c r="E2327" s="663"/>
    </row>
    <row r="2328" spans="1:5" x14ac:dyDescent="0.2">
      <c r="A2328"/>
      <c r="B2328" s="663"/>
      <c r="C2328" s="663"/>
      <c r="D2328" s="663"/>
      <c r="E2328" s="663"/>
    </row>
    <row r="2329" spans="1:5" x14ac:dyDescent="0.2">
      <c r="A2329"/>
      <c r="B2329" s="663"/>
      <c r="C2329" s="663"/>
      <c r="D2329" s="663"/>
      <c r="E2329" s="663"/>
    </row>
    <row r="2330" spans="1:5" x14ac:dyDescent="0.2">
      <c r="A2330"/>
      <c r="B2330" s="663"/>
      <c r="C2330" s="663"/>
      <c r="D2330" s="663"/>
      <c r="E2330" s="663"/>
    </row>
    <row r="2331" spans="1:5" x14ac:dyDescent="0.2">
      <c r="A2331"/>
      <c r="B2331" s="663"/>
      <c r="C2331" s="663"/>
      <c r="D2331" s="663"/>
      <c r="E2331" s="663"/>
    </row>
    <row r="2332" spans="1:5" x14ac:dyDescent="0.2">
      <c r="A2332"/>
      <c r="B2332" s="663"/>
      <c r="C2332" s="663"/>
      <c r="D2332" s="663"/>
      <c r="E2332" s="663"/>
    </row>
    <row r="2333" spans="1:5" x14ac:dyDescent="0.2">
      <c r="A2333"/>
      <c r="B2333" s="663"/>
      <c r="C2333" s="663"/>
      <c r="D2333" s="663"/>
      <c r="E2333" s="663"/>
    </row>
    <row r="2334" spans="1:5" x14ac:dyDescent="0.2">
      <c r="A2334"/>
      <c r="B2334" s="663"/>
      <c r="C2334" s="663"/>
      <c r="D2334" s="663"/>
      <c r="E2334" s="663"/>
    </row>
    <row r="2335" spans="1:5" x14ac:dyDescent="0.2">
      <c r="A2335"/>
      <c r="B2335" s="663"/>
      <c r="C2335" s="663"/>
      <c r="D2335" s="663"/>
      <c r="E2335" s="663"/>
    </row>
    <row r="2336" spans="1:5" x14ac:dyDescent="0.2">
      <c r="A2336"/>
      <c r="B2336" s="663"/>
      <c r="C2336" s="663"/>
      <c r="D2336" s="663"/>
      <c r="E2336" s="663"/>
    </row>
    <row r="2337" spans="1:5" x14ac:dyDescent="0.2">
      <c r="A2337"/>
      <c r="B2337" s="663"/>
      <c r="C2337" s="663"/>
      <c r="D2337" s="663"/>
      <c r="E2337" s="663"/>
    </row>
    <row r="2338" spans="1:5" x14ac:dyDescent="0.2">
      <c r="A2338"/>
      <c r="B2338" s="663"/>
      <c r="C2338" s="663"/>
      <c r="D2338" s="663"/>
      <c r="E2338" s="663"/>
    </row>
    <row r="2339" spans="1:5" x14ac:dyDescent="0.2">
      <c r="A2339"/>
      <c r="B2339" s="663"/>
      <c r="C2339" s="663"/>
      <c r="D2339" s="663"/>
      <c r="E2339" s="663"/>
    </row>
    <row r="2340" spans="1:5" x14ac:dyDescent="0.2">
      <c r="A2340"/>
      <c r="B2340" s="663"/>
      <c r="C2340" s="663"/>
      <c r="D2340" s="663"/>
      <c r="E2340" s="663"/>
    </row>
    <row r="2341" spans="1:5" x14ac:dyDescent="0.2">
      <c r="A2341"/>
      <c r="B2341" s="663"/>
      <c r="C2341" s="663"/>
      <c r="D2341" s="663"/>
      <c r="E2341" s="663"/>
    </row>
    <row r="2342" spans="1:5" x14ac:dyDescent="0.2">
      <c r="A2342"/>
      <c r="B2342" s="663"/>
      <c r="C2342" s="663"/>
      <c r="D2342" s="663"/>
      <c r="E2342" s="663"/>
    </row>
    <row r="2343" spans="1:5" x14ac:dyDescent="0.2">
      <c r="A2343"/>
      <c r="B2343" s="663"/>
      <c r="C2343" s="663"/>
      <c r="D2343" s="663"/>
      <c r="E2343" s="663"/>
    </row>
    <row r="2344" spans="1:5" x14ac:dyDescent="0.2">
      <c r="A2344"/>
      <c r="B2344" s="663"/>
      <c r="C2344" s="663"/>
      <c r="D2344" s="663"/>
      <c r="E2344" s="663"/>
    </row>
    <row r="2345" spans="1:5" x14ac:dyDescent="0.2">
      <c r="A2345"/>
      <c r="B2345" s="663"/>
      <c r="C2345" s="663"/>
      <c r="D2345" s="663"/>
      <c r="E2345" s="663"/>
    </row>
    <row r="2346" spans="1:5" x14ac:dyDescent="0.2">
      <c r="A2346"/>
      <c r="B2346" s="663"/>
      <c r="C2346" s="663"/>
      <c r="D2346" s="663"/>
      <c r="E2346" s="663"/>
    </row>
    <row r="2347" spans="1:5" x14ac:dyDescent="0.2">
      <c r="A2347"/>
      <c r="B2347" s="663"/>
      <c r="C2347" s="663"/>
      <c r="D2347" s="663"/>
      <c r="E2347" s="663"/>
    </row>
    <row r="2348" spans="1:5" x14ac:dyDescent="0.2">
      <c r="A2348"/>
      <c r="B2348" s="663"/>
      <c r="C2348" s="663"/>
      <c r="D2348" s="663"/>
      <c r="E2348" s="663"/>
    </row>
    <row r="2349" spans="1:5" x14ac:dyDescent="0.2">
      <c r="A2349"/>
      <c r="B2349" s="663"/>
      <c r="C2349" s="663"/>
      <c r="D2349" s="663"/>
      <c r="E2349" s="663"/>
    </row>
    <row r="2350" spans="1:5" x14ac:dyDescent="0.2">
      <c r="A2350"/>
      <c r="B2350" s="663"/>
      <c r="C2350" s="663"/>
      <c r="D2350" s="663"/>
      <c r="E2350" s="663"/>
    </row>
    <row r="2351" spans="1:5" x14ac:dyDescent="0.2">
      <c r="A2351"/>
      <c r="B2351" s="663"/>
      <c r="C2351" s="663"/>
      <c r="D2351" s="663"/>
      <c r="E2351" s="663"/>
    </row>
    <row r="2352" spans="1:5" x14ac:dyDescent="0.2">
      <c r="A2352"/>
      <c r="B2352" s="663"/>
      <c r="C2352" s="663"/>
      <c r="D2352" s="663"/>
      <c r="E2352" s="663"/>
    </row>
    <row r="2353" spans="1:5" x14ac:dyDescent="0.2">
      <c r="A2353"/>
      <c r="B2353" s="663"/>
      <c r="C2353" s="663"/>
      <c r="D2353" s="663"/>
      <c r="E2353" s="663"/>
    </row>
    <row r="2354" spans="1:5" x14ac:dyDescent="0.2">
      <c r="A2354"/>
      <c r="B2354" s="663"/>
      <c r="C2354" s="663"/>
      <c r="D2354" s="663"/>
      <c r="E2354" s="663"/>
    </row>
    <row r="2355" spans="1:5" x14ac:dyDescent="0.2">
      <c r="A2355"/>
      <c r="B2355" s="663"/>
      <c r="C2355" s="663"/>
      <c r="D2355" s="663"/>
      <c r="E2355" s="663"/>
    </row>
    <row r="2356" spans="1:5" x14ac:dyDescent="0.2">
      <c r="A2356"/>
      <c r="B2356" s="663"/>
      <c r="C2356" s="663"/>
      <c r="D2356" s="663"/>
      <c r="E2356" s="663"/>
    </row>
    <row r="2357" spans="1:5" x14ac:dyDescent="0.2">
      <c r="A2357"/>
      <c r="B2357" s="663"/>
      <c r="C2357" s="663"/>
      <c r="D2357" s="663"/>
      <c r="E2357" s="663"/>
    </row>
    <row r="2358" spans="1:5" x14ac:dyDescent="0.2">
      <c r="A2358"/>
      <c r="B2358" s="663"/>
      <c r="C2358" s="663"/>
      <c r="D2358" s="663"/>
      <c r="E2358" s="663"/>
    </row>
    <row r="2359" spans="1:5" x14ac:dyDescent="0.2">
      <c r="A2359"/>
      <c r="B2359" s="663"/>
      <c r="C2359" s="663"/>
      <c r="D2359" s="663"/>
      <c r="E2359" s="663"/>
    </row>
    <row r="2360" spans="1:5" x14ac:dyDescent="0.2">
      <c r="A2360"/>
      <c r="B2360" s="663"/>
      <c r="C2360" s="663"/>
      <c r="D2360" s="663"/>
      <c r="E2360" s="663"/>
    </row>
    <row r="2361" spans="1:5" x14ac:dyDescent="0.2">
      <c r="A2361"/>
      <c r="B2361" s="663"/>
      <c r="C2361" s="663"/>
      <c r="D2361" s="663"/>
      <c r="E2361" s="663"/>
    </row>
    <row r="2362" spans="1:5" x14ac:dyDescent="0.2">
      <c r="A2362"/>
      <c r="B2362" s="663"/>
      <c r="C2362" s="663"/>
      <c r="D2362" s="663"/>
      <c r="E2362" s="663"/>
    </row>
    <row r="2363" spans="1:5" x14ac:dyDescent="0.2">
      <c r="A2363"/>
      <c r="B2363" s="663"/>
      <c r="C2363" s="663"/>
      <c r="D2363" s="663"/>
      <c r="E2363" s="663"/>
    </row>
    <row r="2364" spans="1:5" x14ac:dyDescent="0.2">
      <c r="A2364"/>
      <c r="B2364" s="663"/>
      <c r="C2364" s="663"/>
      <c r="D2364" s="663"/>
      <c r="E2364" s="663"/>
    </row>
    <row r="2365" spans="1:5" x14ac:dyDescent="0.2">
      <c r="A2365"/>
      <c r="B2365" s="663"/>
      <c r="C2365" s="663"/>
      <c r="D2365" s="663"/>
      <c r="E2365" s="663"/>
    </row>
    <row r="2366" spans="1:5" x14ac:dyDescent="0.2">
      <c r="A2366"/>
      <c r="B2366" s="663"/>
      <c r="C2366" s="663"/>
      <c r="D2366" s="663"/>
      <c r="E2366" s="663"/>
    </row>
    <row r="2367" spans="1:5" x14ac:dyDescent="0.2">
      <c r="A2367"/>
      <c r="B2367" s="663"/>
      <c r="C2367" s="663"/>
      <c r="D2367" s="663"/>
      <c r="E2367" s="663"/>
    </row>
    <row r="2368" spans="1:5" x14ac:dyDescent="0.2">
      <c r="A2368"/>
      <c r="B2368" s="663"/>
      <c r="C2368" s="663"/>
      <c r="D2368" s="663"/>
      <c r="E2368" s="663"/>
    </row>
    <row r="2369" spans="1:5" x14ac:dyDescent="0.2">
      <c r="A2369"/>
      <c r="B2369" s="663"/>
      <c r="C2369" s="663"/>
      <c r="D2369" s="663"/>
      <c r="E2369" s="663"/>
    </row>
    <row r="2370" spans="1:5" x14ac:dyDescent="0.2">
      <c r="A2370"/>
      <c r="B2370" s="663"/>
      <c r="C2370" s="663"/>
      <c r="D2370" s="663"/>
      <c r="E2370" s="663"/>
    </row>
    <row r="2371" spans="1:5" x14ac:dyDescent="0.2">
      <c r="A2371"/>
      <c r="B2371" s="663"/>
      <c r="C2371" s="663"/>
      <c r="D2371" s="663"/>
      <c r="E2371" s="663"/>
    </row>
    <row r="2372" spans="1:5" x14ac:dyDescent="0.2">
      <c r="A2372"/>
      <c r="B2372" s="663"/>
      <c r="C2372" s="663"/>
      <c r="D2372" s="663"/>
      <c r="E2372" s="663"/>
    </row>
    <row r="2373" spans="1:5" x14ac:dyDescent="0.2">
      <c r="A2373"/>
      <c r="B2373" s="663"/>
      <c r="C2373" s="663"/>
      <c r="D2373" s="663"/>
      <c r="E2373" s="663"/>
    </row>
    <row r="2374" spans="1:5" x14ac:dyDescent="0.2">
      <c r="A2374"/>
      <c r="B2374" s="663"/>
      <c r="C2374" s="663"/>
      <c r="D2374" s="663"/>
      <c r="E2374" s="663"/>
    </row>
    <row r="2375" spans="1:5" x14ac:dyDescent="0.2">
      <c r="A2375"/>
      <c r="B2375" s="663"/>
      <c r="C2375" s="663"/>
      <c r="D2375" s="663"/>
      <c r="E2375" s="663"/>
    </row>
    <row r="2376" spans="1:5" x14ac:dyDescent="0.2">
      <c r="A2376"/>
      <c r="B2376" s="663"/>
      <c r="C2376" s="663"/>
      <c r="D2376" s="663"/>
      <c r="E2376" s="663"/>
    </row>
    <row r="2377" spans="1:5" x14ac:dyDescent="0.2">
      <c r="A2377"/>
      <c r="B2377" s="663"/>
      <c r="C2377" s="663"/>
      <c r="D2377" s="663"/>
      <c r="E2377" s="663"/>
    </row>
    <row r="2378" spans="1:5" x14ac:dyDescent="0.2">
      <c r="A2378"/>
      <c r="B2378" s="663"/>
      <c r="C2378" s="663"/>
      <c r="D2378" s="663"/>
      <c r="E2378" s="663"/>
    </row>
    <row r="2379" spans="1:5" x14ac:dyDescent="0.2">
      <c r="A2379"/>
      <c r="B2379" s="663"/>
      <c r="C2379" s="663"/>
      <c r="D2379" s="663"/>
      <c r="E2379" s="663"/>
    </row>
    <row r="2380" spans="1:5" x14ac:dyDescent="0.2">
      <c r="A2380"/>
      <c r="B2380" s="663"/>
      <c r="C2380" s="663"/>
      <c r="D2380" s="663"/>
      <c r="E2380" s="663"/>
    </row>
    <row r="2381" spans="1:5" x14ac:dyDescent="0.2">
      <c r="A2381"/>
      <c r="B2381" s="663"/>
      <c r="C2381" s="663"/>
      <c r="D2381" s="663"/>
      <c r="E2381" s="663"/>
    </row>
    <row r="2382" spans="1:5" x14ac:dyDescent="0.2">
      <c r="A2382"/>
      <c r="B2382" s="663"/>
      <c r="C2382" s="663"/>
      <c r="D2382" s="663"/>
      <c r="E2382" s="663"/>
    </row>
    <row r="2383" spans="1:5" x14ac:dyDescent="0.2">
      <c r="A2383"/>
      <c r="B2383" s="663"/>
      <c r="C2383" s="663"/>
      <c r="D2383" s="663"/>
      <c r="E2383" s="663"/>
    </row>
    <row r="2384" spans="1:5" x14ac:dyDescent="0.2">
      <c r="A2384"/>
      <c r="B2384" s="663"/>
      <c r="C2384" s="663"/>
      <c r="D2384" s="663"/>
      <c r="E2384" s="663"/>
    </row>
    <row r="2385" spans="1:5" x14ac:dyDescent="0.2">
      <c r="A2385"/>
      <c r="B2385" s="663"/>
      <c r="C2385" s="663"/>
      <c r="D2385" s="663"/>
      <c r="E2385" s="663"/>
    </row>
    <row r="2386" spans="1:5" x14ac:dyDescent="0.2">
      <c r="A2386"/>
      <c r="B2386" s="663"/>
      <c r="C2386" s="663"/>
      <c r="D2386" s="663"/>
      <c r="E2386" s="663"/>
    </row>
    <row r="2387" spans="1:5" x14ac:dyDescent="0.2">
      <c r="A2387"/>
      <c r="B2387" s="663"/>
      <c r="C2387" s="663"/>
      <c r="D2387" s="663"/>
      <c r="E2387" s="663"/>
    </row>
    <row r="2388" spans="1:5" x14ac:dyDescent="0.2">
      <c r="A2388"/>
      <c r="B2388" s="663"/>
      <c r="C2388" s="663"/>
      <c r="D2388" s="663"/>
      <c r="E2388" s="663"/>
    </row>
    <row r="2389" spans="1:5" x14ac:dyDescent="0.2">
      <c r="A2389"/>
      <c r="B2389" s="663"/>
      <c r="C2389" s="663"/>
      <c r="D2389" s="663"/>
      <c r="E2389" s="663"/>
    </row>
    <row r="2390" spans="1:5" x14ac:dyDescent="0.2">
      <c r="A2390"/>
      <c r="B2390" s="663"/>
      <c r="C2390" s="663"/>
      <c r="D2390" s="663"/>
      <c r="E2390" s="663"/>
    </row>
    <row r="2391" spans="1:5" x14ac:dyDescent="0.2">
      <c r="A2391"/>
      <c r="B2391" s="663"/>
      <c r="C2391" s="663"/>
      <c r="D2391" s="663"/>
      <c r="E2391" s="663"/>
    </row>
    <row r="2392" spans="1:5" x14ac:dyDescent="0.2">
      <c r="A2392"/>
      <c r="B2392" s="663"/>
      <c r="C2392" s="663"/>
      <c r="D2392" s="663"/>
      <c r="E2392" s="663"/>
    </row>
    <row r="2393" spans="1:5" x14ac:dyDescent="0.2">
      <c r="A2393"/>
      <c r="B2393" s="663"/>
      <c r="C2393" s="663"/>
      <c r="D2393" s="663"/>
      <c r="E2393" s="663"/>
    </row>
    <row r="2394" spans="1:5" x14ac:dyDescent="0.2">
      <c r="A2394"/>
      <c r="B2394" s="663"/>
      <c r="C2394" s="663"/>
      <c r="D2394" s="663"/>
      <c r="E2394" s="663"/>
    </row>
    <row r="2395" spans="1:5" x14ac:dyDescent="0.2">
      <c r="A2395"/>
      <c r="B2395" s="663"/>
      <c r="C2395" s="663"/>
      <c r="D2395" s="663"/>
      <c r="E2395" s="663"/>
    </row>
    <row r="2396" spans="1:5" x14ac:dyDescent="0.2">
      <c r="A2396"/>
      <c r="B2396" s="663"/>
      <c r="C2396" s="663"/>
      <c r="D2396" s="663"/>
      <c r="E2396" s="663"/>
    </row>
    <row r="2397" spans="1:5" x14ac:dyDescent="0.2">
      <c r="A2397"/>
      <c r="B2397" s="663"/>
      <c r="C2397" s="663"/>
      <c r="D2397" s="663"/>
      <c r="E2397" s="663"/>
    </row>
    <row r="2398" spans="1:5" x14ac:dyDescent="0.2">
      <c r="A2398"/>
      <c r="B2398" s="663"/>
      <c r="C2398" s="663"/>
      <c r="D2398" s="663"/>
      <c r="E2398" s="663"/>
    </row>
    <row r="2399" spans="1:5" x14ac:dyDescent="0.2">
      <c r="A2399"/>
      <c r="B2399" s="663"/>
      <c r="C2399" s="663"/>
      <c r="D2399" s="663"/>
      <c r="E2399" s="663"/>
    </row>
    <row r="2400" spans="1:5" x14ac:dyDescent="0.2">
      <c r="A2400"/>
      <c r="B2400" s="663"/>
      <c r="C2400" s="663"/>
      <c r="D2400" s="663"/>
      <c r="E2400" s="663"/>
    </row>
    <row r="2401" spans="1:5" x14ac:dyDescent="0.2">
      <c r="A2401"/>
      <c r="B2401" s="663"/>
      <c r="C2401" s="663"/>
      <c r="D2401" s="663"/>
      <c r="E2401" s="663"/>
    </row>
    <row r="2402" spans="1:5" x14ac:dyDescent="0.2">
      <c r="A2402"/>
      <c r="B2402" s="663"/>
      <c r="C2402" s="663"/>
      <c r="D2402" s="663"/>
      <c r="E2402" s="663"/>
    </row>
    <row r="2403" spans="1:5" x14ac:dyDescent="0.2">
      <c r="A2403"/>
      <c r="B2403" s="663"/>
      <c r="C2403" s="663"/>
      <c r="D2403" s="663"/>
      <c r="E2403" s="663"/>
    </row>
    <row r="2404" spans="1:5" x14ac:dyDescent="0.2">
      <c r="A2404"/>
      <c r="B2404" s="663"/>
      <c r="C2404" s="663"/>
      <c r="D2404" s="663"/>
      <c r="E2404" s="663"/>
    </row>
    <row r="2405" spans="1:5" x14ac:dyDescent="0.2">
      <c r="A2405"/>
      <c r="B2405" s="663"/>
      <c r="C2405" s="663"/>
      <c r="D2405" s="663"/>
      <c r="E2405" s="663"/>
    </row>
    <row r="2406" spans="1:5" x14ac:dyDescent="0.2">
      <c r="A2406"/>
      <c r="B2406" s="663"/>
      <c r="C2406" s="663"/>
      <c r="D2406" s="663"/>
      <c r="E2406" s="663"/>
    </row>
    <row r="2407" spans="1:5" x14ac:dyDescent="0.2">
      <c r="A2407"/>
      <c r="B2407" s="663"/>
      <c r="C2407" s="663"/>
      <c r="D2407" s="663"/>
      <c r="E2407" s="663"/>
    </row>
    <row r="2408" spans="1:5" x14ac:dyDescent="0.2">
      <c r="A2408"/>
      <c r="B2408" s="663"/>
      <c r="C2408" s="663"/>
      <c r="D2408" s="663"/>
      <c r="E2408" s="663"/>
    </row>
    <row r="2409" spans="1:5" x14ac:dyDescent="0.2">
      <c r="A2409"/>
      <c r="B2409" s="663"/>
      <c r="C2409" s="663"/>
      <c r="D2409" s="663"/>
      <c r="E2409" s="663"/>
    </row>
    <row r="2410" spans="1:5" x14ac:dyDescent="0.2">
      <c r="A2410"/>
      <c r="B2410" s="663"/>
      <c r="C2410" s="663"/>
      <c r="D2410" s="663"/>
      <c r="E2410" s="663"/>
    </row>
    <row r="2411" spans="1:5" x14ac:dyDescent="0.2">
      <c r="A2411"/>
      <c r="B2411" s="663"/>
      <c r="C2411" s="663"/>
      <c r="D2411" s="663"/>
      <c r="E2411" s="663"/>
    </row>
    <row r="2412" spans="1:5" x14ac:dyDescent="0.2">
      <c r="A2412"/>
      <c r="B2412" s="663"/>
      <c r="C2412" s="663"/>
      <c r="D2412" s="663"/>
      <c r="E2412" s="663"/>
    </row>
    <row r="2413" spans="1:5" x14ac:dyDescent="0.2">
      <c r="A2413"/>
      <c r="B2413" s="663"/>
      <c r="C2413" s="663"/>
      <c r="D2413" s="663"/>
      <c r="E2413" s="663"/>
    </row>
    <row r="2414" spans="1:5" x14ac:dyDescent="0.2">
      <c r="A2414"/>
      <c r="B2414" s="663"/>
      <c r="C2414" s="663"/>
      <c r="D2414" s="663"/>
      <c r="E2414" s="663"/>
    </row>
    <row r="2415" spans="1:5" x14ac:dyDescent="0.2">
      <c r="A2415"/>
      <c r="B2415" s="663"/>
      <c r="C2415" s="663"/>
      <c r="D2415" s="663"/>
      <c r="E2415" s="663"/>
    </row>
    <row r="2416" spans="1:5" x14ac:dyDescent="0.2">
      <c r="A2416"/>
      <c r="B2416" s="663"/>
      <c r="C2416" s="663"/>
      <c r="D2416" s="663"/>
      <c r="E2416" s="663"/>
    </row>
    <row r="2417" spans="1:5" x14ac:dyDescent="0.2">
      <c r="A2417"/>
      <c r="B2417" s="663"/>
      <c r="C2417" s="663"/>
      <c r="D2417" s="663"/>
      <c r="E2417" s="663"/>
    </row>
    <row r="2418" spans="1:5" x14ac:dyDescent="0.2">
      <c r="A2418"/>
      <c r="B2418" s="663"/>
      <c r="C2418" s="663"/>
      <c r="D2418" s="663"/>
      <c r="E2418" s="663"/>
    </row>
    <row r="2419" spans="1:5" x14ac:dyDescent="0.2">
      <c r="A2419"/>
      <c r="B2419" s="663"/>
      <c r="C2419" s="663"/>
      <c r="D2419" s="663"/>
      <c r="E2419" s="663"/>
    </row>
    <row r="2420" spans="1:5" x14ac:dyDescent="0.2">
      <c r="A2420"/>
      <c r="B2420" s="663"/>
      <c r="C2420" s="663"/>
      <c r="D2420" s="663"/>
      <c r="E2420" s="663"/>
    </row>
    <row r="2421" spans="1:5" x14ac:dyDescent="0.2">
      <c r="A2421"/>
      <c r="B2421" s="663"/>
      <c r="C2421" s="663"/>
      <c r="D2421" s="663"/>
      <c r="E2421" s="663"/>
    </row>
    <row r="2422" spans="1:5" x14ac:dyDescent="0.2">
      <c r="A2422"/>
      <c r="B2422" s="663"/>
      <c r="C2422" s="663"/>
      <c r="D2422" s="663"/>
      <c r="E2422" s="663"/>
    </row>
    <row r="2423" spans="1:5" x14ac:dyDescent="0.2">
      <c r="A2423"/>
      <c r="B2423" s="663"/>
      <c r="C2423" s="663"/>
      <c r="D2423" s="663"/>
      <c r="E2423" s="663"/>
    </row>
    <row r="2424" spans="1:5" x14ac:dyDescent="0.2">
      <c r="A2424"/>
      <c r="B2424" s="663"/>
      <c r="C2424" s="663"/>
      <c r="D2424" s="663"/>
      <c r="E2424" s="663"/>
    </row>
    <row r="2425" spans="1:5" x14ac:dyDescent="0.2">
      <c r="A2425"/>
      <c r="B2425" s="663"/>
      <c r="C2425" s="663"/>
      <c r="D2425" s="663"/>
      <c r="E2425" s="663"/>
    </row>
    <row r="2426" spans="1:5" x14ac:dyDescent="0.2">
      <c r="A2426"/>
      <c r="B2426" s="663"/>
      <c r="C2426" s="663"/>
      <c r="D2426" s="663"/>
      <c r="E2426" s="663"/>
    </row>
    <row r="2427" spans="1:5" x14ac:dyDescent="0.2">
      <c r="A2427"/>
      <c r="B2427" s="663"/>
      <c r="C2427" s="663"/>
      <c r="D2427" s="663"/>
      <c r="E2427" s="663"/>
    </row>
    <row r="2428" spans="1:5" x14ac:dyDescent="0.2">
      <c r="A2428"/>
      <c r="B2428" s="663"/>
      <c r="C2428" s="663"/>
      <c r="D2428" s="663"/>
      <c r="E2428" s="663"/>
    </row>
    <row r="2429" spans="1:5" x14ac:dyDescent="0.2">
      <c r="A2429"/>
      <c r="B2429" s="663"/>
      <c r="C2429" s="663"/>
      <c r="D2429" s="663"/>
      <c r="E2429" s="663"/>
    </row>
    <row r="2430" spans="1:5" x14ac:dyDescent="0.2">
      <c r="A2430"/>
      <c r="B2430" s="663"/>
      <c r="C2430" s="663"/>
      <c r="D2430" s="663"/>
      <c r="E2430" s="663"/>
    </row>
    <row r="2431" spans="1:5" x14ac:dyDescent="0.2">
      <c r="A2431"/>
      <c r="B2431" s="663"/>
      <c r="C2431" s="663"/>
      <c r="D2431" s="663"/>
      <c r="E2431" s="663"/>
    </row>
    <row r="2432" spans="1:5" x14ac:dyDescent="0.2">
      <c r="A2432"/>
      <c r="B2432" s="663"/>
      <c r="C2432" s="663"/>
      <c r="D2432" s="663"/>
      <c r="E2432" s="663"/>
    </row>
    <row r="2433" spans="1:5" x14ac:dyDescent="0.2">
      <c r="A2433"/>
      <c r="B2433" s="663"/>
      <c r="C2433" s="663"/>
      <c r="D2433" s="663"/>
      <c r="E2433" s="663"/>
    </row>
    <row r="2434" spans="1:5" x14ac:dyDescent="0.2">
      <c r="A2434"/>
      <c r="B2434" s="663"/>
      <c r="C2434" s="663"/>
      <c r="D2434" s="663"/>
      <c r="E2434" s="663"/>
    </row>
    <row r="2435" spans="1:5" x14ac:dyDescent="0.2">
      <c r="A2435"/>
      <c r="B2435" s="663"/>
      <c r="C2435" s="663"/>
      <c r="D2435" s="663"/>
      <c r="E2435" s="663"/>
    </row>
    <row r="2436" spans="1:5" x14ac:dyDescent="0.2">
      <c r="A2436"/>
      <c r="B2436" s="663"/>
      <c r="C2436" s="663"/>
      <c r="D2436" s="663"/>
      <c r="E2436" s="663"/>
    </row>
    <row r="2437" spans="1:5" x14ac:dyDescent="0.2">
      <c r="A2437"/>
      <c r="B2437" s="663"/>
      <c r="C2437" s="663"/>
      <c r="D2437" s="663"/>
      <c r="E2437" s="663"/>
    </row>
    <row r="2438" spans="1:5" x14ac:dyDescent="0.2">
      <c r="A2438"/>
      <c r="B2438" s="663"/>
      <c r="C2438" s="663"/>
      <c r="D2438" s="663"/>
      <c r="E2438" s="663"/>
    </row>
    <row r="2439" spans="1:5" x14ac:dyDescent="0.2">
      <c r="A2439"/>
      <c r="B2439" s="663"/>
      <c r="C2439" s="663"/>
      <c r="D2439" s="663"/>
      <c r="E2439" s="663"/>
    </row>
    <row r="2440" spans="1:5" x14ac:dyDescent="0.2">
      <c r="A2440"/>
      <c r="B2440" s="663"/>
      <c r="C2440" s="663"/>
      <c r="D2440" s="663"/>
      <c r="E2440" s="663"/>
    </row>
    <row r="2441" spans="1:5" x14ac:dyDescent="0.2">
      <c r="A2441"/>
      <c r="B2441" s="663"/>
      <c r="C2441" s="663"/>
      <c r="D2441" s="663"/>
      <c r="E2441" s="663"/>
    </row>
    <row r="2442" spans="1:5" x14ac:dyDescent="0.2">
      <c r="A2442"/>
      <c r="B2442" s="663"/>
      <c r="C2442" s="663"/>
      <c r="D2442" s="663"/>
      <c r="E2442" s="663"/>
    </row>
    <row r="2443" spans="1:5" x14ac:dyDescent="0.2">
      <c r="A2443"/>
      <c r="B2443" s="663"/>
      <c r="C2443" s="663"/>
      <c r="D2443" s="663"/>
      <c r="E2443" s="663"/>
    </row>
    <row r="2444" spans="1:5" x14ac:dyDescent="0.2">
      <c r="A2444"/>
      <c r="B2444" s="663"/>
      <c r="C2444" s="663"/>
      <c r="D2444" s="663"/>
      <c r="E2444" s="663"/>
    </row>
    <row r="2445" spans="1:5" x14ac:dyDescent="0.2">
      <c r="A2445"/>
      <c r="B2445" s="663"/>
      <c r="C2445" s="663"/>
      <c r="D2445" s="663"/>
      <c r="E2445" s="663"/>
    </row>
    <row r="2446" spans="1:5" x14ac:dyDescent="0.2">
      <c r="A2446"/>
      <c r="B2446" s="663"/>
      <c r="C2446" s="663"/>
      <c r="D2446" s="663"/>
      <c r="E2446" s="663"/>
    </row>
    <row r="2447" spans="1:5" x14ac:dyDescent="0.2">
      <c r="A2447"/>
      <c r="B2447" s="663"/>
      <c r="C2447" s="663"/>
      <c r="D2447" s="663"/>
      <c r="E2447" s="663"/>
    </row>
    <row r="2448" spans="1:5" x14ac:dyDescent="0.2">
      <c r="A2448"/>
      <c r="B2448" s="663"/>
      <c r="C2448" s="663"/>
      <c r="D2448" s="663"/>
      <c r="E2448" s="663"/>
    </row>
    <row r="2449" spans="1:5" x14ac:dyDescent="0.2">
      <c r="A2449"/>
      <c r="B2449" s="663"/>
      <c r="C2449" s="663"/>
      <c r="D2449" s="663"/>
      <c r="E2449" s="663"/>
    </row>
    <row r="2450" spans="1:5" x14ac:dyDescent="0.2">
      <c r="A2450"/>
      <c r="B2450" s="663"/>
      <c r="C2450" s="663"/>
      <c r="D2450" s="663"/>
      <c r="E2450" s="663"/>
    </row>
    <row r="2451" spans="1:5" x14ac:dyDescent="0.2">
      <c r="A2451"/>
      <c r="B2451" s="663"/>
      <c r="C2451" s="663"/>
      <c r="D2451" s="663"/>
      <c r="E2451" s="663"/>
    </row>
    <row r="2452" spans="1:5" x14ac:dyDescent="0.2">
      <c r="A2452"/>
      <c r="B2452" s="663"/>
      <c r="C2452" s="663"/>
      <c r="D2452" s="663"/>
      <c r="E2452" s="663"/>
    </row>
    <row r="2453" spans="1:5" x14ac:dyDescent="0.2">
      <c r="A2453"/>
      <c r="B2453" s="663"/>
      <c r="C2453" s="663"/>
      <c r="D2453" s="663"/>
      <c r="E2453" s="663"/>
    </row>
    <row r="2454" spans="1:5" x14ac:dyDescent="0.2">
      <c r="A2454"/>
      <c r="B2454" s="663"/>
      <c r="C2454" s="663"/>
      <c r="D2454" s="663"/>
      <c r="E2454" s="663"/>
    </row>
    <row r="2455" spans="1:5" x14ac:dyDescent="0.2">
      <c r="A2455"/>
      <c r="B2455" s="663"/>
      <c r="C2455" s="663"/>
      <c r="D2455" s="663"/>
      <c r="E2455" s="663"/>
    </row>
    <row r="2456" spans="1:5" x14ac:dyDescent="0.2">
      <c r="A2456"/>
      <c r="B2456" s="663"/>
      <c r="C2456" s="663"/>
      <c r="D2456" s="663"/>
      <c r="E2456" s="663"/>
    </row>
    <row r="2457" spans="1:5" x14ac:dyDescent="0.2">
      <c r="A2457"/>
      <c r="B2457" s="663"/>
      <c r="C2457" s="663"/>
      <c r="D2457" s="663"/>
      <c r="E2457" s="663"/>
    </row>
    <row r="2458" spans="1:5" x14ac:dyDescent="0.2">
      <c r="A2458"/>
      <c r="B2458" s="663"/>
      <c r="C2458" s="663"/>
      <c r="D2458" s="663"/>
      <c r="E2458" s="663"/>
    </row>
    <row r="2459" spans="1:5" x14ac:dyDescent="0.2">
      <c r="A2459"/>
      <c r="B2459" s="663"/>
      <c r="C2459" s="663"/>
      <c r="D2459" s="663"/>
      <c r="E2459" s="663"/>
    </row>
    <row r="2460" spans="1:5" x14ac:dyDescent="0.2">
      <c r="A2460"/>
      <c r="B2460" s="663"/>
      <c r="C2460" s="663"/>
      <c r="D2460" s="663"/>
      <c r="E2460" s="663"/>
    </row>
    <row r="2461" spans="1:5" x14ac:dyDescent="0.2">
      <c r="A2461"/>
      <c r="B2461" s="663"/>
      <c r="C2461" s="663"/>
      <c r="D2461" s="663"/>
      <c r="E2461" s="663"/>
    </row>
    <row r="2462" spans="1:5" x14ac:dyDescent="0.2">
      <c r="A2462"/>
      <c r="B2462" s="663"/>
      <c r="C2462" s="663"/>
      <c r="D2462" s="663"/>
      <c r="E2462" s="663"/>
    </row>
    <row r="2463" spans="1:5" x14ac:dyDescent="0.2">
      <c r="A2463"/>
      <c r="B2463" s="663"/>
      <c r="C2463" s="663"/>
      <c r="D2463" s="663"/>
      <c r="E2463" s="663"/>
    </row>
    <row r="2464" spans="1:5" x14ac:dyDescent="0.2">
      <c r="A2464"/>
      <c r="B2464" s="663"/>
      <c r="C2464" s="663"/>
      <c r="D2464" s="663"/>
      <c r="E2464" s="663"/>
    </row>
    <row r="2465" spans="1:5" x14ac:dyDescent="0.2">
      <c r="A2465"/>
      <c r="B2465" s="663"/>
      <c r="C2465" s="663"/>
      <c r="D2465" s="663"/>
      <c r="E2465" s="663"/>
    </row>
    <row r="2466" spans="1:5" x14ac:dyDescent="0.2">
      <c r="A2466"/>
      <c r="B2466" s="663"/>
      <c r="C2466" s="663"/>
      <c r="D2466" s="663"/>
      <c r="E2466" s="663"/>
    </row>
    <row r="2467" spans="1:5" x14ac:dyDescent="0.2">
      <c r="A2467"/>
      <c r="B2467" s="663"/>
      <c r="C2467" s="663"/>
      <c r="D2467" s="663"/>
      <c r="E2467" s="663"/>
    </row>
    <row r="2468" spans="1:5" x14ac:dyDescent="0.2">
      <c r="A2468"/>
      <c r="B2468" s="663"/>
      <c r="C2468" s="663"/>
      <c r="D2468" s="663"/>
      <c r="E2468" s="663"/>
    </row>
    <row r="2469" spans="1:5" x14ac:dyDescent="0.2">
      <c r="A2469"/>
      <c r="B2469" s="663"/>
      <c r="C2469" s="663"/>
      <c r="D2469" s="663"/>
      <c r="E2469" s="663"/>
    </row>
    <row r="2470" spans="1:5" x14ac:dyDescent="0.2">
      <c r="A2470"/>
      <c r="B2470" s="663"/>
      <c r="C2470" s="663"/>
      <c r="D2470" s="663"/>
      <c r="E2470" s="663"/>
    </row>
    <row r="2471" spans="1:5" x14ac:dyDescent="0.2">
      <c r="A2471"/>
      <c r="B2471" s="663"/>
      <c r="C2471" s="663"/>
      <c r="D2471" s="663"/>
      <c r="E2471" s="663"/>
    </row>
    <row r="2472" spans="1:5" x14ac:dyDescent="0.2">
      <c r="A2472"/>
      <c r="B2472" s="663"/>
      <c r="C2472" s="663"/>
      <c r="D2472" s="663"/>
      <c r="E2472" s="663"/>
    </row>
    <row r="2473" spans="1:5" x14ac:dyDescent="0.2">
      <c r="A2473"/>
      <c r="B2473" s="663"/>
      <c r="C2473" s="663"/>
      <c r="D2473" s="663"/>
      <c r="E2473" s="663"/>
    </row>
    <row r="2474" spans="1:5" x14ac:dyDescent="0.2">
      <c r="A2474"/>
      <c r="B2474" s="663"/>
      <c r="C2474" s="663"/>
      <c r="D2474" s="663"/>
      <c r="E2474" s="663"/>
    </row>
    <row r="2475" spans="1:5" x14ac:dyDescent="0.2">
      <c r="A2475"/>
      <c r="B2475" s="663"/>
      <c r="C2475" s="663"/>
      <c r="D2475" s="663"/>
      <c r="E2475" s="663"/>
    </row>
    <row r="2476" spans="1:5" x14ac:dyDescent="0.2">
      <c r="A2476"/>
      <c r="B2476" s="663"/>
      <c r="C2476" s="663"/>
      <c r="D2476" s="663"/>
      <c r="E2476" s="663"/>
    </row>
    <row r="2477" spans="1:5" x14ac:dyDescent="0.2">
      <c r="A2477"/>
      <c r="B2477" s="663"/>
      <c r="C2477" s="663"/>
      <c r="D2477" s="663"/>
      <c r="E2477" s="663"/>
    </row>
    <row r="2478" spans="1:5" x14ac:dyDescent="0.2">
      <c r="A2478"/>
      <c r="B2478" s="663"/>
      <c r="C2478" s="663"/>
      <c r="D2478" s="663"/>
      <c r="E2478" s="663"/>
    </row>
    <row r="2479" spans="1:5" x14ac:dyDescent="0.2">
      <c r="A2479"/>
      <c r="B2479" s="663"/>
      <c r="C2479" s="663"/>
      <c r="D2479" s="663"/>
      <c r="E2479" s="663"/>
    </row>
    <row r="2480" spans="1:5" x14ac:dyDescent="0.2">
      <c r="A2480"/>
      <c r="B2480" s="663"/>
      <c r="C2480" s="663"/>
      <c r="D2480" s="663"/>
      <c r="E2480" s="663"/>
    </row>
    <row r="2481" spans="1:5" x14ac:dyDescent="0.2">
      <c r="A2481"/>
      <c r="B2481" s="663"/>
      <c r="C2481" s="663"/>
      <c r="D2481" s="663"/>
      <c r="E2481" s="663"/>
    </row>
    <row r="2482" spans="1:5" x14ac:dyDescent="0.2">
      <c r="A2482"/>
      <c r="B2482" s="663"/>
      <c r="C2482" s="663"/>
      <c r="D2482" s="663"/>
      <c r="E2482" s="663"/>
    </row>
    <row r="2483" spans="1:5" x14ac:dyDescent="0.2">
      <c r="A2483"/>
      <c r="B2483" s="663"/>
      <c r="C2483" s="663"/>
      <c r="D2483" s="663"/>
      <c r="E2483" s="663"/>
    </row>
    <row r="2484" spans="1:5" x14ac:dyDescent="0.2">
      <c r="A2484"/>
      <c r="B2484" s="663"/>
      <c r="C2484" s="663"/>
      <c r="D2484" s="663"/>
      <c r="E2484" s="663"/>
    </row>
    <row r="2485" spans="1:5" x14ac:dyDescent="0.2">
      <c r="A2485"/>
      <c r="B2485" s="663"/>
      <c r="C2485" s="663"/>
      <c r="D2485" s="663"/>
      <c r="E2485" s="663"/>
    </row>
    <row r="2486" spans="1:5" x14ac:dyDescent="0.2">
      <c r="A2486"/>
      <c r="B2486" s="663"/>
      <c r="C2486" s="663"/>
      <c r="D2486" s="663"/>
      <c r="E2486" s="663"/>
    </row>
    <row r="2487" spans="1:5" x14ac:dyDescent="0.2">
      <c r="A2487"/>
      <c r="B2487" s="663"/>
      <c r="C2487" s="663"/>
      <c r="D2487" s="663"/>
      <c r="E2487" s="663"/>
    </row>
    <row r="2488" spans="1:5" x14ac:dyDescent="0.2">
      <c r="A2488"/>
      <c r="B2488" s="663"/>
      <c r="C2488" s="663"/>
      <c r="D2488" s="663"/>
      <c r="E2488" s="663"/>
    </row>
    <row r="2489" spans="1:5" x14ac:dyDescent="0.2">
      <c r="A2489"/>
      <c r="B2489" s="663"/>
      <c r="C2489" s="663"/>
      <c r="D2489" s="663"/>
      <c r="E2489" s="663"/>
    </row>
    <row r="2490" spans="1:5" x14ac:dyDescent="0.2">
      <c r="A2490"/>
      <c r="B2490" s="663"/>
      <c r="C2490" s="663"/>
      <c r="D2490" s="663"/>
      <c r="E2490" s="663"/>
    </row>
    <row r="2491" spans="1:5" x14ac:dyDescent="0.2">
      <c r="A2491"/>
      <c r="B2491" s="663"/>
      <c r="C2491" s="663"/>
      <c r="D2491" s="663"/>
      <c r="E2491" s="663"/>
    </row>
    <row r="2492" spans="1:5" x14ac:dyDescent="0.2">
      <c r="A2492"/>
      <c r="B2492" s="663"/>
      <c r="C2492" s="663"/>
      <c r="D2492" s="663"/>
      <c r="E2492" s="663"/>
    </row>
    <row r="2493" spans="1:5" x14ac:dyDescent="0.2">
      <c r="A2493"/>
      <c r="B2493" s="663"/>
      <c r="C2493" s="663"/>
      <c r="D2493" s="663"/>
      <c r="E2493" s="663"/>
    </row>
    <row r="2494" spans="1:5" x14ac:dyDescent="0.2">
      <c r="A2494"/>
      <c r="B2494" s="663"/>
      <c r="C2494" s="663"/>
      <c r="D2494" s="663"/>
      <c r="E2494" s="663"/>
    </row>
    <row r="2495" spans="1:5" x14ac:dyDescent="0.2">
      <c r="A2495"/>
      <c r="B2495" s="663"/>
      <c r="C2495" s="663"/>
      <c r="D2495" s="663"/>
      <c r="E2495" s="663"/>
    </row>
    <row r="2496" spans="1:5" x14ac:dyDescent="0.2">
      <c r="A2496"/>
      <c r="B2496" s="663"/>
      <c r="C2496" s="663"/>
      <c r="D2496" s="663"/>
      <c r="E2496" s="663"/>
    </row>
    <row r="2497" spans="1:5" x14ac:dyDescent="0.2">
      <c r="A2497"/>
      <c r="B2497" s="663"/>
      <c r="C2497" s="663"/>
      <c r="D2497" s="663"/>
      <c r="E2497" s="663"/>
    </row>
    <row r="2498" spans="1:5" x14ac:dyDescent="0.2">
      <c r="A2498"/>
      <c r="B2498" s="663"/>
      <c r="C2498" s="663"/>
      <c r="D2498" s="663"/>
      <c r="E2498" s="663"/>
    </row>
    <row r="2499" spans="1:5" x14ac:dyDescent="0.2">
      <c r="A2499"/>
      <c r="B2499" s="663"/>
      <c r="C2499" s="663"/>
      <c r="D2499" s="663"/>
      <c r="E2499" s="663"/>
    </row>
    <row r="2500" spans="1:5" x14ac:dyDescent="0.2">
      <c r="A2500"/>
      <c r="B2500" s="663"/>
      <c r="C2500" s="663"/>
      <c r="D2500" s="663"/>
      <c r="E2500" s="663"/>
    </row>
    <row r="2501" spans="1:5" x14ac:dyDescent="0.2">
      <c r="A2501"/>
      <c r="B2501" s="663"/>
      <c r="C2501" s="663"/>
      <c r="D2501" s="663"/>
      <c r="E2501" s="663"/>
    </row>
    <row r="2502" spans="1:5" x14ac:dyDescent="0.2">
      <c r="A2502"/>
      <c r="B2502" s="663"/>
      <c r="C2502" s="663"/>
      <c r="D2502" s="663"/>
      <c r="E2502" s="663"/>
    </row>
    <row r="2503" spans="1:5" x14ac:dyDescent="0.2">
      <c r="A2503"/>
      <c r="B2503" s="663"/>
      <c r="C2503" s="663"/>
      <c r="D2503" s="663"/>
      <c r="E2503" s="663"/>
    </row>
    <row r="2504" spans="1:5" x14ac:dyDescent="0.2">
      <c r="A2504"/>
      <c r="B2504" s="663"/>
      <c r="C2504" s="663"/>
      <c r="D2504" s="663"/>
      <c r="E2504" s="663"/>
    </row>
    <row r="2505" spans="1:5" x14ac:dyDescent="0.2">
      <c r="A2505"/>
      <c r="B2505" s="663"/>
      <c r="C2505" s="663"/>
      <c r="D2505" s="663"/>
      <c r="E2505" s="663"/>
    </row>
    <row r="2506" spans="1:5" x14ac:dyDescent="0.2">
      <c r="A2506"/>
      <c r="B2506" s="663"/>
      <c r="C2506" s="663"/>
      <c r="D2506" s="663"/>
      <c r="E2506" s="663"/>
    </row>
    <row r="2507" spans="1:5" x14ac:dyDescent="0.2">
      <c r="A2507"/>
      <c r="B2507" s="663"/>
      <c r="C2507" s="663"/>
      <c r="D2507" s="663"/>
      <c r="E2507" s="663"/>
    </row>
    <row r="2508" spans="1:5" x14ac:dyDescent="0.2">
      <c r="A2508"/>
      <c r="B2508" s="663"/>
      <c r="C2508" s="663"/>
      <c r="D2508" s="663"/>
      <c r="E2508" s="663"/>
    </row>
    <row r="2509" spans="1:5" x14ac:dyDescent="0.2">
      <c r="A2509"/>
      <c r="B2509" s="663"/>
      <c r="C2509" s="663"/>
      <c r="D2509" s="663"/>
      <c r="E2509" s="663"/>
    </row>
    <row r="2510" spans="1:5" x14ac:dyDescent="0.2">
      <c r="A2510"/>
      <c r="B2510" s="663"/>
      <c r="C2510" s="663"/>
      <c r="D2510" s="663"/>
      <c r="E2510" s="663"/>
    </row>
    <row r="2511" spans="1:5" x14ac:dyDescent="0.2">
      <c r="A2511"/>
      <c r="B2511" s="663"/>
      <c r="C2511" s="663"/>
      <c r="D2511" s="663"/>
      <c r="E2511" s="663"/>
    </row>
    <row r="2512" spans="1:5" x14ac:dyDescent="0.2">
      <c r="A2512"/>
      <c r="B2512" s="663"/>
      <c r="C2512" s="663"/>
      <c r="D2512" s="663"/>
      <c r="E2512" s="663"/>
    </row>
    <row r="2513" spans="1:5" x14ac:dyDescent="0.2">
      <c r="A2513"/>
      <c r="B2513" s="663"/>
      <c r="C2513" s="663"/>
      <c r="D2513" s="663"/>
      <c r="E2513" s="663"/>
    </row>
    <row r="2514" spans="1:5" x14ac:dyDescent="0.2">
      <c r="A2514"/>
      <c r="B2514" s="663"/>
      <c r="C2514" s="663"/>
      <c r="D2514" s="663"/>
      <c r="E2514" s="663"/>
    </row>
    <row r="2515" spans="1:5" x14ac:dyDescent="0.2">
      <c r="A2515"/>
      <c r="B2515" s="663"/>
      <c r="C2515" s="663"/>
      <c r="D2515" s="663"/>
      <c r="E2515" s="663"/>
    </row>
    <row r="2516" spans="1:5" x14ac:dyDescent="0.2">
      <c r="A2516"/>
      <c r="B2516" s="663"/>
      <c r="C2516" s="663"/>
      <c r="D2516" s="663"/>
      <c r="E2516" s="663"/>
    </row>
    <row r="2517" spans="1:5" x14ac:dyDescent="0.2">
      <c r="A2517"/>
      <c r="B2517" s="663"/>
      <c r="C2517" s="663"/>
      <c r="D2517" s="663"/>
      <c r="E2517" s="663"/>
    </row>
    <row r="2518" spans="1:5" x14ac:dyDescent="0.2">
      <c r="A2518"/>
      <c r="B2518" s="663"/>
      <c r="C2518" s="663"/>
      <c r="D2518" s="663"/>
      <c r="E2518" s="663"/>
    </row>
    <row r="2519" spans="1:5" x14ac:dyDescent="0.2">
      <c r="A2519"/>
      <c r="B2519" s="663"/>
      <c r="C2519" s="663"/>
      <c r="D2519" s="663"/>
      <c r="E2519" s="663"/>
    </row>
    <row r="2520" spans="1:5" x14ac:dyDescent="0.2">
      <c r="A2520"/>
      <c r="B2520" s="663"/>
      <c r="C2520" s="663"/>
      <c r="D2520" s="663"/>
      <c r="E2520" s="663"/>
    </row>
    <row r="2521" spans="1:5" x14ac:dyDescent="0.2">
      <c r="A2521"/>
      <c r="B2521" s="663"/>
      <c r="C2521" s="663"/>
      <c r="D2521" s="663"/>
      <c r="E2521" s="663"/>
    </row>
    <row r="2522" spans="1:5" x14ac:dyDescent="0.2">
      <c r="A2522"/>
      <c r="B2522" s="663"/>
      <c r="C2522" s="663"/>
      <c r="D2522" s="663"/>
      <c r="E2522" s="663"/>
    </row>
    <row r="2523" spans="1:5" x14ac:dyDescent="0.2">
      <c r="A2523"/>
      <c r="B2523" s="663"/>
      <c r="C2523" s="663"/>
      <c r="D2523" s="663"/>
      <c r="E2523" s="663"/>
    </row>
    <row r="2524" spans="1:5" x14ac:dyDescent="0.2">
      <c r="A2524"/>
      <c r="B2524" s="663"/>
      <c r="C2524" s="663"/>
      <c r="D2524" s="663"/>
      <c r="E2524" s="663"/>
    </row>
    <row r="2525" spans="1:5" x14ac:dyDescent="0.2">
      <c r="A2525"/>
      <c r="B2525" s="663"/>
      <c r="C2525" s="663"/>
      <c r="D2525" s="663"/>
      <c r="E2525" s="663"/>
    </row>
    <row r="2526" spans="1:5" x14ac:dyDescent="0.2">
      <c r="A2526"/>
      <c r="B2526" s="663"/>
      <c r="C2526" s="663"/>
      <c r="D2526" s="663"/>
      <c r="E2526" s="663"/>
    </row>
    <row r="2527" spans="1:5" x14ac:dyDescent="0.2">
      <c r="A2527"/>
      <c r="B2527" s="663"/>
      <c r="C2527" s="663"/>
      <c r="D2527" s="663"/>
      <c r="E2527" s="663"/>
    </row>
    <row r="2528" spans="1:5" x14ac:dyDescent="0.2">
      <c r="A2528"/>
      <c r="B2528" s="663"/>
      <c r="C2528" s="663"/>
      <c r="D2528" s="663"/>
      <c r="E2528" s="663"/>
    </row>
    <row r="2529" spans="1:5" x14ac:dyDescent="0.2">
      <c r="A2529"/>
      <c r="B2529" s="663"/>
      <c r="C2529" s="663"/>
      <c r="D2529" s="663"/>
      <c r="E2529" s="663"/>
    </row>
    <row r="2530" spans="1:5" x14ac:dyDescent="0.2">
      <c r="A2530"/>
      <c r="B2530" s="663"/>
      <c r="C2530" s="663"/>
      <c r="D2530" s="663"/>
      <c r="E2530" s="663"/>
    </row>
    <row r="2531" spans="1:5" x14ac:dyDescent="0.2">
      <c r="A2531"/>
      <c r="B2531" s="663"/>
      <c r="C2531" s="663"/>
      <c r="D2531" s="663"/>
      <c r="E2531" s="663"/>
    </row>
    <row r="2532" spans="1:5" x14ac:dyDescent="0.2">
      <c r="A2532"/>
      <c r="B2532" s="663"/>
      <c r="C2532" s="663"/>
      <c r="D2532" s="663"/>
      <c r="E2532" s="663"/>
    </row>
    <row r="2533" spans="1:5" x14ac:dyDescent="0.2">
      <c r="A2533"/>
      <c r="B2533" s="663"/>
      <c r="C2533" s="663"/>
      <c r="D2533" s="663"/>
      <c r="E2533" s="663"/>
    </row>
    <row r="2534" spans="1:5" x14ac:dyDescent="0.2">
      <c r="A2534"/>
      <c r="B2534" s="663"/>
      <c r="C2534" s="663"/>
      <c r="D2534" s="663"/>
      <c r="E2534" s="663"/>
    </row>
    <row r="2535" spans="1:5" x14ac:dyDescent="0.2">
      <c r="A2535"/>
      <c r="B2535" s="663"/>
      <c r="C2535" s="663"/>
      <c r="D2535" s="663"/>
      <c r="E2535" s="663"/>
    </row>
    <row r="2536" spans="1:5" x14ac:dyDescent="0.2">
      <c r="A2536"/>
      <c r="B2536" s="663"/>
      <c r="C2536" s="663"/>
      <c r="D2536" s="663"/>
      <c r="E2536" s="663"/>
    </row>
    <row r="2537" spans="1:5" x14ac:dyDescent="0.2">
      <c r="A2537"/>
      <c r="B2537" s="663"/>
      <c r="C2537" s="663"/>
      <c r="D2537" s="663"/>
      <c r="E2537" s="663"/>
    </row>
    <row r="2538" spans="1:5" x14ac:dyDescent="0.2">
      <c r="A2538"/>
      <c r="B2538" s="663"/>
      <c r="C2538" s="663"/>
      <c r="D2538" s="663"/>
      <c r="E2538" s="663"/>
    </row>
    <row r="2539" spans="1:5" x14ac:dyDescent="0.2">
      <c r="A2539"/>
      <c r="B2539" s="663"/>
      <c r="C2539" s="663"/>
      <c r="D2539" s="663"/>
      <c r="E2539" s="663"/>
    </row>
    <row r="2540" spans="1:5" x14ac:dyDescent="0.2">
      <c r="A2540"/>
      <c r="B2540" s="663"/>
      <c r="C2540" s="663"/>
      <c r="D2540" s="663"/>
      <c r="E2540" s="663"/>
    </row>
    <row r="2541" spans="1:5" x14ac:dyDescent="0.2">
      <c r="A2541"/>
      <c r="B2541" s="663"/>
      <c r="C2541" s="663"/>
      <c r="D2541" s="663"/>
      <c r="E2541" s="663"/>
    </row>
    <row r="2542" spans="1:5" x14ac:dyDescent="0.2">
      <c r="A2542"/>
      <c r="B2542" s="663"/>
      <c r="C2542" s="663"/>
      <c r="D2542" s="663"/>
      <c r="E2542" s="663"/>
    </row>
    <row r="2543" spans="1:5" x14ac:dyDescent="0.2">
      <c r="A2543"/>
      <c r="B2543" s="663"/>
      <c r="C2543" s="663"/>
      <c r="D2543" s="663"/>
      <c r="E2543" s="663"/>
    </row>
    <row r="2544" spans="1:5" x14ac:dyDescent="0.2">
      <c r="A2544"/>
      <c r="B2544" s="663"/>
      <c r="C2544" s="663"/>
      <c r="D2544" s="663"/>
      <c r="E2544" s="663"/>
    </row>
    <row r="2545" spans="1:5" x14ac:dyDescent="0.2">
      <c r="A2545"/>
      <c r="B2545" s="663"/>
      <c r="C2545" s="663"/>
      <c r="D2545" s="663"/>
      <c r="E2545" s="663"/>
    </row>
    <row r="2546" spans="1:5" x14ac:dyDescent="0.2">
      <c r="A2546"/>
      <c r="B2546" s="663"/>
      <c r="C2546" s="663"/>
      <c r="D2546" s="663"/>
      <c r="E2546" s="663"/>
    </row>
    <row r="2547" spans="1:5" x14ac:dyDescent="0.2">
      <c r="A2547"/>
      <c r="B2547" s="663"/>
      <c r="C2547" s="663"/>
      <c r="D2547" s="663"/>
      <c r="E2547" s="663"/>
    </row>
    <row r="2548" spans="1:5" x14ac:dyDescent="0.2">
      <c r="A2548"/>
      <c r="B2548" s="663"/>
      <c r="C2548" s="663"/>
      <c r="D2548" s="663"/>
      <c r="E2548" s="663"/>
    </row>
    <row r="2549" spans="1:5" x14ac:dyDescent="0.2">
      <c r="A2549"/>
      <c r="B2549" s="663"/>
      <c r="C2549" s="663"/>
      <c r="D2549" s="663"/>
      <c r="E2549" s="663"/>
    </row>
    <row r="2550" spans="1:5" x14ac:dyDescent="0.2">
      <c r="A2550"/>
      <c r="B2550" s="663"/>
      <c r="C2550" s="663"/>
      <c r="D2550" s="663"/>
      <c r="E2550" s="663"/>
    </row>
    <row r="2551" spans="1:5" x14ac:dyDescent="0.2">
      <c r="A2551"/>
      <c r="B2551" s="663"/>
      <c r="C2551" s="663"/>
      <c r="D2551" s="663"/>
      <c r="E2551" s="663"/>
    </row>
    <row r="2552" spans="1:5" x14ac:dyDescent="0.2">
      <c r="A2552"/>
      <c r="B2552" s="663"/>
      <c r="C2552" s="663"/>
      <c r="D2552" s="663"/>
      <c r="E2552" s="663"/>
    </row>
    <row r="2553" spans="1:5" x14ac:dyDescent="0.2">
      <c r="A2553"/>
      <c r="B2553" s="663"/>
      <c r="C2553" s="663"/>
      <c r="D2553" s="663"/>
      <c r="E2553" s="663"/>
    </row>
    <row r="2554" spans="1:5" x14ac:dyDescent="0.2">
      <c r="A2554"/>
      <c r="B2554" s="663"/>
      <c r="C2554" s="663"/>
      <c r="D2554" s="663"/>
      <c r="E2554" s="663"/>
    </row>
    <row r="2555" spans="1:5" x14ac:dyDescent="0.2">
      <c r="A2555"/>
      <c r="B2555" s="663"/>
      <c r="C2555" s="663"/>
      <c r="D2555" s="663"/>
      <c r="E2555" s="663"/>
    </row>
    <row r="2556" spans="1:5" x14ac:dyDescent="0.2">
      <c r="A2556"/>
      <c r="B2556" s="663"/>
      <c r="C2556" s="663"/>
      <c r="D2556" s="663"/>
      <c r="E2556" s="663"/>
    </row>
    <row r="2557" spans="1:5" x14ac:dyDescent="0.2">
      <c r="A2557"/>
      <c r="B2557" s="663"/>
      <c r="C2557" s="663"/>
      <c r="D2557" s="663"/>
      <c r="E2557" s="663"/>
    </row>
    <row r="2558" spans="1:5" x14ac:dyDescent="0.2">
      <c r="A2558"/>
      <c r="B2558" s="663"/>
      <c r="C2558" s="663"/>
      <c r="D2558" s="663"/>
      <c r="E2558" s="663"/>
    </row>
    <row r="2559" spans="1:5" x14ac:dyDescent="0.2">
      <c r="A2559"/>
      <c r="B2559" s="663"/>
      <c r="C2559" s="663"/>
      <c r="D2559" s="663"/>
      <c r="E2559" s="663"/>
    </row>
    <row r="2560" spans="1:5" x14ac:dyDescent="0.2">
      <c r="A2560"/>
      <c r="B2560" s="663"/>
      <c r="C2560" s="663"/>
      <c r="D2560" s="663"/>
      <c r="E2560" s="663"/>
    </row>
    <row r="2561" spans="1:5" x14ac:dyDescent="0.2">
      <c r="A2561"/>
      <c r="B2561" s="663"/>
      <c r="C2561" s="663"/>
      <c r="D2561" s="663"/>
      <c r="E2561" s="663"/>
    </row>
    <row r="2562" spans="1:5" x14ac:dyDescent="0.2">
      <c r="A2562"/>
      <c r="B2562" s="663"/>
      <c r="C2562" s="663"/>
      <c r="D2562" s="663"/>
      <c r="E2562" s="663"/>
    </row>
    <row r="2563" spans="1:5" x14ac:dyDescent="0.2">
      <c r="A2563"/>
      <c r="B2563" s="663"/>
      <c r="C2563" s="663"/>
      <c r="D2563" s="663"/>
      <c r="E2563" s="663"/>
    </row>
    <row r="2564" spans="1:5" x14ac:dyDescent="0.2">
      <c r="A2564"/>
      <c r="B2564" s="663"/>
      <c r="C2564" s="663"/>
      <c r="D2564" s="663"/>
      <c r="E2564" s="663"/>
    </row>
    <row r="2565" spans="1:5" x14ac:dyDescent="0.2">
      <c r="A2565"/>
      <c r="B2565" s="663"/>
      <c r="C2565" s="663"/>
      <c r="D2565" s="663"/>
      <c r="E2565" s="663"/>
    </row>
    <row r="2566" spans="1:5" x14ac:dyDescent="0.2">
      <c r="A2566"/>
      <c r="B2566" s="663"/>
      <c r="C2566" s="663"/>
      <c r="D2566" s="663"/>
      <c r="E2566" s="663"/>
    </row>
    <row r="2567" spans="1:5" x14ac:dyDescent="0.2">
      <c r="A2567"/>
      <c r="B2567" s="663"/>
      <c r="C2567" s="663"/>
      <c r="D2567" s="663"/>
      <c r="E2567" s="663"/>
    </row>
    <row r="2568" spans="1:5" x14ac:dyDescent="0.2">
      <c r="A2568"/>
      <c r="B2568" s="663"/>
      <c r="C2568" s="663"/>
      <c r="D2568" s="663"/>
      <c r="E2568" s="663"/>
    </row>
    <row r="2569" spans="1:5" x14ac:dyDescent="0.2">
      <c r="A2569"/>
      <c r="B2569" s="663"/>
      <c r="C2569" s="663"/>
      <c r="D2569" s="663"/>
      <c r="E2569" s="663"/>
    </row>
    <row r="2570" spans="1:5" x14ac:dyDescent="0.2">
      <c r="A2570"/>
      <c r="B2570" s="663"/>
      <c r="C2570" s="663"/>
      <c r="D2570" s="663"/>
      <c r="E2570" s="663"/>
    </row>
    <row r="2571" spans="1:5" x14ac:dyDescent="0.2">
      <c r="A2571"/>
      <c r="B2571" s="663"/>
      <c r="C2571" s="663"/>
      <c r="D2571" s="663"/>
      <c r="E2571" s="663"/>
    </row>
    <row r="2572" spans="1:5" x14ac:dyDescent="0.2">
      <c r="A2572"/>
      <c r="B2572" s="663"/>
      <c r="C2572" s="663"/>
      <c r="D2572" s="663"/>
      <c r="E2572" s="663"/>
    </row>
    <row r="2573" spans="1:5" x14ac:dyDescent="0.2">
      <c r="A2573"/>
      <c r="B2573" s="663"/>
      <c r="C2573" s="663"/>
      <c r="D2573" s="663"/>
      <c r="E2573" s="663"/>
    </row>
    <row r="2574" spans="1:5" x14ac:dyDescent="0.2">
      <c r="A2574"/>
      <c r="B2574" s="663"/>
      <c r="C2574" s="663"/>
      <c r="D2574" s="663"/>
      <c r="E2574" s="663"/>
    </row>
    <row r="2575" spans="1:5" x14ac:dyDescent="0.2">
      <c r="A2575"/>
      <c r="B2575" s="663"/>
      <c r="C2575" s="663"/>
      <c r="D2575" s="663"/>
      <c r="E2575" s="663"/>
    </row>
    <row r="2576" spans="1:5" x14ac:dyDescent="0.2">
      <c r="A2576"/>
      <c r="B2576" s="663"/>
      <c r="C2576" s="663"/>
      <c r="D2576" s="663"/>
      <c r="E2576" s="663"/>
    </row>
    <row r="2577" spans="1:5" x14ac:dyDescent="0.2">
      <c r="A2577"/>
      <c r="B2577" s="663"/>
      <c r="C2577" s="663"/>
      <c r="D2577" s="663"/>
      <c r="E2577" s="663"/>
    </row>
    <row r="2578" spans="1:5" x14ac:dyDescent="0.2">
      <c r="A2578"/>
      <c r="B2578" s="663"/>
      <c r="C2578" s="663"/>
      <c r="D2578" s="663"/>
      <c r="E2578" s="663"/>
    </row>
    <row r="2579" spans="1:5" x14ac:dyDescent="0.2">
      <c r="A2579"/>
      <c r="B2579" s="663"/>
      <c r="C2579" s="663"/>
      <c r="D2579" s="663"/>
      <c r="E2579" s="663"/>
    </row>
    <row r="2580" spans="1:5" x14ac:dyDescent="0.2">
      <c r="A2580"/>
      <c r="B2580" s="663"/>
      <c r="C2580" s="663"/>
      <c r="D2580" s="663"/>
      <c r="E2580" s="663"/>
    </row>
    <row r="2581" spans="1:5" x14ac:dyDescent="0.2">
      <c r="A2581"/>
      <c r="B2581" s="663"/>
      <c r="C2581" s="663"/>
      <c r="D2581" s="663"/>
      <c r="E2581" s="663"/>
    </row>
    <row r="2582" spans="1:5" x14ac:dyDescent="0.2">
      <c r="A2582"/>
      <c r="B2582" s="663"/>
      <c r="C2582" s="663"/>
      <c r="D2582" s="663"/>
      <c r="E2582" s="663"/>
    </row>
    <row r="2583" spans="1:5" x14ac:dyDescent="0.2">
      <c r="A2583"/>
      <c r="B2583" s="663"/>
      <c r="C2583" s="663"/>
      <c r="D2583" s="663"/>
      <c r="E2583" s="663"/>
    </row>
    <row r="2584" spans="1:5" x14ac:dyDescent="0.2">
      <c r="A2584"/>
      <c r="B2584" s="663"/>
      <c r="C2584" s="663"/>
      <c r="D2584" s="663"/>
      <c r="E2584" s="663"/>
    </row>
    <row r="2585" spans="1:5" x14ac:dyDescent="0.2">
      <c r="A2585"/>
      <c r="B2585" s="663"/>
      <c r="C2585" s="663"/>
      <c r="D2585" s="663"/>
      <c r="E2585" s="663"/>
    </row>
    <row r="2586" spans="1:5" x14ac:dyDescent="0.2">
      <c r="A2586"/>
      <c r="B2586" s="663"/>
      <c r="C2586" s="663"/>
      <c r="D2586" s="663"/>
      <c r="E2586" s="663"/>
    </row>
    <row r="2587" spans="1:5" x14ac:dyDescent="0.2">
      <c r="A2587"/>
      <c r="B2587" s="663"/>
      <c r="C2587" s="663"/>
      <c r="D2587" s="663"/>
      <c r="E2587" s="663"/>
    </row>
    <row r="2588" spans="1:5" x14ac:dyDescent="0.2">
      <c r="A2588"/>
      <c r="B2588" s="663"/>
      <c r="C2588" s="663"/>
      <c r="D2588" s="663"/>
      <c r="E2588" s="663"/>
    </row>
    <row r="2589" spans="1:5" x14ac:dyDescent="0.2">
      <c r="A2589"/>
      <c r="B2589" s="663"/>
      <c r="C2589" s="663"/>
      <c r="D2589" s="663"/>
      <c r="E2589" s="663"/>
    </row>
    <row r="2590" spans="1:5" x14ac:dyDescent="0.2">
      <c r="A2590"/>
      <c r="B2590" s="663"/>
      <c r="C2590" s="663"/>
      <c r="D2590" s="663"/>
      <c r="E2590" s="663"/>
    </row>
    <row r="2591" spans="1:5" x14ac:dyDescent="0.2">
      <c r="A2591"/>
      <c r="B2591" s="663"/>
      <c r="C2591" s="663"/>
      <c r="D2591" s="663"/>
      <c r="E2591" s="663"/>
    </row>
    <row r="2592" spans="1:5" x14ac:dyDescent="0.2">
      <c r="A2592"/>
      <c r="B2592" s="663"/>
      <c r="C2592" s="663"/>
      <c r="D2592" s="663"/>
      <c r="E2592" s="663"/>
    </row>
    <row r="2593" spans="1:5" x14ac:dyDescent="0.2">
      <c r="A2593"/>
      <c r="B2593" s="663"/>
      <c r="C2593" s="663"/>
      <c r="D2593" s="663"/>
      <c r="E2593" s="663"/>
    </row>
    <row r="2594" spans="1:5" x14ac:dyDescent="0.2">
      <c r="A2594"/>
      <c r="B2594" s="663"/>
      <c r="C2594" s="663"/>
      <c r="D2594" s="663"/>
      <c r="E2594" s="663"/>
    </row>
    <row r="2595" spans="1:5" x14ac:dyDescent="0.2">
      <c r="A2595"/>
      <c r="B2595" s="663"/>
      <c r="C2595" s="663"/>
      <c r="D2595" s="663"/>
      <c r="E2595" s="663"/>
    </row>
    <row r="2596" spans="1:5" x14ac:dyDescent="0.2">
      <c r="A2596"/>
      <c r="B2596" s="663"/>
      <c r="C2596" s="663"/>
      <c r="D2596" s="663"/>
      <c r="E2596" s="663"/>
    </row>
    <row r="2597" spans="1:5" x14ac:dyDescent="0.2">
      <c r="A2597"/>
      <c r="B2597" s="663"/>
      <c r="C2597" s="663"/>
      <c r="D2597" s="663"/>
      <c r="E2597" s="663"/>
    </row>
    <row r="2598" spans="1:5" x14ac:dyDescent="0.2">
      <c r="A2598"/>
      <c r="B2598" s="663"/>
      <c r="C2598" s="663"/>
      <c r="D2598" s="663"/>
      <c r="E2598" s="663"/>
    </row>
    <row r="2599" spans="1:5" x14ac:dyDescent="0.2">
      <c r="A2599"/>
      <c r="B2599" s="663"/>
      <c r="C2599" s="663"/>
      <c r="D2599" s="663"/>
      <c r="E2599" s="663"/>
    </row>
    <row r="2600" spans="1:5" x14ac:dyDescent="0.2">
      <c r="A2600"/>
      <c r="B2600" s="663"/>
      <c r="C2600" s="663"/>
      <c r="D2600" s="663"/>
      <c r="E2600" s="663"/>
    </row>
    <row r="2601" spans="1:5" x14ac:dyDescent="0.2">
      <c r="A2601"/>
      <c r="B2601" s="663"/>
      <c r="C2601" s="663"/>
      <c r="D2601" s="663"/>
      <c r="E2601" s="663"/>
    </row>
    <row r="2602" spans="1:5" x14ac:dyDescent="0.2">
      <c r="A2602"/>
      <c r="B2602" s="663"/>
      <c r="C2602" s="663"/>
      <c r="D2602" s="663"/>
      <c r="E2602" s="663"/>
    </row>
    <row r="2603" spans="1:5" x14ac:dyDescent="0.2">
      <c r="A2603"/>
      <c r="B2603" s="663"/>
      <c r="C2603" s="663"/>
      <c r="D2603" s="663"/>
      <c r="E2603" s="663"/>
    </row>
    <row r="2604" spans="1:5" x14ac:dyDescent="0.2">
      <c r="A2604"/>
      <c r="B2604" s="663"/>
      <c r="C2604" s="663"/>
      <c r="D2604" s="663"/>
      <c r="E2604" s="663"/>
    </row>
    <row r="2605" spans="1:5" x14ac:dyDescent="0.2">
      <c r="A2605"/>
      <c r="B2605" s="663"/>
      <c r="C2605" s="663"/>
      <c r="D2605" s="663"/>
      <c r="E2605" s="663"/>
    </row>
    <row r="2606" spans="1:5" x14ac:dyDescent="0.2">
      <c r="A2606"/>
      <c r="B2606" s="663"/>
      <c r="C2606" s="663"/>
      <c r="D2606" s="663"/>
      <c r="E2606" s="663"/>
    </row>
    <row r="2607" spans="1:5" x14ac:dyDescent="0.2">
      <c r="A2607"/>
      <c r="B2607" s="663"/>
      <c r="C2607" s="663"/>
      <c r="D2607" s="663"/>
      <c r="E2607" s="663"/>
    </row>
    <row r="2608" spans="1:5" x14ac:dyDescent="0.2">
      <c r="A2608"/>
      <c r="B2608" s="663"/>
      <c r="C2608" s="663"/>
      <c r="D2608" s="663"/>
      <c r="E2608" s="663"/>
    </row>
    <row r="2609" spans="1:5" x14ac:dyDescent="0.2">
      <c r="A2609"/>
      <c r="B2609" s="663"/>
      <c r="C2609" s="663"/>
      <c r="D2609" s="663"/>
      <c r="E2609" s="663"/>
    </row>
    <row r="2610" spans="1:5" x14ac:dyDescent="0.2">
      <c r="A2610"/>
      <c r="B2610" s="663"/>
      <c r="C2610" s="663"/>
      <c r="D2610" s="663"/>
      <c r="E2610" s="663"/>
    </row>
    <row r="2611" spans="1:5" x14ac:dyDescent="0.2">
      <c r="A2611"/>
      <c r="B2611" s="663"/>
      <c r="C2611" s="663"/>
      <c r="D2611" s="663"/>
      <c r="E2611" s="663"/>
    </row>
    <row r="2612" spans="1:5" x14ac:dyDescent="0.2">
      <c r="A2612"/>
      <c r="B2612" s="663"/>
      <c r="C2612" s="663"/>
      <c r="D2612" s="663"/>
      <c r="E2612" s="663"/>
    </row>
    <row r="2613" spans="1:5" x14ac:dyDescent="0.2">
      <c r="A2613"/>
      <c r="B2613" s="663"/>
      <c r="C2613" s="663"/>
      <c r="D2613" s="663"/>
      <c r="E2613" s="663"/>
    </row>
    <row r="2614" spans="1:5" x14ac:dyDescent="0.2">
      <c r="A2614"/>
      <c r="B2614" s="663"/>
      <c r="C2614" s="663"/>
      <c r="D2614" s="663"/>
      <c r="E2614" s="663"/>
    </row>
    <row r="2615" spans="1:5" x14ac:dyDescent="0.2">
      <c r="A2615"/>
      <c r="B2615" s="663"/>
      <c r="C2615" s="663"/>
      <c r="D2615" s="663"/>
      <c r="E2615" s="663"/>
    </row>
    <row r="2616" spans="1:5" x14ac:dyDescent="0.2">
      <c r="A2616"/>
      <c r="B2616" s="663"/>
      <c r="C2616" s="663"/>
      <c r="D2616" s="663"/>
      <c r="E2616" s="663"/>
    </row>
    <row r="2617" spans="1:5" x14ac:dyDescent="0.2">
      <c r="A2617"/>
      <c r="B2617" s="663"/>
      <c r="C2617" s="663"/>
      <c r="D2617" s="663"/>
      <c r="E2617" s="663"/>
    </row>
    <row r="2618" spans="1:5" x14ac:dyDescent="0.2">
      <c r="A2618"/>
      <c r="B2618" s="663"/>
      <c r="C2618" s="663"/>
      <c r="D2618" s="663"/>
      <c r="E2618" s="663"/>
    </row>
    <row r="2619" spans="1:5" x14ac:dyDescent="0.2">
      <c r="A2619"/>
      <c r="B2619" s="663"/>
      <c r="C2619" s="663"/>
      <c r="D2619" s="663"/>
      <c r="E2619" s="663"/>
    </row>
    <row r="2620" spans="1:5" x14ac:dyDescent="0.2">
      <c r="A2620"/>
      <c r="B2620" s="663"/>
      <c r="C2620" s="663"/>
      <c r="D2620" s="663"/>
      <c r="E2620" s="663"/>
    </row>
    <row r="2621" spans="1:5" x14ac:dyDescent="0.2">
      <c r="A2621"/>
      <c r="B2621" s="663"/>
      <c r="C2621" s="663"/>
      <c r="D2621" s="663"/>
      <c r="E2621" s="663"/>
    </row>
    <row r="2622" spans="1:5" x14ac:dyDescent="0.2">
      <c r="A2622"/>
      <c r="B2622" s="663"/>
      <c r="C2622" s="663"/>
      <c r="D2622" s="663"/>
      <c r="E2622" s="663"/>
    </row>
    <row r="2623" spans="1:5" x14ac:dyDescent="0.2">
      <c r="A2623"/>
      <c r="B2623" s="663"/>
      <c r="C2623" s="663"/>
      <c r="D2623" s="663"/>
      <c r="E2623" s="663"/>
    </row>
    <row r="2624" spans="1:5" x14ac:dyDescent="0.2">
      <c r="A2624"/>
      <c r="B2624" s="663"/>
      <c r="C2624" s="663"/>
      <c r="D2624" s="663"/>
      <c r="E2624" s="663"/>
    </row>
    <row r="2625" spans="1:5" x14ac:dyDescent="0.2">
      <c r="A2625"/>
      <c r="B2625" s="663"/>
      <c r="C2625" s="663"/>
      <c r="D2625" s="663"/>
      <c r="E2625" s="663"/>
    </row>
    <row r="2626" spans="1:5" x14ac:dyDescent="0.2">
      <c r="A2626"/>
      <c r="B2626" s="663"/>
      <c r="C2626" s="663"/>
      <c r="D2626" s="663"/>
      <c r="E2626" s="663"/>
    </row>
    <row r="2627" spans="1:5" x14ac:dyDescent="0.2">
      <c r="A2627"/>
      <c r="B2627" s="663"/>
      <c r="C2627" s="663"/>
      <c r="D2627" s="663"/>
      <c r="E2627" s="663"/>
    </row>
    <row r="2628" spans="1:5" x14ac:dyDescent="0.2">
      <c r="A2628"/>
      <c r="B2628" s="663"/>
      <c r="C2628" s="663"/>
      <c r="D2628" s="663"/>
      <c r="E2628" s="663"/>
    </row>
    <row r="2629" spans="1:5" x14ac:dyDescent="0.2">
      <c r="A2629"/>
      <c r="B2629" s="663"/>
      <c r="C2629" s="663"/>
      <c r="D2629" s="663"/>
      <c r="E2629" s="663"/>
    </row>
    <row r="2630" spans="1:5" x14ac:dyDescent="0.2">
      <c r="A2630"/>
      <c r="B2630" s="663"/>
      <c r="C2630" s="663"/>
      <c r="D2630" s="663"/>
      <c r="E2630" s="663"/>
    </row>
    <row r="2631" spans="1:5" x14ac:dyDescent="0.2">
      <c r="A2631"/>
      <c r="B2631" s="663"/>
      <c r="C2631" s="663"/>
      <c r="D2631" s="663"/>
      <c r="E2631" s="663"/>
    </row>
    <row r="2632" spans="1:5" x14ac:dyDescent="0.2">
      <c r="A2632"/>
      <c r="B2632" s="663"/>
      <c r="C2632" s="663"/>
      <c r="D2632" s="663"/>
      <c r="E2632" s="663"/>
    </row>
    <row r="2633" spans="1:5" x14ac:dyDescent="0.2">
      <c r="A2633"/>
      <c r="B2633" s="663"/>
      <c r="C2633" s="663"/>
      <c r="D2633" s="663"/>
      <c r="E2633" s="663"/>
    </row>
    <row r="2634" spans="1:5" x14ac:dyDescent="0.2">
      <c r="A2634"/>
      <c r="B2634" s="663"/>
      <c r="C2634" s="663"/>
      <c r="D2634" s="663"/>
      <c r="E2634" s="663"/>
    </row>
    <row r="2635" spans="1:5" x14ac:dyDescent="0.2">
      <c r="A2635"/>
      <c r="B2635" s="663"/>
      <c r="C2635" s="663"/>
      <c r="D2635" s="663"/>
      <c r="E2635" s="663"/>
    </row>
    <row r="2636" spans="1:5" x14ac:dyDescent="0.2">
      <c r="A2636"/>
      <c r="B2636" s="663"/>
      <c r="C2636" s="663"/>
      <c r="D2636" s="663"/>
      <c r="E2636" s="663"/>
    </row>
    <row r="2637" spans="1:5" x14ac:dyDescent="0.2">
      <c r="A2637"/>
      <c r="B2637" s="663"/>
      <c r="C2637" s="663"/>
      <c r="D2637" s="663"/>
      <c r="E2637" s="663"/>
    </row>
    <row r="2638" spans="1:5" x14ac:dyDescent="0.2">
      <c r="A2638"/>
      <c r="B2638" s="663"/>
      <c r="C2638" s="663"/>
      <c r="D2638" s="663"/>
      <c r="E2638" s="663"/>
    </row>
    <row r="2639" spans="1:5" x14ac:dyDescent="0.2">
      <c r="A2639"/>
      <c r="B2639" s="663"/>
      <c r="C2639" s="663"/>
      <c r="D2639" s="663"/>
      <c r="E2639" s="663"/>
    </row>
    <row r="2640" spans="1:5" x14ac:dyDescent="0.2">
      <c r="A2640"/>
      <c r="B2640" s="663"/>
      <c r="C2640" s="663"/>
      <c r="D2640" s="663"/>
      <c r="E2640" s="663"/>
    </row>
    <row r="2641" spans="1:5" x14ac:dyDescent="0.2">
      <c r="A2641"/>
      <c r="B2641" s="663"/>
      <c r="C2641" s="663"/>
      <c r="D2641" s="663"/>
      <c r="E2641" s="663"/>
    </row>
    <row r="2642" spans="1:5" x14ac:dyDescent="0.2">
      <c r="A2642"/>
      <c r="B2642" s="663"/>
      <c r="C2642" s="663"/>
      <c r="D2642" s="663"/>
      <c r="E2642" s="663"/>
    </row>
    <row r="2643" spans="1:5" x14ac:dyDescent="0.2">
      <c r="A2643"/>
      <c r="B2643" s="663"/>
      <c r="C2643" s="663"/>
      <c r="D2643" s="663"/>
      <c r="E2643" s="663"/>
    </row>
    <row r="2644" spans="1:5" x14ac:dyDescent="0.2">
      <c r="A2644"/>
      <c r="B2644" s="663"/>
      <c r="C2644" s="663"/>
      <c r="D2644" s="663"/>
      <c r="E2644" s="663"/>
    </row>
    <row r="2645" spans="1:5" x14ac:dyDescent="0.2">
      <c r="A2645"/>
      <c r="B2645" s="663"/>
      <c r="C2645" s="663"/>
      <c r="D2645" s="663"/>
      <c r="E2645" s="663"/>
    </row>
    <row r="2646" spans="1:5" x14ac:dyDescent="0.2">
      <c r="A2646"/>
      <c r="B2646" s="663"/>
      <c r="C2646" s="663"/>
      <c r="D2646" s="663"/>
      <c r="E2646" s="663"/>
    </row>
    <row r="2647" spans="1:5" x14ac:dyDescent="0.2">
      <c r="A2647"/>
      <c r="B2647" s="663"/>
      <c r="C2647" s="663"/>
      <c r="D2647" s="663"/>
      <c r="E2647" s="663"/>
    </row>
    <row r="2648" spans="1:5" x14ac:dyDescent="0.2">
      <c r="A2648"/>
      <c r="B2648" s="663"/>
      <c r="C2648" s="663"/>
      <c r="D2648" s="663"/>
      <c r="E2648" s="663"/>
    </row>
    <row r="2649" spans="1:5" x14ac:dyDescent="0.2">
      <c r="A2649"/>
      <c r="B2649" s="663"/>
      <c r="C2649" s="663"/>
      <c r="D2649" s="663"/>
      <c r="E2649" s="663"/>
    </row>
    <row r="2650" spans="1:5" x14ac:dyDescent="0.2">
      <c r="A2650"/>
      <c r="B2650" s="663"/>
      <c r="C2650" s="663"/>
      <c r="D2650" s="663"/>
      <c r="E2650" s="663"/>
    </row>
    <row r="2651" spans="1:5" x14ac:dyDescent="0.2">
      <c r="A2651"/>
      <c r="B2651" s="663"/>
      <c r="C2651" s="663"/>
      <c r="D2651" s="663"/>
      <c r="E2651" s="663"/>
    </row>
    <row r="2652" spans="1:5" x14ac:dyDescent="0.2">
      <c r="A2652"/>
      <c r="B2652" s="663"/>
      <c r="C2652" s="663"/>
      <c r="D2652" s="663"/>
      <c r="E2652" s="663"/>
    </row>
    <row r="2653" spans="1:5" x14ac:dyDescent="0.2">
      <c r="A2653"/>
      <c r="B2653" s="663"/>
      <c r="C2653" s="663"/>
      <c r="D2653" s="663"/>
      <c r="E2653" s="663"/>
    </row>
    <row r="2654" spans="1:5" x14ac:dyDescent="0.2">
      <c r="A2654"/>
      <c r="B2654" s="663"/>
      <c r="C2654" s="663"/>
      <c r="D2654" s="663"/>
      <c r="E2654" s="663"/>
    </row>
    <row r="2655" spans="1:5" x14ac:dyDescent="0.2">
      <c r="A2655"/>
      <c r="B2655" s="663"/>
      <c r="C2655" s="663"/>
      <c r="D2655" s="663"/>
      <c r="E2655" s="663"/>
    </row>
    <row r="2656" spans="1:5" x14ac:dyDescent="0.2">
      <c r="A2656"/>
      <c r="B2656" s="663"/>
      <c r="C2656" s="663"/>
      <c r="D2656" s="663"/>
      <c r="E2656" s="663"/>
    </row>
    <row r="2657" spans="1:5" x14ac:dyDescent="0.2">
      <c r="A2657"/>
      <c r="B2657" s="663"/>
      <c r="C2657" s="663"/>
      <c r="D2657" s="663"/>
      <c r="E2657" s="663"/>
    </row>
    <row r="2658" spans="1:5" x14ac:dyDescent="0.2">
      <c r="A2658"/>
      <c r="B2658" s="663"/>
      <c r="C2658" s="663"/>
      <c r="D2658" s="663"/>
      <c r="E2658" s="663"/>
    </row>
    <row r="2659" spans="1:5" x14ac:dyDescent="0.2">
      <c r="A2659"/>
      <c r="B2659" s="663"/>
      <c r="C2659" s="663"/>
      <c r="D2659" s="663"/>
      <c r="E2659" s="663"/>
    </row>
    <row r="2660" spans="1:5" x14ac:dyDescent="0.2">
      <c r="A2660"/>
      <c r="B2660" s="663"/>
      <c r="C2660" s="663"/>
      <c r="D2660" s="663"/>
      <c r="E2660" s="663"/>
    </row>
    <row r="2661" spans="1:5" x14ac:dyDescent="0.2">
      <c r="A2661"/>
      <c r="B2661" s="663"/>
      <c r="C2661" s="663"/>
      <c r="D2661" s="663"/>
      <c r="E2661" s="663"/>
    </row>
    <row r="2662" spans="1:5" x14ac:dyDescent="0.2">
      <c r="A2662"/>
      <c r="B2662" s="663"/>
      <c r="C2662" s="663"/>
      <c r="D2662" s="663"/>
      <c r="E2662" s="663"/>
    </row>
    <row r="2663" spans="1:5" x14ac:dyDescent="0.2">
      <c r="A2663"/>
      <c r="B2663" s="663"/>
      <c r="C2663" s="663"/>
      <c r="D2663" s="663"/>
      <c r="E2663" s="663"/>
    </row>
    <row r="2664" spans="1:5" x14ac:dyDescent="0.2">
      <c r="A2664"/>
      <c r="B2664" s="663"/>
      <c r="C2664" s="663"/>
      <c r="D2664" s="663"/>
      <c r="E2664" s="663"/>
    </row>
    <row r="2665" spans="1:5" x14ac:dyDescent="0.2">
      <c r="A2665"/>
      <c r="B2665" s="663"/>
      <c r="C2665" s="663"/>
      <c r="D2665" s="663"/>
      <c r="E2665" s="663"/>
    </row>
    <row r="2666" spans="1:5" x14ac:dyDescent="0.2">
      <c r="A2666"/>
      <c r="B2666" s="663"/>
      <c r="C2666" s="663"/>
      <c r="D2666" s="663"/>
      <c r="E2666" s="663"/>
    </row>
    <row r="2667" spans="1:5" x14ac:dyDescent="0.2">
      <c r="A2667"/>
      <c r="B2667" s="663"/>
      <c r="C2667" s="663"/>
      <c r="D2667" s="663"/>
      <c r="E2667" s="663"/>
    </row>
    <row r="2668" spans="1:5" x14ac:dyDescent="0.2">
      <c r="A2668"/>
      <c r="B2668" s="663"/>
      <c r="C2668" s="663"/>
      <c r="D2668" s="663"/>
      <c r="E2668" s="663"/>
    </row>
    <row r="2669" spans="1:5" x14ac:dyDescent="0.2">
      <c r="A2669"/>
      <c r="B2669" s="663"/>
      <c r="C2669" s="663"/>
      <c r="D2669" s="663"/>
      <c r="E2669" s="663"/>
    </row>
    <row r="2670" spans="1:5" x14ac:dyDescent="0.2">
      <c r="A2670"/>
      <c r="B2670" s="663"/>
      <c r="C2670" s="663"/>
      <c r="D2670" s="663"/>
      <c r="E2670" s="663"/>
    </row>
    <row r="2671" spans="1:5" x14ac:dyDescent="0.2">
      <c r="A2671"/>
      <c r="B2671" s="663"/>
      <c r="C2671" s="663"/>
      <c r="D2671" s="663"/>
      <c r="E2671" s="663"/>
    </row>
    <row r="2672" spans="1:5" x14ac:dyDescent="0.2">
      <c r="A2672"/>
      <c r="B2672" s="663"/>
      <c r="C2672" s="663"/>
      <c r="D2672" s="663"/>
      <c r="E2672" s="663"/>
    </row>
    <row r="2673" spans="1:5" x14ac:dyDescent="0.2">
      <c r="A2673"/>
      <c r="B2673" s="663"/>
      <c r="C2673" s="663"/>
      <c r="D2673" s="663"/>
      <c r="E2673" s="663"/>
    </row>
    <row r="2674" spans="1:5" x14ac:dyDescent="0.2">
      <c r="A2674"/>
      <c r="B2674" s="663"/>
      <c r="C2674" s="663"/>
      <c r="D2674" s="663"/>
      <c r="E2674" s="663"/>
    </row>
    <row r="2675" spans="1:5" x14ac:dyDescent="0.2">
      <c r="A2675"/>
      <c r="B2675" s="663"/>
      <c r="C2675" s="663"/>
      <c r="D2675" s="663"/>
      <c r="E2675" s="663"/>
    </row>
    <row r="2676" spans="1:5" x14ac:dyDescent="0.2">
      <c r="A2676"/>
      <c r="B2676" s="663"/>
      <c r="C2676" s="663"/>
      <c r="D2676" s="663"/>
      <c r="E2676" s="663"/>
    </row>
    <row r="2677" spans="1:5" x14ac:dyDescent="0.2">
      <c r="A2677"/>
      <c r="B2677" s="663"/>
      <c r="C2677" s="663"/>
      <c r="D2677" s="663"/>
      <c r="E2677" s="663"/>
    </row>
    <row r="2678" spans="1:5" x14ac:dyDescent="0.2">
      <c r="A2678"/>
      <c r="B2678" s="663"/>
      <c r="C2678" s="663"/>
      <c r="D2678" s="663"/>
      <c r="E2678" s="663"/>
    </row>
    <row r="2679" spans="1:5" x14ac:dyDescent="0.2">
      <c r="A2679"/>
      <c r="B2679" s="663"/>
      <c r="C2679" s="663"/>
      <c r="D2679" s="663"/>
      <c r="E2679" s="663"/>
    </row>
    <row r="2680" spans="1:5" x14ac:dyDescent="0.2">
      <c r="A2680"/>
      <c r="B2680" s="663"/>
      <c r="C2680" s="663"/>
      <c r="D2680" s="663"/>
      <c r="E2680" s="663"/>
    </row>
    <row r="2681" spans="1:5" x14ac:dyDescent="0.2">
      <c r="A2681"/>
      <c r="B2681" s="663"/>
      <c r="C2681" s="663"/>
      <c r="D2681" s="663"/>
      <c r="E2681" s="663"/>
    </row>
    <row r="2682" spans="1:5" x14ac:dyDescent="0.2">
      <c r="A2682"/>
      <c r="B2682" s="663"/>
      <c r="C2682" s="663"/>
      <c r="D2682" s="663"/>
      <c r="E2682" s="663"/>
    </row>
    <row r="2683" spans="1:5" x14ac:dyDescent="0.2">
      <c r="A2683"/>
      <c r="B2683" s="663"/>
      <c r="C2683" s="663"/>
      <c r="D2683" s="663"/>
      <c r="E2683" s="663"/>
    </row>
    <row r="2684" spans="1:5" x14ac:dyDescent="0.2">
      <c r="A2684"/>
      <c r="B2684" s="663"/>
      <c r="C2684" s="663"/>
      <c r="D2684" s="663"/>
      <c r="E2684" s="663"/>
    </row>
    <row r="2685" spans="1:5" x14ac:dyDescent="0.2">
      <c r="A2685"/>
      <c r="B2685" s="663"/>
      <c r="C2685" s="663"/>
      <c r="D2685" s="663"/>
      <c r="E2685" s="663"/>
    </row>
    <row r="2686" spans="1:5" x14ac:dyDescent="0.2">
      <c r="A2686"/>
      <c r="B2686" s="663"/>
      <c r="C2686" s="663"/>
      <c r="D2686" s="663"/>
      <c r="E2686" s="663"/>
    </row>
    <row r="2687" spans="1:5" x14ac:dyDescent="0.2">
      <c r="A2687"/>
      <c r="B2687" s="663"/>
      <c r="C2687" s="663"/>
      <c r="D2687" s="663"/>
      <c r="E2687" s="663"/>
    </row>
    <row r="2688" spans="1:5" x14ac:dyDescent="0.2">
      <c r="A2688"/>
      <c r="B2688" s="663"/>
      <c r="C2688" s="663"/>
      <c r="D2688" s="663"/>
      <c r="E2688" s="663"/>
    </row>
    <row r="2689" spans="1:5" x14ac:dyDescent="0.2">
      <c r="A2689"/>
      <c r="B2689" s="663"/>
      <c r="C2689" s="663"/>
      <c r="D2689" s="663"/>
      <c r="E2689" s="663"/>
    </row>
    <row r="2690" spans="1:5" x14ac:dyDescent="0.2">
      <c r="A2690"/>
      <c r="B2690" s="663"/>
      <c r="C2690" s="663"/>
      <c r="D2690" s="663"/>
      <c r="E2690" s="663"/>
    </row>
    <row r="2691" spans="1:5" x14ac:dyDescent="0.2">
      <c r="A2691"/>
      <c r="B2691" s="663"/>
      <c r="C2691" s="663"/>
      <c r="D2691" s="663"/>
      <c r="E2691" s="663"/>
    </row>
    <row r="2692" spans="1:5" x14ac:dyDescent="0.2">
      <c r="A2692"/>
      <c r="B2692" s="663"/>
      <c r="C2692" s="663"/>
      <c r="D2692" s="663"/>
      <c r="E2692" s="663"/>
    </row>
    <row r="2693" spans="1:5" x14ac:dyDescent="0.2">
      <c r="A2693"/>
      <c r="B2693" s="663"/>
      <c r="C2693" s="663"/>
      <c r="D2693" s="663"/>
      <c r="E2693" s="663"/>
    </row>
    <row r="2694" spans="1:5" x14ac:dyDescent="0.2">
      <c r="A2694"/>
      <c r="B2694" s="663"/>
      <c r="C2694" s="663"/>
      <c r="D2694" s="663"/>
      <c r="E2694" s="663"/>
    </row>
    <row r="2695" spans="1:5" x14ac:dyDescent="0.2">
      <c r="A2695"/>
      <c r="B2695" s="663"/>
      <c r="C2695" s="663"/>
      <c r="D2695" s="663"/>
      <c r="E2695" s="663"/>
    </row>
    <row r="2696" spans="1:5" x14ac:dyDescent="0.2">
      <c r="A2696"/>
      <c r="B2696" s="663"/>
      <c r="C2696" s="663"/>
      <c r="D2696" s="663"/>
      <c r="E2696" s="663"/>
    </row>
    <row r="2697" spans="1:5" x14ac:dyDescent="0.2">
      <c r="A2697"/>
      <c r="B2697" s="663"/>
      <c r="C2697" s="663"/>
      <c r="D2697" s="663"/>
      <c r="E2697" s="663"/>
    </row>
    <row r="2698" spans="1:5" x14ac:dyDescent="0.2">
      <c r="A2698"/>
      <c r="B2698" s="663"/>
      <c r="C2698" s="663"/>
      <c r="D2698" s="663"/>
      <c r="E2698" s="663"/>
    </row>
    <row r="2699" spans="1:5" x14ac:dyDescent="0.2">
      <c r="A2699"/>
      <c r="B2699" s="663"/>
      <c r="C2699" s="663"/>
      <c r="D2699" s="663"/>
      <c r="E2699" s="663"/>
    </row>
    <row r="2700" spans="1:5" x14ac:dyDescent="0.2">
      <c r="A2700"/>
      <c r="B2700" s="663"/>
      <c r="C2700" s="663"/>
      <c r="D2700" s="663"/>
      <c r="E2700" s="663"/>
    </row>
    <row r="2701" spans="1:5" x14ac:dyDescent="0.2">
      <c r="A2701"/>
      <c r="B2701" s="663"/>
      <c r="C2701" s="663"/>
      <c r="D2701" s="663"/>
      <c r="E2701" s="663"/>
    </row>
    <row r="2702" spans="1:5" x14ac:dyDescent="0.2">
      <c r="A2702"/>
      <c r="B2702" s="663"/>
      <c r="C2702" s="663"/>
      <c r="D2702" s="663"/>
      <c r="E2702" s="663"/>
    </row>
    <row r="2703" spans="1:5" x14ac:dyDescent="0.2">
      <c r="A2703"/>
      <c r="B2703" s="663"/>
      <c r="C2703" s="663"/>
      <c r="D2703" s="663"/>
      <c r="E2703" s="663"/>
    </row>
    <row r="2704" spans="1:5" x14ac:dyDescent="0.2">
      <c r="A2704"/>
      <c r="B2704" s="663"/>
      <c r="C2704" s="663"/>
      <c r="D2704" s="663"/>
      <c r="E2704" s="663"/>
    </row>
    <row r="2705" spans="1:5" x14ac:dyDescent="0.2">
      <c r="A2705"/>
      <c r="B2705" s="663"/>
      <c r="C2705" s="663"/>
      <c r="D2705" s="663"/>
      <c r="E2705" s="663"/>
    </row>
    <row r="2706" spans="1:5" x14ac:dyDescent="0.2">
      <c r="A2706"/>
      <c r="B2706" s="663"/>
      <c r="C2706" s="663"/>
      <c r="D2706" s="663"/>
      <c r="E2706" s="663"/>
    </row>
    <row r="2707" spans="1:5" x14ac:dyDescent="0.2">
      <c r="A2707"/>
      <c r="B2707" s="663"/>
      <c r="C2707" s="663"/>
      <c r="D2707" s="663"/>
      <c r="E2707" s="663"/>
    </row>
    <row r="2708" spans="1:5" x14ac:dyDescent="0.2">
      <c r="A2708"/>
      <c r="B2708" s="663"/>
      <c r="C2708" s="663"/>
      <c r="D2708" s="663"/>
      <c r="E2708" s="663"/>
    </row>
    <row r="2709" spans="1:5" x14ac:dyDescent="0.2">
      <c r="A2709"/>
      <c r="B2709" s="663"/>
      <c r="C2709" s="663"/>
      <c r="D2709" s="663"/>
      <c r="E2709" s="663"/>
    </row>
    <row r="2710" spans="1:5" x14ac:dyDescent="0.2">
      <c r="A2710"/>
      <c r="B2710" s="663"/>
      <c r="C2710" s="663"/>
      <c r="D2710" s="663"/>
      <c r="E2710" s="663"/>
    </row>
    <row r="2711" spans="1:5" x14ac:dyDescent="0.2">
      <c r="A2711"/>
      <c r="B2711" s="663"/>
      <c r="C2711" s="663"/>
      <c r="D2711" s="663"/>
      <c r="E2711" s="663"/>
    </row>
    <row r="2712" spans="1:5" x14ac:dyDescent="0.2">
      <c r="A2712"/>
      <c r="B2712" s="663"/>
      <c r="C2712" s="663"/>
      <c r="D2712" s="663"/>
      <c r="E2712" s="663"/>
    </row>
    <row r="2713" spans="1:5" x14ac:dyDescent="0.2">
      <c r="A2713"/>
      <c r="B2713" s="663"/>
      <c r="C2713" s="663"/>
      <c r="D2713" s="663"/>
      <c r="E2713" s="663"/>
    </row>
    <row r="2714" spans="1:5" x14ac:dyDescent="0.2">
      <c r="A2714"/>
      <c r="B2714" s="663"/>
      <c r="C2714" s="663"/>
      <c r="D2714" s="663"/>
      <c r="E2714" s="663"/>
    </row>
    <row r="2715" spans="1:5" x14ac:dyDescent="0.2">
      <c r="A2715"/>
      <c r="B2715" s="663"/>
      <c r="C2715" s="663"/>
      <c r="D2715" s="663"/>
      <c r="E2715" s="663"/>
    </row>
    <row r="2716" spans="1:5" x14ac:dyDescent="0.2">
      <c r="A2716"/>
      <c r="B2716" s="663"/>
      <c r="C2716" s="663"/>
      <c r="D2716" s="663"/>
      <c r="E2716" s="663"/>
    </row>
    <row r="2717" spans="1:5" x14ac:dyDescent="0.2">
      <c r="A2717"/>
      <c r="B2717" s="663"/>
      <c r="C2717" s="663"/>
      <c r="D2717" s="663"/>
      <c r="E2717" s="663"/>
    </row>
    <row r="2718" spans="1:5" x14ac:dyDescent="0.2">
      <c r="A2718"/>
      <c r="B2718" s="663"/>
      <c r="C2718" s="663"/>
      <c r="D2718" s="663"/>
      <c r="E2718" s="663"/>
    </row>
    <row r="2719" spans="1:5" x14ac:dyDescent="0.2">
      <c r="A2719"/>
      <c r="B2719" s="663"/>
      <c r="C2719" s="663"/>
      <c r="D2719" s="663"/>
      <c r="E2719" s="663"/>
    </row>
    <row r="2720" spans="1:5" x14ac:dyDescent="0.2">
      <c r="A2720"/>
      <c r="B2720" s="663"/>
      <c r="C2720" s="663"/>
      <c r="D2720" s="663"/>
      <c r="E2720" s="663"/>
    </row>
    <row r="2721" spans="1:5" x14ac:dyDescent="0.2">
      <c r="A2721"/>
      <c r="B2721" s="663"/>
      <c r="C2721" s="663"/>
      <c r="D2721" s="663"/>
      <c r="E2721" s="663"/>
    </row>
    <row r="2722" spans="1:5" x14ac:dyDescent="0.2">
      <c r="A2722"/>
      <c r="B2722" s="663"/>
      <c r="C2722" s="663"/>
      <c r="D2722" s="663"/>
      <c r="E2722" s="663"/>
    </row>
    <row r="2723" spans="1:5" x14ac:dyDescent="0.2">
      <c r="A2723"/>
      <c r="B2723" s="663"/>
      <c r="C2723" s="663"/>
      <c r="D2723" s="663"/>
      <c r="E2723" s="663"/>
    </row>
    <row r="2724" spans="1:5" x14ac:dyDescent="0.2">
      <c r="A2724"/>
      <c r="B2724" s="663"/>
      <c r="C2724" s="663"/>
      <c r="D2724" s="663"/>
      <c r="E2724" s="663"/>
    </row>
    <row r="2725" spans="1:5" x14ac:dyDescent="0.2">
      <c r="A2725"/>
      <c r="B2725" s="663"/>
      <c r="C2725" s="663"/>
      <c r="D2725" s="663"/>
      <c r="E2725" s="663"/>
    </row>
    <row r="2726" spans="1:5" x14ac:dyDescent="0.2">
      <c r="A2726"/>
      <c r="B2726" s="663"/>
      <c r="C2726" s="663"/>
      <c r="D2726" s="663"/>
      <c r="E2726" s="663"/>
    </row>
    <row r="2727" spans="1:5" x14ac:dyDescent="0.2">
      <c r="A2727"/>
      <c r="B2727" s="663"/>
      <c r="C2727" s="663"/>
      <c r="D2727" s="663"/>
      <c r="E2727" s="663"/>
    </row>
    <row r="2728" spans="1:5" x14ac:dyDescent="0.2">
      <c r="A2728"/>
      <c r="B2728" s="663"/>
      <c r="C2728" s="663"/>
      <c r="D2728" s="663"/>
      <c r="E2728" s="663"/>
    </row>
    <row r="2729" spans="1:5" x14ac:dyDescent="0.2">
      <c r="A2729"/>
      <c r="B2729" s="663"/>
      <c r="C2729" s="663"/>
      <c r="D2729" s="663"/>
      <c r="E2729" s="663"/>
    </row>
    <row r="2730" spans="1:5" x14ac:dyDescent="0.2">
      <c r="A2730"/>
      <c r="B2730" s="663"/>
      <c r="C2730" s="663"/>
      <c r="D2730" s="663"/>
      <c r="E2730" s="663"/>
    </row>
    <row r="2731" spans="1:5" x14ac:dyDescent="0.2">
      <c r="A2731"/>
      <c r="B2731" s="663"/>
      <c r="C2731" s="663"/>
      <c r="D2731" s="663"/>
      <c r="E2731" s="663"/>
    </row>
    <row r="2732" spans="1:5" x14ac:dyDescent="0.2">
      <c r="A2732"/>
      <c r="B2732" s="663"/>
      <c r="C2732" s="663"/>
      <c r="D2732" s="663"/>
      <c r="E2732" s="663"/>
    </row>
    <row r="2733" spans="1:5" x14ac:dyDescent="0.2">
      <c r="A2733"/>
      <c r="B2733" s="663"/>
      <c r="C2733" s="663"/>
      <c r="D2733" s="663"/>
      <c r="E2733" s="663"/>
    </row>
    <row r="2734" spans="1:5" x14ac:dyDescent="0.2">
      <c r="A2734"/>
      <c r="B2734" s="663"/>
      <c r="C2734" s="663"/>
      <c r="D2734" s="663"/>
      <c r="E2734" s="663"/>
    </row>
    <row r="2735" spans="1:5" x14ac:dyDescent="0.2">
      <c r="A2735"/>
      <c r="B2735" s="663"/>
      <c r="C2735" s="663"/>
      <c r="D2735" s="663"/>
      <c r="E2735" s="663"/>
    </row>
    <row r="2736" spans="1:5" x14ac:dyDescent="0.2">
      <c r="A2736"/>
      <c r="B2736" s="663"/>
      <c r="C2736" s="663"/>
      <c r="D2736" s="663"/>
      <c r="E2736" s="663"/>
    </row>
    <row r="2737" spans="1:5" x14ac:dyDescent="0.2">
      <c r="A2737"/>
      <c r="B2737" s="663"/>
      <c r="C2737" s="663"/>
      <c r="D2737" s="663"/>
      <c r="E2737" s="663"/>
    </row>
    <row r="2738" spans="1:5" x14ac:dyDescent="0.2">
      <c r="A2738"/>
      <c r="B2738" s="663"/>
      <c r="C2738" s="663"/>
      <c r="D2738" s="663"/>
      <c r="E2738" s="663"/>
    </row>
    <row r="2739" spans="1:5" x14ac:dyDescent="0.2">
      <c r="A2739"/>
      <c r="B2739" s="663"/>
      <c r="C2739" s="663"/>
      <c r="D2739" s="663"/>
      <c r="E2739" s="663"/>
    </row>
    <row r="2740" spans="1:5" x14ac:dyDescent="0.2">
      <c r="A2740"/>
      <c r="B2740" s="663"/>
      <c r="C2740" s="663"/>
      <c r="D2740" s="663"/>
      <c r="E2740" s="663"/>
    </row>
    <row r="2741" spans="1:5" x14ac:dyDescent="0.2">
      <c r="A2741"/>
      <c r="B2741" s="663"/>
      <c r="C2741" s="663"/>
      <c r="D2741" s="663"/>
      <c r="E2741" s="663"/>
    </row>
    <row r="2742" spans="1:5" x14ac:dyDescent="0.2">
      <c r="A2742"/>
      <c r="B2742" s="663"/>
      <c r="C2742" s="663"/>
      <c r="D2742" s="663"/>
      <c r="E2742" s="663"/>
    </row>
    <row r="2743" spans="1:5" x14ac:dyDescent="0.2">
      <c r="A2743"/>
      <c r="B2743" s="663"/>
      <c r="C2743" s="663"/>
      <c r="D2743" s="663"/>
      <c r="E2743" s="663"/>
    </row>
    <row r="2744" spans="1:5" x14ac:dyDescent="0.2">
      <c r="A2744"/>
      <c r="B2744" s="663"/>
      <c r="C2744" s="663"/>
      <c r="D2744" s="663"/>
      <c r="E2744" s="663"/>
    </row>
    <row r="2745" spans="1:5" x14ac:dyDescent="0.2">
      <c r="A2745"/>
      <c r="B2745" s="663"/>
      <c r="C2745" s="663"/>
      <c r="D2745" s="663"/>
      <c r="E2745" s="663"/>
    </row>
    <row r="2746" spans="1:5" x14ac:dyDescent="0.2">
      <c r="A2746"/>
      <c r="B2746" s="663"/>
      <c r="C2746" s="663"/>
      <c r="D2746" s="663"/>
      <c r="E2746" s="663"/>
    </row>
    <row r="2747" spans="1:5" x14ac:dyDescent="0.2">
      <c r="A2747"/>
      <c r="B2747" s="663"/>
      <c r="C2747" s="663"/>
      <c r="D2747" s="663"/>
      <c r="E2747" s="663"/>
    </row>
    <row r="2748" spans="1:5" x14ac:dyDescent="0.2">
      <c r="A2748"/>
      <c r="B2748" s="663"/>
      <c r="C2748" s="663"/>
      <c r="D2748" s="663"/>
      <c r="E2748" s="663"/>
    </row>
    <row r="2749" spans="1:5" x14ac:dyDescent="0.2">
      <c r="A2749"/>
      <c r="B2749" s="663"/>
      <c r="C2749" s="663"/>
      <c r="D2749" s="663"/>
      <c r="E2749" s="663"/>
    </row>
    <row r="2750" spans="1:5" x14ac:dyDescent="0.2">
      <c r="A2750"/>
      <c r="B2750" s="663"/>
      <c r="C2750" s="663"/>
      <c r="D2750" s="663"/>
      <c r="E2750" s="663"/>
    </row>
    <row r="2751" spans="1:5" x14ac:dyDescent="0.2">
      <c r="A2751"/>
      <c r="B2751" s="663"/>
      <c r="C2751" s="663"/>
      <c r="D2751" s="663"/>
      <c r="E2751" s="663"/>
    </row>
    <row r="2752" spans="1:5" x14ac:dyDescent="0.2">
      <c r="A2752"/>
      <c r="B2752" s="663"/>
      <c r="C2752" s="663"/>
      <c r="D2752" s="663"/>
      <c r="E2752" s="663"/>
    </row>
    <row r="2753" spans="1:5" x14ac:dyDescent="0.2">
      <c r="A2753"/>
      <c r="B2753" s="663"/>
      <c r="C2753" s="663"/>
      <c r="D2753" s="663"/>
      <c r="E2753" s="663"/>
    </row>
    <row r="2754" spans="1:5" x14ac:dyDescent="0.2">
      <c r="A2754"/>
      <c r="B2754" s="663"/>
      <c r="C2754" s="663"/>
      <c r="D2754" s="663"/>
      <c r="E2754" s="663"/>
    </row>
    <row r="2755" spans="1:5" x14ac:dyDescent="0.2">
      <c r="A2755"/>
      <c r="B2755" s="663"/>
      <c r="C2755" s="663"/>
      <c r="D2755" s="663"/>
      <c r="E2755" s="663"/>
    </row>
    <row r="2756" spans="1:5" x14ac:dyDescent="0.2">
      <c r="A2756"/>
      <c r="B2756" s="663"/>
      <c r="C2756" s="663"/>
      <c r="D2756" s="663"/>
      <c r="E2756" s="663"/>
    </row>
    <row r="2757" spans="1:5" x14ac:dyDescent="0.2">
      <c r="A2757"/>
      <c r="B2757" s="663"/>
      <c r="C2757" s="663"/>
      <c r="D2757" s="663"/>
      <c r="E2757" s="663"/>
    </row>
    <row r="2758" spans="1:5" x14ac:dyDescent="0.2">
      <c r="A2758"/>
      <c r="B2758" s="663"/>
      <c r="C2758" s="663"/>
      <c r="D2758" s="663"/>
      <c r="E2758" s="663"/>
    </row>
    <row r="2759" spans="1:5" x14ac:dyDescent="0.2">
      <c r="A2759"/>
      <c r="B2759" s="663"/>
      <c r="C2759" s="663"/>
      <c r="D2759" s="663"/>
      <c r="E2759" s="663"/>
    </row>
    <row r="2760" spans="1:5" x14ac:dyDescent="0.2">
      <c r="A2760"/>
      <c r="B2760" s="663"/>
      <c r="C2760" s="663"/>
      <c r="D2760" s="663"/>
      <c r="E2760" s="663"/>
    </row>
    <row r="2761" spans="1:5" x14ac:dyDescent="0.2">
      <c r="A2761"/>
      <c r="B2761" s="663"/>
      <c r="C2761" s="663"/>
      <c r="D2761" s="663"/>
      <c r="E2761" s="663"/>
    </row>
    <row r="2762" spans="1:5" x14ac:dyDescent="0.2">
      <c r="A2762"/>
      <c r="B2762" s="663"/>
      <c r="C2762" s="663"/>
      <c r="D2762" s="663"/>
      <c r="E2762" s="663"/>
    </row>
    <row r="2763" spans="1:5" x14ac:dyDescent="0.2">
      <c r="A2763"/>
      <c r="B2763" s="663"/>
      <c r="C2763" s="663"/>
      <c r="D2763" s="663"/>
      <c r="E2763" s="663"/>
    </row>
    <row r="2764" spans="1:5" x14ac:dyDescent="0.2">
      <c r="A2764"/>
      <c r="B2764" s="663"/>
      <c r="C2764" s="663"/>
      <c r="D2764" s="663"/>
      <c r="E2764" s="663"/>
    </row>
    <row r="2765" spans="1:5" x14ac:dyDescent="0.2">
      <c r="A2765"/>
      <c r="B2765" s="663"/>
      <c r="C2765" s="663"/>
      <c r="D2765" s="663"/>
      <c r="E2765" s="663"/>
    </row>
    <row r="2766" spans="1:5" x14ac:dyDescent="0.2">
      <c r="A2766"/>
      <c r="B2766" s="663"/>
      <c r="C2766" s="663"/>
      <c r="D2766" s="663"/>
      <c r="E2766" s="663"/>
    </row>
    <row r="2767" spans="1:5" x14ac:dyDescent="0.2">
      <c r="A2767"/>
      <c r="B2767" s="663"/>
      <c r="C2767" s="663"/>
      <c r="D2767" s="663"/>
      <c r="E2767" s="663"/>
    </row>
    <row r="2768" spans="1:5" x14ac:dyDescent="0.2">
      <c r="A2768"/>
      <c r="B2768" s="663"/>
      <c r="C2768" s="663"/>
      <c r="D2768" s="663"/>
      <c r="E2768" s="663"/>
    </row>
    <row r="2769" spans="1:5" x14ac:dyDescent="0.2">
      <c r="A2769"/>
      <c r="B2769" s="663"/>
      <c r="C2769" s="663"/>
      <c r="D2769" s="663"/>
      <c r="E2769" s="663"/>
    </row>
    <row r="2770" spans="1:5" x14ac:dyDescent="0.2">
      <c r="A2770"/>
      <c r="B2770" s="663"/>
      <c r="C2770" s="663"/>
      <c r="D2770" s="663"/>
      <c r="E2770" s="663"/>
    </row>
    <row r="2771" spans="1:5" x14ac:dyDescent="0.2">
      <c r="A2771"/>
      <c r="B2771" s="663"/>
      <c r="C2771" s="663"/>
      <c r="D2771" s="663"/>
      <c r="E2771" s="663"/>
    </row>
    <row r="2772" spans="1:5" x14ac:dyDescent="0.2">
      <c r="A2772"/>
      <c r="B2772" s="663"/>
      <c r="C2772" s="663"/>
      <c r="D2772" s="663"/>
      <c r="E2772" s="663"/>
    </row>
    <row r="2773" spans="1:5" x14ac:dyDescent="0.2">
      <c r="A2773"/>
      <c r="B2773" s="663"/>
      <c r="C2773" s="663"/>
      <c r="D2773" s="663"/>
      <c r="E2773" s="663"/>
    </row>
    <row r="2774" spans="1:5" x14ac:dyDescent="0.2">
      <c r="A2774"/>
      <c r="B2774" s="663"/>
      <c r="C2774" s="663"/>
      <c r="D2774" s="663"/>
      <c r="E2774" s="663"/>
    </row>
    <row r="2775" spans="1:5" x14ac:dyDescent="0.2">
      <c r="A2775"/>
      <c r="B2775" s="663"/>
      <c r="C2775" s="663"/>
      <c r="D2775" s="663"/>
      <c r="E2775" s="663"/>
    </row>
    <row r="2776" spans="1:5" x14ac:dyDescent="0.2">
      <c r="A2776"/>
      <c r="B2776" s="663"/>
      <c r="C2776" s="663"/>
      <c r="D2776" s="663"/>
      <c r="E2776" s="663"/>
    </row>
    <row r="2777" spans="1:5" x14ac:dyDescent="0.2">
      <c r="A2777"/>
      <c r="B2777" s="663"/>
      <c r="C2777" s="663"/>
      <c r="D2777" s="663"/>
      <c r="E2777" s="663"/>
    </row>
    <row r="2778" spans="1:5" x14ac:dyDescent="0.2">
      <c r="A2778"/>
      <c r="B2778" s="663"/>
      <c r="C2778" s="663"/>
      <c r="D2778" s="663"/>
      <c r="E2778" s="663"/>
    </row>
    <row r="2779" spans="1:5" x14ac:dyDescent="0.2">
      <c r="A2779"/>
      <c r="B2779" s="663"/>
      <c r="C2779" s="663"/>
      <c r="D2779" s="663"/>
      <c r="E2779" s="663"/>
    </row>
    <row r="2780" spans="1:5" x14ac:dyDescent="0.2">
      <c r="A2780"/>
      <c r="B2780" s="663"/>
      <c r="C2780" s="663"/>
      <c r="D2780" s="663"/>
      <c r="E2780" s="663"/>
    </row>
    <row r="2781" spans="1:5" x14ac:dyDescent="0.2">
      <c r="A2781"/>
      <c r="B2781" s="663"/>
      <c r="C2781" s="663"/>
      <c r="D2781" s="663"/>
      <c r="E2781" s="663"/>
    </row>
    <row r="2782" spans="1:5" x14ac:dyDescent="0.2">
      <c r="A2782"/>
      <c r="B2782" s="663"/>
      <c r="C2782" s="663"/>
      <c r="D2782" s="663"/>
      <c r="E2782" s="663"/>
    </row>
    <row r="2783" spans="1:5" x14ac:dyDescent="0.2">
      <c r="A2783"/>
      <c r="B2783" s="663"/>
      <c r="C2783" s="663"/>
      <c r="D2783" s="663"/>
      <c r="E2783" s="663"/>
    </row>
    <row r="2784" spans="1:5" x14ac:dyDescent="0.2">
      <c r="A2784"/>
      <c r="B2784" s="663"/>
      <c r="C2784" s="663"/>
      <c r="D2784" s="663"/>
      <c r="E2784" s="663"/>
    </row>
    <row r="2785" spans="1:5" x14ac:dyDescent="0.2">
      <c r="A2785"/>
      <c r="B2785" s="663"/>
      <c r="C2785" s="663"/>
      <c r="D2785" s="663"/>
      <c r="E2785" s="663"/>
    </row>
    <row r="2786" spans="1:5" x14ac:dyDescent="0.2">
      <c r="A2786"/>
      <c r="B2786" s="663"/>
      <c r="C2786" s="663"/>
      <c r="D2786" s="663"/>
      <c r="E2786" s="663"/>
    </row>
    <row r="2787" spans="1:5" x14ac:dyDescent="0.2">
      <c r="A2787"/>
      <c r="B2787" s="663"/>
      <c r="C2787" s="663"/>
      <c r="D2787" s="663"/>
      <c r="E2787" s="663"/>
    </row>
    <row r="2788" spans="1:5" x14ac:dyDescent="0.2">
      <c r="A2788"/>
      <c r="B2788" s="663"/>
      <c r="C2788" s="663"/>
      <c r="D2788" s="663"/>
      <c r="E2788" s="663"/>
    </row>
    <row r="2789" spans="1:5" x14ac:dyDescent="0.2">
      <c r="A2789"/>
      <c r="B2789" s="663"/>
      <c r="C2789" s="663"/>
      <c r="D2789" s="663"/>
      <c r="E2789" s="663"/>
    </row>
    <row r="2790" spans="1:5" x14ac:dyDescent="0.2">
      <c r="A2790"/>
      <c r="B2790" s="663"/>
      <c r="C2790" s="663"/>
      <c r="D2790" s="663"/>
      <c r="E2790" s="663"/>
    </row>
    <row r="2791" spans="1:5" x14ac:dyDescent="0.2">
      <c r="A2791"/>
      <c r="B2791" s="663"/>
      <c r="C2791" s="663"/>
      <c r="D2791" s="663"/>
      <c r="E2791" s="663"/>
    </row>
    <row r="2792" spans="1:5" x14ac:dyDescent="0.2">
      <c r="A2792"/>
      <c r="B2792" s="663"/>
      <c r="C2792" s="663"/>
      <c r="D2792" s="663"/>
      <c r="E2792" s="663"/>
    </row>
    <row r="2793" spans="1:5" x14ac:dyDescent="0.2">
      <c r="A2793"/>
      <c r="B2793" s="663"/>
      <c r="C2793" s="663"/>
      <c r="D2793" s="663"/>
      <c r="E2793" s="663"/>
    </row>
    <row r="2794" spans="1:5" x14ac:dyDescent="0.2">
      <c r="A2794"/>
      <c r="B2794" s="663"/>
      <c r="C2794" s="663"/>
      <c r="D2794" s="663"/>
      <c r="E2794" s="663"/>
    </row>
    <row r="2795" spans="1:5" x14ac:dyDescent="0.2">
      <c r="A2795"/>
      <c r="B2795" s="663"/>
      <c r="C2795" s="663"/>
      <c r="D2795" s="663"/>
      <c r="E2795" s="663"/>
    </row>
    <row r="2796" spans="1:5" x14ac:dyDescent="0.2">
      <c r="A2796"/>
      <c r="B2796" s="663"/>
      <c r="C2796" s="663"/>
      <c r="D2796" s="663"/>
      <c r="E2796" s="663"/>
    </row>
    <row r="2797" spans="1:5" x14ac:dyDescent="0.2">
      <c r="A2797"/>
      <c r="B2797" s="663"/>
      <c r="C2797" s="663"/>
      <c r="D2797" s="663"/>
      <c r="E2797" s="663"/>
    </row>
    <row r="2798" spans="1:5" x14ac:dyDescent="0.2">
      <c r="A2798"/>
      <c r="B2798" s="663"/>
      <c r="C2798" s="663"/>
      <c r="D2798" s="663"/>
      <c r="E2798" s="663"/>
    </row>
    <row r="2799" spans="1:5" x14ac:dyDescent="0.2">
      <c r="A2799"/>
      <c r="B2799" s="663"/>
      <c r="C2799" s="663"/>
      <c r="D2799" s="663"/>
      <c r="E2799" s="663"/>
    </row>
    <row r="2800" spans="1:5" x14ac:dyDescent="0.2">
      <c r="A2800"/>
      <c r="B2800" s="663"/>
      <c r="C2800" s="663"/>
      <c r="D2800" s="663"/>
      <c r="E2800" s="663"/>
    </row>
    <row r="2801" spans="1:5" x14ac:dyDescent="0.2">
      <c r="A2801"/>
      <c r="B2801" s="663"/>
      <c r="C2801" s="663"/>
      <c r="D2801" s="663"/>
      <c r="E2801" s="663"/>
    </row>
    <row r="2802" spans="1:5" x14ac:dyDescent="0.2">
      <c r="A2802"/>
      <c r="B2802" s="663"/>
      <c r="C2802" s="663"/>
      <c r="D2802" s="663"/>
      <c r="E2802" s="663"/>
    </row>
    <row r="2803" spans="1:5" x14ac:dyDescent="0.2">
      <c r="A2803"/>
      <c r="B2803" s="663"/>
      <c r="C2803" s="663"/>
      <c r="D2803" s="663"/>
      <c r="E2803" s="663"/>
    </row>
    <row r="2804" spans="1:5" x14ac:dyDescent="0.2">
      <c r="A2804"/>
      <c r="B2804" s="663"/>
      <c r="C2804" s="663"/>
      <c r="D2804" s="663"/>
      <c r="E2804" s="663"/>
    </row>
    <row r="2805" spans="1:5" x14ac:dyDescent="0.2">
      <c r="A2805"/>
      <c r="B2805" s="663"/>
      <c r="C2805" s="663"/>
      <c r="D2805" s="663"/>
      <c r="E2805" s="663"/>
    </row>
    <row r="2806" spans="1:5" x14ac:dyDescent="0.2">
      <c r="A2806"/>
      <c r="B2806" s="663"/>
      <c r="C2806" s="663"/>
      <c r="D2806" s="663"/>
      <c r="E2806" s="663"/>
    </row>
    <row r="2807" spans="1:5" x14ac:dyDescent="0.2">
      <c r="A2807"/>
      <c r="B2807" s="663"/>
      <c r="C2807" s="663"/>
      <c r="D2807" s="663"/>
      <c r="E2807" s="663"/>
    </row>
    <row r="2808" spans="1:5" x14ac:dyDescent="0.2">
      <c r="A2808"/>
      <c r="B2808" s="663"/>
      <c r="C2808" s="663"/>
      <c r="D2808" s="663"/>
      <c r="E2808" s="663"/>
    </row>
    <row r="2809" spans="1:5" x14ac:dyDescent="0.2">
      <c r="A2809"/>
      <c r="B2809" s="663"/>
      <c r="C2809" s="663"/>
      <c r="D2809" s="663"/>
      <c r="E2809" s="663"/>
    </row>
    <row r="2810" spans="1:5" x14ac:dyDescent="0.2">
      <c r="A2810"/>
      <c r="B2810" s="663"/>
      <c r="C2810" s="663"/>
      <c r="D2810" s="663"/>
      <c r="E2810" s="663"/>
    </row>
    <row r="2811" spans="1:5" x14ac:dyDescent="0.2">
      <c r="A2811"/>
      <c r="B2811" s="663"/>
      <c r="C2811" s="663"/>
      <c r="D2811" s="663"/>
      <c r="E2811" s="663"/>
    </row>
    <row r="2812" spans="1:5" x14ac:dyDescent="0.2">
      <c r="A2812"/>
      <c r="B2812" s="663"/>
      <c r="C2812" s="663"/>
      <c r="D2812" s="663"/>
      <c r="E2812" s="663"/>
    </row>
    <row r="2813" spans="1:5" x14ac:dyDescent="0.2">
      <c r="A2813"/>
      <c r="B2813" s="663"/>
      <c r="C2813" s="663"/>
      <c r="D2813" s="663"/>
      <c r="E2813" s="663"/>
    </row>
    <row r="2814" spans="1:5" x14ac:dyDescent="0.2">
      <c r="A2814"/>
      <c r="B2814" s="663"/>
      <c r="C2814" s="663"/>
      <c r="D2814" s="663"/>
      <c r="E2814" s="663"/>
    </row>
    <row r="2815" spans="1:5" x14ac:dyDescent="0.2">
      <c r="A2815"/>
      <c r="B2815" s="663"/>
      <c r="C2815" s="663"/>
      <c r="D2815" s="663"/>
      <c r="E2815" s="663"/>
    </row>
    <row r="2816" spans="1:5" x14ac:dyDescent="0.2">
      <c r="A2816"/>
      <c r="B2816" s="663"/>
      <c r="C2816" s="663"/>
      <c r="D2816" s="663"/>
      <c r="E2816" s="663"/>
    </row>
    <row r="2817" spans="1:5" x14ac:dyDescent="0.2">
      <c r="A2817"/>
      <c r="B2817" s="663"/>
      <c r="C2817" s="663"/>
      <c r="D2817" s="663"/>
      <c r="E2817" s="663"/>
    </row>
    <row r="2818" spans="1:5" x14ac:dyDescent="0.2">
      <c r="A2818"/>
      <c r="B2818" s="663"/>
      <c r="C2818" s="663"/>
      <c r="D2818" s="663"/>
      <c r="E2818" s="663"/>
    </row>
    <row r="2819" spans="1:5" x14ac:dyDescent="0.2">
      <c r="A2819"/>
      <c r="B2819" s="663"/>
      <c r="C2819" s="663"/>
      <c r="D2819" s="663"/>
      <c r="E2819" s="663"/>
    </row>
    <row r="2820" spans="1:5" x14ac:dyDescent="0.2">
      <c r="A2820"/>
      <c r="B2820" s="663"/>
      <c r="C2820" s="663"/>
      <c r="D2820" s="663"/>
      <c r="E2820" s="663"/>
    </row>
    <row r="2821" spans="1:5" x14ac:dyDescent="0.2">
      <c r="A2821"/>
      <c r="B2821" s="663"/>
      <c r="C2821" s="663"/>
      <c r="D2821" s="663"/>
      <c r="E2821" s="663"/>
    </row>
    <row r="2822" spans="1:5" x14ac:dyDescent="0.2">
      <c r="A2822"/>
      <c r="B2822" s="663"/>
      <c r="C2822" s="663"/>
      <c r="D2822" s="663"/>
      <c r="E2822" s="663"/>
    </row>
    <row r="2823" spans="1:5" x14ac:dyDescent="0.2">
      <c r="A2823"/>
      <c r="B2823" s="663"/>
      <c r="C2823" s="663"/>
      <c r="D2823" s="663"/>
      <c r="E2823" s="663"/>
    </row>
    <row r="2824" spans="1:5" x14ac:dyDescent="0.2">
      <c r="A2824"/>
      <c r="B2824" s="663"/>
      <c r="C2824" s="663"/>
      <c r="D2824" s="663"/>
      <c r="E2824" s="663"/>
    </row>
    <row r="2825" spans="1:5" x14ac:dyDescent="0.2">
      <c r="A2825"/>
      <c r="B2825" s="663"/>
      <c r="C2825" s="663"/>
      <c r="D2825" s="663"/>
      <c r="E2825" s="663"/>
    </row>
    <row r="2826" spans="1:5" x14ac:dyDescent="0.2">
      <c r="A2826"/>
      <c r="B2826" s="663"/>
      <c r="C2826" s="663"/>
      <c r="D2826" s="663"/>
      <c r="E2826" s="663"/>
    </row>
    <row r="2827" spans="1:5" x14ac:dyDescent="0.2">
      <c r="A2827"/>
      <c r="B2827" s="663"/>
      <c r="C2827" s="663"/>
      <c r="D2827" s="663"/>
      <c r="E2827" s="663"/>
    </row>
    <row r="2828" spans="1:5" x14ac:dyDescent="0.2">
      <c r="A2828"/>
      <c r="B2828" s="663"/>
      <c r="C2828" s="663"/>
      <c r="D2828" s="663"/>
      <c r="E2828" s="663"/>
    </row>
    <row r="2829" spans="1:5" x14ac:dyDescent="0.2">
      <c r="A2829"/>
      <c r="B2829" s="663"/>
      <c r="C2829" s="663"/>
      <c r="D2829" s="663"/>
      <c r="E2829" s="663"/>
    </row>
    <row r="2830" spans="1:5" x14ac:dyDescent="0.2">
      <c r="A2830"/>
      <c r="B2830" s="663"/>
      <c r="C2830" s="663"/>
      <c r="D2830" s="663"/>
      <c r="E2830" s="663"/>
    </row>
    <row r="2831" spans="1:5" x14ac:dyDescent="0.2">
      <c r="A2831"/>
      <c r="B2831" s="663"/>
      <c r="C2831" s="663"/>
      <c r="D2831" s="663"/>
      <c r="E2831" s="663"/>
    </row>
    <row r="2832" spans="1:5" x14ac:dyDescent="0.2">
      <c r="A2832"/>
      <c r="B2832" s="663"/>
      <c r="C2832" s="663"/>
      <c r="D2832" s="663"/>
      <c r="E2832" s="663"/>
    </row>
    <row r="2833" spans="1:5" x14ac:dyDescent="0.2">
      <c r="A2833"/>
      <c r="B2833" s="663"/>
      <c r="C2833" s="663"/>
      <c r="D2833" s="663"/>
      <c r="E2833" s="663"/>
    </row>
    <row r="2834" spans="1:5" x14ac:dyDescent="0.2">
      <c r="A2834"/>
      <c r="B2834" s="663"/>
      <c r="C2834" s="663"/>
      <c r="D2834" s="663"/>
      <c r="E2834" s="663"/>
    </row>
    <row r="2835" spans="1:5" x14ac:dyDescent="0.2">
      <c r="A2835"/>
      <c r="B2835" s="663"/>
      <c r="C2835" s="663"/>
      <c r="D2835" s="663"/>
      <c r="E2835" s="663"/>
    </row>
    <row r="2836" spans="1:5" x14ac:dyDescent="0.2">
      <c r="A2836"/>
      <c r="B2836" s="663"/>
      <c r="C2836" s="663"/>
      <c r="D2836" s="663"/>
      <c r="E2836" s="663"/>
    </row>
    <row r="2837" spans="1:5" x14ac:dyDescent="0.2">
      <c r="A2837"/>
      <c r="B2837" s="663"/>
      <c r="C2837" s="663"/>
      <c r="D2837" s="663"/>
      <c r="E2837" s="663"/>
    </row>
    <row r="2838" spans="1:5" x14ac:dyDescent="0.2">
      <c r="A2838"/>
      <c r="B2838" s="663"/>
      <c r="C2838" s="663"/>
      <c r="D2838" s="663"/>
      <c r="E2838" s="663"/>
    </row>
    <row r="2839" spans="1:5" x14ac:dyDescent="0.2">
      <c r="A2839"/>
      <c r="B2839" s="663"/>
      <c r="C2839" s="663"/>
      <c r="D2839" s="663"/>
      <c r="E2839" s="663"/>
    </row>
    <row r="2840" spans="1:5" x14ac:dyDescent="0.2">
      <c r="A2840"/>
      <c r="B2840" s="663"/>
      <c r="C2840" s="663"/>
      <c r="D2840" s="663"/>
      <c r="E2840" s="663"/>
    </row>
    <row r="2841" spans="1:5" x14ac:dyDescent="0.2">
      <c r="A2841"/>
      <c r="B2841" s="663"/>
      <c r="C2841" s="663"/>
      <c r="D2841" s="663"/>
      <c r="E2841" s="663"/>
    </row>
    <row r="2842" spans="1:5" x14ac:dyDescent="0.2">
      <c r="A2842"/>
      <c r="B2842" s="663"/>
      <c r="C2842" s="663"/>
      <c r="D2842" s="663"/>
      <c r="E2842" s="663"/>
    </row>
    <row r="2843" spans="1:5" x14ac:dyDescent="0.2">
      <c r="A2843"/>
      <c r="B2843" s="663"/>
      <c r="C2843" s="663"/>
      <c r="D2843" s="663"/>
      <c r="E2843" s="663"/>
    </row>
    <row r="2844" spans="1:5" x14ac:dyDescent="0.2">
      <c r="A2844"/>
      <c r="B2844" s="663"/>
      <c r="C2844" s="663"/>
      <c r="D2844" s="663"/>
      <c r="E2844" s="663"/>
    </row>
    <row r="2845" spans="1:5" x14ac:dyDescent="0.2">
      <c r="A2845"/>
      <c r="B2845" s="663"/>
      <c r="C2845" s="663"/>
      <c r="D2845" s="663"/>
      <c r="E2845" s="663"/>
    </row>
    <row r="2846" spans="1:5" x14ac:dyDescent="0.2">
      <c r="A2846"/>
      <c r="B2846" s="663"/>
      <c r="C2846" s="663"/>
      <c r="D2846" s="663"/>
      <c r="E2846" s="663"/>
    </row>
    <row r="2847" spans="1:5" x14ac:dyDescent="0.2">
      <c r="A2847"/>
      <c r="B2847" s="663"/>
      <c r="C2847" s="663"/>
      <c r="D2847" s="663"/>
      <c r="E2847" s="663"/>
    </row>
    <row r="2848" spans="1:5" x14ac:dyDescent="0.2">
      <c r="A2848"/>
      <c r="B2848" s="663"/>
      <c r="C2848" s="663"/>
      <c r="D2848" s="663"/>
      <c r="E2848" s="663"/>
    </row>
    <row r="2849" spans="1:5" x14ac:dyDescent="0.2">
      <c r="A2849"/>
      <c r="B2849" s="663"/>
      <c r="C2849" s="663"/>
      <c r="D2849" s="663"/>
      <c r="E2849" s="663"/>
    </row>
    <row r="2850" spans="1:5" x14ac:dyDescent="0.2">
      <c r="A2850"/>
      <c r="B2850" s="663"/>
      <c r="C2850" s="663"/>
      <c r="D2850" s="663"/>
      <c r="E2850" s="663"/>
    </row>
    <row r="2851" spans="1:5" x14ac:dyDescent="0.2">
      <c r="A2851"/>
      <c r="B2851" s="663"/>
      <c r="C2851" s="663"/>
      <c r="D2851" s="663"/>
      <c r="E2851" s="663"/>
    </row>
    <row r="2852" spans="1:5" x14ac:dyDescent="0.2">
      <c r="A2852"/>
      <c r="B2852" s="663"/>
      <c r="C2852" s="663"/>
      <c r="D2852" s="663"/>
      <c r="E2852" s="663"/>
    </row>
    <row r="2853" spans="1:5" x14ac:dyDescent="0.2">
      <c r="A2853"/>
      <c r="B2853" s="663"/>
      <c r="C2853" s="663"/>
      <c r="D2853" s="663"/>
      <c r="E2853" s="663"/>
    </row>
    <row r="2854" spans="1:5" x14ac:dyDescent="0.2">
      <c r="A2854"/>
      <c r="B2854" s="663"/>
      <c r="C2854" s="663"/>
      <c r="D2854" s="663"/>
      <c r="E2854" s="663"/>
    </row>
    <row r="2855" spans="1:5" x14ac:dyDescent="0.2">
      <c r="A2855"/>
      <c r="B2855" s="663"/>
      <c r="C2855" s="663"/>
      <c r="D2855" s="663"/>
      <c r="E2855" s="663"/>
    </row>
    <row r="2856" spans="1:5" x14ac:dyDescent="0.2">
      <c r="A2856"/>
      <c r="B2856" s="663"/>
      <c r="C2856" s="663"/>
      <c r="D2856" s="663"/>
      <c r="E2856" s="663"/>
    </row>
    <row r="2857" spans="1:5" x14ac:dyDescent="0.2">
      <c r="A2857"/>
      <c r="B2857" s="663"/>
      <c r="C2857" s="663"/>
      <c r="D2857" s="663"/>
      <c r="E2857" s="663"/>
    </row>
    <row r="2858" spans="1:5" x14ac:dyDescent="0.2">
      <c r="A2858"/>
      <c r="B2858" s="663"/>
      <c r="C2858" s="663"/>
      <c r="D2858" s="663"/>
      <c r="E2858" s="663"/>
    </row>
    <row r="2859" spans="1:5" x14ac:dyDescent="0.2">
      <c r="A2859"/>
      <c r="B2859" s="663"/>
      <c r="C2859" s="663"/>
      <c r="D2859" s="663"/>
      <c r="E2859" s="663"/>
    </row>
    <row r="2860" spans="1:5" x14ac:dyDescent="0.2">
      <c r="A2860"/>
      <c r="B2860" s="663"/>
      <c r="C2860" s="663"/>
      <c r="D2860" s="663"/>
      <c r="E2860" s="663"/>
    </row>
    <row r="2861" spans="1:5" x14ac:dyDescent="0.2">
      <c r="A2861"/>
      <c r="B2861" s="663"/>
      <c r="C2861" s="663"/>
      <c r="D2861" s="663"/>
      <c r="E2861" s="663"/>
    </row>
    <row r="2862" spans="1:5" x14ac:dyDescent="0.2">
      <c r="A2862"/>
      <c r="B2862" s="663"/>
      <c r="C2862" s="663"/>
      <c r="D2862" s="663"/>
      <c r="E2862" s="663"/>
    </row>
    <row r="2863" spans="1:5" x14ac:dyDescent="0.2">
      <c r="A2863"/>
      <c r="B2863" s="663"/>
      <c r="C2863" s="663"/>
      <c r="D2863" s="663"/>
      <c r="E2863" s="663"/>
    </row>
    <row r="2864" spans="1:5" x14ac:dyDescent="0.2">
      <c r="A2864"/>
      <c r="B2864" s="663"/>
      <c r="C2864" s="663"/>
      <c r="D2864" s="663"/>
      <c r="E2864" s="663"/>
    </row>
    <row r="2865" spans="1:5" x14ac:dyDescent="0.2">
      <c r="A2865"/>
      <c r="B2865" s="663"/>
      <c r="C2865" s="663"/>
      <c r="D2865" s="663"/>
      <c r="E2865" s="663"/>
    </row>
    <row r="2866" spans="1:5" x14ac:dyDescent="0.2">
      <c r="A2866"/>
      <c r="B2866" s="663"/>
      <c r="C2866" s="663"/>
      <c r="D2866" s="663"/>
      <c r="E2866" s="663"/>
    </row>
    <row r="2867" spans="1:5" x14ac:dyDescent="0.2">
      <c r="A2867"/>
      <c r="B2867" s="663"/>
      <c r="C2867" s="663"/>
      <c r="D2867" s="663"/>
      <c r="E2867" s="663"/>
    </row>
    <row r="2868" spans="1:5" x14ac:dyDescent="0.2">
      <c r="A2868"/>
      <c r="B2868" s="663"/>
      <c r="C2868" s="663"/>
      <c r="D2868" s="663"/>
      <c r="E2868" s="663"/>
    </row>
    <row r="2869" spans="1:5" x14ac:dyDescent="0.2">
      <c r="A2869"/>
      <c r="B2869" s="663"/>
      <c r="C2869" s="663"/>
      <c r="D2869" s="663"/>
      <c r="E2869" s="663"/>
    </row>
    <row r="2870" spans="1:5" x14ac:dyDescent="0.2">
      <c r="A2870"/>
      <c r="B2870" s="663"/>
      <c r="C2870" s="663"/>
      <c r="D2870" s="663"/>
      <c r="E2870" s="663"/>
    </row>
    <row r="2871" spans="1:5" x14ac:dyDescent="0.2">
      <c r="A2871"/>
      <c r="B2871" s="663"/>
      <c r="C2871" s="663"/>
      <c r="D2871" s="663"/>
      <c r="E2871" s="663"/>
    </row>
    <row r="2872" spans="1:5" x14ac:dyDescent="0.2">
      <c r="A2872"/>
      <c r="B2872" s="663"/>
      <c r="C2872" s="663"/>
      <c r="D2872" s="663"/>
      <c r="E2872" s="663"/>
    </row>
    <row r="2873" spans="1:5" x14ac:dyDescent="0.2">
      <c r="A2873"/>
      <c r="B2873" s="663"/>
      <c r="C2873" s="663"/>
      <c r="D2873" s="663"/>
      <c r="E2873" s="663"/>
    </row>
    <row r="2874" spans="1:5" x14ac:dyDescent="0.2">
      <c r="A2874"/>
      <c r="B2874" s="663"/>
      <c r="C2874" s="663"/>
      <c r="D2874" s="663"/>
      <c r="E2874" s="663"/>
    </row>
    <row r="2875" spans="1:5" x14ac:dyDescent="0.2">
      <c r="A2875"/>
      <c r="B2875" s="663"/>
      <c r="C2875" s="663"/>
      <c r="D2875" s="663"/>
      <c r="E2875" s="663"/>
    </row>
    <row r="2876" spans="1:5" x14ac:dyDescent="0.2">
      <c r="A2876"/>
      <c r="B2876" s="663"/>
      <c r="C2876" s="663"/>
      <c r="D2876" s="663"/>
      <c r="E2876" s="663"/>
    </row>
    <row r="2877" spans="1:5" x14ac:dyDescent="0.2">
      <c r="A2877"/>
      <c r="B2877" s="663"/>
      <c r="C2877" s="663"/>
      <c r="D2877" s="663"/>
      <c r="E2877" s="663"/>
    </row>
    <row r="2878" spans="1:5" x14ac:dyDescent="0.2">
      <c r="A2878"/>
      <c r="B2878" s="663"/>
      <c r="C2878" s="663"/>
      <c r="D2878" s="663"/>
      <c r="E2878" s="663"/>
    </row>
    <row r="2879" spans="1:5" x14ac:dyDescent="0.2">
      <c r="A2879"/>
      <c r="B2879" s="663"/>
      <c r="C2879" s="663"/>
      <c r="D2879" s="663"/>
      <c r="E2879" s="663"/>
    </row>
    <row r="2880" spans="1:5" x14ac:dyDescent="0.2">
      <c r="A2880"/>
      <c r="B2880" s="663"/>
      <c r="C2880" s="663"/>
      <c r="D2880" s="663"/>
      <c r="E2880" s="663"/>
    </row>
    <row r="2881" spans="1:5" x14ac:dyDescent="0.2">
      <c r="A2881"/>
      <c r="B2881" s="663"/>
      <c r="C2881" s="663"/>
      <c r="D2881" s="663"/>
      <c r="E2881" s="663"/>
    </row>
    <row r="2882" spans="1:5" x14ac:dyDescent="0.2">
      <c r="A2882"/>
      <c r="B2882" s="663"/>
      <c r="C2882" s="663"/>
      <c r="D2882" s="663"/>
      <c r="E2882" s="663"/>
    </row>
    <row r="2883" spans="1:5" x14ac:dyDescent="0.2">
      <c r="A2883"/>
      <c r="B2883" s="663"/>
      <c r="C2883" s="663"/>
      <c r="D2883" s="663"/>
      <c r="E2883" s="663"/>
    </row>
    <row r="2884" spans="1:5" x14ac:dyDescent="0.2">
      <c r="A2884"/>
      <c r="B2884" s="663"/>
      <c r="C2884" s="663"/>
      <c r="D2884" s="663"/>
      <c r="E2884" s="663"/>
    </row>
    <row r="2885" spans="1:5" x14ac:dyDescent="0.2">
      <c r="A2885"/>
      <c r="B2885" s="663"/>
      <c r="C2885" s="663"/>
      <c r="D2885" s="663"/>
      <c r="E2885" s="663"/>
    </row>
    <row r="2886" spans="1:5" x14ac:dyDescent="0.2">
      <c r="A2886"/>
      <c r="B2886" s="663"/>
      <c r="C2886" s="663"/>
      <c r="D2886" s="663"/>
      <c r="E2886" s="663"/>
    </row>
    <row r="2887" spans="1:5" x14ac:dyDescent="0.2">
      <c r="A2887"/>
      <c r="B2887" s="663"/>
      <c r="C2887" s="663"/>
      <c r="D2887" s="663"/>
      <c r="E2887" s="663"/>
    </row>
    <row r="2888" spans="1:5" x14ac:dyDescent="0.2">
      <c r="A2888"/>
      <c r="B2888" s="663"/>
      <c r="C2888" s="663"/>
      <c r="D2888" s="663"/>
      <c r="E2888" s="663"/>
    </row>
    <row r="2889" spans="1:5" x14ac:dyDescent="0.2">
      <c r="A2889"/>
      <c r="B2889" s="663"/>
      <c r="C2889" s="663"/>
      <c r="D2889" s="663"/>
      <c r="E2889" s="663"/>
    </row>
    <row r="2890" spans="1:5" x14ac:dyDescent="0.2">
      <c r="A2890"/>
      <c r="B2890" s="663"/>
      <c r="C2890" s="663"/>
      <c r="D2890" s="663"/>
      <c r="E2890" s="663"/>
    </row>
    <row r="2891" spans="1:5" x14ac:dyDescent="0.2">
      <c r="A2891"/>
      <c r="B2891" s="663"/>
      <c r="C2891" s="663"/>
      <c r="D2891" s="663"/>
      <c r="E2891" s="663"/>
    </row>
    <row r="2892" spans="1:5" x14ac:dyDescent="0.2">
      <c r="A2892"/>
      <c r="B2892" s="663"/>
      <c r="C2892" s="663"/>
      <c r="D2892" s="663"/>
      <c r="E2892" s="663"/>
    </row>
    <row r="2893" spans="1:5" x14ac:dyDescent="0.2">
      <c r="A2893"/>
      <c r="B2893" s="663"/>
      <c r="C2893" s="663"/>
      <c r="D2893" s="663"/>
      <c r="E2893" s="663"/>
    </row>
    <row r="2894" spans="1:5" x14ac:dyDescent="0.2">
      <c r="A2894"/>
      <c r="B2894" s="663"/>
      <c r="C2894" s="663"/>
      <c r="D2894" s="663"/>
      <c r="E2894" s="663"/>
    </row>
    <row r="2895" spans="1:5" x14ac:dyDescent="0.2">
      <c r="A2895"/>
      <c r="B2895" s="663"/>
      <c r="C2895" s="663"/>
      <c r="D2895" s="663"/>
      <c r="E2895" s="663"/>
    </row>
    <row r="2896" spans="1:5" x14ac:dyDescent="0.2">
      <c r="A2896"/>
      <c r="B2896" s="663"/>
      <c r="C2896" s="663"/>
      <c r="D2896" s="663"/>
      <c r="E2896" s="663"/>
    </row>
    <row r="2897" spans="1:5" x14ac:dyDescent="0.2">
      <c r="A2897"/>
      <c r="B2897" s="663"/>
      <c r="C2897" s="663"/>
      <c r="D2897" s="663"/>
      <c r="E2897" s="663"/>
    </row>
    <row r="2898" spans="1:5" x14ac:dyDescent="0.2">
      <c r="A2898"/>
      <c r="B2898" s="663"/>
      <c r="C2898" s="663"/>
      <c r="D2898" s="663"/>
      <c r="E2898" s="663"/>
    </row>
    <row r="2899" spans="1:5" x14ac:dyDescent="0.2">
      <c r="A2899"/>
      <c r="B2899" s="663"/>
      <c r="C2899" s="663"/>
      <c r="D2899" s="663"/>
      <c r="E2899" s="663"/>
    </row>
    <row r="2900" spans="1:5" x14ac:dyDescent="0.2">
      <c r="A2900"/>
      <c r="B2900" s="663"/>
      <c r="C2900" s="663"/>
      <c r="D2900" s="663"/>
      <c r="E2900" s="663"/>
    </row>
    <row r="2901" spans="1:5" x14ac:dyDescent="0.2">
      <c r="A2901"/>
      <c r="B2901" s="663"/>
      <c r="C2901" s="663"/>
      <c r="D2901" s="663"/>
      <c r="E2901" s="663"/>
    </row>
    <row r="2902" spans="1:5" x14ac:dyDescent="0.2">
      <c r="A2902"/>
      <c r="B2902" s="663"/>
      <c r="C2902" s="663"/>
      <c r="D2902" s="663"/>
      <c r="E2902" s="663"/>
    </row>
    <row r="2903" spans="1:5" x14ac:dyDescent="0.2">
      <c r="A2903"/>
      <c r="B2903" s="663"/>
      <c r="C2903" s="663"/>
      <c r="D2903" s="663"/>
      <c r="E2903" s="663"/>
    </row>
    <row r="2904" spans="1:5" x14ac:dyDescent="0.2">
      <c r="A2904"/>
      <c r="B2904" s="663"/>
      <c r="C2904" s="663"/>
      <c r="D2904" s="663"/>
      <c r="E2904" s="663"/>
    </row>
    <row r="2905" spans="1:5" x14ac:dyDescent="0.2">
      <c r="A2905"/>
      <c r="B2905" s="663"/>
      <c r="C2905" s="663"/>
      <c r="D2905" s="663"/>
      <c r="E2905" s="663"/>
    </row>
    <row r="2906" spans="1:5" x14ac:dyDescent="0.2">
      <c r="A2906"/>
      <c r="B2906" s="663"/>
      <c r="C2906" s="663"/>
      <c r="D2906" s="663"/>
      <c r="E2906" s="663"/>
    </row>
    <row r="2907" spans="1:5" x14ac:dyDescent="0.2">
      <c r="A2907"/>
      <c r="B2907" s="663"/>
      <c r="C2907" s="663"/>
      <c r="D2907" s="663"/>
      <c r="E2907" s="663"/>
    </row>
    <row r="2908" spans="1:5" x14ac:dyDescent="0.2">
      <c r="A2908"/>
      <c r="B2908" s="663"/>
      <c r="C2908" s="663"/>
      <c r="D2908" s="663"/>
      <c r="E2908" s="663"/>
    </row>
    <row r="2909" spans="1:5" x14ac:dyDescent="0.2">
      <c r="A2909"/>
      <c r="B2909" s="663"/>
      <c r="C2909" s="663"/>
      <c r="D2909" s="663"/>
      <c r="E2909" s="663"/>
    </row>
    <row r="2910" spans="1:5" x14ac:dyDescent="0.2">
      <c r="A2910"/>
      <c r="B2910" s="663"/>
      <c r="C2910" s="663"/>
      <c r="D2910" s="663"/>
      <c r="E2910" s="663"/>
    </row>
    <row r="2911" spans="1:5" x14ac:dyDescent="0.2">
      <c r="A2911"/>
      <c r="B2911" s="663"/>
      <c r="C2911" s="663"/>
      <c r="D2911" s="663"/>
      <c r="E2911" s="663"/>
    </row>
    <row r="2912" spans="1:5" x14ac:dyDescent="0.2">
      <c r="A2912"/>
      <c r="B2912" s="663"/>
      <c r="C2912" s="663"/>
      <c r="D2912" s="663"/>
      <c r="E2912" s="663"/>
    </row>
    <row r="2913" spans="1:5" x14ac:dyDescent="0.2">
      <c r="A2913"/>
      <c r="B2913" s="663"/>
      <c r="C2913" s="663"/>
      <c r="D2913" s="663"/>
      <c r="E2913" s="663"/>
    </row>
    <row r="2914" spans="1:5" x14ac:dyDescent="0.2">
      <c r="A2914"/>
      <c r="B2914" s="663"/>
      <c r="C2914" s="663"/>
      <c r="D2914" s="663"/>
      <c r="E2914" s="663"/>
    </row>
    <row r="2915" spans="1:5" x14ac:dyDescent="0.2">
      <c r="A2915"/>
      <c r="B2915" s="663"/>
      <c r="C2915" s="663"/>
      <c r="D2915" s="663"/>
      <c r="E2915" s="663"/>
    </row>
    <row r="2916" spans="1:5" x14ac:dyDescent="0.2">
      <c r="A2916"/>
      <c r="B2916" s="663"/>
      <c r="C2916" s="663"/>
      <c r="D2916" s="663"/>
      <c r="E2916" s="663"/>
    </row>
    <row r="2917" spans="1:5" x14ac:dyDescent="0.2">
      <c r="A2917"/>
      <c r="B2917" s="663"/>
      <c r="C2917" s="663"/>
      <c r="D2917" s="663"/>
      <c r="E2917" s="663"/>
    </row>
    <row r="2918" spans="1:5" x14ac:dyDescent="0.2">
      <c r="A2918"/>
      <c r="B2918" s="663"/>
      <c r="C2918" s="663"/>
      <c r="D2918" s="663"/>
      <c r="E2918" s="663"/>
    </row>
    <row r="2919" spans="1:5" x14ac:dyDescent="0.2">
      <c r="A2919"/>
      <c r="B2919" s="663"/>
      <c r="C2919" s="663"/>
      <c r="D2919" s="663"/>
      <c r="E2919" s="663"/>
    </row>
    <row r="2920" spans="1:5" x14ac:dyDescent="0.2">
      <c r="A2920"/>
      <c r="B2920" s="663"/>
      <c r="C2920" s="663"/>
      <c r="D2920" s="663"/>
      <c r="E2920" s="663"/>
    </row>
    <row r="2921" spans="1:5" x14ac:dyDescent="0.2">
      <c r="A2921"/>
      <c r="B2921" s="663"/>
      <c r="C2921" s="663"/>
      <c r="D2921" s="663"/>
      <c r="E2921" s="663"/>
    </row>
    <row r="2922" spans="1:5" x14ac:dyDescent="0.2">
      <c r="A2922"/>
      <c r="B2922" s="663"/>
      <c r="C2922" s="663"/>
      <c r="D2922" s="663"/>
      <c r="E2922" s="663"/>
    </row>
    <row r="2923" spans="1:5" x14ac:dyDescent="0.2">
      <c r="A2923"/>
      <c r="B2923" s="663"/>
      <c r="C2923" s="663"/>
      <c r="D2923" s="663"/>
      <c r="E2923" s="663"/>
    </row>
    <row r="2924" spans="1:5" x14ac:dyDescent="0.2">
      <c r="A2924"/>
      <c r="B2924" s="663"/>
      <c r="C2924" s="663"/>
      <c r="D2924" s="663"/>
      <c r="E2924" s="663"/>
    </row>
    <row r="2925" spans="1:5" x14ac:dyDescent="0.2">
      <c r="A2925"/>
      <c r="B2925" s="663"/>
      <c r="C2925" s="663"/>
      <c r="D2925" s="663"/>
      <c r="E2925" s="663"/>
    </row>
    <row r="2926" spans="1:5" x14ac:dyDescent="0.2">
      <c r="A2926"/>
      <c r="B2926" s="663"/>
      <c r="C2926" s="663"/>
      <c r="D2926" s="663"/>
      <c r="E2926" s="663"/>
    </row>
    <row r="2927" spans="1:5" x14ac:dyDescent="0.2">
      <c r="A2927"/>
      <c r="B2927" s="663"/>
      <c r="C2927" s="663"/>
      <c r="D2927" s="663"/>
      <c r="E2927" s="663"/>
    </row>
    <row r="2928" spans="1:5" x14ac:dyDescent="0.2">
      <c r="A2928"/>
      <c r="B2928" s="663"/>
      <c r="C2928" s="663"/>
      <c r="D2928" s="663"/>
      <c r="E2928" s="663"/>
    </row>
    <row r="2929" spans="1:5" x14ac:dyDescent="0.2">
      <c r="A2929"/>
      <c r="B2929" s="663"/>
      <c r="C2929" s="663"/>
      <c r="D2929" s="663"/>
      <c r="E2929" s="663"/>
    </row>
    <row r="2930" spans="1:5" x14ac:dyDescent="0.2">
      <c r="A2930"/>
      <c r="B2930" s="663"/>
      <c r="C2930" s="663"/>
      <c r="D2930" s="663"/>
      <c r="E2930" s="663"/>
    </row>
    <row r="2931" spans="1:5" x14ac:dyDescent="0.2">
      <c r="A2931"/>
      <c r="B2931" s="663"/>
      <c r="C2931" s="663"/>
      <c r="D2931" s="663"/>
      <c r="E2931" s="663"/>
    </row>
    <row r="2932" spans="1:5" x14ac:dyDescent="0.2">
      <c r="A2932"/>
      <c r="B2932" s="663"/>
      <c r="C2932" s="663"/>
      <c r="D2932" s="663"/>
      <c r="E2932" s="663"/>
    </row>
    <row r="2933" spans="1:5" x14ac:dyDescent="0.2">
      <c r="A2933"/>
      <c r="B2933" s="663"/>
      <c r="C2933" s="663"/>
      <c r="D2933" s="663"/>
      <c r="E2933" s="663"/>
    </row>
    <row r="2934" spans="1:5" x14ac:dyDescent="0.2">
      <c r="A2934"/>
      <c r="B2934" s="663"/>
      <c r="C2934" s="663"/>
      <c r="D2934" s="663"/>
      <c r="E2934" s="663"/>
    </row>
    <row r="2935" spans="1:5" x14ac:dyDescent="0.2">
      <c r="A2935"/>
      <c r="B2935" s="663"/>
      <c r="C2935" s="663"/>
      <c r="D2935" s="663"/>
      <c r="E2935" s="663"/>
    </row>
    <row r="2936" spans="1:5" x14ac:dyDescent="0.2">
      <c r="A2936"/>
      <c r="B2936" s="663"/>
      <c r="C2936" s="663"/>
      <c r="D2936" s="663"/>
      <c r="E2936" s="663"/>
    </row>
    <row r="2937" spans="1:5" x14ac:dyDescent="0.2">
      <c r="A2937"/>
      <c r="B2937" s="663"/>
      <c r="C2937" s="663"/>
      <c r="D2937" s="663"/>
      <c r="E2937" s="663"/>
    </row>
    <row r="2938" spans="1:5" x14ac:dyDescent="0.2">
      <c r="A2938"/>
      <c r="B2938" s="663"/>
      <c r="C2938" s="663"/>
      <c r="D2938" s="663"/>
      <c r="E2938" s="663"/>
    </row>
    <row r="2939" spans="1:5" x14ac:dyDescent="0.2">
      <c r="A2939"/>
      <c r="B2939" s="663"/>
      <c r="C2939" s="663"/>
      <c r="D2939" s="663"/>
      <c r="E2939" s="663"/>
    </row>
    <row r="2940" spans="1:5" x14ac:dyDescent="0.2">
      <c r="A2940"/>
      <c r="B2940" s="663"/>
      <c r="C2940" s="663"/>
      <c r="D2940" s="663"/>
      <c r="E2940" s="663"/>
    </row>
    <row r="2941" spans="1:5" x14ac:dyDescent="0.2">
      <c r="A2941"/>
      <c r="B2941" s="663"/>
      <c r="C2941" s="663"/>
      <c r="D2941" s="663"/>
      <c r="E2941" s="663"/>
    </row>
    <row r="2942" spans="1:5" x14ac:dyDescent="0.2">
      <c r="A2942"/>
      <c r="B2942" s="663"/>
      <c r="C2942" s="663"/>
      <c r="D2942" s="663"/>
      <c r="E2942" s="663"/>
    </row>
    <row r="2943" spans="1:5" x14ac:dyDescent="0.2">
      <c r="A2943"/>
      <c r="B2943" s="663"/>
      <c r="C2943" s="663"/>
      <c r="D2943" s="663"/>
      <c r="E2943" s="663"/>
    </row>
    <row r="2944" spans="1:5" x14ac:dyDescent="0.2">
      <c r="A2944"/>
      <c r="B2944" s="663"/>
      <c r="C2944" s="663"/>
      <c r="D2944" s="663"/>
      <c r="E2944" s="663"/>
    </row>
    <row r="2945" spans="1:5" x14ac:dyDescent="0.2">
      <c r="A2945"/>
      <c r="B2945" s="663"/>
      <c r="C2945" s="663"/>
      <c r="D2945" s="663"/>
      <c r="E2945" s="663"/>
    </row>
    <row r="2946" spans="1:5" x14ac:dyDescent="0.2">
      <c r="A2946"/>
      <c r="B2946" s="663"/>
      <c r="C2946" s="663"/>
      <c r="D2946" s="663"/>
      <c r="E2946" s="663"/>
    </row>
    <row r="2947" spans="1:5" x14ac:dyDescent="0.2">
      <c r="A2947"/>
      <c r="B2947" s="663"/>
      <c r="C2947" s="663"/>
      <c r="D2947" s="663"/>
      <c r="E2947" s="663"/>
    </row>
    <row r="2948" spans="1:5" x14ac:dyDescent="0.2">
      <c r="A2948"/>
      <c r="B2948" s="663"/>
      <c r="C2948" s="663"/>
      <c r="D2948" s="663"/>
      <c r="E2948" s="663"/>
    </row>
    <row r="2949" spans="1:5" x14ac:dyDescent="0.2">
      <c r="A2949"/>
      <c r="B2949" s="663"/>
      <c r="C2949" s="663"/>
      <c r="D2949" s="663"/>
      <c r="E2949" s="663"/>
    </row>
    <row r="2950" spans="1:5" x14ac:dyDescent="0.2">
      <c r="A2950"/>
      <c r="B2950" s="663"/>
      <c r="C2950" s="663"/>
      <c r="D2950" s="663"/>
      <c r="E2950" s="663"/>
    </row>
    <row r="2951" spans="1:5" x14ac:dyDescent="0.2">
      <c r="A2951"/>
      <c r="B2951" s="663"/>
      <c r="C2951" s="663"/>
      <c r="D2951" s="663"/>
      <c r="E2951" s="663"/>
    </row>
    <row r="2952" spans="1:5" x14ac:dyDescent="0.2">
      <c r="A2952"/>
      <c r="B2952" s="663"/>
      <c r="C2952" s="663"/>
      <c r="D2952" s="663"/>
      <c r="E2952" s="663"/>
    </row>
    <row r="2953" spans="1:5" x14ac:dyDescent="0.2">
      <c r="A2953"/>
      <c r="B2953" s="663"/>
      <c r="C2953" s="663"/>
      <c r="D2953" s="663"/>
      <c r="E2953" s="663"/>
    </row>
    <row r="2954" spans="1:5" x14ac:dyDescent="0.2">
      <c r="A2954"/>
      <c r="B2954" s="663"/>
      <c r="C2954" s="663"/>
      <c r="D2954" s="663"/>
      <c r="E2954" s="663"/>
    </row>
    <row r="2955" spans="1:5" x14ac:dyDescent="0.2">
      <c r="A2955"/>
      <c r="B2955" s="663"/>
      <c r="C2955" s="663"/>
      <c r="D2955" s="663"/>
      <c r="E2955" s="663"/>
    </row>
    <row r="2956" spans="1:5" x14ac:dyDescent="0.2">
      <c r="A2956"/>
      <c r="B2956" s="663"/>
      <c r="C2956" s="663"/>
      <c r="D2956" s="663"/>
      <c r="E2956" s="663"/>
    </row>
    <row r="2957" spans="1:5" x14ac:dyDescent="0.2">
      <c r="A2957"/>
      <c r="B2957" s="663"/>
      <c r="C2957" s="663"/>
      <c r="D2957" s="663"/>
      <c r="E2957" s="663"/>
    </row>
    <row r="2958" spans="1:5" x14ac:dyDescent="0.2">
      <c r="A2958"/>
      <c r="B2958" s="663"/>
      <c r="C2958" s="663"/>
      <c r="D2958" s="663"/>
      <c r="E2958" s="663"/>
    </row>
    <row r="2959" spans="1:5" x14ac:dyDescent="0.2">
      <c r="A2959"/>
      <c r="B2959" s="663"/>
      <c r="C2959" s="663"/>
      <c r="D2959" s="663"/>
      <c r="E2959" s="663"/>
    </row>
    <row r="2960" spans="1:5" x14ac:dyDescent="0.2">
      <c r="A2960"/>
      <c r="B2960" s="663"/>
      <c r="C2960" s="663"/>
      <c r="D2960" s="663"/>
      <c r="E2960" s="663"/>
    </row>
    <row r="2961" spans="1:5" x14ac:dyDescent="0.2">
      <c r="A2961"/>
      <c r="B2961" s="663"/>
      <c r="C2961" s="663"/>
      <c r="D2961" s="663"/>
      <c r="E2961" s="663"/>
    </row>
    <row r="2962" spans="1:5" x14ac:dyDescent="0.2">
      <c r="A2962"/>
      <c r="B2962" s="663"/>
      <c r="C2962" s="663"/>
      <c r="D2962" s="663"/>
      <c r="E2962" s="663"/>
    </row>
    <row r="2963" spans="1:5" x14ac:dyDescent="0.2">
      <c r="A2963"/>
      <c r="B2963" s="663"/>
      <c r="C2963" s="663"/>
      <c r="D2963" s="663"/>
      <c r="E2963" s="663"/>
    </row>
    <row r="2964" spans="1:5" x14ac:dyDescent="0.2">
      <c r="A2964"/>
      <c r="B2964" s="663"/>
      <c r="C2964" s="663"/>
      <c r="D2964" s="663"/>
      <c r="E2964" s="663"/>
    </row>
    <row r="2965" spans="1:5" x14ac:dyDescent="0.2">
      <c r="A2965"/>
      <c r="B2965" s="663"/>
      <c r="C2965" s="663"/>
      <c r="D2965" s="663"/>
      <c r="E2965" s="663"/>
    </row>
    <row r="2966" spans="1:5" x14ac:dyDescent="0.2">
      <c r="A2966"/>
      <c r="B2966" s="663"/>
      <c r="C2966" s="663"/>
      <c r="D2966" s="663"/>
      <c r="E2966" s="663"/>
    </row>
    <row r="2967" spans="1:5" x14ac:dyDescent="0.2">
      <c r="A2967"/>
      <c r="B2967" s="663"/>
      <c r="C2967" s="663"/>
      <c r="D2967" s="663"/>
      <c r="E2967" s="663"/>
    </row>
    <row r="2968" spans="1:5" x14ac:dyDescent="0.2">
      <c r="A2968"/>
      <c r="B2968" s="663"/>
      <c r="C2968" s="663"/>
      <c r="D2968" s="663"/>
      <c r="E2968" s="663"/>
    </row>
    <row r="2969" spans="1:5" x14ac:dyDescent="0.2">
      <c r="A2969"/>
      <c r="B2969" s="663"/>
      <c r="C2969" s="663"/>
      <c r="D2969" s="663"/>
      <c r="E2969" s="663"/>
    </row>
    <row r="2970" spans="1:5" x14ac:dyDescent="0.2">
      <c r="A2970"/>
      <c r="B2970" s="663"/>
      <c r="C2970" s="663"/>
      <c r="D2970" s="663"/>
      <c r="E2970" s="663"/>
    </row>
    <row r="2971" spans="1:5" x14ac:dyDescent="0.2">
      <c r="A2971"/>
      <c r="B2971" s="663"/>
      <c r="C2971" s="663"/>
      <c r="D2971" s="663"/>
      <c r="E2971" s="663"/>
    </row>
    <row r="2972" spans="1:5" x14ac:dyDescent="0.2">
      <c r="A2972"/>
      <c r="B2972" s="663"/>
      <c r="C2972" s="663"/>
      <c r="D2972" s="663"/>
      <c r="E2972" s="663"/>
    </row>
    <row r="2973" spans="1:5" x14ac:dyDescent="0.2">
      <c r="A2973"/>
      <c r="B2973" s="663"/>
      <c r="C2973" s="663"/>
      <c r="D2973" s="663"/>
      <c r="E2973" s="663"/>
    </row>
    <row r="2974" spans="1:5" x14ac:dyDescent="0.2">
      <c r="A2974"/>
      <c r="B2974" s="663"/>
      <c r="C2974" s="663"/>
      <c r="D2974" s="663"/>
      <c r="E2974" s="663"/>
    </row>
    <row r="2975" spans="1:5" x14ac:dyDescent="0.2">
      <c r="A2975"/>
      <c r="B2975" s="663"/>
      <c r="C2975" s="663"/>
      <c r="D2975" s="663"/>
      <c r="E2975" s="663"/>
    </row>
    <row r="2976" spans="1:5" x14ac:dyDescent="0.2">
      <c r="A2976"/>
      <c r="B2976" s="663"/>
      <c r="C2976" s="663"/>
      <c r="D2976" s="663"/>
      <c r="E2976" s="663"/>
    </row>
    <row r="2977" spans="1:5" x14ac:dyDescent="0.2">
      <c r="A2977"/>
      <c r="B2977" s="663"/>
      <c r="C2977" s="663"/>
      <c r="D2977" s="663"/>
      <c r="E2977" s="663"/>
    </row>
    <row r="2978" spans="1:5" x14ac:dyDescent="0.2">
      <c r="A2978"/>
      <c r="B2978" s="663"/>
      <c r="C2978" s="663"/>
      <c r="D2978" s="663"/>
      <c r="E2978" s="663"/>
    </row>
    <row r="2979" spans="1:5" x14ac:dyDescent="0.2">
      <c r="A2979"/>
      <c r="B2979" s="663"/>
      <c r="C2979" s="663"/>
      <c r="D2979" s="663"/>
      <c r="E2979" s="663"/>
    </row>
    <row r="2980" spans="1:5" x14ac:dyDescent="0.2">
      <c r="A2980"/>
      <c r="B2980" s="663"/>
      <c r="C2980" s="663"/>
      <c r="D2980" s="663"/>
      <c r="E2980" s="663"/>
    </row>
    <row r="2981" spans="1:5" x14ac:dyDescent="0.2">
      <c r="A2981"/>
      <c r="B2981" s="663"/>
      <c r="C2981" s="663"/>
      <c r="D2981" s="663"/>
      <c r="E2981" s="663"/>
    </row>
    <row r="2982" spans="1:5" x14ac:dyDescent="0.2">
      <c r="A2982"/>
      <c r="B2982" s="663"/>
      <c r="C2982" s="663"/>
      <c r="D2982" s="663"/>
      <c r="E2982" s="663"/>
    </row>
    <row r="2983" spans="1:5" x14ac:dyDescent="0.2">
      <c r="A2983"/>
      <c r="B2983" s="663"/>
      <c r="C2983" s="663"/>
      <c r="D2983" s="663"/>
      <c r="E2983" s="663"/>
    </row>
    <row r="2984" spans="1:5" x14ac:dyDescent="0.2">
      <c r="A2984"/>
      <c r="B2984" s="663"/>
      <c r="C2984" s="663"/>
      <c r="D2984" s="663"/>
      <c r="E2984" s="663"/>
    </row>
    <row r="2985" spans="1:5" x14ac:dyDescent="0.2">
      <c r="A2985"/>
      <c r="B2985" s="663"/>
      <c r="C2985" s="663"/>
      <c r="D2985" s="663"/>
      <c r="E2985" s="663"/>
    </row>
    <row r="2986" spans="1:5" x14ac:dyDescent="0.2">
      <c r="A2986"/>
      <c r="B2986" s="663"/>
      <c r="C2986" s="663"/>
      <c r="D2986" s="663"/>
      <c r="E2986" s="663"/>
    </row>
    <row r="2987" spans="1:5" x14ac:dyDescent="0.2">
      <c r="A2987"/>
      <c r="B2987" s="663"/>
      <c r="C2987" s="663"/>
      <c r="D2987" s="663"/>
      <c r="E2987" s="663"/>
    </row>
    <row r="2988" spans="1:5" x14ac:dyDescent="0.2">
      <c r="A2988"/>
      <c r="B2988" s="663"/>
      <c r="C2988" s="663"/>
      <c r="D2988" s="663"/>
      <c r="E2988" s="663"/>
    </row>
    <row r="2989" spans="1:5" x14ac:dyDescent="0.2">
      <c r="A2989"/>
      <c r="B2989" s="663"/>
      <c r="C2989" s="663"/>
      <c r="D2989" s="663"/>
      <c r="E2989" s="663"/>
    </row>
    <row r="2990" spans="1:5" x14ac:dyDescent="0.2">
      <c r="A2990"/>
      <c r="B2990" s="663"/>
      <c r="C2990" s="663"/>
      <c r="D2990" s="663"/>
      <c r="E2990" s="663"/>
    </row>
    <row r="2991" spans="1:5" x14ac:dyDescent="0.2">
      <c r="A2991"/>
      <c r="B2991" s="663"/>
      <c r="C2991" s="663"/>
      <c r="D2991" s="663"/>
      <c r="E2991" s="663"/>
    </row>
    <row r="2992" spans="1:5" x14ac:dyDescent="0.2">
      <c r="A2992"/>
      <c r="B2992" s="663"/>
      <c r="C2992" s="663"/>
      <c r="D2992" s="663"/>
      <c r="E2992" s="663"/>
    </row>
    <row r="2993" spans="1:5" x14ac:dyDescent="0.2">
      <c r="A2993"/>
      <c r="B2993" s="663"/>
      <c r="C2993" s="663"/>
      <c r="D2993" s="663"/>
      <c r="E2993" s="663"/>
    </row>
    <row r="2994" spans="1:5" x14ac:dyDescent="0.2">
      <c r="A2994"/>
      <c r="B2994" s="663"/>
      <c r="C2994" s="663"/>
      <c r="D2994" s="663"/>
      <c r="E2994" s="663"/>
    </row>
    <row r="2995" spans="1:5" x14ac:dyDescent="0.2">
      <c r="A2995"/>
      <c r="B2995" s="663"/>
      <c r="C2995" s="663"/>
      <c r="D2995" s="663"/>
      <c r="E2995" s="663"/>
    </row>
    <row r="2996" spans="1:5" x14ac:dyDescent="0.2">
      <c r="A2996"/>
      <c r="B2996" s="663"/>
      <c r="C2996" s="663"/>
      <c r="D2996" s="663"/>
      <c r="E2996" s="663"/>
    </row>
    <row r="2997" spans="1:5" x14ac:dyDescent="0.2">
      <c r="A2997"/>
      <c r="B2997" s="663"/>
      <c r="C2997" s="663"/>
      <c r="D2997" s="663"/>
      <c r="E2997" s="663"/>
    </row>
    <row r="2998" spans="1:5" x14ac:dyDescent="0.2">
      <c r="A2998"/>
      <c r="B2998" s="663"/>
      <c r="C2998" s="663"/>
      <c r="D2998" s="663"/>
      <c r="E2998" s="663"/>
    </row>
    <row r="2999" spans="1:5" x14ac:dyDescent="0.2">
      <c r="A2999"/>
      <c r="B2999" s="663"/>
      <c r="C2999" s="663"/>
      <c r="D2999" s="663"/>
      <c r="E2999" s="663"/>
    </row>
    <row r="3000" spans="1:5" x14ac:dyDescent="0.2">
      <c r="A3000"/>
      <c r="B3000" s="663"/>
      <c r="C3000" s="663"/>
      <c r="D3000" s="663"/>
      <c r="E3000" s="663"/>
    </row>
    <row r="3001" spans="1:5" x14ac:dyDescent="0.2">
      <c r="A3001"/>
      <c r="B3001" s="663"/>
      <c r="C3001" s="663"/>
      <c r="D3001" s="663"/>
      <c r="E3001" s="663"/>
    </row>
    <row r="3002" spans="1:5" x14ac:dyDescent="0.2">
      <c r="A3002"/>
      <c r="B3002" s="663"/>
      <c r="C3002" s="663"/>
      <c r="D3002" s="663"/>
      <c r="E3002" s="663"/>
    </row>
    <row r="3003" spans="1:5" x14ac:dyDescent="0.2">
      <c r="A3003"/>
      <c r="B3003" s="663"/>
      <c r="C3003" s="663"/>
      <c r="D3003" s="663"/>
      <c r="E3003" s="663"/>
    </row>
    <row r="3004" spans="1:5" x14ac:dyDescent="0.2">
      <c r="A3004"/>
      <c r="B3004" s="663"/>
      <c r="C3004" s="663"/>
      <c r="D3004" s="663"/>
      <c r="E3004" s="663"/>
    </row>
    <row r="3005" spans="1:5" x14ac:dyDescent="0.2">
      <c r="A3005"/>
      <c r="B3005" s="663"/>
      <c r="C3005" s="663"/>
      <c r="D3005" s="663"/>
      <c r="E3005" s="663"/>
    </row>
    <row r="3006" spans="1:5" x14ac:dyDescent="0.2">
      <c r="A3006"/>
      <c r="B3006" s="663"/>
      <c r="C3006" s="663"/>
      <c r="D3006" s="663"/>
      <c r="E3006" s="663"/>
    </row>
    <row r="3007" spans="1:5" x14ac:dyDescent="0.2">
      <c r="A3007"/>
      <c r="B3007" s="663"/>
      <c r="C3007" s="663"/>
      <c r="D3007" s="663"/>
      <c r="E3007" s="663"/>
    </row>
    <row r="3008" spans="1:5" x14ac:dyDescent="0.2">
      <c r="A3008"/>
      <c r="B3008" s="663"/>
      <c r="C3008" s="663"/>
      <c r="D3008" s="663"/>
      <c r="E3008" s="663"/>
    </row>
    <row r="3009" spans="1:5" x14ac:dyDescent="0.2">
      <c r="A3009"/>
      <c r="B3009" s="663"/>
      <c r="C3009" s="663"/>
      <c r="D3009" s="663"/>
      <c r="E3009" s="663"/>
    </row>
    <row r="3010" spans="1:5" x14ac:dyDescent="0.2">
      <c r="A3010"/>
      <c r="B3010" s="663"/>
      <c r="C3010" s="663"/>
      <c r="D3010" s="663"/>
      <c r="E3010" s="663"/>
    </row>
    <row r="3011" spans="1:5" x14ac:dyDescent="0.2">
      <c r="A3011"/>
      <c r="B3011" s="663"/>
      <c r="C3011" s="663"/>
      <c r="D3011" s="663"/>
      <c r="E3011" s="663"/>
    </row>
    <row r="3012" spans="1:5" x14ac:dyDescent="0.2">
      <c r="A3012"/>
      <c r="B3012" s="663"/>
      <c r="C3012" s="663"/>
      <c r="D3012" s="663"/>
      <c r="E3012" s="663"/>
    </row>
    <row r="3013" spans="1:5" x14ac:dyDescent="0.2">
      <c r="A3013"/>
      <c r="B3013" s="663"/>
      <c r="C3013" s="663"/>
      <c r="D3013" s="663"/>
      <c r="E3013" s="663"/>
    </row>
    <row r="3014" spans="1:5" x14ac:dyDescent="0.2">
      <c r="A3014"/>
      <c r="B3014" s="663"/>
      <c r="C3014" s="663"/>
      <c r="D3014" s="663"/>
      <c r="E3014" s="663"/>
    </row>
    <row r="3015" spans="1:5" x14ac:dyDescent="0.2">
      <c r="A3015"/>
      <c r="B3015" s="663"/>
      <c r="C3015" s="663"/>
      <c r="D3015" s="663"/>
      <c r="E3015" s="663"/>
    </row>
    <row r="3016" spans="1:5" x14ac:dyDescent="0.2">
      <c r="A3016"/>
      <c r="B3016" s="663"/>
      <c r="C3016" s="663"/>
      <c r="D3016" s="663"/>
      <c r="E3016" s="663"/>
    </row>
    <row r="3017" spans="1:5" x14ac:dyDescent="0.2">
      <c r="A3017"/>
      <c r="B3017" s="663"/>
      <c r="C3017" s="663"/>
      <c r="D3017" s="663"/>
      <c r="E3017" s="663"/>
    </row>
    <row r="3018" spans="1:5" x14ac:dyDescent="0.2">
      <c r="A3018"/>
      <c r="B3018" s="663"/>
      <c r="C3018" s="663"/>
      <c r="D3018" s="663"/>
      <c r="E3018" s="663"/>
    </row>
    <row r="3019" spans="1:5" x14ac:dyDescent="0.2">
      <c r="A3019"/>
      <c r="B3019" s="663"/>
      <c r="C3019" s="663"/>
      <c r="D3019" s="663"/>
      <c r="E3019" s="663"/>
    </row>
    <row r="3020" spans="1:5" x14ac:dyDescent="0.2">
      <c r="A3020"/>
      <c r="B3020" s="663"/>
      <c r="C3020" s="663"/>
      <c r="D3020" s="663"/>
      <c r="E3020" s="663"/>
    </row>
    <row r="3021" spans="1:5" x14ac:dyDescent="0.2">
      <c r="A3021"/>
      <c r="B3021" s="663"/>
      <c r="C3021" s="663"/>
      <c r="D3021" s="663"/>
      <c r="E3021" s="663"/>
    </row>
    <row r="3022" spans="1:5" x14ac:dyDescent="0.2">
      <c r="A3022"/>
      <c r="B3022" s="663"/>
      <c r="C3022" s="663"/>
      <c r="D3022" s="663"/>
      <c r="E3022" s="663"/>
    </row>
    <row r="3023" spans="1:5" x14ac:dyDescent="0.2">
      <c r="A3023"/>
      <c r="B3023" s="663"/>
      <c r="C3023" s="663"/>
      <c r="D3023" s="663"/>
      <c r="E3023" s="663"/>
    </row>
    <row r="3024" spans="1:5" x14ac:dyDescent="0.2">
      <c r="A3024"/>
      <c r="B3024" s="663"/>
      <c r="C3024" s="663"/>
      <c r="D3024" s="663"/>
      <c r="E3024" s="663"/>
    </row>
    <row r="3025" spans="1:5" x14ac:dyDescent="0.2">
      <c r="A3025"/>
      <c r="B3025" s="663"/>
      <c r="C3025" s="663"/>
      <c r="D3025" s="663"/>
      <c r="E3025" s="663"/>
    </row>
    <row r="3026" spans="1:5" x14ac:dyDescent="0.2">
      <c r="A3026"/>
      <c r="B3026" s="663"/>
      <c r="C3026" s="663"/>
      <c r="D3026" s="663"/>
      <c r="E3026" s="663"/>
    </row>
    <row r="3027" spans="1:5" x14ac:dyDescent="0.2">
      <c r="A3027"/>
      <c r="B3027" s="663"/>
      <c r="C3027" s="663"/>
      <c r="D3027" s="663"/>
      <c r="E3027" s="663"/>
    </row>
    <row r="3028" spans="1:5" x14ac:dyDescent="0.2">
      <c r="A3028"/>
      <c r="B3028" s="663"/>
      <c r="C3028" s="663"/>
      <c r="D3028" s="663"/>
      <c r="E3028" s="663"/>
    </row>
    <row r="3029" spans="1:5" x14ac:dyDescent="0.2">
      <c r="A3029"/>
      <c r="B3029" s="663"/>
      <c r="C3029" s="663"/>
      <c r="D3029" s="663"/>
      <c r="E3029" s="663"/>
    </row>
    <row r="3030" spans="1:5" x14ac:dyDescent="0.2">
      <c r="A3030"/>
      <c r="B3030" s="663"/>
      <c r="C3030" s="663"/>
      <c r="D3030" s="663"/>
      <c r="E3030" s="663"/>
    </row>
    <row r="3031" spans="1:5" x14ac:dyDescent="0.2">
      <c r="A3031"/>
      <c r="B3031" s="663"/>
      <c r="C3031" s="663"/>
      <c r="D3031" s="663"/>
      <c r="E3031" s="663"/>
    </row>
    <row r="3032" spans="1:5" x14ac:dyDescent="0.2">
      <c r="A3032"/>
      <c r="B3032" s="663"/>
      <c r="C3032" s="663"/>
      <c r="D3032" s="663"/>
      <c r="E3032" s="663"/>
    </row>
    <row r="3033" spans="1:5" x14ac:dyDescent="0.2">
      <c r="A3033"/>
      <c r="B3033" s="663"/>
      <c r="C3033" s="663"/>
      <c r="D3033" s="663"/>
      <c r="E3033" s="663"/>
    </row>
    <row r="3034" spans="1:5" x14ac:dyDescent="0.2">
      <c r="A3034"/>
      <c r="B3034" s="663"/>
      <c r="C3034" s="663"/>
      <c r="D3034" s="663"/>
      <c r="E3034" s="663"/>
    </row>
    <row r="3035" spans="1:5" x14ac:dyDescent="0.2">
      <c r="A3035"/>
      <c r="B3035" s="663"/>
      <c r="C3035" s="663"/>
      <c r="D3035" s="663"/>
      <c r="E3035" s="663"/>
    </row>
    <row r="3036" spans="1:5" x14ac:dyDescent="0.2">
      <c r="A3036"/>
      <c r="B3036" s="663"/>
      <c r="C3036" s="663"/>
      <c r="D3036" s="663"/>
      <c r="E3036" s="663"/>
    </row>
    <row r="3037" spans="1:5" x14ac:dyDescent="0.2">
      <c r="A3037"/>
      <c r="B3037" s="663"/>
      <c r="C3037" s="663"/>
      <c r="D3037" s="663"/>
      <c r="E3037" s="663"/>
    </row>
    <row r="3038" spans="1:5" x14ac:dyDescent="0.2">
      <c r="A3038"/>
      <c r="B3038" s="663"/>
      <c r="C3038" s="663"/>
      <c r="D3038" s="663"/>
      <c r="E3038" s="663"/>
    </row>
    <row r="3039" spans="1:5" x14ac:dyDescent="0.2">
      <c r="A3039"/>
      <c r="B3039" s="663"/>
      <c r="C3039" s="663"/>
      <c r="D3039" s="663"/>
      <c r="E3039" s="663"/>
    </row>
    <row r="3040" spans="1:5" x14ac:dyDescent="0.2">
      <c r="A3040"/>
      <c r="B3040" s="663"/>
      <c r="C3040" s="663"/>
      <c r="D3040" s="663"/>
      <c r="E3040" s="663"/>
    </row>
    <row r="3041" spans="1:5" x14ac:dyDescent="0.2">
      <c r="A3041"/>
      <c r="B3041" s="663"/>
      <c r="C3041" s="663"/>
      <c r="D3041" s="663"/>
      <c r="E3041" s="663"/>
    </row>
    <row r="3042" spans="1:5" x14ac:dyDescent="0.2">
      <c r="A3042"/>
      <c r="B3042" s="663"/>
      <c r="C3042" s="663"/>
      <c r="D3042" s="663"/>
      <c r="E3042" s="663"/>
    </row>
    <row r="3043" spans="1:5" x14ac:dyDescent="0.2">
      <c r="A3043"/>
      <c r="B3043" s="663"/>
      <c r="C3043" s="663"/>
      <c r="D3043" s="663"/>
      <c r="E3043" s="663"/>
    </row>
    <row r="3044" spans="1:5" x14ac:dyDescent="0.2">
      <c r="A3044"/>
      <c r="B3044" s="663"/>
      <c r="C3044" s="663"/>
      <c r="D3044" s="663"/>
      <c r="E3044" s="663"/>
    </row>
    <row r="3045" spans="1:5" x14ac:dyDescent="0.2">
      <c r="A3045"/>
      <c r="B3045" s="663"/>
      <c r="C3045" s="663"/>
      <c r="D3045" s="663"/>
      <c r="E3045" s="663"/>
    </row>
    <row r="3046" spans="1:5" x14ac:dyDescent="0.2">
      <c r="A3046"/>
      <c r="B3046" s="663"/>
      <c r="C3046" s="663"/>
      <c r="D3046" s="663"/>
      <c r="E3046" s="663"/>
    </row>
    <row r="3047" spans="1:5" x14ac:dyDescent="0.2">
      <c r="A3047"/>
      <c r="B3047" s="663"/>
      <c r="C3047" s="663"/>
      <c r="D3047" s="663"/>
      <c r="E3047" s="663"/>
    </row>
    <row r="3048" spans="1:5" x14ac:dyDescent="0.2">
      <c r="A3048"/>
      <c r="B3048" s="663"/>
      <c r="C3048" s="663"/>
      <c r="D3048" s="663"/>
      <c r="E3048" s="663"/>
    </row>
    <row r="3049" spans="1:5" x14ac:dyDescent="0.2">
      <c r="A3049"/>
      <c r="B3049" s="663"/>
      <c r="C3049" s="663"/>
      <c r="D3049" s="663"/>
      <c r="E3049" s="663"/>
    </row>
    <row r="3050" spans="1:5" x14ac:dyDescent="0.2">
      <c r="A3050"/>
      <c r="B3050" s="663"/>
      <c r="C3050" s="663"/>
      <c r="D3050" s="663"/>
      <c r="E3050" s="663"/>
    </row>
    <row r="3051" spans="1:5" x14ac:dyDescent="0.2">
      <c r="A3051"/>
      <c r="B3051" s="663"/>
      <c r="C3051" s="663"/>
      <c r="D3051" s="663"/>
      <c r="E3051" s="663"/>
    </row>
    <row r="3052" spans="1:5" x14ac:dyDescent="0.2">
      <c r="A3052"/>
      <c r="B3052" s="663"/>
      <c r="C3052" s="663"/>
      <c r="D3052" s="663"/>
      <c r="E3052" s="663"/>
    </row>
    <row r="3053" spans="1:5" x14ac:dyDescent="0.2">
      <c r="A3053"/>
      <c r="B3053" s="663"/>
      <c r="C3053" s="663"/>
      <c r="D3053" s="663"/>
      <c r="E3053" s="663"/>
    </row>
    <row r="3054" spans="1:5" x14ac:dyDescent="0.2">
      <c r="A3054"/>
      <c r="B3054" s="663"/>
      <c r="C3054" s="663"/>
      <c r="D3054" s="663"/>
      <c r="E3054" s="663"/>
    </row>
    <row r="3055" spans="1:5" x14ac:dyDescent="0.2">
      <c r="A3055"/>
      <c r="B3055" s="663"/>
      <c r="C3055" s="663"/>
      <c r="D3055" s="663"/>
      <c r="E3055" s="663"/>
    </row>
    <row r="3056" spans="1:5" x14ac:dyDescent="0.2">
      <c r="A3056"/>
      <c r="B3056" s="663"/>
      <c r="C3056" s="663"/>
      <c r="D3056" s="663"/>
      <c r="E3056" s="663"/>
    </row>
    <row r="3057" spans="1:5" x14ac:dyDescent="0.2">
      <c r="A3057"/>
      <c r="B3057" s="663"/>
      <c r="C3057" s="663"/>
      <c r="D3057" s="663"/>
      <c r="E3057" s="663"/>
    </row>
    <row r="3058" spans="1:5" x14ac:dyDescent="0.2">
      <c r="A3058"/>
      <c r="B3058" s="663"/>
      <c r="C3058" s="663"/>
      <c r="D3058" s="663"/>
      <c r="E3058" s="663"/>
    </row>
    <row r="3059" spans="1:5" x14ac:dyDescent="0.2">
      <c r="A3059"/>
      <c r="B3059" s="663"/>
      <c r="C3059" s="663"/>
      <c r="D3059" s="663"/>
      <c r="E3059" s="663"/>
    </row>
    <row r="3060" spans="1:5" x14ac:dyDescent="0.2">
      <c r="A3060"/>
      <c r="B3060" s="663"/>
      <c r="C3060" s="663"/>
      <c r="D3060" s="663"/>
      <c r="E3060" s="663"/>
    </row>
    <row r="3061" spans="1:5" x14ac:dyDescent="0.2">
      <c r="A3061"/>
      <c r="B3061" s="663"/>
      <c r="C3061" s="663"/>
      <c r="D3061" s="663"/>
      <c r="E3061" s="663"/>
    </row>
    <row r="3062" spans="1:5" x14ac:dyDescent="0.2">
      <c r="A3062"/>
      <c r="B3062" s="663"/>
      <c r="C3062" s="663"/>
      <c r="D3062" s="663"/>
      <c r="E3062" s="663"/>
    </row>
    <row r="3063" spans="1:5" x14ac:dyDescent="0.2">
      <c r="A3063"/>
      <c r="B3063" s="663"/>
      <c r="C3063" s="663"/>
      <c r="D3063" s="663"/>
      <c r="E3063" s="663"/>
    </row>
    <row r="3064" spans="1:5" x14ac:dyDescent="0.2">
      <c r="A3064"/>
      <c r="B3064" s="663"/>
      <c r="C3064" s="663"/>
      <c r="D3064" s="663"/>
      <c r="E3064" s="663"/>
    </row>
    <row r="3065" spans="1:5" x14ac:dyDescent="0.2">
      <c r="A3065"/>
      <c r="B3065" s="663"/>
      <c r="C3065" s="663"/>
      <c r="D3065" s="663"/>
      <c r="E3065" s="663"/>
    </row>
    <row r="3066" spans="1:5" x14ac:dyDescent="0.2">
      <c r="A3066"/>
      <c r="B3066" s="663"/>
      <c r="C3066" s="663"/>
      <c r="D3066" s="663"/>
      <c r="E3066" s="663"/>
    </row>
    <row r="3067" spans="1:5" x14ac:dyDescent="0.2">
      <c r="A3067"/>
      <c r="B3067" s="663"/>
      <c r="C3067" s="663"/>
      <c r="D3067" s="663"/>
      <c r="E3067" s="663"/>
    </row>
    <row r="3068" spans="1:5" x14ac:dyDescent="0.2">
      <c r="A3068"/>
      <c r="B3068" s="663"/>
      <c r="C3068" s="663"/>
      <c r="D3068" s="663"/>
      <c r="E3068" s="663"/>
    </row>
    <row r="3069" spans="1:5" x14ac:dyDescent="0.2">
      <c r="A3069"/>
      <c r="B3069" s="663"/>
      <c r="C3069" s="663"/>
      <c r="D3069" s="663"/>
      <c r="E3069" s="663"/>
    </row>
    <row r="3070" spans="1:5" x14ac:dyDescent="0.2">
      <c r="A3070"/>
      <c r="B3070" s="663"/>
      <c r="C3070" s="663"/>
      <c r="D3070" s="663"/>
      <c r="E3070" s="663"/>
    </row>
    <row r="3071" spans="1:5" x14ac:dyDescent="0.2">
      <c r="A3071"/>
      <c r="B3071" s="663"/>
      <c r="C3071" s="663"/>
      <c r="D3071" s="663"/>
      <c r="E3071" s="663"/>
    </row>
    <row r="3072" spans="1:5" x14ac:dyDescent="0.2">
      <c r="A3072"/>
      <c r="B3072" s="663"/>
      <c r="C3072" s="663"/>
      <c r="D3072" s="663"/>
      <c r="E3072" s="663"/>
    </row>
    <row r="3073" spans="1:5" x14ac:dyDescent="0.2">
      <c r="A3073"/>
      <c r="B3073" s="663"/>
      <c r="C3073" s="663"/>
      <c r="D3073" s="663"/>
      <c r="E3073" s="663"/>
    </row>
    <row r="3074" spans="1:5" x14ac:dyDescent="0.2">
      <c r="A3074"/>
      <c r="B3074" s="663"/>
      <c r="C3074" s="663"/>
      <c r="D3074" s="663"/>
      <c r="E3074" s="663"/>
    </row>
    <row r="3075" spans="1:5" x14ac:dyDescent="0.2">
      <c r="A3075"/>
      <c r="B3075" s="663"/>
      <c r="C3075" s="663"/>
      <c r="D3075" s="663"/>
      <c r="E3075" s="663"/>
    </row>
    <row r="3076" spans="1:5" x14ac:dyDescent="0.2">
      <c r="A3076"/>
      <c r="B3076" s="663"/>
      <c r="C3076" s="663"/>
      <c r="D3076" s="663"/>
      <c r="E3076" s="663"/>
    </row>
    <row r="3077" spans="1:5" x14ac:dyDescent="0.2">
      <c r="A3077"/>
      <c r="B3077" s="663"/>
      <c r="C3077" s="663"/>
      <c r="D3077" s="663"/>
      <c r="E3077" s="663"/>
    </row>
    <row r="3078" spans="1:5" x14ac:dyDescent="0.2">
      <c r="A3078"/>
      <c r="B3078" s="663"/>
      <c r="C3078" s="663"/>
      <c r="D3078" s="663"/>
      <c r="E3078" s="663"/>
    </row>
    <row r="3079" spans="1:5" x14ac:dyDescent="0.2">
      <c r="A3079"/>
      <c r="B3079" s="663"/>
      <c r="C3079" s="663"/>
      <c r="D3079" s="663"/>
      <c r="E3079" s="663"/>
    </row>
    <row r="3080" spans="1:5" x14ac:dyDescent="0.2">
      <c r="A3080"/>
      <c r="B3080" s="663"/>
      <c r="C3080" s="663"/>
      <c r="D3080" s="663"/>
      <c r="E3080" s="663"/>
    </row>
    <row r="3081" spans="1:5" x14ac:dyDescent="0.2">
      <c r="A3081"/>
      <c r="B3081" s="663"/>
      <c r="C3081" s="663"/>
      <c r="D3081" s="663"/>
      <c r="E3081" s="663"/>
    </row>
    <row r="3082" spans="1:5" x14ac:dyDescent="0.2">
      <c r="A3082"/>
      <c r="B3082" s="663"/>
      <c r="C3082" s="663"/>
      <c r="D3082" s="663"/>
      <c r="E3082" s="663"/>
    </row>
    <row r="3083" spans="1:5" x14ac:dyDescent="0.2">
      <c r="A3083"/>
      <c r="B3083" s="663"/>
      <c r="C3083" s="663"/>
      <c r="D3083" s="663"/>
      <c r="E3083" s="663"/>
    </row>
    <row r="3084" spans="1:5" x14ac:dyDescent="0.2">
      <c r="A3084"/>
      <c r="B3084" s="663"/>
      <c r="C3084" s="663"/>
      <c r="D3084" s="663"/>
      <c r="E3084" s="663"/>
    </row>
    <row r="3085" spans="1:5" x14ac:dyDescent="0.2">
      <c r="A3085"/>
      <c r="B3085" s="663"/>
      <c r="C3085" s="663"/>
      <c r="D3085" s="663"/>
      <c r="E3085" s="663"/>
    </row>
    <row r="3086" spans="1:5" x14ac:dyDescent="0.2">
      <c r="A3086"/>
      <c r="B3086" s="663"/>
      <c r="C3086" s="663"/>
      <c r="D3086" s="663"/>
      <c r="E3086" s="663"/>
    </row>
    <row r="3087" spans="1:5" x14ac:dyDescent="0.2">
      <c r="A3087"/>
      <c r="B3087" s="663"/>
      <c r="C3087" s="663"/>
      <c r="D3087" s="663"/>
      <c r="E3087" s="663"/>
    </row>
    <row r="3088" spans="1:5" x14ac:dyDescent="0.2">
      <c r="A3088"/>
      <c r="B3088" s="663"/>
      <c r="C3088" s="663"/>
      <c r="D3088" s="663"/>
      <c r="E3088" s="663"/>
    </row>
    <row r="3089" spans="1:5" x14ac:dyDescent="0.2">
      <c r="A3089"/>
      <c r="B3089" s="663"/>
      <c r="C3089" s="663"/>
      <c r="D3089" s="663"/>
      <c r="E3089" s="663"/>
    </row>
    <row r="3090" spans="1:5" x14ac:dyDescent="0.2">
      <c r="A3090"/>
      <c r="B3090" s="663"/>
      <c r="C3090" s="663"/>
      <c r="D3090" s="663"/>
      <c r="E3090" s="663"/>
    </row>
    <row r="3091" spans="1:5" x14ac:dyDescent="0.2">
      <c r="A3091"/>
      <c r="B3091" s="663"/>
      <c r="C3091" s="663"/>
      <c r="D3091" s="663"/>
      <c r="E3091" s="663"/>
    </row>
    <row r="3092" spans="1:5" x14ac:dyDescent="0.2">
      <c r="A3092"/>
      <c r="B3092" s="663"/>
      <c r="C3092" s="663"/>
      <c r="D3092" s="663"/>
      <c r="E3092" s="663"/>
    </row>
    <row r="3093" spans="1:5" x14ac:dyDescent="0.2">
      <c r="A3093"/>
      <c r="B3093" s="663"/>
      <c r="C3093" s="663"/>
      <c r="D3093" s="663"/>
      <c r="E3093" s="663"/>
    </row>
    <row r="3094" spans="1:5" x14ac:dyDescent="0.2">
      <c r="A3094"/>
      <c r="B3094" s="663"/>
      <c r="C3094" s="663"/>
      <c r="D3094" s="663"/>
      <c r="E3094" s="663"/>
    </row>
    <row r="3095" spans="1:5" x14ac:dyDescent="0.2">
      <c r="A3095"/>
      <c r="B3095" s="663"/>
      <c r="C3095" s="663"/>
      <c r="D3095" s="663"/>
      <c r="E3095" s="663"/>
    </row>
    <row r="3096" spans="1:5" x14ac:dyDescent="0.2">
      <c r="A3096"/>
      <c r="B3096" s="663"/>
      <c r="C3096" s="663"/>
      <c r="D3096" s="663"/>
      <c r="E3096" s="663"/>
    </row>
    <row r="3097" spans="1:5" x14ac:dyDescent="0.2">
      <c r="A3097"/>
      <c r="B3097" s="663"/>
      <c r="C3097" s="663"/>
      <c r="D3097" s="663"/>
      <c r="E3097" s="663"/>
    </row>
    <row r="3098" spans="1:5" x14ac:dyDescent="0.2">
      <c r="A3098"/>
      <c r="B3098" s="663"/>
      <c r="C3098" s="663"/>
      <c r="D3098" s="663"/>
      <c r="E3098" s="663"/>
    </row>
    <row r="3099" spans="1:5" x14ac:dyDescent="0.2">
      <c r="A3099"/>
      <c r="B3099" s="663"/>
      <c r="C3099" s="663"/>
      <c r="D3099" s="663"/>
      <c r="E3099" s="663"/>
    </row>
    <row r="3100" spans="1:5" x14ac:dyDescent="0.2">
      <c r="A3100"/>
      <c r="B3100" s="663"/>
      <c r="C3100" s="663"/>
      <c r="D3100" s="663"/>
      <c r="E3100" s="663"/>
    </row>
    <row r="3101" spans="1:5" x14ac:dyDescent="0.2">
      <c r="A3101"/>
      <c r="B3101" s="663"/>
      <c r="C3101" s="663"/>
      <c r="D3101" s="663"/>
      <c r="E3101" s="663"/>
    </row>
    <row r="3102" spans="1:5" x14ac:dyDescent="0.2">
      <c r="A3102"/>
      <c r="B3102" s="663"/>
      <c r="C3102" s="663"/>
      <c r="D3102" s="663"/>
      <c r="E3102" s="663"/>
    </row>
    <row r="3103" spans="1:5" x14ac:dyDescent="0.2">
      <c r="A3103"/>
      <c r="B3103" s="663"/>
      <c r="C3103" s="663"/>
      <c r="D3103" s="663"/>
      <c r="E3103" s="663"/>
    </row>
    <row r="3104" spans="1:5" x14ac:dyDescent="0.2">
      <c r="A3104"/>
      <c r="B3104" s="663"/>
      <c r="C3104" s="663"/>
      <c r="D3104" s="663"/>
      <c r="E3104" s="663"/>
    </row>
    <row r="3105" spans="1:5" x14ac:dyDescent="0.2">
      <c r="A3105"/>
      <c r="B3105" s="663"/>
      <c r="C3105" s="663"/>
      <c r="D3105" s="663"/>
      <c r="E3105" s="663"/>
    </row>
    <row r="3106" spans="1:5" x14ac:dyDescent="0.2">
      <c r="A3106"/>
      <c r="B3106" s="663"/>
      <c r="C3106" s="663"/>
      <c r="D3106" s="663"/>
      <c r="E3106" s="663"/>
    </row>
    <row r="3107" spans="1:5" x14ac:dyDescent="0.2">
      <c r="A3107"/>
      <c r="B3107" s="663"/>
      <c r="C3107" s="663"/>
      <c r="D3107" s="663"/>
      <c r="E3107" s="663"/>
    </row>
    <row r="3108" spans="1:5" x14ac:dyDescent="0.2">
      <c r="A3108"/>
      <c r="B3108" s="663"/>
      <c r="C3108" s="663"/>
      <c r="D3108" s="663"/>
      <c r="E3108" s="663"/>
    </row>
    <row r="3109" spans="1:5" x14ac:dyDescent="0.2">
      <c r="A3109"/>
      <c r="B3109" s="663"/>
      <c r="C3109" s="663"/>
      <c r="D3109" s="663"/>
      <c r="E3109" s="663"/>
    </row>
    <row r="3110" spans="1:5" x14ac:dyDescent="0.2">
      <c r="A3110"/>
      <c r="B3110" s="663"/>
      <c r="C3110" s="663"/>
      <c r="D3110" s="663"/>
      <c r="E3110" s="663"/>
    </row>
    <row r="3111" spans="1:5" x14ac:dyDescent="0.2">
      <c r="A3111"/>
      <c r="B3111" s="663"/>
      <c r="C3111" s="663"/>
      <c r="D3111" s="663"/>
      <c r="E3111" s="663"/>
    </row>
    <row r="3112" spans="1:5" x14ac:dyDescent="0.2">
      <c r="A3112"/>
      <c r="B3112" s="663"/>
      <c r="C3112" s="663"/>
      <c r="D3112" s="663"/>
      <c r="E3112" s="663"/>
    </row>
    <row r="3113" spans="1:5" x14ac:dyDescent="0.2">
      <c r="A3113"/>
      <c r="B3113" s="663"/>
      <c r="C3113" s="663"/>
      <c r="D3113" s="663"/>
      <c r="E3113" s="663"/>
    </row>
    <row r="3114" spans="1:5" x14ac:dyDescent="0.2">
      <c r="A3114"/>
      <c r="B3114" s="663"/>
      <c r="C3114" s="663"/>
      <c r="D3114" s="663"/>
      <c r="E3114" s="663"/>
    </row>
    <row r="3115" spans="1:5" x14ac:dyDescent="0.2">
      <c r="A3115"/>
      <c r="B3115" s="663"/>
      <c r="C3115" s="663"/>
      <c r="D3115" s="663"/>
      <c r="E3115" s="663"/>
    </row>
    <row r="3116" spans="1:5" x14ac:dyDescent="0.2">
      <c r="A3116"/>
      <c r="B3116" s="663"/>
      <c r="C3116" s="663"/>
      <c r="D3116" s="663"/>
      <c r="E3116" s="663"/>
    </row>
    <row r="3117" spans="1:5" x14ac:dyDescent="0.2">
      <c r="A3117"/>
      <c r="B3117" s="663"/>
      <c r="C3117" s="663"/>
      <c r="D3117" s="663"/>
      <c r="E3117" s="663"/>
    </row>
    <row r="3118" spans="1:5" x14ac:dyDescent="0.2">
      <c r="A3118"/>
      <c r="B3118" s="663"/>
      <c r="C3118" s="663"/>
      <c r="D3118" s="663"/>
      <c r="E3118" s="663"/>
    </row>
    <row r="3119" spans="1:5" x14ac:dyDescent="0.2">
      <c r="A3119"/>
      <c r="B3119" s="663"/>
      <c r="C3119" s="663"/>
      <c r="D3119" s="663"/>
      <c r="E3119" s="663"/>
    </row>
    <row r="3120" spans="1:5" x14ac:dyDescent="0.2">
      <c r="A3120"/>
      <c r="B3120" s="663"/>
      <c r="C3120" s="663"/>
      <c r="D3120" s="663"/>
      <c r="E3120" s="663"/>
    </row>
    <row r="3121" spans="1:5" x14ac:dyDescent="0.2">
      <c r="A3121"/>
      <c r="B3121" s="663"/>
      <c r="C3121" s="663"/>
      <c r="D3121" s="663"/>
      <c r="E3121" s="663"/>
    </row>
    <row r="3122" spans="1:5" x14ac:dyDescent="0.2">
      <c r="A3122"/>
      <c r="B3122" s="663"/>
      <c r="C3122" s="663"/>
      <c r="D3122" s="663"/>
      <c r="E3122" s="663"/>
    </row>
    <row r="3123" spans="1:5" x14ac:dyDescent="0.2">
      <c r="A3123"/>
      <c r="B3123" s="663"/>
      <c r="C3123" s="663"/>
      <c r="D3123" s="663"/>
      <c r="E3123" s="663"/>
    </row>
    <row r="3124" spans="1:5" x14ac:dyDescent="0.2">
      <c r="A3124"/>
      <c r="B3124" s="663"/>
      <c r="C3124" s="663"/>
      <c r="D3124" s="663"/>
      <c r="E3124" s="663"/>
    </row>
    <row r="3125" spans="1:5" x14ac:dyDescent="0.2">
      <c r="A3125"/>
      <c r="B3125" s="663"/>
      <c r="C3125" s="663"/>
      <c r="D3125" s="663"/>
      <c r="E3125" s="663"/>
    </row>
    <row r="3126" spans="1:5" x14ac:dyDescent="0.2">
      <c r="A3126"/>
      <c r="B3126" s="663"/>
      <c r="C3126" s="663"/>
      <c r="D3126" s="663"/>
      <c r="E3126" s="663"/>
    </row>
    <row r="3127" spans="1:5" x14ac:dyDescent="0.2">
      <c r="A3127"/>
      <c r="B3127" s="663"/>
      <c r="C3127" s="663"/>
      <c r="D3127" s="663"/>
      <c r="E3127" s="663"/>
    </row>
    <row r="3128" spans="1:5" x14ac:dyDescent="0.2">
      <c r="A3128"/>
      <c r="B3128" s="663"/>
      <c r="C3128" s="663"/>
      <c r="D3128" s="663"/>
      <c r="E3128" s="663"/>
    </row>
    <row r="3129" spans="1:5" x14ac:dyDescent="0.2">
      <c r="A3129"/>
      <c r="B3129" s="663"/>
      <c r="C3129" s="663"/>
      <c r="D3129" s="663"/>
      <c r="E3129" s="663"/>
    </row>
    <row r="3130" spans="1:5" x14ac:dyDescent="0.2">
      <c r="A3130"/>
      <c r="B3130" s="663"/>
      <c r="C3130" s="663"/>
      <c r="D3130" s="663"/>
      <c r="E3130" s="663"/>
    </row>
    <row r="3131" spans="1:5" x14ac:dyDescent="0.2">
      <c r="A3131"/>
      <c r="B3131" s="663"/>
      <c r="C3131" s="663"/>
      <c r="D3131" s="663"/>
      <c r="E3131" s="663"/>
    </row>
    <row r="3132" spans="1:5" x14ac:dyDescent="0.2">
      <c r="A3132"/>
      <c r="B3132" s="663"/>
      <c r="C3132" s="663"/>
      <c r="D3132" s="663"/>
      <c r="E3132" s="663"/>
    </row>
    <row r="3133" spans="1:5" x14ac:dyDescent="0.2">
      <c r="A3133"/>
      <c r="B3133" s="663"/>
      <c r="C3133" s="663"/>
      <c r="D3133" s="663"/>
      <c r="E3133" s="663"/>
    </row>
    <row r="3134" spans="1:5" x14ac:dyDescent="0.2">
      <c r="A3134"/>
      <c r="B3134" s="663"/>
      <c r="C3134" s="663"/>
      <c r="D3134" s="663"/>
      <c r="E3134" s="663"/>
    </row>
    <row r="3135" spans="1:5" x14ac:dyDescent="0.2">
      <c r="A3135"/>
      <c r="B3135" s="663"/>
      <c r="C3135" s="663"/>
      <c r="D3135" s="663"/>
      <c r="E3135" s="663"/>
    </row>
    <row r="3136" spans="1:5" x14ac:dyDescent="0.2">
      <c r="A3136"/>
      <c r="B3136" s="663"/>
      <c r="C3136" s="663"/>
      <c r="D3136" s="663"/>
      <c r="E3136" s="663"/>
    </row>
    <row r="3137" spans="1:5" x14ac:dyDescent="0.2">
      <c r="A3137"/>
      <c r="B3137" s="663"/>
      <c r="C3137" s="663"/>
      <c r="D3137" s="663"/>
      <c r="E3137" s="663"/>
    </row>
    <row r="3138" spans="1:5" x14ac:dyDescent="0.2">
      <c r="A3138"/>
      <c r="B3138" s="663"/>
      <c r="C3138" s="663"/>
      <c r="D3138" s="663"/>
      <c r="E3138" s="663"/>
    </row>
    <row r="3139" spans="1:5" x14ac:dyDescent="0.2">
      <c r="A3139"/>
      <c r="B3139" s="663"/>
      <c r="C3139" s="663"/>
      <c r="D3139" s="663"/>
      <c r="E3139" s="663"/>
    </row>
    <row r="3140" spans="1:5" x14ac:dyDescent="0.2">
      <c r="A3140"/>
      <c r="B3140" s="663"/>
      <c r="C3140" s="663"/>
      <c r="D3140" s="663"/>
      <c r="E3140" s="663"/>
    </row>
    <row r="3141" spans="1:5" x14ac:dyDescent="0.2">
      <c r="A3141"/>
      <c r="B3141" s="663"/>
      <c r="C3141" s="663"/>
      <c r="D3141" s="663"/>
      <c r="E3141" s="663"/>
    </row>
    <row r="3142" spans="1:5" x14ac:dyDescent="0.2">
      <c r="A3142"/>
      <c r="B3142" s="663"/>
      <c r="C3142" s="663"/>
      <c r="D3142" s="663"/>
      <c r="E3142" s="663"/>
    </row>
    <row r="3143" spans="1:5" x14ac:dyDescent="0.2">
      <c r="A3143"/>
      <c r="B3143" s="663"/>
      <c r="C3143" s="663"/>
      <c r="D3143" s="663"/>
      <c r="E3143" s="663"/>
    </row>
    <row r="3144" spans="1:5" x14ac:dyDescent="0.2">
      <c r="A3144"/>
      <c r="B3144" s="663"/>
      <c r="C3144" s="663"/>
      <c r="D3144" s="663"/>
      <c r="E3144" s="663"/>
    </row>
    <row r="3145" spans="1:5" x14ac:dyDescent="0.2">
      <c r="A3145"/>
      <c r="B3145" s="663"/>
      <c r="C3145" s="663"/>
      <c r="D3145" s="663"/>
      <c r="E3145" s="663"/>
    </row>
    <row r="3146" spans="1:5" x14ac:dyDescent="0.2">
      <c r="A3146"/>
      <c r="B3146" s="663"/>
      <c r="C3146" s="663"/>
      <c r="D3146" s="663"/>
      <c r="E3146" s="663"/>
    </row>
    <row r="3147" spans="1:5" x14ac:dyDescent="0.2">
      <c r="A3147"/>
      <c r="B3147" s="663"/>
      <c r="C3147" s="663"/>
      <c r="D3147" s="663"/>
      <c r="E3147" s="663"/>
    </row>
    <row r="3148" spans="1:5" x14ac:dyDescent="0.2">
      <c r="A3148"/>
      <c r="B3148" s="663"/>
      <c r="C3148" s="663"/>
      <c r="D3148" s="663"/>
      <c r="E3148" s="663"/>
    </row>
    <row r="3149" spans="1:5" x14ac:dyDescent="0.2">
      <c r="A3149"/>
      <c r="B3149" s="663"/>
      <c r="C3149" s="663"/>
      <c r="D3149" s="663"/>
      <c r="E3149" s="663"/>
    </row>
    <row r="3150" spans="1:5" x14ac:dyDescent="0.2">
      <c r="A3150"/>
      <c r="B3150" s="663"/>
      <c r="C3150" s="663"/>
      <c r="D3150" s="663"/>
      <c r="E3150" s="663"/>
    </row>
    <row r="3151" spans="1:5" x14ac:dyDescent="0.2">
      <c r="A3151"/>
      <c r="B3151" s="663"/>
      <c r="C3151" s="663"/>
      <c r="D3151" s="663"/>
      <c r="E3151" s="663"/>
    </row>
    <row r="3152" spans="1:5" x14ac:dyDescent="0.2">
      <c r="A3152"/>
      <c r="B3152" s="663"/>
      <c r="C3152" s="663"/>
      <c r="D3152" s="663"/>
      <c r="E3152" s="663"/>
    </row>
    <row r="3153" spans="1:5" x14ac:dyDescent="0.2">
      <c r="A3153"/>
      <c r="B3153" s="663"/>
      <c r="C3153" s="663"/>
      <c r="D3153" s="663"/>
      <c r="E3153" s="663"/>
    </row>
    <row r="3154" spans="1:5" x14ac:dyDescent="0.2">
      <c r="A3154"/>
      <c r="B3154" s="663"/>
      <c r="C3154" s="663"/>
      <c r="D3154" s="663"/>
      <c r="E3154" s="663"/>
    </row>
    <row r="3155" spans="1:5" x14ac:dyDescent="0.2">
      <c r="A3155"/>
      <c r="B3155" s="663"/>
      <c r="C3155" s="663"/>
      <c r="D3155" s="663"/>
      <c r="E3155" s="663"/>
    </row>
    <row r="3156" spans="1:5" x14ac:dyDescent="0.2">
      <c r="A3156"/>
      <c r="B3156" s="663"/>
      <c r="C3156" s="663"/>
      <c r="D3156" s="663"/>
      <c r="E3156" s="663"/>
    </row>
    <row r="3157" spans="1:5" x14ac:dyDescent="0.2">
      <c r="A3157"/>
      <c r="B3157" s="663"/>
      <c r="C3157" s="663"/>
      <c r="D3157" s="663"/>
      <c r="E3157" s="663"/>
    </row>
    <row r="3158" spans="1:5" x14ac:dyDescent="0.2">
      <c r="A3158"/>
      <c r="B3158" s="663"/>
      <c r="C3158" s="663"/>
      <c r="D3158" s="663"/>
      <c r="E3158" s="663"/>
    </row>
    <row r="3159" spans="1:5" x14ac:dyDescent="0.2">
      <c r="A3159"/>
      <c r="B3159" s="663"/>
      <c r="C3159" s="663"/>
      <c r="D3159" s="663"/>
      <c r="E3159" s="663"/>
    </row>
    <row r="3160" spans="1:5" x14ac:dyDescent="0.2">
      <c r="A3160"/>
      <c r="B3160" s="663"/>
      <c r="C3160" s="663"/>
      <c r="D3160" s="663"/>
      <c r="E3160" s="663"/>
    </row>
    <row r="3161" spans="1:5" x14ac:dyDescent="0.2">
      <c r="A3161"/>
      <c r="B3161" s="663"/>
      <c r="C3161" s="663"/>
      <c r="D3161" s="663"/>
      <c r="E3161" s="663"/>
    </row>
    <row r="3162" spans="1:5" x14ac:dyDescent="0.2">
      <c r="A3162"/>
      <c r="B3162" s="663"/>
      <c r="C3162" s="663"/>
      <c r="D3162" s="663"/>
      <c r="E3162" s="663"/>
    </row>
    <row r="3163" spans="1:5" x14ac:dyDescent="0.2">
      <c r="A3163"/>
      <c r="B3163" s="663"/>
      <c r="C3163" s="663"/>
      <c r="D3163" s="663"/>
      <c r="E3163" s="663"/>
    </row>
    <row r="3164" spans="1:5" x14ac:dyDescent="0.2">
      <c r="A3164"/>
      <c r="B3164" s="663"/>
      <c r="C3164" s="663"/>
      <c r="D3164" s="663"/>
      <c r="E3164" s="663"/>
    </row>
    <row r="3165" spans="1:5" x14ac:dyDescent="0.2">
      <c r="A3165"/>
      <c r="B3165" s="663"/>
      <c r="C3165" s="663"/>
      <c r="D3165" s="663"/>
      <c r="E3165" s="663"/>
    </row>
    <row r="3166" spans="1:5" x14ac:dyDescent="0.2">
      <c r="A3166"/>
      <c r="B3166" s="663"/>
      <c r="C3166" s="663"/>
      <c r="D3166" s="663"/>
      <c r="E3166" s="663"/>
    </row>
    <row r="3167" spans="1:5" x14ac:dyDescent="0.2">
      <c r="A3167"/>
      <c r="B3167" s="663"/>
      <c r="C3167" s="663"/>
      <c r="D3167" s="663"/>
      <c r="E3167" s="663"/>
    </row>
    <row r="3168" spans="1:5" x14ac:dyDescent="0.2">
      <c r="A3168"/>
      <c r="B3168" s="663"/>
      <c r="C3168" s="663"/>
      <c r="D3168" s="663"/>
      <c r="E3168" s="663"/>
    </row>
    <row r="3169" spans="1:5" x14ac:dyDescent="0.2">
      <c r="A3169"/>
      <c r="B3169" s="663"/>
      <c r="C3169" s="663"/>
      <c r="D3169" s="663"/>
      <c r="E3169" s="663"/>
    </row>
    <row r="3170" spans="1:5" x14ac:dyDescent="0.2">
      <c r="A3170"/>
      <c r="B3170" s="663"/>
      <c r="C3170" s="663"/>
      <c r="D3170" s="663"/>
      <c r="E3170" s="663"/>
    </row>
    <row r="3171" spans="1:5" x14ac:dyDescent="0.2">
      <c r="A3171"/>
      <c r="B3171" s="663"/>
      <c r="C3171" s="663"/>
      <c r="D3171" s="663"/>
      <c r="E3171" s="663"/>
    </row>
    <row r="3172" spans="1:5" x14ac:dyDescent="0.2">
      <c r="A3172"/>
      <c r="B3172" s="663"/>
      <c r="C3172" s="663"/>
      <c r="D3172" s="663"/>
      <c r="E3172" s="663"/>
    </row>
    <row r="3173" spans="1:5" x14ac:dyDescent="0.2">
      <c r="A3173"/>
      <c r="B3173" s="663"/>
      <c r="C3173" s="663"/>
      <c r="D3173" s="663"/>
      <c r="E3173" s="663"/>
    </row>
    <row r="3174" spans="1:5" x14ac:dyDescent="0.2">
      <c r="A3174"/>
      <c r="B3174" s="663"/>
      <c r="C3174" s="663"/>
      <c r="D3174" s="663"/>
      <c r="E3174" s="663"/>
    </row>
    <row r="3175" spans="1:5" x14ac:dyDescent="0.2">
      <c r="A3175"/>
      <c r="B3175" s="663"/>
      <c r="C3175" s="663"/>
      <c r="D3175" s="663"/>
      <c r="E3175" s="663"/>
    </row>
    <row r="3176" spans="1:5" x14ac:dyDescent="0.2">
      <c r="A3176"/>
      <c r="B3176" s="663"/>
      <c r="C3176" s="663"/>
      <c r="D3176" s="663"/>
      <c r="E3176" s="663"/>
    </row>
    <row r="3177" spans="1:5" x14ac:dyDescent="0.2">
      <c r="A3177"/>
      <c r="B3177" s="663"/>
      <c r="C3177" s="663"/>
      <c r="D3177" s="663"/>
      <c r="E3177" s="663"/>
    </row>
    <row r="3178" spans="1:5" x14ac:dyDescent="0.2">
      <c r="A3178"/>
      <c r="B3178" s="663"/>
      <c r="C3178" s="663"/>
      <c r="D3178" s="663"/>
      <c r="E3178" s="663"/>
    </row>
    <row r="3179" spans="1:5" x14ac:dyDescent="0.2">
      <c r="A3179"/>
      <c r="B3179" s="663"/>
      <c r="C3179" s="663"/>
      <c r="D3179" s="663"/>
      <c r="E3179" s="663"/>
    </row>
    <row r="3180" spans="1:5" x14ac:dyDescent="0.2">
      <c r="A3180"/>
      <c r="B3180" s="663"/>
      <c r="C3180" s="663"/>
      <c r="D3180" s="663"/>
      <c r="E3180" s="663"/>
    </row>
    <row r="3181" spans="1:5" x14ac:dyDescent="0.2">
      <c r="A3181"/>
      <c r="B3181" s="663"/>
      <c r="C3181" s="663"/>
      <c r="D3181" s="663"/>
      <c r="E3181" s="663"/>
    </row>
    <row r="3182" spans="1:5" x14ac:dyDescent="0.2">
      <c r="A3182"/>
      <c r="B3182" s="663"/>
      <c r="C3182" s="663"/>
      <c r="D3182" s="663"/>
      <c r="E3182" s="663"/>
    </row>
    <row r="3183" spans="1:5" x14ac:dyDescent="0.2">
      <c r="A3183"/>
      <c r="B3183" s="663"/>
      <c r="C3183" s="663"/>
      <c r="D3183" s="663"/>
      <c r="E3183" s="663"/>
    </row>
    <row r="3184" spans="1:5" x14ac:dyDescent="0.2">
      <c r="A3184"/>
      <c r="B3184" s="663"/>
      <c r="C3184" s="663"/>
      <c r="D3184" s="663"/>
      <c r="E3184" s="663"/>
    </row>
    <row r="3185" spans="1:5" x14ac:dyDescent="0.2">
      <c r="A3185"/>
      <c r="B3185" s="663"/>
      <c r="C3185" s="663"/>
      <c r="D3185" s="663"/>
      <c r="E3185" s="663"/>
    </row>
    <row r="3186" spans="1:5" x14ac:dyDescent="0.2">
      <c r="A3186"/>
      <c r="B3186" s="663"/>
      <c r="C3186" s="663"/>
      <c r="D3186" s="663"/>
      <c r="E3186" s="663"/>
    </row>
    <row r="3187" spans="1:5" x14ac:dyDescent="0.2">
      <c r="A3187"/>
      <c r="B3187" s="663"/>
      <c r="C3187" s="663"/>
      <c r="D3187" s="663"/>
      <c r="E3187" s="663"/>
    </row>
    <row r="3188" spans="1:5" x14ac:dyDescent="0.2">
      <c r="A3188"/>
      <c r="B3188" s="663"/>
      <c r="C3188" s="663"/>
      <c r="D3188" s="663"/>
      <c r="E3188" s="663"/>
    </row>
    <row r="3189" spans="1:5" x14ac:dyDescent="0.2">
      <c r="A3189"/>
      <c r="B3189" s="663"/>
      <c r="C3189" s="663"/>
      <c r="D3189" s="663"/>
      <c r="E3189" s="663"/>
    </row>
    <row r="3190" spans="1:5" x14ac:dyDescent="0.2">
      <c r="A3190"/>
      <c r="B3190" s="663"/>
      <c r="C3190" s="663"/>
      <c r="D3190" s="663"/>
      <c r="E3190" s="663"/>
    </row>
    <row r="3191" spans="1:5" x14ac:dyDescent="0.2">
      <c r="A3191"/>
      <c r="B3191" s="663"/>
      <c r="C3191" s="663"/>
      <c r="D3191" s="663"/>
      <c r="E3191" s="663"/>
    </row>
    <row r="3192" spans="1:5" x14ac:dyDescent="0.2">
      <c r="A3192"/>
      <c r="B3192" s="663"/>
      <c r="C3192" s="663"/>
      <c r="D3192" s="663"/>
      <c r="E3192" s="663"/>
    </row>
    <row r="3193" spans="1:5" x14ac:dyDescent="0.2">
      <c r="A3193"/>
      <c r="B3193" s="663"/>
      <c r="C3193" s="663"/>
      <c r="D3193" s="663"/>
      <c r="E3193" s="663"/>
    </row>
    <row r="3194" spans="1:5" x14ac:dyDescent="0.2">
      <c r="A3194"/>
      <c r="B3194" s="663"/>
      <c r="C3194" s="663"/>
      <c r="D3194" s="663"/>
      <c r="E3194" s="663"/>
    </row>
    <row r="3195" spans="1:5" x14ac:dyDescent="0.2">
      <c r="A3195"/>
      <c r="B3195" s="663"/>
      <c r="C3195" s="663"/>
      <c r="D3195" s="663"/>
      <c r="E3195" s="663"/>
    </row>
    <row r="3196" spans="1:5" x14ac:dyDescent="0.2">
      <c r="A3196"/>
      <c r="B3196" s="663"/>
      <c r="C3196" s="663"/>
      <c r="D3196" s="663"/>
      <c r="E3196" s="663"/>
    </row>
    <row r="3197" spans="1:5" x14ac:dyDescent="0.2">
      <c r="A3197"/>
      <c r="B3197" s="663"/>
      <c r="C3197" s="663"/>
      <c r="D3197" s="663"/>
      <c r="E3197" s="663"/>
    </row>
    <row r="3198" spans="1:5" x14ac:dyDescent="0.2">
      <c r="A3198"/>
      <c r="B3198" s="663"/>
      <c r="C3198" s="663"/>
      <c r="D3198" s="663"/>
      <c r="E3198" s="663"/>
    </row>
    <row r="3199" spans="1:5" x14ac:dyDescent="0.2">
      <c r="A3199"/>
      <c r="B3199" s="663"/>
      <c r="C3199" s="663"/>
      <c r="D3199" s="663"/>
      <c r="E3199" s="663"/>
    </row>
    <row r="3200" spans="1:5" x14ac:dyDescent="0.2">
      <c r="A3200"/>
      <c r="B3200" s="663"/>
      <c r="C3200" s="663"/>
      <c r="D3200" s="663"/>
      <c r="E3200" s="663"/>
    </row>
    <row r="3201" spans="1:5" x14ac:dyDescent="0.2">
      <c r="A3201"/>
      <c r="B3201" s="663"/>
      <c r="C3201" s="663"/>
      <c r="D3201" s="663"/>
      <c r="E3201" s="663"/>
    </row>
    <row r="3202" spans="1:5" x14ac:dyDescent="0.2">
      <c r="A3202"/>
      <c r="B3202" s="663"/>
      <c r="C3202" s="663"/>
      <c r="D3202" s="663"/>
      <c r="E3202" s="663"/>
    </row>
    <row r="3203" spans="1:5" x14ac:dyDescent="0.2">
      <c r="A3203"/>
      <c r="B3203" s="663"/>
      <c r="C3203" s="663"/>
      <c r="D3203" s="663"/>
      <c r="E3203" s="663"/>
    </row>
    <row r="3204" spans="1:5" x14ac:dyDescent="0.2">
      <c r="A3204"/>
      <c r="B3204" s="663"/>
      <c r="C3204" s="663"/>
      <c r="D3204" s="663"/>
      <c r="E3204" s="663"/>
    </row>
    <row r="3205" spans="1:5" x14ac:dyDescent="0.2">
      <c r="A3205"/>
      <c r="B3205" s="663"/>
      <c r="C3205" s="663"/>
      <c r="D3205" s="663"/>
      <c r="E3205" s="663"/>
    </row>
    <row r="3206" spans="1:5" x14ac:dyDescent="0.2">
      <c r="A3206"/>
      <c r="B3206" s="663"/>
      <c r="C3206" s="663"/>
      <c r="D3206" s="663"/>
      <c r="E3206" s="663"/>
    </row>
    <row r="3207" spans="1:5" x14ac:dyDescent="0.2">
      <c r="A3207"/>
      <c r="B3207" s="663"/>
      <c r="C3207" s="663"/>
      <c r="D3207" s="663"/>
      <c r="E3207" s="663"/>
    </row>
    <row r="3208" spans="1:5" x14ac:dyDescent="0.2">
      <c r="A3208"/>
      <c r="B3208" s="663"/>
      <c r="C3208" s="663"/>
      <c r="D3208" s="663"/>
      <c r="E3208" s="663"/>
    </row>
    <row r="3209" spans="1:5" x14ac:dyDescent="0.2">
      <c r="A3209"/>
      <c r="B3209" s="663"/>
      <c r="C3209" s="663"/>
      <c r="D3209" s="663"/>
      <c r="E3209" s="663"/>
    </row>
    <row r="3210" spans="1:5" x14ac:dyDescent="0.2">
      <c r="A3210"/>
      <c r="B3210" s="663"/>
      <c r="C3210" s="663"/>
      <c r="D3210" s="663"/>
      <c r="E3210" s="663"/>
    </row>
    <row r="3211" spans="1:5" x14ac:dyDescent="0.2">
      <c r="A3211"/>
      <c r="B3211" s="663"/>
      <c r="C3211" s="663"/>
      <c r="D3211" s="663"/>
      <c r="E3211" s="663"/>
    </row>
    <row r="3212" spans="1:5" x14ac:dyDescent="0.2">
      <c r="A3212"/>
      <c r="B3212" s="663"/>
      <c r="C3212" s="663"/>
      <c r="D3212" s="663"/>
      <c r="E3212" s="663"/>
    </row>
    <row r="3213" spans="1:5" x14ac:dyDescent="0.2">
      <c r="A3213"/>
      <c r="B3213" s="663"/>
      <c r="C3213" s="663"/>
      <c r="D3213" s="663"/>
      <c r="E3213" s="663"/>
    </row>
    <row r="3214" spans="1:5" x14ac:dyDescent="0.2">
      <c r="A3214"/>
      <c r="B3214" s="663"/>
      <c r="C3214" s="663"/>
      <c r="D3214" s="663"/>
      <c r="E3214" s="663"/>
    </row>
    <row r="3215" spans="1:5" x14ac:dyDescent="0.2">
      <c r="A3215"/>
      <c r="B3215" s="663"/>
      <c r="C3215" s="663"/>
      <c r="D3215" s="663"/>
      <c r="E3215" s="663"/>
    </row>
    <row r="3216" spans="1:5" x14ac:dyDescent="0.2">
      <c r="A3216"/>
      <c r="B3216" s="663"/>
      <c r="C3216" s="663"/>
      <c r="D3216" s="663"/>
      <c r="E3216" s="663"/>
    </row>
    <row r="3217" spans="1:5" x14ac:dyDescent="0.2">
      <c r="A3217"/>
      <c r="B3217" s="663"/>
      <c r="C3217" s="663"/>
      <c r="D3217" s="663"/>
      <c r="E3217" s="663"/>
    </row>
    <row r="3218" spans="1:5" x14ac:dyDescent="0.2">
      <c r="A3218"/>
      <c r="B3218" s="663"/>
      <c r="C3218" s="663"/>
      <c r="D3218" s="663"/>
      <c r="E3218" s="663"/>
    </row>
    <row r="3219" spans="1:5" x14ac:dyDescent="0.2">
      <c r="A3219"/>
      <c r="B3219" s="663"/>
      <c r="C3219" s="663"/>
      <c r="D3219" s="663"/>
      <c r="E3219" s="663"/>
    </row>
    <row r="3220" spans="1:5" x14ac:dyDescent="0.2">
      <c r="A3220"/>
      <c r="B3220" s="663"/>
      <c r="C3220" s="663"/>
      <c r="D3220" s="663"/>
      <c r="E3220" s="663"/>
    </row>
    <row r="3221" spans="1:5" x14ac:dyDescent="0.2">
      <c r="A3221"/>
      <c r="B3221" s="663"/>
      <c r="C3221" s="663"/>
      <c r="D3221" s="663"/>
      <c r="E3221" s="663"/>
    </row>
    <row r="3222" spans="1:5" x14ac:dyDescent="0.2">
      <c r="A3222"/>
      <c r="B3222" s="663"/>
      <c r="C3222" s="663"/>
      <c r="D3222" s="663"/>
      <c r="E3222" s="663"/>
    </row>
    <row r="3223" spans="1:5" x14ac:dyDescent="0.2">
      <c r="A3223"/>
      <c r="B3223" s="663"/>
      <c r="C3223" s="663"/>
      <c r="D3223" s="663"/>
      <c r="E3223" s="663"/>
    </row>
    <row r="3224" spans="1:5" x14ac:dyDescent="0.2">
      <c r="A3224"/>
      <c r="B3224" s="663"/>
      <c r="C3224" s="663"/>
      <c r="D3224" s="663"/>
      <c r="E3224" s="663"/>
    </row>
    <row r="3225" spans="1:5" x14ac:dyDescent="0.2">
      <c r="A3225"/>
      <c r="B3225" s="663"/>
      <c r="C3225" s="663"/>
      <c r="D3225" s="663"/>
      <c r="E3225" s="663"/>
    </row>
    <row r="3226" spans="1:5" x14ac:dyDescent="0.2">
      <c r="A3226"/>
      <c r="B3226" s="663"/>
      <c r="C3226" s="663"/>
      <c r="D3226" s="663"/>
      <c r="E3226" s="663"/>
    </row>
    <row r="3227" spans="1:5" x14ac:dyDescent="0.2">
      <c r="A3227"/>
      <c r="B3227" s="663"/>
      <c r="C3227" s="663"/>
      <c r="D3227" s="663"/>
      <c r="E3227" s="663"/>
    </row>
    <row r="3228" spans="1:5" x14ac:dyDescent="0.2">
      <c r="A3228"/>
      <c r="B3228" s="663"/>
      <c r="C3228" s="663"/>
      <c r="D3228" s="663"/>
      <c r="E3228" s="663"/>
    </row>
    <row r="3229" spans="1:5" x14ac:dyDescent="0.2">
      <c r="A3229"/>
      <c r="B3229" s="663"/>
      <c r="C3229" s="663"/>
      <c r="D3229" s="663"/>
      <c r="E3229" s="663"/>
    </row>
    <row r="3230" spans="1:5" x14ac:dyDescent="0.2">
      <c r="A3230"/>
      <c r="B3230" s="663"/>
      <c r="C3230" s="663"/>
      <c r="D3230" s="663"/>
      <c r="E3230" s="663"/>
    </row>
    <row r="3231" spans="1:5" x14ac:dyDescent="0.2">
      <c r="A3231"/>
      <c r="B3231" s="663"/>
      <c r="C3231" s="663"/>
      <c r="D3231" s="663"/>
      <c r="E3231" s="663"/>
    </row>
    <row r="3232" spans="1:5" x14ac:dyDescent="0.2">
      <c r="A3232"/>
      <c r="B3232" s="663"/>
      <c r="C3232" s="663"/>
      <c r="D3232" s="663"/>
      <c r="E3232" s="663"/>
    </row>
    <row r="3233" spans="1:5" x14ac:dyDescent="0.2">
      <c r="A3233"/>
      <c r="B3233" s="663"/>
      <c r="C3233" s="663"/>
      <c r="D3233" s="663"/>
      <c r="E3233" s="663"/>
    </row>
    <row r="3234" spans="1:5" x14ac:dyDescent="0.2">
      <c r="A3234"/>
      <c r="B3234" s="663"/>
      <c r="C3234" s="663"/>
      <c r="D3234" s="663"/>
      <c r="E3234" s="663"/>
    </row>
    <row r="3235" spans="1:5" x14ac:dyDescent="0.2">
      <c r="A3235"/>
      <c r="B3235" s="663"/>
      <c r="C3235" s="663"/>
      <c r="D3235" s="663"/>
      <c r="E3235" s="663"/>
    </row>
    <row r="3236" spans="1:5" x14ac:dyDescent="0.2">
      <c r="A3236"/>
      <c r="B3236" s="663"/>
      <c r="C3236" s="663"/>
      <c r="D3236" s="663"/>
      <c r="E3236" s="663"/>
    </row>
    <row r="3237" spans="1:5" x14ac:dyDescent="0.2">
      <c r="A3237"/>
      <c r="B3237" s="663"/>
      <c r="C3237" s="663"/>
      <c r="D3237" s="663"/>
      <c r="E3237" s="663"/>
    </row>
    <row r="3238" spans="1:5" x14ac:dyDescent="0.2">
      <c r="A3238"/>
      <c r="B3238" s="663"/>
      <c r="C3238" s="663"/>
      <c r="D3238" s="663"/>
      <c r="E3238" s="663"/>
    </row>
    <row r="3239" spans="1:5" x14ac:dyDescent="0.2">
      <c r="A3239"/>
      <c r="B3239" s="663"/>
      <c r="C3239" s="663"/>
      <c r="D3239" s="663"/>
      <c r="E3239" s="663"/>
    </row>
    <row r="3240" spans="1:5" x14ac:dyDescent="0.2">
      <c r="A3240"/>
      <c r="B3240" s="663"/>
      <c r="C3240" s="663"/>
      <c r="D3240" s="663"/>
      <c r="E3240" s="663"/>
    </row>
    <row r="3241" spans="1:5" x14ac:dyDescent="0.2">
      <c r="A3241"/>
      <c r="B3241" s="663"/>
      <c r="C3241" s="663"/>
      <c r="D3241" s="663"/>
      <c r="E3241" s="663"/>
    </row>
    <row r="3242" spans="1:5" x14ac:dyDescent="0.2">
      <c r="A3242"/>
      <c r="B3242" s="663"/>
      <c r="C3242" s="663"/>
      <c r="D3242" s="663"/>
      <c r="E3242" s="663"/>
    </row>
    <row r="3243" spans="1:5" x14ac:dyDescent="0.2">
      <c r="A3243"/>
      <c r="B3243" s="663"/>
      <c r="C3243" s="663"/>
      <c r="D3243" s="663"/>
      <c r="E3243" s="663"/>
    </row>
    <row r="3244" spans="1:5" x14ac:dyDescent="0.2">
      <c r="A3244"/>
      <c r="B3244" s="663"/>
      <c r="C3244" s="663"/>
      <c r="D3244" s="663"/>
      <c r="E3244" s="663"/>
    </row>
    <row r="3245" spans="1:5" x14ac:dyDescent="0.2">
      <c r="A3245"/>
      <c r="B3245" s="663"/>
      <c r="C3245" s="663"/>
      <c r="D3245" s="663"/>
      <c r="E3245" s="663"/>
    </row>
    <row r="3246" spans="1:5" x14ac:dyDescent="0.2">
      <c r="A3246"/>
      <c r="B3246" s="663"/>
      <c r="C3246" s="663"/>
      <c r="D3246" s="663"/>
      <c r="E3246" s="663"/>
    </row>
    <row r="3247" spans="1:5" x14ac:dyDescent="0.2">
      <c r="A3247"/>
      <c r="B3247" s="663"/>
      <c r="C3247" s="663"/>
      <c r="D3247" s="663"/>
      <c r="E3247" s="663"/>
    </row>
    <row r="3248" spans="1:5" x14ac:dyDescent="0.2">
      <c r="A3248"/>
      <c r="B3248" s="663"/>
      <c r="C3248" s="663"/>
      <c r="D3248" s="663"/>
      <c r="E3248" s="663"/>
    </row>
    <row r="3249" spans="1:5" x14ac:dyDescent="0.2">
      <c r="A3249"/>
      <c r="B3249" s="663"/>
      <c r="C3249" s="663"/>
      <c r="D3249" s="663"/>
      <c r="E3249" s="663"/>
    </row>
    <row r="3250" spans="1:5" x14ac:dyDescent="0.2">
      <c r="A3250"/>
      <c r="B3250" s="663"/>
      <c r="C3250" s="663"/>
      <c r="D3250" s="663"/>
      <c r="E3250" s="663"/>
    </row>
    <row r="3251" spans="1:5" x14ac:dyDescent="0.2">
      <c r="A3251"/>
      <c r="B3251" s="663"/>
      <c r="C3251" s="663"/>
      <c r="D3251" s="663"/>
      <c r="E3251" s="663"/>
    </row>
    <row r="3252" spans="1:5" x14ac:dyDescent="0.2">
      <c r="A3252"/>
      <c r="B3252" s="663"/>
      <c r="C3252" s="663"/>
      <c r="D3252" s="663"/>
      <c r="E3252" s="663"/>
    </row>
    <row r="3253" spans="1:5" x14ac:dyDescent="0.2">
      <c r="A3253"/>
      <c r="B3253" s="663"/>
      <c r="C3253" s="663"/>
      <c r="D3253" s="663"/>
      <c r="E3253" s="663"/>
    </row>
    <row r="3254" spans="1:5" x14ac:dyDescent="0.2">
      <c r="A3254"/>
      <c r="B3254" s="663"/>
      <c r="C3254" s="663"/>
      <c r="D3254" s="663"/>
      <c r="E3254" s="663"/>
    </row>
    <row r="3255" spans="1:5" x14ac:dyDescent="0.2">
      <c r="A3255"/>
      <c r="B3255" s="663"/>
      <c r="C3255" s="663"/>
      <c r="D3255" s="663"/>
      <c r="E3255" s="663"/>
    </row>
    <row r="3256" spans="1:5" x14ac:dyDescent="0.2">
      <c r="A3256"/>
      <c r="B3256" s="663"/>
      <c r="C3256" s="663"/>
      <c r="D3256" s="663"/>
      <c r="E3256" s="663"/>
    </row>
    <row r="3257" spans="1:5" x14ac:dyDescent="0.2">
      <c r="A3257"/>
      <c r="B3257" s="663"/>
      <c r="C3257" s="663"/>
      <c r="D3257" s="663"/>
      <c r="E3257" s="663"/>
    </row>
    <row r="3258" spans="1:5" x14ac:dyDescent="0.2">
      <c r="A3258"/>
      <c r="B3258" s="663"/>
      <c r="C3258" s="663"/>
      <c r="D3258" s="663"/>
      <c r="E3258" s="663"/>
    </row>
    <row r="3259" spans="1:5" x14ac:dyDescent="0.2">
      <c r="A3259"/>
      <c r="B3259" s="663"/>
      <c r="C3259" s="663"/>
      <c r="D3259" s="663"/>
      <c r="E3259" s="663"/>
    </row>
    <row r="3260" spans="1:5" x14ac:dyDescent="0.2">
      <c r="A3260"/>
      <c r="B3260" s="663"/>
      <c r="C3260" s="663"/>
      <c r="D3260" s="663"/>
      <c r="E3260" s="663"/>
    </row>
    <row r="3261" spans="1:5" x14ac:dyDescent="0.2">
      <c r="A3261"/>
      <c r="B3261" s="663"/>
      <c r="C3261" s="663"/>
      <c r="D3261" s="663"/>
      <c r="E3261" s="663"/>
    </row>
    <row r="3262" spans="1:5" x14ac:dyDescent="0.2">
      <c r="A3262"/>
      <c r="B3262" s="663"/>
      <c r="C3262" s="663"/>
      <c r="D3262" s="663"/>
      <c r="E3262" s="663"/>
    </row>
    <row r="3263" spans="1:5" x14ac:dyDescent="0.2">
      <c r="A3263"/>
      <c r="B3263" s="663"/>
      <c r="C3263" s="663"/>
      <c r="D3263" s="663"/>
      <c r="E3263" s="663"/>
    </row>
    <row r="3264" spans="1:5" x14ac:dyDescent="0.2">
      <c r="A3264"/>
      <c r="B3264" s="663"/>
      <c r="C3264" s="663"/>
      <c r="D3264" s="663"/>
      <c r="E3264" s="663"/>
    </row>
    <row r="3265" spans="1:5" x14ac:dyDescent="0.2">
      <c r="A3265"/>
      <c r="B3265" s="663"/>
      <c r="C3265" s="663"/>
      <c r="D3265" s="663"/>
      <c r="E3265" s="663"/>
    </row>
    <row r="3266" spans="1:5" x14ac:dyDescent="0.2">
      <c r="A3266"/>
      <c r="B3266" s="663"/>
      <c r="C3266" s="663"/>
      <c r="D3266" s="663"/>
      <c r="E3266" s="663"/>
    </row>
    <row r="3267" spans="1:5" x14ac:dyDescent="0.2">
      <c r="A3267"/>
      <c r="B3267" s="663"/>
      <c r="C3267" s="663"/>
      <c r="D3267" s="663"/>
      <c r="E3267" s="663"/>
    </row>
    <row r="3268" spans="1:5" x14ac:dyDescent="0.2">
      <c r="A3268"/>
      <c r="B3268" s="663"/>
      <c r="C3268" s="663"/>
      <c r="D3268" s="663"/>
      <c r="E3268" s="663"/>
    </row>
    <row r="3269" spans="1:5" x14ac:dyDescent="0.2">
      <c r="A3269"/>
      <c r="B3269" s="663"/>
      <c r="C3269" s="663"/>
      <c r="D3269" s="663"/>
      <c r="E3269" s="663"/>
    </row>
    <row r="3270" spans="1:5" x14ac:dyDescent="0.2">
      <c r="A3270"/>
      <c r="B3270" s="663"/>
      <c r="C3270" s="663"/>
      <c r="D3270" s="663"/>
      <c r="E3270" s="663"/>
    </row>
    <row r="3271" spans="1:5" x14ac:dyDescent="0.2">
      <c r="A3271"/>
      <c r="B3271" s="663"/>
      <c r="C3271" s="663"/>
      <c r="D3271" s="663"/>
      <c r="E3271" s="663"/>
    </row>
    <row r="3272" spans="1:5" x14ac:dyDescent="0.2">
      <c r="A3272"/>
      <c r="B3272" s="663"/>
      <c r="C3272" s="663"/>
      <c r="D3272" s="663"/>
      <c r="E3272" s="663"/>
    </row>
    <row r="3273" spans="1:5" x14ac:dyDescent="0.2">
      <c r="A3273"/>
      <c r="B3273" s="663"/>
      <c r="C3273" s="663"/>
      <c r="D3273" s="663"/>
      <c r="E3273" s="663"/>
    </row>
    <row r="3274" spans="1:5" x14ac:dyDescent="0.2">
      <c r="A3274"/>
      <c r="B3274" s="663"/>
      <c r="C3274" s="663"/>
      <c r="D3274" s="663"/>
      <c r="E3274" s="663"/>
    </row>
    <row r="3275" spans="1:5" x14ac:dyDescent="0.2">
      <c r="A3275"/>
      <c r="B3275" s="663"/>
      <c r="C3275" s="663"/>
      <c r="D3275" s="663"/>
      <c r="E3275" s="663"/>
    </row>
    <row r="3276" spans="1:5" x14ac:dyDescent="0.2">
      <c r="A3276"/>
      <c r="B3276" s="663"/>
      <c r="C3276" s="663"/>
      <c r="D3276" s="663"/>
      <c r="E3276" s="663"/>
    </row>
    <row r="3277" spans="1:5" x14ac:dyDescent="0.2">
      <c r="A3277"/>
      <c r="B3277" s="663"/>
      <c r="C3277" s="663"/>
      <c r="D3277" s="663"/>
      <c r="E3277" s="663"/>
    </row>
    <row r="3278" spans="1:5" x14ac:dyDescent="0.2">
      <c r="A3278"/>
      <c r="B3278" s="663"/>
      <c r="C3278" s="663"/>
      <c r="D3278" s="663"/>
      <c r="E3278" s="663"/>
    </row>
    <row r="3279" spans="1:5" x14ac:dyDescent="0.2">
      <c r="A3279"/>
      <c r="B3279" s="663"/>
      <c r="C3279" s="663"/>
      <c r="D3279" s="663"/>
      <c r="E3279" s="663"/>
    </row>
    <row r="3280" spans="1:5" x14ac:dyDescent="0.2">
      <c r="A3280"/>
      <c r="B3280" s="663"/>
      <c r="C3280" s="663"/>
      <c r="D3280" s="663"/>
      <c r="E3280" s="663"/>
    </row>
    <row r="3281" spans="1:5" x14ac:dyDescent="0.2">
      <c r="A3281"/>
      <c r="B3281" s="663"/>
      <c r="C3281" s="663"/>
      <c r="D3281" s="663"/>
      <c r="E3281" s="663"/>
    </row>
    <row r="3282" spans="1:5" x14ac:dyDescent="0.2">
      <c r="A3282"/>
      <c r="B3282" s="663"/>
      <c r="C3282" s="663"/>
      <c r="D3282" s="663"/>
      <c r="E3282" s="663"/>
    </row>
    <row r="3283" spans="1:5" x14ac:dyDescent="0.2">
      <c r="A3283"/>
      <c r="B3283" s="663"/>
      <c r="C3283" s="663"/>
      <c r="D3283" s="663"/>
      <c r="E3283" s="663"/>
    </row>
    <row r="3284" spans="1:5" x14ac:dyDescent="0.2">
      <c r="A3284"/>
      <c r="B3284" s="663"/>
      <c r="C3284" s="663"/>
      <c r="D3284" s="663"/>
      <c r="E3284" s="663"/>
    </row>
    <row r="3285" spans="1:5" x14ac:dyDescent="0.2">
      <c r="A3285"/>
      <c r="B3285" s="663"/>
      <c r="C3285" s="663"/>
      <c r="D3285" s="663"/>
      <c r="E3285" s="663"/>
    </row>
    <row r="3286" spans="1:5" x14ac:dyDescent="0.2">
      <c r="A3286"/>
      <c r="B3286" s="663"/>
      <c r="C3286" s="663"/>
      <c r="D3286" s="663"/>
      <c r="E3286" s="663"/>
    </row>
    <row r="3287" spans="1:5" x14ac:dyDescent="0.2">
      <c r="A3287"/>
      <c r="B3287" s="663"/>
      <c r="C3287" s="663"/>
      <c r="D3287" s="663"/>
      <c r="E3287" s="663"/>
    </row>
    <row r="3288" spans="1:5" x14ac:dyDescent="0.2">
      <c r="A3288"/>
      <c r="B3288" s="663"/>
      <c r="C3288" s="663"/>
      <c r="D3288" s="663"/>
      <c r="E3288" s="663"/>
    </row>
    <row r="3289" spans="1:5" x14ac:dyDescent="0.2">
      <c r="A3289"/>
      <c r="B3289" s="663"/>
      <c r="C3289" s="663"/>
      <c r="D3289" s="663"/>
      <c r="E3289" s="663"/>
    </row>
    <row r="3290" spans="1:5" x14ac:dyDescent="0.2">
      <c r="A3290"/>
      <c r="B3290" s="663"/>
      <c r="C3290" s="663"/>
      <c r="D3290" s="663"/>
      <c r="E3290" s="663"/>
    </row>
    <row r="3291" spans="1:5" x14ac:dyDescent="0.2">
      <c r="A3291"/>
      <c r="B3291" s="663"/>
      <c r="C3291" s="663"/>
      <c r="D3291" s="663"/>
      <c r="E3291" s="663"/>
    </row>
    <row r="3292" spans="1:5" x14ac:dyDescent="0.2">
      <c r="A3292"/>
      <c r="B3292" s="663"/>
      <c r="C3292" s="663"/>
      <c r="D3292" s="663"/>
      <c r="E3292" s="663"/>
    </row>
    <row r="3293" spans="1:5" x14ac:dyDescent="0.2">
      <c r="A3293"/>
      <c r="B3293" s="663"/>
      <c r="C3293" s="663"/>
      <c r="D3293" s="663"/>
      <c r="E3293" s="663"/>
    </row>
    <row r="3294" spans="1:5" x14ac:dyDescent="0.2">
      <c r="A3294"/>
      <c r="B3294" s="663"/>
      <c r="C3294" s="663"/>
      <c r="D3294" s="663"/>
      <c r="E3294" s="663"/>
    </row>
    <row r="3295" spans="1:5" x14ac:dyDescent="0.2">
      <c r="A3295"/>
      <c r="B3295" s="663"/>
      <c r="C3295" s="663"/>
      <c r="D3295" s="663"/>
      <c r="E3295" s="663"/>
    </row>
    <row r="3296" spans="1:5" x14ac:dyDescent="0.2">
      <c r="A3296"/>
      <c r="B3296" s="663"/>
      <c r="C3296" s="663"/>
      <c r="D3296" s="663"/>
      <c r="E3296" s="663"/>
    </row>
    <row r="3297" spans="1:5" x14ac:dyDescent="0.2">
      <c r="A3297"/>
      <c r="B3297" s="663"/>
      <c r="C3297" s="663"/>
      <c r="D3297" s="663"/>
      <c r="E3297" s="663"/>
    </row>
    <row r="3298" spans="1:5" x14ac:dyDescent="0.2">
      <c r="A3298"/>
      <c r="B3298" s="663"/>
      <c r="C3298" s="663"/>
      <c r="D3298" s="663"/>
      <c r="E3298" s="663"/>
    </row>
    <row r="3299" spans="1:5" x14ac:dyDescent="0.2">
      <c r="A3299"/>
      <c r="B3299" s="663"/>
      <c r="C3299" s="663"/>
      <c r="D3299" s="663"/>
      <c r="E3299" s="663"/>
    </row>
    <row r="3300" spans="1:5" x14ac:dyDescent="0.2">
      <c r="A3300"/>
      <c r="B3300" s="663"/>
      <c r="C3300" s="663"/>
      <c r="D3300" s="663"/>
      <c r="E3300" s="663"/>
    </row>
    <row r="3301" spans="1:5" x14ac:dyDescent="0.2">
      <c r="A3301"/>
      <c r="B3301" s="663"/>
      <c r="C3301" s="663"/>
      <c r="D3301" s="663"/>
      <c r="E3301" s="663"/>
    </row>
    <row r="3302" spans="1:5" x14ac:dyDescent="0.2">
      <c r="A3302"/>
      <c r="B3302" s="663"/>
      <c r="C3302" s="663"/>
      <c r="D3302" s="663"/>
      <c r="E3302" s="663"/>
    </row>
    <row r="3303" spans="1:5" x14ac:dyDescent="0.2">
      <c r="A3303"/>
      <c r="B3303" s="663"/>
      <c r="C3303" s="663"/>
      <c r="D3303" s="663"/>
      <c r="E3303" s="663"/>
    </row>
    <row r="3304" spans="1:5" x14ac:dyDescent="0.2">
      <c r="A3304"/>
      <c r="B3304" s="663"/>
      <c r="C3304" s="663"/>
      <c r="D3304" s="663"/>
      <c r="E3304" s="663"/>
    </row>
    <row r="3305" spans="1:5" x14ac:dyDescent="0.2">
      <c r="A3305"/>
      <c r="B3305" s="663"/>
      <c r="C3305" s="663"/>
      <c r="D3305" s="663"/>
      <c r="E3305" s="663"/>
    </row>
    <row r="3306" spans="1:5" x14ac:dyDescent="0.2">
      <c r="A3306"/>
      <c r="B3306" s="663"/>
      <c r="C3306" s="663"/>
      <c r="D3306" s="663"/>
      <c r="E3306" s="663"/>
    </row>
    <row r="3307" spans="1:5" x14ac:dyDescent="0.2">
      <c r="A3307"/>
      <c r="B3307" s="663"/>
      <c r="C3307" s="663"/>
      <c r="D3307" s="663"/>
      <c r="E3307" s="663"/>
    </row>
    <row r="3308" spans="1:5" x14ac:dyDescent="0.2">
      <c r="A3308"/>
      <c r="B3308" s="663"/>
      <c r="C3308" s="663"/>
      <c r="D3308" s="663"/>
      <c r="E3308" s="663"/>
    </row>
    <row r="3309" spans="1:5" x14ac:dyDescent="0.2">
      <c r="A3309"/>
      <c r="B3309" s="663"/>
      <c r="C3309" s="663"/>
      <c r="D3309" s="663"/>
      <c r="E3309" s="663"/>
    </row>
    <row r="3310" spans="1:5" x14ac:dyDescent="0.2">
      <c r="A3310"/>
      <c r="B3310" s="663"/>
      <c r="C3310" s="663"/>
      <c r="D3310" s="663"/>
      <c r="E3310" s="663"/>
    </row>
    <row r="3311" spans="1:5" x14ac:dyDescent="0.2">
      <c r="A3311"/>
      <c r="B3311" s="663"/>
      <c r="C3311" s="663"/>
      <c r="D3311" s="663"/>
      <c r="E3311" s="663"/>
    </row>
    <row r="3312" spans="1:5" x14ac:dyDescent="0.2">
      <c r="A3312"/>
      <c r="B3312" s="663"/>
      <c r="C3312" s="663"/>
      <c r="D3312" s="663"/>
      <c r="E3312" s="663"/>
    </row>
    <row r="3313" spans="1:5" x14ac:dyDescent="0.2">
      <c r="A3313"/>
      <c r="B3313" s="663"/>
      <c r="C3313" s="663"/>
      <c r="D3313" s="663"/>
      <c r="E3313" s="663"/>
    </row>
    <row r="3314" spans="1:5" x14ac:dyDescent="0.2">
      <c r="A3314"/>
      <c r="B3314" s="663"/>
      <c r="C3314" s="663"/>
      <c r="D3314" s="663"/>
      <c r="E3314" s="663"/>
    </row>
    <row r="3315" spans="1:5" x14ac:dyDescent="0.2">
      <c r="A3315"/>
      <c r="B3315" s="663"/>
      <c r="C3315" s="663"/>
      <c r="D3315" s="663"/>
      <c r="E3315" s="663"/>
    </row>
    <row r="3316" spans="1:5" x14ac:dyDescent="0.2">
      <c r="A3316"/>
      <c r="B3316" s="663"/>
      <c r="C3316" s="663"/>
      <c r="D3316" s="663"/>
      <c r="E3316" s="663"/>
    </row>
    <row r="3317" spans="1:5" x14ac:dyDescent="0.2">
      <c r="A3317"/>
      <c r="B3317" s="663"/>
      <c r="C3317" s="663"/>
      <c r="D3317" s="663"/>
      <c r="E3317" s="663"/>
    </row>
    <row r="3318" spans="1:5" x14ac:dyDescent="0.2">
      <c r="A3318"/>
      <c r="B3318" s="663"/>
      <c r="C3318" s="663"/>
      <c r="D3318" s="663"/>
      <c r="E3318" s="663"/>
    </row>
    <row r="3319" spans="1:5" x14ac:dyDescent="0.2">
      <c r="A3319"/>
      <c r="B3319" s="663"/>
      <c r="C3319" s="663"/>
      <c r="D3319" s="663"/>
      <c r="E3319" s="663"/>
    </row>
    <row r="3320" spans="1:5" x14ac:dyDescent="0.2">
      <c r="A3320"/>
      <c r="B3320" s="663"/>
      <c r="C3320" s="663"/>
      <c r="D3320" s="663"/>
      <c r="E3320" s="663"/>
    </row>
    <row r="3321" spans="1:5" x14ac:dyDescent="0.2">
      <c r="A3321"/>
      <c r="B3321" s="663"/>
      <c r="C3321" s="663"/>
      <c r="D3321" s="663"/>
      <c r="E3321" s="663"/>
    </row>
    <row r="3322" spans="1:5" x14ac:dyDescent="0.2">
      <c r="A3322"/>
      <c r="B3322" s="663"/>
      <c r="C3322" s="663"/>
      <c r="D3322" s="663"/>
      <c r="E3322" s="663"/>
    </row>
    <row r="3323" spans="1:5" x14ac:dyDescent="0.2">
      <c r="A3323"/>
      <c r="B3323" s="663"/>
      <c r="C3323" s="663"/>
      <c r="D3323" s="663"/>
      <c r="E3323" s="663"/>
    </row>
    <row r="3324" spans="1:5" x14ac:dyDescent="0.2">
      <c r="A3324"/>
      <c r="B3324" s="663"/>
      <c r="C3324" s="663"/>
      <c r="D3324" s="663"/>
      <c r="E3324" s="663"/>
    </row>
    <row r="3325" spans="1:5" x14ac:dyDescent="0.2">
      <c r="A3325"/>
      <c r="B3325" s="663"/>
      <c r="C3325" s="663"/>
      <c r="D3325" s="663"/>
      <c r="E3325" s="663"/>
    </row>
    <row r="3326" spans="1:5" x14ac:dyDescent="0.2">
      <c r="A3326"/>
      <c r="B3326" s="663"/>
      <c r="C3326" s="663"/>
      <c r="D3326" s="663"/>
      <c r="E3326" s="663"/>
    </row>
    <row r="3327" spans="1:5" x14ac:dyDescent="0.2">
      <c r="A3327"/>
      <c r="B3327" s="663"/>
      <c r="C3327" s="663"/>
      <c r="D3327" s="663"/>
      <c r="E3327" s="663"/>
    </row>
    <row r="3328" spans="1:5" x14ac:dyDescent="0.2">
      <c r="A3328"/>
      <c r="B3328" s="663"/>
      <c r="C3328" s="663"/>
      <c r="D3328" s="663"/>
      <c r="E3328" s="663"/>
    </row>
    <row r="3329" spans="1:5" x14ac:dyDescent="0.2">
      <c r="A3329"/>
      <c r="B3329" s="663"/>
      <c r="C3329" s="663"/>
      <c r="D3329" s="663"/>
      <c r="E3329" s="663"/>
    </row>
    <row r="3330" spans="1:5" x14ac:dyDescent="0.2">
      <c r="A3330"/>
      <c r="B3330" s="663"/>
      <c r="C3330" s="663"/>
      <c r="D3330" s="663"/>
      <c r="E3330" s="663"/>
    </row>
    <row r="3331" spans="1:5" x14ac:dyDescent="0.2">
      <c r="A3331"/>
      <c r="B3331" s="663"/>
      <c r="C3331" s="663"/>
      <c r="D3331" s="663"/>
      <c r="E3331" s="663"/>
    </row>
    <row r="3332" spans="1:5" x14ac:dyDescent="0.2">
      <c r="A3332"/>
      <c r="B3332" s="663"/>
      <c r="C3332" s="663"/>
      <c r="D3332" s="663"/>
      <c r="E3332" s="663"/>
    </row>
    <row r="3333" spans="1:5" x14ac:dyDescent="0.2">
      <c r="A3333"/>
      <c r="B3333" s="663"/>
      <c r="C3333" s="663"/>
      <c r="D3333" s="663"/>
      <c r="E3333" s="663"/>
    </row>
    <row r="3334" spans="1:5" x14ac:dyDescent="0.2">
      <c r="A3334"/>
      <c r="B3334" s="663"/>
      <c r="C3334" s="663"/>
      <c r="D3334" s="663"/>
      <c r="E3334" s="663"/>
    </row>
    <row r="3335" spans="1:5" x14ac:dyDescent="0.2">
      <c r="A3335"/>
      <c r="B3335" s="663"/>
      <c r="C3335" s="663"/>
      <c r="D3335" s="663"/>
      <c r="E3335" s="663"/>
    </row>
    <row r="3336" spans="1:5" x14ac:dyDescent="0.2">
      <c r="A3336"/>
      <c r="B3336" s="663"/>
      <c r="C3336" s="663"/>
      <c r="D3336" s="663"/>
      <c r="E3336" s="663"/>
    </row>
    <row r="3337" spans="1:5" x14ac:dyDescent="0.2">
      <c r="A3337"/>
      <c r="B3337" s="663"/>
      <c r="C3337" s="663"/>
      <c r="D3337" s="663"/>
      <c r="E3337" s="663"/>
    </row>
    <row r="3338" spans="1:5" x14ac:dyDescent="0.2">
      <c r="A3338"/>
      <c r="B3338" s="663"/>
      <c r="C3338" s="663"/>
      <c r="D3338" s="663"/>
      <c r="E3338" s="663"/>
    </row>
    <row r="3339" spans="1:5" x14ac:dyDescent="0.2">
      <c r="A3339"/>
      <c r="B3339" s="663"/>
      <c r="C3339" s="663"/>
      <c r="D3339" s="663"/>
      <c r="E3339" s="663"/>
    </row>
    <row r="3340" spans="1:5" x14ac:dyDescent="0.2">
      <c r="A3340"/>
      <c r="B3340" s="663"/>
      <c r="C3340" s="663"/>
      <c r="D3340" s="663"/>
      <c r="E3340" s="663"/>
    </row>
    <row r="3341" spans="1:5" x14ac:dyDescent="0.2">
      <c r="A3341"/>
      <c r="B3341" s="663"/>
      <c r="C3341" s="663"/>
      <c r="D3341" s="663"/>
      <c r="E3341" s="663"/>
    </row>
    <row r="3342" spans="1:5" x14ac:dyDescent="0.2">
      <c r="A3342"/>
      <c r="B3342" s="663"/>
      <c r="C3342" s="663"/>
      <c r="D3342" s="663"/>
      <c r="E3342" s="663"/>
    </row>
    <row r="3343" spans="1:5" x14ac:dyDescent="0.2">
      <c r="A3343"/>
      <c r="B3343" s="663"/>
      <c r="C3343" s="663"/>
      <c r="D3343" s="663"/>
      <c r="E3343" s="663"/>
    </row>
    <row r="3344" spans="1:5" x14ac:dyDescent="0.2">
      <c r="A3344"/>
      <c r="B3344" s="663"/>
      <c r="C3344" s="663"/>
      <c r="D3344" s="663"/>
      <c r="E3344" s="663"/>
    </row>
    <row r="3345" spans="1:5" x14ac:dyDescent="0.2">
      <c r="A3345"/>
      <c r="B3345" s="663"/>
      <c r="C3345" s="663"/>
      <c r="D3345" s="663"/>
      <c r="E3345" s="663"/>
    </row>
    <row r="3346" spans="1:5" x14ac:dyDescent="0.2">
      <c r="A3346"/>
      <c r="B3346" s="663"/>
      <c r="C3346" s="663"/>
      <c r="D3346" s="663"/>
      <c r="E3346" s="663"/>
    </row>
    <row r="3347" spans="1:5" x14ac:dyDescent="0.2">
      <c r="A3347"/>
      <c r="B3347" s="663"/>
      <c r="C3347" s="663"/>
      <c r="D3347" s="663"/>
      <c r="E3347" s="663"/>
    </row>
    <row r="3348" spans="1:5" x14ac:dyDescent="0.2">
      <c r="A3348"/>
      <c r="B3348" s="663"/>
      <c r="C3348" s="663"/>
      <c r="D3348" s="663"/>
      <c r="E3348" s="663"/>
    </row>
    <row r="3349" spans="1:5" x14ac:dyDescent="0.2">
      <c r="A3349"/>
      <c r="B3349" s="663"/>
      <c r="C3349" s="663"/>
      <c r="D3349" s="663"/>
      <c r="E3349" s="663"/>
    </row>
    <row r="3350" spans="1:5" x14ac:dyDescent="0.2">
      <c r="A3350"/>
      <c r="B3350" s="663"/>
      <c r="C3350" s="663"/>
      <c r="D3350" s="663"/>
      <c r="E3350" s="663"/>
    </row>
    <row r="3351" spans="1:5" x14ac:dyDescent="0.2">
      <c r="A3351"/>
      <c r="B3351" s="663"/>
      <c r="C3351" s="663"/>
      <c r="D3351" s="663"/>
      <c r="E3351" s="663"/>
    </row>
    <row r="3352" spans="1:5" x14ac:dyDescent="0.2">
      <c r="A3352"/>
      <c r="B3352" s="663"/>
      <c r="C3352" s="663"/>
      <c r="D3352" s="663"/>
      <c r="E3352" s="663"/>
    </row>
    <row r="3353" spans="1:5" x14ac:dyDescent="0.2">
      <c r="A3353"/>
      <c r="B3353" s="663"/>
      <c r="C3353" s="663"/>
      <c r="D3353" s="663"/>
      <c r="E3353" s="663"/>
    </row>
    <row r="3354" spans="1:5" x14ac:dyDescent="0.2">
      <c r="A3354"/>
      <c r="B3354" s="663"/>
      <c r="C3354" s="663"/>
      <c r="D3354" s="663"/>
      <c r="E3354" s="663"/>
    </row>
    <row r="3355" spans="1:5" x14ac:dyDescent="0.2">
      <c r="A3355"/>
      <c r="B3355" s="663"/>
      <c r="C3355" s="663"/>
      <c r="D3355" s="663"/>
      <c r="E3355" s="663"/>
    </row>
    <row r="3356" spans="1:5" x14ac:dyDescent="0.2">
      <c r="A3356"/>
      <c r="B3356" s="663"/>
      <c r="C3356" s="663"/>
      <c r="D3356" s="663"/>
      <c r="E3356" s="663"/>
    </row>
    <row r="3357" spans="1:5" x14ac:dyDescent="0.2">
      <c r="A3357"/>
      <c r="B3357" s="663"/>
      <c r="C3357" s="663"/>
      <c r="D3357" s="663"/>
      <c r="E3357" s="663"/>
    </row>
    <row r="3358" spans="1:5" x14ac:dyDescent="0.2">
      <c r="A3358"/>
      <c r="B3358" s="663"/>
      <c r="C3358" s="663"/>
      <c r="D3358" s="663"/>
      <c r="E3358" s="663"/>
    </row>
    <row r="3359" spans="1:5" x14ac:dyDescent="0.2">
      <c r="A3359"/>
      <c r="B3359" s="663"/>
      <c r="C3359" s="663"/>
      <c r="D3359" s="663"/>
      <c r="E3359" s="663"/>
    </row>
    <row r="3360" spans="1:5" x14ac:dyDescent="0.2">
      <c r="A3360"/>
      <c r="B3360" s="663"/>
      <c r="C3360" s="663"/>
      <c r="D3360" s="663"/>
      <c r="E3360" s="663"/>
    </row>
    <row r="3361" spans="1:5" x14ac:dyDescent="0.2">
      <c r="A3361"/>
      <c r="B3361" s="663"/>
      <c r="C3361" s="663"/>
      <c r="D3361" s="663"/>
      <c r="E3361" s="663"/>
    </row>
    <row r="3362" spans="1:5" x14ac:dyDescent="0.2">
      <c r="A3362"/>
      <c r="B3362" s="663"/>
      <c r="C3362" s="663"/>
      <c r="D3362" s="663"/>
      <c r="E3362" s="663"/>
    </row>
    <row r="3363" spans="1:5" x14ac:dyDescent="0.2">
      <c r="A3363"/>
      <c r="B3363" s="663"/>
      <c r="C3363" s="663"/>
      <c r="D3363" s="663"/>
      <c r="E3363" s="663"/>
    </row>
    <row r="3364" spans="1:5" x14ac:dyDescent="0.2">
      <c r="A3364"/>
      <c r="B3364" s="663"/>
      <c r="C3364" s="663"/>
      <c r="D3364" s="663"/>
      <c r="E3364" s="663"/>
    </row>
    <row r="3365" spans="1:5" x14ac:dyDescent="0.2">
      <c r="A3365"/>
      <c r="B3365" s="663"/>
      <c r="C3365" s="663"/>
      <c r="D3365" s="663"/>
      <c r="E3365" s="663"/>
    </row>
    <row r="3366" spans="1:5" x14ac:dyDescent="0.2">
      <c r="A3366"/>
      <c r="B3366" s="663"/>
      <c r="C3366" s="663"/>
      <c r="D3366" s="663"/>
      <c r="E3366" s="663"/>
    </row>
    <row r="3367" spans="1:5" x14ac:dyDescent="0.2">
      <c r="A3367"/>
      <c r="B3367" s="663"/>
      <c r="C3367" s="663"/>
      <c r="D3367" s="663"/>
      <c r="E3367" s="663"/>
    </row>
    <row r="3368" spans="1:5" x14ac:dyDescent="0.2">
      <c r="A3368"/>
      <c r="B3368" s="663"/>
      <c r="C3368" s="663"/>
      <c r="D3368" s="663"/>
      <c r="E3368" s="663"/>
    </row>
    <row r="3369" spans="1:5" x14ac:dyDescent="0.2">
      <c r="A3369"/>
      <c r="B3369" s="663"/>
      <c r="C3369" s="663"/>
      <c r="D3369" s="663"/>
      <c r="E3369" s="663"/>
    </row>
    <row r="3370" spans="1:5" x14ac:dyDescent="0.2">
      <c r="A3370"/>
      <c r="B3370" s="663"/>
      <c r="C3370" s="663"/>
      <c r="D3370" s="663"/>
      <c r="E3370" s="663"/>
    </row>
    <row r="3371" spans="1:5" x14ac:dyDescent="0.2">
      <c r="A3371"/>
      <c r="B3371" s="663"/>
      <c r="C3371" s="663"/>
      <c r="D3371" s="663"/>
      <c r="E3371" s="663"/>
    </row>
    <row r="3372" spans="1:5" x14ac:dyDescent="0.2">
      <c r="A3372"/>
      <c r="B3372" s="663"/>
      <c r="C3372" s="663"/>
      <c r="D3372" s="663"/>
      <c r="E3372" s="663"/>
    </row>
    <row r="3373" spans="1:5" x14ac:dyDescent="0.2">
      <c r="A3373"/>
      <c r="B3373" s="663"/>
      <c r="C3373" s="663"/>
      <c r="D3373" s="663"/>
      <c r="E3373" s="663"/>
    </row>
    <row r="3374" spans="1:5" x14ac:dyDescent="0.2">
      <c r="A3374"/>
      <c r="B3374" s="663"/>
      <c r="C3374" s="663"/>
      <c r="D3374" s="663"/>
      <c r="E3374" s="663"/>
    </row>
    <row r="3375" spans="1:5" x14ac:dyDescent="0.2">
      <c r="A3375"/>
      <c r="B3375" s="663"/>
      <c r="C3375" s="663"/>
      <c r="D3375" s="663"/>
      <c r="E3375" s="663"/>
    </row>
    <row r="3376" spans="1:5" x14ac:dyDescent="0.2">
      <c r="A3376"/>
      <c r="B3376" s="663"/>
      <c r="C3376" s="663"/>
      <c r="D3376" s="663"/>
      <c r="E3376" s="663"/>
    </row>
    <row r="3377" spans="1:5" x14ac:dyDescent="0.2">
      <c r="A3377"/>
      <c r="B3377" s="663"/>
      <c r="C3377" s="663"/>
      <c r="D3377" s="663"/>
      <c r="E3377" s="663"/>
    </row>
    <row r="3378" spans="1:5" x14ac:dyDescent="0.2">
      <c r="A3378"/>
      <c r="B3378" s="663"/>
      <c r="C3378" s="663"/>
      <c r="D3378" s="663"/>
      <c r="E3378" s="663"/>
    </row>
    <row r="3379" spans="1:5" x14ac:dyDescent="0.2">
      <c r="A3379"/>
      <c r="B3379" s="663"/>
      <c r="C3379" s="663"/>
      <c r="D3379" s="663"/>
      <c r="E3379" s="663"/>
    </row>
    <row r="3380" spans="1:5" x14ac:dyDescent="0.2">
      <c r="A3380"/>
      <c r="B3380" s="663"/>
      <c r="C3380" s="663"/>
      <c r="D3380" s="663"/>
      <c r="E3380" s="663"/>
    </row>
    <row r="3381" spans="1:5" x14ac:dyDescent="0.2">
      <c r="A3381"/>
      <c r="B3381" s="663"/>
      <c r="C3381" s="663"/>
      <c r="D3381" s="663"/>
      <c r="E3381" s="663"/>
    </row>
    <row r="3382" spans="1:5" x14ac:dyDescent="0.2">
      <c r="A3382"/>
      <c r="B3382" s="663"/>
      <c r="C3382" s="663"/>
      <c r="D3382" s="663"/>
      <c r="E3382" s="663"/>
    </row>
    <row r="3383" spans="1:5" x14ac:dyDescent="0.2">
      <c r="A3383"/>
      <c r="B3383" s="663"/>
      <c r="C3383" s="663"/>
      <c r="D3383" s="663"/>
      <c r="E3383" s="663"/>
    </row>
    <row r="3384" spans="1:5" x14ac:dyDescent="0.2">
      <c r="A3384"/>
      <c r="B3384" s="663"/>
      <c r="C3384" s="663"/>
      <c r="D3384" s="663"/>
      <c r="E3384" s="663"/>
    </row>
    <row r="3385" spans="1:5" x14ac:dyDescent="0.2">
      <c r="A3385"/>
      <c r="B3385" s="663"/>
      <c r="C3385" s="663"/>
      <c r="D3385" s="663"/>
      <c r="E3385" s="663"/>
    </row>
    <row r="3386" spans="1:5" x14ac:dyDescent="0.2">
      <c r="A3386"/>
      <c r="B3386" s="663"/>
      <c r="C3386" s="663"/>
      <c r="D3386" s="663"/>
      <c r="E3386" s="663"/>
    </row>
    <row r="3387" spans="1:5" x14ac:dyDescent="0.2">
      <c r="A3387"/>
      <c r="B3387" s="663"/>
      <c r="C3387" s="663"/>
      <c r="D3387" s="663"/>
      <c r="E3387" s="663"/>
    </row>
    <row r="3388" spans="1:5" x14ac:dyDescent="0.2">
      <c r="A3388"/>
      <c r="B3388" s="663"/>
      <c r="C3388" s="663"/>
      <c r="D3388" s="663"/>
      <c r="E3388" s="663"/>
    </row>
    <row r="3389" spans="1:5" x14ac:dyDescent="0.2">
      <c r="A3389"/>
      <c r="B3389" s="663"/>
      <c r="C3389" s="663"/>
      <c r="D3389" s="663"/>
      <c r="E3389" s="663"/>
    </row>
    <row r="3390" spans="1:5" x14ac:dyDescent="0.2">
      <c r="A3390"/>
      <c r="B3390" s="663"/>
      <c r="C3390" s="663"/>
      <c r="D3390" s="663"/>
      <c r="E3390" s="663"/>
    </row>
    <row r="3391" spans="1:5" x14ac:dyDescent="0.2">
      <c r="A3391"/>
      <c r="B3391" s="663"/>
      <c r="C3391" s="663"/>
      <c r="D3391" s="663"/>
      <c r="E3391" s="663"/>
    </row>
    <row r="3392" spans="1:5" x14ac:dyDescent="0.2">
      <c r="A3392"/>
      <c r="B3392" s="663"/>
      <c r="C3392" s="663"/>
      <c r="D3392" s="663"/>
      <c r="E3392" s="663"/>
    </row>
    <row r="3393" spans="1:5" x14ac:dyDescent="0.2">
      <c r="A3393"/>
      <c r="B3393" s="663"/>
      <c r="C3393" s="663"/>
      <c r="D3393" s="663"/>
      <c r="E3393" s="663"/>
    </row>
    <row r="3394" spans="1:5" x14ac:dyDescent="0.2">
      <c r="A3394"/>
      <c r="B3394" s="663"/>
      <c r="C3394" s="663"/>
      <c r="D3394" s="663"/>
      <c r="E3394" s="663"/>
    </row>
    <row r="3395" spans="1:5" x14ac:dyDescent="0.2">
      <c r="A3395"/>
      <c r="B3395" s="663"/>
      <c r="C3395" s="663"/>
      <c r="D3395" s="663"/>
      <c r="E3395" s="663"/>
    </row>
    <row r="3396" spans="1:5" x14ac:dyDescent="0.2">
      <c r="A3396"/>
      <c r="B3396" s="663"/>
      <c r="C3396" s="663"/>
      <c r="D3396" s="663"/>
      <c r="E3396" s="663"/>
    </row>
    <row r="3397" spans="1:5" x14ac:dyDescent="0.2">
      <c r="A3397"/>
      <c r="B3397" s="663"/>
      <c r="C3397" s="663"/>
      <c r="D3397" s="663"/>
      <c r="E3397" s="663"/>
    </row>
    <row r="3398" spans="1:5" x14ac:dyDescent="0.2">
      <c r="A3398"/>
      <c r="B3398" s="663"/>
      <c r="C3398" s="663"/>
      <c r="D3398" s="663"/>
      <c r="E3398" s="663"/>
    </row>
    <row r="3399" spans="1:5" x14ac:dyDescent="0.2">
      <c r="A3399"/>
      <c r="B3399" s="663"/>
      <c r="C3399" s="663"/>
      <c r="D3399" s="663"/>
      <c r="E3399" s="663"/>
    </row>
    <row r="3400" spans="1:5" x14ac:dyDescent="0.2">
      <c r="A3400"/>
      <c r="B3400" s="663"/>
      <c r="C3400" s="663"/>
      <c r="D3400" s="663"/>
      <c r="E3400" s="663"/>
    </row>
    <row r="3401" spans="1:5" x14ac:dyDescent="0.2">
      <c r="A3401"/>
      <c r="B3401" s="663"/>
      <c r="C3401" s="663"/>
      <c r="D3401" s="663"/>
      <c r="E3401" s="663"/>
    </row>
    <row r="3402" spans="1:5" x14ac:dyDescent="0.2">
      <c r="A3402"/>
      <c r="B3402" s="663"/>
      <c r="C3402" s="663"/>
      <c r="D3402" s="663"/>
      <c r="E3402" s="663"/>
    </row>
    <row r="3403" spans="1:5" x14ac:dyDescent="0.2">
      <c r="A3403"/>
      <c r="B3403" s="663"/>
      <c r="C3403" s="663"/>
      <c r="D3403" s="663"/>
      <c r="E3403" s="663"/>
    </row>
    <row r="3404" spans="1:5" x14ac:dyDescent="0.2">
      <c r="A3404"/>
      <c r="B3404" s="663"/>
      <c r="C3404" s="663"/>
      <c r="D3404" s="663"/>
      <c r="E3404" s="663"/>
    </row>
    <row r="3405" spans="1:5" x14ac:dyDescent="0.2">
      <c r="A3405"/>
      <c r="B3405" s="663"/>
      <c r="C3405" s="663"/>
      <c r="D3405" s="663"/>
      <c r="E3405" s="663"/>
    </row>
    <row r="3406" spans="1:5" x14ac:dyDescent="0.2">
      <c r="A3406"/>
      <c r="B3406" s="663"/>
      <c r="C3406" s="663"/>
      <c r="D3406" s="663"/>
      <c r="E3406" s="663"/>
    </row>
    <row r="3407" spans="1:5" x14ac:dyDescent="0.2">
      <c r="A3407"/>
      <c r="B3407" s="663"/>
      <c r="C3407" s="663"/>
      <c r="D3407" s="663"/>
      <c r="E3407" s="663"/>
    </row>
    <row r="3408" spans="1:5" x14ac:dyDescent="0.2">
      <c r="A3408"/>
      <c r="B3408" s="663"/>
      <c r="C3408" s="663"/>
      <c r="D3408" s="663"/>
      <c r="E3408" s="663"/>
    </row>
    <row r="3409" spans="1:5" x14ac:dyDescent="0.2">
      <c r="A3409"/>
      <c r="B3409" s="663"/>
      <c r="C3409" s="663"/>
      <c r="D3409" s="663"/>
      <c r="E3409" s="663"/>
    </row>
    <row r="3410" spans="1:5" x14ac:dyDescent="0.2">
      <c r="A3410"/>
      <c r="B3410" s="663"/>
      <c r="C3410" s="663"/>
      <c r="D3410" s="663"/>
      <c r="E3410" s="663"/>
    </row>
    <row r="3411" spans="1:5" x14ac:dyDescent="0.2">
      <c r="A3411"/>
      <c r="B3411" s="663"/>
      <c r="C3411" s="663"/>
      <c r="D3411" s="663"/>
      <c r="E3411" s="663"/>
    </row>
    <row r="3412" spans="1:5" x14ac:dyDescent="0.2">
      <c r="A3412"/>
      <c r="B3412" s="663"/>
      <c r="C3412" s="663"/>
      <c r="D3412" s="663"/>
      <c r="E3412" s="663"/>
    </row>
    <row r="3413" spans="1:5" x14ac:dyDescent="0.2">
      <c r="A3413"/>
      <c r="B3413" s="663"/>
      <c r="C3413" s="663"/>
      <c r="D3413" s="663"/>
      <c r="E3413" s="663"/>
    </row>
    <row r="3414" spans="1:5" x14ac:dyDescent="0.2">
      <c r="A3414"/>
      <c r="B3414" s="663"/>
      <c r="C3414" s="663"/>
      <c r="D3414" s="663"/>
      <c r="E3414" s="663"/>
    </row>
    <row r="3415" spans="1:5" x14ac:dyDescent="0.2">
      <c r="A3415"/>
      <c r="B3415" s="663"/>
      <c r="C3415" s="663"/>
      <c r="D3415" s="663"/>
      <c r="E3415" s="663"/>
    </row>
    <row r="3416" spans="1:5" x14ac:dyDescent="0.2">
      <c r="A3416"/>
      <c r="B3416" s="663"/>
      <c r="C3416" s="663"/>
      <c r="D3416" s="663"/>
      <c r="E3416" s="663"/>
    </row>
    <row r="3417" spans="1:5" x14ac:dyDescent="0.2">
      <c r="A3417"/>
      <c r="B3417" s="663"/>
      <c r="C3417" s="663"/>
      <c r="D3417" s="663"/>
      <c r="E3417" s="663"/>
    </row>
    <row r="3418" spans="1:5" x14ac:dyDescent="0.2">
      <c r="A3418"/>
      <c r="B3418" s="663"/>
      <c r="C3418" s="663"/>
      <c r="D3418" s="663"/>
      <c r="E3418" s="663"/>
    </row>
    <row r="3419" spans="1:5" x14ac:dyDescent="0.2">
      <c r="A3419"/>
      <c r="B3419" s="663"/>
      <c r="C3419" s="663"/>
      <c r="D3419" s="663"/>
      <c r="E3419" s="663"/>
    </row>
    <row r="3420" spans="1:5" x14ac:dyDescent="0.2">
      <c r="A3420"/>
      <c r="B3420" s="663"/>
      <c r="C3420" s="663"/>
      <c r="D3420" s="663"/>
      <c r="E3420" s="663"/>
    </row>
    <row r="3421" spans="1:5" x14ac:dyDescent="0.2">
      <c r="A3421"/>
      <c r="B3421" s="663"/>
      <c r="C3421" s="663"/>
      <c r="D3421" s="663"/>
      <c r="E3421" s="663"/>
    </row>
    <row r="3422" spans="1:5" x14ac:dyDescent="0.2">
      <c r="A3422"/>
      <c r="B3422" s="663"/>
      <c r="C3422" s="663"/>
      <c r="D3422" s="663"/>
      <c r="E3422" s="663"/>
    </row>
    <row r="3423" spans="1:5" x14ac:dyDescent="0.2">
      <c r="A3423"/>
      <c r="B3423" s="663"/>
      <c r="C3423" s="663"/>
      <c r="D3423" s="663"/>
      <c r="E3423" s="663"/>
    </row>
    <row r="3424" spans="1:5" x14ac:dyDescent="0.2">
      <c r="A3424"/>
      <c r="B3424" s="663"/>
      <c r="C3424" s="663"/>
      <c r="D3424" s="663"/>
      <c r="E3424" s="663"/>
    </row>
    <row r="3425" spans="1:5" x14ac:dyDescent="0.2">
      <c r="A3425"/>
      <c r="B3425" s="663"/>
      <c r="C3425" s="663"/>
      <c r="D3425" s="663"/>
      <c r="E3425" s="663"/>
    </row>
    <row r="3426" spans="1:5" x14ac:dyDescent="0.2">
      <c r="A3426"/>
      <c r="B3426" s="663"/>
      <c r="C3426" s="663"/>
      <c r="D3426" s="663"/>
      <c r="E3426" s="663"/>
    </row>
    <row r="3427" spans="1:5" x14ac:dyDescent="0.2">
      <c r="A3427"/>
      <c r="B3427" s="663"/>
      <c r="C3427" s="663"/>
      <c r="D3427" s="663"/>
      <c r="E3427" s="663"/>
    </row>
    <row r="3428" spans="1:5" x14ac:dyDescent="0.2">
      <c r="A3428"/>
      <c r="B3428" s="663"/>
      <c r="C3428" s="663"/>
      <c r="D3428" s="663"/>
      <c r="E3428" s="663"/>
    </row>
    <row r="3429" spans="1:5" x14ac:dyDescent="0.2">
      <c r="A3429"/>
      <c r="B3429" s="663"/>
      <c r="C3429" s="663"/>
      <c r="D3429" s="663"/>
      <c r="E3429" s="663"/>
    </row>
    <row r="3430" spans="1:5" x14ac:dyDescent="0.2">
      <c r="A3430"/>
      <c r="B3430" s="663"/>
      <c r="C3430" s="663"/>
      <c r="D3430" s="663"/>
      <c r="E3430" s="663"/>
    </row>
    <row r="3431" spans="1:5" x14ac:dyDescent="0.2">
      <c r="A3431"/>
      <c r="B3431" s="663"/>
      <c r="C3431" s="663"/>
      <c r="D3431" s="663"/>
      <c r="E3431" s="663"/>
    </row>
    <row r="3432" spans="1:5" x14ac:dyDescent="0.2">
      <c r="A3432"/>
      <c r="B3432" s="663"/>
      <c r="C3432" s="663"/>
      <c r="D3432" s="663"/>
      <c r="E3432" s="663"/>
    </row>
    <row r="3433" spans="1:5" x14ac:dyDescent="0.2">
      <c r="A3433"/>
      <c r="B3433" s="663"/>
      <c r="C3433" s="663"/>
      <c r="D3433" s="663"/>
      <c r="E3433" s="663"/>
    </row>
    <row r="3434" spans="1:5" x14ac:dyDescent="0.2">
      <c r="A3434"/>
      <c r="B3434" s="663"/>
      <c r="C3434" s="663"/>
      <c r="D3434" s="663"/>
      <c r="E3434" s="663"/>
    </row>
    <row r="3435" spans="1:5" x14ac:dyDescent="0.2">
      <c r="A3435"/>
      <c r="B3435" s="663"/>
      <c r="C3435" s="663"/>
      <c r="D3435" s="663"/>
      <c r="E3435" s="663"/>
    </row>
    <row r="3436" spans="1:5" x14ac:dyDescent="0.2">
      <c r="A3436"/>
      <c r="B3436" s="663"/>
      <c r="C3436" s="663"/>
      <c r="D3436" s="663"/>
      <c r="E3436" s="663"/>
    </row>
    <row r="3437" spans="1:5" x14ac:dyDescent="0.2">
      <c r="A3437"/>
      <c r="B3437" s="663"/>
      <c r="C3437" s="663"/>
      <c r="D3437" s="663"/>
      <c r="E3437" s="663"/>
    </row>
    <row r="3438" spans="1:5" x14ac:dyDescent="0.2">
      <c r="A3438"/>
      <c r="B3438" s="663"/>
      <c r="C3438" s="663"/>
      <c r="D3438" s="663"/>
      <c r="E3438" s="663"/>
    </row>
    <row r="3439" spans="1:5" x14ac:dyDescent="0.2">
      <c r="A3439"/>
      <c r="B3439" s="663"/>
      <c r="C3439" s="663"/>
      <c r="D3439" s="663"/>
      <c r="E3439" s="663"/>
    </row>
    <row r="3440" spans="1:5" x14ac:dyDescent="0.2">
      <c r="A3440"/>
      <c r="B3440" s="663"/>
      <c r="C3440" s="663"/>
      <c r="D3440" s="663"/>
      <c r="E3440" s="663"/>
    </row>
    <row r="3441" spans="1:5" x14ac:dyDescent="0.2">
      <c r="A3441"/>
      <c r="B3441" s="663"/>
      <c r="C3441" s="663"/>
      <c r="D3441" s="663"/>
      <c r="E3441" s="663"/>
    </row>
    <row r="3442" spans="1:5" x14ac:dyDescent="0.2">
      <c r="A3442"/>
      <c r="B3442" s="663"/>
      <c r="C3442" s="663"/>
      <c r="D3442" s="663"/>
      <c r="E3442" s="663"/>
    </row>
    <row r="3443" spans="1:5" x14ac:dyDescent="0.2">
      <c r="A3443"/>
      <c r="B3443" s="663"/>
      <c r="C3443" s="663"/>
      <c r="D3443" s="663"/>
      <c r="E3443" s="663"/>
    </row>
    <row r="3444" spans="1:5" x14ac:dyDescent="0.2">
      <c r="A3444"/>
      <c r="B3444" s="663"/>
      <c r="C3444" s="663"/>
      <c r="D3444" s="663"/>
      <c r="E3444" s="663"/>
    </row>
    <row r="3445" spans="1:5" x14ac:dyDescent="0.2">
      <c r="A3445"/>
      <c r="B3445" s="663"/>
      <c r="C3445" s="663"/>
      <c r="D3445" s="663"/>
      <c r="E3445" s="663"/>
    </row>
    <row r="3446" spans="1:5" x14ac:dyDescent="0.2">
      <c r="A3446"/>
      <c r="B3446" s="663"/>
      <c r="C3446" s="663"/>
      <c r="D3446" s="663"/>
      <c r="E3446" s="663"/>
    </row>
    <row r="3447" spans="1:5" x14ac:dyDescent="0.2">
      <c r="A3447"/>
      <c r="B3447" s="663"/>
      <c r="C3447" s="663"/>
      <c r="D3447" s="663"/>
      <c r="E3447" s="663"/>
    </row>
    <row r="3448" spans="1:5" x14ac:dyDescent="0.2">
      <c r="A3448"/>
      <c r="B3448" s="663"/>
      <c r="C3448" s="663"/>
      <c r="D3448" s="663"/>
      <c r="E3448" s="663"/>
    </row>
    <row r="3449" spans="1:5" x14ac:dyDescent="0.2">
      <c r="A3449"/>
      <c r="B3449" s="663"/>
      <c r="C3449" s="663"/>
      <c r="D3449" s="663"/>
      <c r="E3449" s="663"/>
    </row>
    <row r="3450" spans="1:5" x14ac:dyDescent="0.2">
      <c r="A3450"/>
      <c r="B3450" s="663"/>
      <c r="C3450" s="663"/>
      <c r="D3450" s="663"/>
      <c r="E3450" s="663"/>
    </row>
    <row r="3451" spans="1:5" x14ac:dyDescent="0.2">
      <c r="A3451"/>
      <c r="B3451" s="663"/>
      <c r="C3451" s="663"/>
      <c r="D3451" s="663"/>
      <c r="E3451" s="663"/>
    </row>
    <row r="3452" spans="1:5" x14ac:dyDescent="0.2">
      <c r="A3452"/>
      <c r="B3452" s="663"/>
      <c r="C3452" s="663"/>
      <c r="D3452" s="663"/>
      <c r="E3452" s="663"/>
    </row>
    <row r="3453" spans="1:5" x14ac:dyDescent="0.2">
      <c r="A3453"/>
      <c r="B3453" s="663"/>
      <c r="C3453" s="663"/>
      <c r="D3453" s="663"/>
      <c r="E3453" s="663"/>
    </row>
    <row r="3454" spans="1:5" x14ac:dyDescent="0.2">
      <c r="A3454"/>
      <c r="B3454" s="663"/>
      <c r="C3454" s="663"/>
      <c r="D3454" s="663"/>
      <c r="E3454" s="663"/>
    </row>
    <row r="3455" spans="1:5" x14ac:dyDescent="0.2">
      <c r="A3455"/>
      <c r="B3455" s="663"/>
      <c r="C3455" s="663"/>
      <c r="D3455" s="663"/>
      <c r="E3455" s="663"/>
    </row>
    <row r="3456" spans="1:5" x14ac:dyDescent="0.2">
      <c r="A3456"/>
      <c r="B3456" s="663"/>
      <c r="C3456" s="663"/>
      <c r="D3456" s="663"/>
      <c r="E3456" s="663"/>
    </row>
    <row r="3457" spans="1:5" x14ac:dyDescent="0.2">
      <c r="A3457"/>
      <c r="B3457" s="663"/>
      <c r="C3457" s="663"/>
      <c r="D3457" s="663"/>
      <c r="E3457" s="663"/>
    </row>
    <row r="3458" spans="1:5" x14ac:dyDescent="0.2">
      <c r="A3458"/>
      <c r="B3458" s="663"/>
      <c r="C3458" s="663"/>
      <c r="D3458" s="663"/>
      <c r="E3458" s="663"/>
    </row>
    <row r="3459" spans="1:5" x14ac:dyDescent="0.2">
      <c r="A3459"/>
      <c r="B3459" s="663"/>
      <c r="C3459" s="663"/>
      <c r="D3459" s="663"/>
      <c r="E3459" s="663"/>
    </row>
    <row r="3460" spans="1:5" x14ac:dyDescent="0.2">
      <c r="A3460"/>
      <c r="B3460" s="663"/>
      <c r="C3460" s="663"/>
      <c r="D3460" s="663"/>
      <c r="E3460" s="663"/>
    </row>
    <row r="3461" spans="1:5" x14ac:dyDescent="0.2">
      <c r="A3461"/>
      <c r="B3461" s="663"/>
      <c r="C3461" s="663"/>
      <c r="D3461" s="663"/>
      <c r="E3461" s="663"/>
    </row>
    <row r="3462" spans="1:5" x14ac:dyDescent="0.2">
      <c r="A3462"/>
      <c r="B3462" s="663"/>
      <c r="C3462" s="663"/>
      <c r="D3462" s="663"/>
      <c r="E3462" s="663"/>
    </row>
    <row r="3463" spans="1:5" x14ac:dyDescent="0.2">
      <c r="A3463"/>
      <c r="B3463" s="663"/>
      <c r="C3463" s="663"/>
      <c r="D3463" s="663"/>
      <c r="E3463" s="663"/>
    </row>
    <row r="3464" spans="1:5" x14ac:dyDescent="0.2">
      <c r="A3464"/>
      <c r="B3464" s="663"/>
      <c r="C3464" s="663"/>
      <c r="D3464" s="663"/>
      <c r="E3464" s="663"/>
    </row>
    <row r="3465" spans="1:5" x14ac:dyDescent="0.2">
      <c r="A3465"/>
      <c r="B3465" s="663"/>
      <c r="C3465" s="663"/>
      <c r="D3465" s="663"/>
      <c r="E3465" s="663"/>
    </row>
    <row r="3466" spans="1:5" x14ac:dyDescent="0.2">
      <c r="A3466"/>
      <c r="B3466" s="663"/>
      <c r="C3466" s="663"/>
      <c r="D3466" s="663"/>
      <c r="E3466" s="663"/>
    </row>
    <row r="3467" spans="1:5" x14ac:dyDescent="0.2">
      <c r="A3467"/>
      <c r="B3467" s="663"/>
      <c r="C3467" s="663"/>
      <c r="D3467" s="663"/>
      <c r="E3467" s="663"/>
    </row>
    <row r="3468" spans="1:5" x14ac:dyDescent="0.2">
      <c r="A3468"/>
      <c r="B3468" s="663"/>
      <c r="C3468" s="663"/>
      <c r="D3468" s="663"/>
      <c r="E3468" s="663"/>
    </row>
    <row r="3469" spans="1:5" x14ac:dyDescent="0.2">
      <c r="A3469"/>
      <c r="B3469" s="663"/>
      <c r="C3469" s="663"/>
      <c r="D3469" s="663"/>
      <c r="E3469" s="663"/>
    </row>
    <row r="3470" spans="1:5" x14ac:dyDescent="0.2">
      <c r="A3470"/>
      <c r="B3470" s="663"/>
      <c r="C3470" s="663"/>
      <c r="D3470" s="663"/>
      <c r="E3470" s="663"/>
    </row>
    <row r="3471" spans="1:5" x14ac:dyDescent="0.2">
      <c r="A3471"/>
      <c r="B3471" s="663"/>
      <c r="C3471" s="663"/>
      <c r="D3471" s="663"/>
      <c r="E3471" s="663"/>
    </row>
    <row r="3472" spans="1:5" x14ac:dyDescent="0.2">
      <c r="A3472"/>
      <c r="B3472" s="663"/>
      <c r="C3472" s="663"/>
      <c r="D3472" s="663"/>
      <c r="E3472" s="663"/>
    </row>
    <row r="3473" spans="1:5" x14ac:dyDescent="0.2">
      <c r="A3473"/>
      <c r="B3473" s="663"/>
      <c r="C3473" s="663"/>
      <c r="D3473" s="663"/>
      <c r="E3473" s="663"/>
    </row>
    <row r="3474" spans="1:5" x14ac:dyDescent="0.2">
      <c r="A3474"/>
      <c r="B3474" s="663"/>
      <c r="C3474" s="663"/>
      <c r="D3474" s="663"/>
      <c r="E3474" s="663"/>
    </row>
    <row r="3475" spans="1:5" x14ac:dyDescent="0.2">
      <c r="A3475"/>
      <c r="B3475" s="663"/>
      <c r="C3475" s="663"/>
      <c r="D3475" s="663"/>
      <c r="E3475" s="663"/>
    </row>
    <row r="3476" spans="1:5" x14ac:dyDescent="0.2">
      <c r="A3476"/>
      <c r="B3476" s="663"/>
      <c r="C3476" s="663"/>
      <c r="D3476" s="663"/>
      <c r="E3476" s="663"/>
    </row>
    <row r="3477" spans="1:5" x14ac:dyDescent="0.2">
      <c r="A3477"/>
      <c r="B3477" s="663"/>
      <c r="C3477" s="663"/>
      <c r="D3477" s="663"/>
      <c r="E3477" s="663"/>
    </row>
    <row r="3478" spans="1:5" x14ac:dyDescent="0.2">
      <c r="A3478"/>
      <c r="B3478" s="663"/>
      <c r="C3478" s="663"/>
      <c r="D3478" s="663"/>
      <c r="E3478" s="663"/>
    </row>
    <row r="3479" spans="1:5" x14ac:dyDescent="0.2">
      <c r="A3479"/>
      <c r="B3479" s="663"/>
      <c r="C3479" s="663"/>
      <c r="D3479" s="663"/>
      <c r="E3479" s="663"/>
    </row>
    <row r="3480" spans="1:5" x14ac:dyDescent="0.2">
      <c r="A3480"/>
      <c r="B3480" s="663"/>
      <c r="C3480" s="663"/>
      <c r="D3480" s="663"/>
      <c r="E3480" s="663"/>
    </row>
    <row r="3481" spans="1:5" x14ac:dyDescent="0.2">
      <c r="A3481"/>
      <c r="B3481" s="663"/>
      <c r="C3481" s="663"/>
      <c r="D3481" s="663"/>
      <c r="E3481" s="663"/>
    </row>
    <row r="3482" spans="1:5" x14ac:dyDescent="0.2">
      <c r="A3482"/>
      <c r="B3482" s="663"/>
      <c r="C3482" s="663"/>
      <c r="D3482" s="663"/>
      <c r="E3482" s="663"/>
    </row>
    <row r="3483" spans="1:5" x14ac:dyDescent="0.2">
      <c r="A3483"/>
      <c r="B3483" s="663"/>
      <c r="C3483" s="663"/>
      <c r="D3483" s="663"/>
      <c r="E3483" s="663"/>
    </row>
    <row r="3484" spans="1:5" x14ac:dyDescent="0.2">
      <c r="A3484"/>
      <c r="B3484" s="663"/>
      <c r="C3484" s="663"/>
      <c r="D3484" s="663"/>
      <c r="E3484" s="663"/>
    </row>
    <row r="3485" spans="1:5" x14ac:dyDescent="0.2">
      <c r="A3485"/>
      <c r="B3485" s="663"/>
      <c r="C3485" s="663"/>
      <c r="D3485" s="663"/>
      <c r="E3485" s="663"/>
    </row>
    <row r="3486" spans="1:5" x14ac:dyDescent="0.2">
      <c r="A3486"/>
      <c r="B3486" s="663"/>
      <c r="C3486" s="663"/>
      <c r="D3486" s="663"/>
      <c r="E3486" s="663"/>
    </row>
    <row r="3487" spans="1:5" x14ac:dyDescent="0.2">
      <c r="A3487"/>
      <c r="B3487" s="663"/>
      <c r="C3487" s="663"/>
      <c r="D3487" s="663"/>
      <c r="E3487" s="663"/>
    </row>
    <row r="3488" spans="1:5" x14ac:dyDescent="0.2">
      <c r="A3488"/>
      <c r="B3488" s="663"/>
      <c r="C3488" s="663"/>
      <c r="D3488" s="663"/>
      <c r="E3488" s="663"/>
    </row>
    <row r="3489" spans="1:5" x14ac:dyDescent="0.2">
      <c r="A3489"/>
      <c r="B3489" s="663"/>
      <c r="C3489" s="663"/>
      <c r="D3489" s="663"/>
      <c r="E3489" s="663"/>
    </row>
    <row r="3490" spans="1:5" x14ac:dyDescent="0.2">
      <c r="A3490"/>
      <c r="B3490" s="663"/>
      <c r="C3490" s="663"/>
      <c r="D3490" s="663"/>
      <c r="E3490" s="663"/>
    </row>
    <row r="3491" spans="1:5" x14ac:dyDescent="0.2">
      <c r="A3491"/>
      <c r="B3491" s="663"/>
      <c r="C3491" s="663"/>
      <c r="D3491" s="663"/>
      <c r="E3491" s="663"/>
    </row>
    <row r="3492" spans="1:5" x14ac:dyDescent="0.2">
      <c r="A3492"/>
      <c r="B3492" s="663"/>
      <c r="C3492" s="663"/>
      <c r="D3492" s="663"/>
      <c r="E3492" s="663"/>
    </row>
    <row r="3493" spans="1:5" x14ac:dyDescent="0.2">
      <c r="A3493"/>
      <c r="B3493" s="663"/>
      <c r="C3493" s="663"/>
      <c r="D3493" s="663"/>
      <c r="E3493" s="663"/>
    </row>
    <row r="3494" spans="1:5" x14ac:dyDescent="0.2">
      <c r="A3494"/>
      <c r="B3494" s="663"/>
      <c r="C3494" s="663"/>
      <c r="D3494" s="663"/>
      <c r="E3494" s="663"/>
    </row>
    <row r="3495" spans="1:5" x14ac:dyDescent="0.2">
      <c r="A3495"/>
      <c r="B3495" s="663"/>
      <c r="C3495" s="663"/>
      <c r="D3495" s="663"/>
      <c r="E3495" s="663"/>
    </row>
    <row r="3496" spans="1:5" x14ac:dyDescent="0.2">
      <c r="A3496"/>
      <c r="B3496" s="663"/>
      <c r="C3496" s="663"/>
      <c r="D3496" s="663"/>
      <c r="E3496" s="663"/>
    </row>
    <row r="3497" spans="1:5" x14ac:dyDescent="0.2">
      <c r="A3497"/>
      <c r="B3497" s="663"/>
      <c r="C3497" s="663"/>
      <c r="D3497" s="663"/>
      <c r="E3497" s="663"/>
    </row>
    <row r="3498" spans="1:5" x14ac:dyDescent="0.2">
      <c r="A3498"/>
      <c r="B3498" s="663"/>
      <c r="C3498" s="663"/>
      <c r="D3498" s="663"/>
      <c r="E3498" s="663"/>
    </row>
    <row r="3499" spans="1:5" x14ac:dyDescent="0.2">
      <c r="A3499"/>
      <c r="B3499" s="663"/>
      <c r="C3499" s="663"/>
      <c r="D3499" s="663"/>
      <c r="E3499" s="663"/>
    </row>
    <row r="3500" spans="1:5" x14ac:dyDescent="0.2">
      <c r="A3500"/>
      <c r="B3500" s="663"/>
      <c r="C3500" s="663"/>
      <c r="D3500" s="663"/>
      <c r="E3500" s="663"/>
    </row>
    <row r="3501" spans="1:5" x14ac:dyDescent="0.2">
      <c r="A3501"/>
      <c r="B3501" s="663"/>
      <c r="C3501" s="663"/>
      <c r="D3501" s="663"/>
      <c r="E3501" s="663"/>
    </row>
    <row r="3502" spans="1:5" x14ac:dyDescent="0.2">
      <c r="A3502"/>
      <c r="B3502" s="663"/>
      <c r="C3502" s="663"/>
      <c r="D3502" s="663"/>
      <c r="E3502" s="663"/>
    </row>
    <row r="3503" spans="1:5" x14ac:dyDescent="0.2">
      <c r="A3503"/>
      <c r="B3503" s="663"/>
      <c r="C3503" s="663"/>
      <c r="D3503" s="663"/>
      <c r="E3503" s="663"/>
    </row>
    <row r="3504" spans="1:5" x14ac:dyDescent="0.2">
      <c r="A3504"/>
      <c r="B3504" s="663"/>
      <c r="C3504" s="663"/>
      <c r="D3504" s="663"/>
      <c r="E3504" s="663"/>
    </row>
    <row r="3505" spans="1:5" x14ac:dyDescent="0.2">
      <c r="A3505"/>
      <c r="B3505" s="663"/>
      <c r="C3505" s="663"/>
      <c r="D3505" s="663"/>
      <c r="E3505" s="663"/>
    </row>
    <row r="3506" spans="1:5" x14ac:dyDescent="0.2">
      <c r="A3506"/>
      <c r="B3506" s="663"/>
      <c r="C3506" s="663"/>
      <c r="D3506" s="663"/>
      <c r="E3506" s="663"/>
    </row>
    <row r="3507" spans="1:5" x14ac:dyDescent="0.2">
      <c r="A3507"/>
      <c r="B3507" s="663"/>
      <c r="C3507" s="663"/>
      <c r="D3507" s="663"/>
      <c r="E3507" s="663"/>
    </row>
    <row r="3508" spans="1:5" x14ac:dyDescent="0.2">
      <c r="A3508"/>
      <c r="B3508" s="663"/>
      <c r="C3508" s="663"/>
      <c r="D3508" s="663"/>
      <c r="E3508" s="663"/>
    </row>
    <row r="3509" spans="1:5" x14ac:dyDescent="0.2">
      <c r="A3509"/>
      <c r="B3509" s="663"/>
      <c r="C3509" s="663"/>
      <c r="D3509" s="663"/>
      <c r="E3509" s="663"/>
    </row>
    <row r="3510" spans="1:5" x14ac:dyDescent="0.2">
      <c r="A3510"/>
      <c r="B3510" s="663"/>
      <c r="C3510" s="663"/>
      <c r="D3510" s="663"/>
      <c r="E3510" s="663"/>
    </row>
    <row r="3511" spans="1:5" x14ac:dyDescent="0.2">
      <c r="A3511"/>
      <c r="B3511" s="663"/>
      <c r="C3511" s="663"/>
      <c r="D3511" s="663"/>
      <c r="E3511" s="663"/>
    </row>
    <row r="3512" spans="1:5" x14ac:dyDescent="0.2">
      <c r="A3512"/>
      <c r="B3512" s="663"/>
      <c r="C3512" s="663"/>
      <c r="D3512" s="663"/>
      <c r="E3512" s="663"/>
    </row>
    <row r="3513" spans="1:5" x14ac:dyDescent="0.2">
      <c r="A3513"/>
      <c r="B3513" s="663"/>
      <c r="C3513" s="663"/>
      <c r="D3513" s="663"/>
      <c r="E3513" s="663"/>
    </row>
    <row r="3514" spans="1:5" x14ac:dyDescent="0.2">
      <c r="A3514"/>
      <c r="B3514" s="663"/>
      <c r="C3514" s="663"/>
      <c r="D3514" s="663"/>
      <c r="E3514" s="663"/>
    </row>
    <row r="3515" spans="1:5" x14ac:dyDescent="0.2">
      <c r="A3515"/>
      <c r="B3515" s="663"/>
      <c r="C3515" s="663"/>
      <c r="D3515" s="663"/>
      <c r="E3515" s="663"/>
    </row>
    <row r="3516" spans="1:5" x14ac:dyDescent="0.2">
      <c r="A3516"/>
      <c r="B3516" s="663"/>
      <c r="C3516" s="663"/>
      <c r="D3516" s="663"/>
      <c r="E3516" s="663"/>
    </row>
    <row r="3517" spans="1:5" x14ac:dyDescent="0.2">
      <c r="A3517"/>
      <c r="B3517" s="663"/>
      <c r="C3517" s="663"/>
      <c r="D3517" s="663"/>
      <c r="E3517" s="663"/>
    </row>
    <row r="3518" spans="1:5" x14ac:dyDescent="0.2">
      <c r="A3518"/>
      <c r="B3518" s="663"/>
      <c r="C3518" s="663"/>
      <c r="D3518" s="663"/>
      <c r="E3518" s="663"/>
    </row>
    <row r="3519" spans="1:5" x14ac:dyDescent="0.2">
      <c r="A3519"/>
      <c r="B3519" s="663"/>
      <c r="C3519" s="663"/>
      <c r="D3519" s="663"/>
      <c r="E3519" s="663"/>
    </row>
    <row r="3520" spans="1:5" x14ac:dyDescent="0.2">
      <c r="A3520"/>
      <c r="B3520" s="663"/>
      <c r="C3520" s="663"/>
      <c r="D3520" s="663"/>
      <c r="E3520" s="663"/>
    </row>
    <row r="3521" spans="1:5" x14ac:dyDescent="0.2">
      <c r="A3521"/>
      <c r="B3521" s="663"/>
      <c r="C3521" s="663"/>
      <c r="D3521" s="663"/>
      <c r="E3521" s="663"/>
    </row>
    <row r="3522" spans="1:5" x14ac:dyDescent="0.2">
      <c r="A3522"/>
      <c r="B3522" s="663"/>
      <c r="C3522" s="663"/>
      <c r="D3522" s="663"/>
      <c r="E3522" s="663"/>
    </row>
    <row r="3523" spans="1:5" x14ac:dyDescent="0.2">
      <c r="A3523"/>
      <c r="B3523" s="663"/>
      <c r="C3523" s="663"/>
      <c r="D3523" s="663"/>
      <c r="E3523" s="663"/>
    </row>
    <row r="3524" spans="1:5" x14ac:dyDescent="0.2">
      <c r="A3524"/>
      <c r="B3524" s="663"/>
      <c r="C3524" s="663"/>
      <c r="D3524" s="663"/>
      <c r="E3524" s="663"/>
    </row>
    <row r="3525" spans="1:5" x14ac:dyDescent="0.2">
      <c r="A3525"/>
      <c r="B3525" s="663"/>
      <c r="C3525" s="663"/>
      <c r="D3525" s="663"/>
      <c r="E3525" s="663"/>
    </row>
    <row r="3526" spans="1:5" x14ac:dyDescent="0.2">
      <c r="A3526"/>
      <c r="B3526" s="663"/>
      <c r="C3526" s="663"/>
      <c r="D3526" s="663"/>
      <c r="E3526" s="663"/>
    </row>
    <row r="3527" spans="1:5" x14ac:dyDescent="0.2">
      <c r="A3527"/>
      <c r="B3527" s="663"/>
      <c r="C3527" s="663"/>
      <c r="D3527" s="663"/>
      <c r="E3527" s="663"/>
    </row>
    <row r="3528" spans="1:5" x14ac:dyDescent="0.2">
      <c r="A3528"/>
      <c r="B3528" s="663"/>
      <c r="C3528" s="663"/>
      <c r="D3528" s="663"/>
      <c r="E3528" s="663"/>
    </row>
    <row r="3529" spans="1:5" x14ac:dyDescent="0.2">
      <c r="A3529"/>
      <c r="B3529" s="663"/>
      <c r="C3529" s="663"/>
      <c r="D3529" s="663"/>
      <c r="E3529" s="663"/>
    </row>
    <row r="3530" spans="1:5" x14ac:dyDescent="0.2">
      <c r="A3530"/>
      <c r="B3530" s="663"/>
      <c r="C3530" s="663"/>
      <c r="D3530" s="663"/>
      <c r="E3530" s="663"/>
    </row>
    <row r="3531" spans="1:5" x14ac:dyDescent="0.2">
      <c r="A3531"/>
      <c r="B3531" s="663"/>
      <c r="C3531" s="663"/>
      <c r="D3531" s="663"/>
      <c r="E3531" s="663"/>
    </row>
    <row r="3532" spans="1:5" x14ac:dyDescent="0.2">
      <c r="A3532"/>
      <c r="B3532" s="663"/>
      <c r="C3532" s="663"/>
      <c r="D3532" s="663"/>
      <c r="E3532" s="663"/>
    </row>
    <row r="3533" spans="1:5" x14ac:dyDescent="0.2">
      <c r="A3533"/>
      <c r="B3533" s="663"/>
      <c r="C3533" s="663"/>
      <c r="D3533" s="663"/>
      <c r="E3533" s="663"/>
    </row>
    <row r="3534" spans="1:5" x14ac:dyDescent="0.2">
      <c r="A3534"/>
      <c r="B3534" s="663"/>
      <c r="C3534" s="663"/>
      <c r="D3534" s="663"/>
      <c r="E3534" s="663"/>
    </row>
    <row r="3535" spans="1:5" x14ac:dyDescent="0.2">
      <c r="A3535"/>
      <c r="B3535" s="663"/>
      <c r="C3535" s="663"/>
      <c r="D3535" s="663"/>
      <c r="E3535" s="663"/>
    </row>
    <row r="3536" spans="1:5" x14ac:dyDescent="0.2">
      <c r="A3536"/>
      <c r="B3536" s="663"/>
      <c r="C3536" s="663"/>
      <c r="D3536" s="663"/>
      <c r="E3536" s="663"/>
    </row>
    <row r="3537" spans="1:5" x14ac:dyDescent="0.2">
      <c r="A3537"/>
      <c r="B3537" s="663"/>
      <c r="C3537" s="663"/>
      <c r="D3537" s="663"/>
      <c r="E3537" s="663"/>
    </row>
    <row r="3538" spans="1:5" x14ac:dyDescent="0.2">
      <c r="A3538"/>
      <c r="B3538" s="663"/>
      <c r="C3538" s="663"/>
      <c r="D3538" s="663"/>
      <c r="E3538" s="663"/>
    </row>
    <row r="3539" spans="1:5" x14ac:dyDescent="0.2">
      <c r="A3539"/>
      <c r="B3539" s="663"/>
      <c r="C3539" s="663"/>
      <c r="D3539" s="663"/>
      <c r="E3539" s="663"/>
    </row>
    <row r="3540" spans="1:5" x14ac:dyDescent="0.2">
      <c r="A3540"/>
      <c r="B3540" s="663"/>
      <c r="C3540" s="663"/>
      <c r="D3540" s="663"/>
      <c r="E3540" s="663"/>
    </row>
    <row r="3541" spans="1:5" x14ac:dyDescent="0.2">
      <c r="A3541"/>
      <c r="B3541" s="663"/>
      <c r="C3541" s="663"/>
      <c r="D3541" s="663"/>
      <c r="E3541" s="663"/>
    </row>
    <row r="3542" spans="1:5" x14ac:dyDescent="0.2">
      <c r="A3542"/>
      <c r="B3542" s="663"/>
      <c r="C3542" s="663"/>
      <c r="D3542" s="663"/>
      <c r="E3542" s="663"/>
    </row>
    <row r="3543" spans="1:5" x14ac:dyDescent="0.2">
      <c r="A3543"/>
      <c r="B3543" s="663"/>
      <c r="C3543" s="663"/>
      <c r="D3543" s="663"/>
      <c r="E3543" s="663"/>
    </row>
    <row r="3544" spans="1:5" x14ac:dyDescent="0.2">
      <c r="A3544"/>
      <c r="B3544" s="663"/>
      <c r="C3544" s="663"/>
      <c r="D3544" s="663"/>
      <c r="E3544" s="663"/>
    </row>
    <row r="3545" spans="1:5" x14ac:dyDescent="0.2">
      <c r="A3545"/>
      <c r="B3545" s="663"/>
      <c r="C3545" s="663"/>
      <c r="D3545" s="663"/>
      <c r="E3545" s="663"/>
    </row>
    <row r="3546" spans="1:5" x14ac:dyDescent="0.2">
      <c r="A3546"/>
      <c r="B3546" s="663"/>
      <c r="C3546" s="663"/>
      <c r="D3546" s="663"/>
      <c r="E3546" s="663"/>
    </row>
    <row r="3547" spans="1:5" x14ac:dyDescent="0.2">
      <c r="A3547"/>
      <c r="B3547" s="663"/>
      <c r="C3547" s="663"/>
      <c r="D3547" s="663"/>
      <c r="E3547" s="663"/>
    </row>
    <row r="3548" spans="1:5" x14ac:dyDescent="0.2">
      <c r="A3548"/>
      <c r="B3548" s="663"/>
      <c r="C3548" s="663"/>
      <c r="D3548" s="663"/>
      <c r="E3548" s="663"/>
    </row>
    <row r="3549" spans="1:5" x14ac:dyDescent="0.2">
      <c r="A3549"/>
      <c r="B3549" s="663"/>
      <c r="C3549" s="663"/>
      <c r="D3549" s="663"/>
      <c r="E3549" s="663"/>
    </row>
    <row r="3550" spans="1:5" x14ac:dyDescent="0.2">
      <c r="A3550"/>
      <c r="B3550" s="663"/>
      <c r="C3550" s="663"/>
      <c r="D3550" s="663"/>
      <c r="E3550" s="663"/>
    </row>
    <row r="3551" spans="1:5" x14ac:dyDescent="0.2">
      <c r="A3551"/>
      <c r="B3551" s="663"/>
      <c r="C3551" s="663"/>
      <c r="D3551" s="663"/>
      <c r="E3551" s="663"/>
    </row>
    <row r="3552" spans="1:5" x14ac:dyDescent="0.2">
      <c r="A3552"/>
      <c r="B3552" s="663"/>
      <c r="C3552" s="663"/>
      <c r="D3552" s="663"/>
      <c r="E3552" s="663"/>
    </row>
    <row r="3553" spans="1:5" x14ac:dyDescent="0.2">
      <c r="A3553"/>
      <c r="B3553" s="663"/>
      <c r="C3553" s="663"/>
      <c r="D3553" s="663"/>
      <c r="E3553" s="663"/>
    </row>
    <row r="3554" spans="1:5" x14ac:dyDescent="0.2">
      <c r="A3554"/>
      <c r="B3554" s="663"/>
      <c r="C3554" s="663"/>
      <c r="D3554" s="663"/>
      <c r="E3554" s="663"/>
    </row>
    <row r="3555" spans="1:5" x14ac:dyDescent="0.2">
      <c r="A3555"/>
      <c r="B3555" s="663"/>
      <c r="C3555" s="663"/>
      <c r="D3555" s="663"/>
      <c r="E3555" s="663"/>
    </row>
    <row r="3556" spans="1:5" x14ac:dyDescent="0.2">
      <c r="A3556"/>
      <c r="B3556" s="663"/>
      <c r="C3556" s="663"/>
      <c r="D3556" s="663"/>
      <c r="E3556" s="663"/>
    </row>
    <row r="3557" spans="1:5" x14ac:dyDescent="0.2">
      <c r="A3557"/>
      <c r="B3557" s="663"/>
      <c r="C3557" s="663"/>
      <c r="D3557" s="663"/>
      <c r="E3557" s="663"/>
    </row>
    <row r="3558" spans="1:5" x14ac:dyDescent="0.2">
      <c r="A3558"/>
      <c r="B3558" s="663"/>
      <c r="C3558" s="663"/>
      <c r="D3558" s="663"/>
      <c r="E3558" s="663"/>
    </row>
    <row r="3559" spans="1:5" x14ac:dyDescent="0.2">
      <c r="A3559"/>
      <c r="B3559" s="663"/>
      <c r="C3559" s="663"/>
      <c r="D3559" s="663"/>
      <c r="E3559" s="663"/>
    </row>
    <row r="3560" spans="1:5" x14ac:dyDescent="0.2">
      <c r="A3560"/>
      <c r="B3560" s="663"/>
      <c r="C3560" s="663"/>
      <c r="D3560" s="663"/>
      <c r="E3560" s="663"/>
    </row>
    <row r="3561" spans="1:5" x14ac:dyDescent="0.2">
      <c r="A3561"/>
      <c r="B3561" s="663"/>
      <c r="C3561" s="663"/>
      <c r="D3561" s="663"/>
      <c r="E3561" s="663"/>
    </row>
    <row r="3562" spans="1:5" x14ac:dyDescent="0.2">
      <c r="A3562"/>
      <c r="B3562" s="663"/>
      <c r="C3562" s="663"/>
      <c r="D3562" s="663"/>
      <c r="E3562" s="663"/>
    </row>
    <row r="3563" spans="1:5" x14ac:dyDescent="0.2">
      <c r="A3563"/>
      <c r="B3563" s="663"/>
      <c r="C3563" s="663"/>
      <c r="D3563" s="663"/>
      <c r="E3563" s="663"/>
    </row>
    <row r="3564" spans="1:5" x14ac:dyDescent="0.2">
      <c r="A3564"/>
      <c r="B3564" s="663"/>
      <c r="C3564" s="663"/>
      <c r="D3564" s="663"/>
      <c r="E3564" s="663"/>
    </row>
    <row r="3565" spans="1:5" x14ac:dyDescent="0.2">
      <c r="A3565"/>
      <c r="B3565" s="663"/>
      <c r="C3565" s="663"/>
      <c r="D3565" s="663"/>
      <c r="E3565" s="663"/>
    </row>
    <row r="3566" spans="1:5" x14ac:dyDescent="0.2">
      <c r="A3566"/>
      <c r="B3566" s="663"/>
      <c r="C3566" s="663"/>
      <c r="D3566" s="663"/>
      <c r="E3566" s="663"/>
    </row>
    <row r="3567" spans="1:5" x14ac:dyDescent="0.2">
      <c r="A3567"/>
      <c r="B3567" s="663"/>
      <c r="C3567" s="663"/>
      <c r="D3567" s="663"/>
      <c r="E3567" s="663"/>
    </row>
    <row r="3568" spans="1:5" x14ac:dyDescent="0.2">
      <c r="A3568"/>
      <c r="B3568" s="663"/>
      <c r="C3568" s="663"/>
      <c r="D3568" s="663"/>
      <c r="E3568" s="663"/>
    </row>
    <row r="3569" spans="1:5" x14ac:dyDescent="0.2">
      <c r="A3569"/>
      <c r="B3569" s="663"/>
      <c r="C3569" s="663"/>
      <c r="D3569" s="663"/>
      <c r="E3569" s="663"/>
    </row>
    <row r="3570" spans="1:5" x14ac:dyDescent="0.2">
      <c r="A3570"/>
      <c r="B3570" s="663"/>
      <c r="C3570" s="663"/>
      <c r="D3570" s="663"/>
      <c r="E3570" s="663"/>
    </row>
    <row r="3571" spans="1:5" x14ac:dyDescent="0.2">
      <c r="A3571"/>
      <c r="B3571" s="663"/>
      <c r="C3571" s="663"/>
      <c r="D3571" s="663"/>
      <c r="E3571" s="663"/>
    </row>
    <row r="3572" spans="1:5" x14ac:dyDescent="0.2">
      <c r="A3572"/>
      <c r="B3572" s="663"/>
      <c r="C3572" s="663"/>
      <c r="D3572" s="663"/>
      <c r="E3572" s="663"/>
    </row>
    <row r="3573" spans="1:5" x14ac:dyDescent="0.2">
      <c r="A3573"/>
      <c r="B3573" s="663"/>
      <c r="C3573" s="663"/>
      <c r="D3573" s="663"/>
      <c r="E3573" s="663"/>
    </row>
    <row r="3574" spans="1:5" x14ac:dyDescent="0.2">
      <c r="A3574"/>
      <c r="B3574" s="663"/>
      <c r="C3574" s="663"/>
      <c r="D3574" s="663"/>
      <c r="E3574" s="663"/>
    </row>
    <row r="3575" spans="1:5" x14ac:dyDescent="0.2">
      <c r="A3575"/>
      <c r="B3575" s="663"/>
      <c r="C3575" s="663"/>
      <c r="D3575" s="663"/>
      <c r="E3575" s="663"/>
    </row>
    <row r="3576" spans="1:5" x14ac:dyDescent="0.2">
      <c r="A3576"/>
      <c r="B3576" s="663"/>
      <c r="C3576" s="663"/>
      <c r="D3576" s="663"/>
      <c r="E3576" s="663"/>
    </row>
    <row r="3577" spans="1:5" x14ac:dyDescent="0.2">
      <c r="A3577"/>
      <c r="B3577" s="663"/>
      <c r="C3577" s="663"/>
      <c r="D3577" s="663"/>
      <c r="E3577" s="663"/>
    </row>
    <row r="3578" spans="1:5" x14ac:dyDescent="0.2">
      <c r="A3578"/>
      <c r="B3578" s="663"/>
      <c r="C3578" s="663"/>
      <c r="D3578" s="663"/>
      <c r="E3578" s="663"/>
    </row>
    <row r="3579" spans="1:5" x14ac:dyDescent="0.2">
      <c r="A3579"/>
      <c r="B3579" s="663"/>
      <c r="C3579" s="663"/>
      <c r="D3579" s="663"/>
      <c r="E3579" s="663"/>
    </row>
    <row r="3580" spans="1:5" x14ac:dyDescent="0.2">
      <c r="A3580"/>
      <c r="B3580" s="663"/>
      <c r="C3580" s="663"/>
      <c r="D3580" s="663"/>
      <c r="E3580" s="663"/>
    </row>
    <row r="3581" spans="1:5" x14ac:dyDescent="0.2">
      <c r="A3581"/>
      <c r="B3581" s="663"/>
      <c r="C3581" s="663"/>
      <c r="D3581" s="663"/>
      <c r="E3581" s="663"/>
    </row>
    <row r="3582" spans="1:5" x14ac:dyDescent="0.2">
      <c r="A3582"/>
      <c r="B3582" s="663"/>
      <c r="C3582" s="663"/>
      <c r="D3582" s="663"/>
      <c r="E3582" s="663"/>
    </row>
    <row r="3583" spans="1:5" x14ac:dyDescent="0.2">
      <c r="A3583"/>
      <c r="B3583" s="663"/>
      <c r="C3583" s="663"/>
      <c r="D3583" s="663"/>
      <c r="E3583" s="663"/>
    </row>
    <row r="3584" spans="1:5" x14ac:dyDescent="0.2">
      <c r="A3584"/>
      <c r="B3584" s="663"/>
      <c r="C3584" s="663"/>
      <c r="D3584" s="663"/>
      <c r="E3584" s="663"/>
    </row>
    <row r="3585" spans="1:5" x14ac:dyDescent="0.2">
      <c r="A3585"/>
      <c r="B3585" s="663"/>
      <c r="C3585" s="663"/>
      <c r="D3585" s="663"/>
      <c r="E3585" s="663"/>
    </row>
    <row r="3586" spans="1:5" x14ac:dyDescent="0.2">
      <c r="A3586"/>
      <c r="B3586" s="663"/>
      <c r="C3586" s="663"/>
      <c r="D3586" s="663"/>
      <c r="E3586" s="663"/>
    </row>
    <row r="3587" spans="1:5" x14ac:dyDescent="0.2">
      <c r="A3587"/>
      <c r="B3587" s="663"/>
      <c r="C3587" s="663"/>
      <c r="D3587" s="663"/>
      <c r="E3587" s="663"/>
    </row>
    <row r="3588" spans="1:5" x14ac:dyDescent="0.2">
      <c r="A3588"/>
      <c r="B3588" s="663"/>
      <c r="C3588" s="663"/>
      <c r="D3588" s="663"/>
      <c r="E3588" s="663"/>
    </row>
    <row r="3589" spans="1:5" x14ac:dyDescent="0.2">
      <c r="A3589"/>
      <c r="B3589" s="663"/>
      <c r="C3589" s="663"/>
      <c r="D3589" s="663"/>
      <c r="E3589" s="663"/>
    </row>
    <row r="3590" spans="1:5" x14ac:dyDescent="0.2">
      <c r="A3590"/>
      <c r="B3590" s="663"/>
      <c r="C3590" s="663"/>
      <c r="D3590" s="663"/>
      <c r="E3590" s="663"/>
    </row>
    <row r="3591" spans="1:5" x14ac:dyDescent="0.2">
      <c r="A3591"/>
      <c r="B3591" s="663"/>
      <c r="C3591" s="663"/>
      <c r="D3591" s="663"/>
      <c r="E3591" s="663"/>
    </row>
    <row r="3592" spans="1:5" x14ac:dyDescent="0.2">
      <c r="A3592"/>
      <c r="B3592" s="663"/>
      <c r="C3592" s="663"/>
      <c r="D3592" s="663"/>
      <c r="E3592" s="663"/>
    </row>
    <row r="3593" spans="1:5" x14ac:dyDescent="0.2">
      <c r="A3593"/>
      <c r="B3593" s="663"/>
      <c r="C3593" s="663"/>
      <c r="D3593" s="663"/>
      <c r="E3593" s="663"/>
    </row>
    <row r="3594" spans="1:5" x14ac:dyDescent="0.2">
      <c r="A3594"/>
      <c r="B3594" s="663"/>
      <c r="C3594" s="663"/>
      <c r="D3594" s="663"/>
      <c r="E3594" s="663"/>
    </row>
    <row r="3595" spans="1:5" x14ac:dyDescent="0.2">
      <c r="A3595"/>
      <c r="B3595" s="663"/>
      <c r="C3595" s="663"/>
      <c r="D3595" s="663"/>
      <c r="E3595" s="663"/>
    </row>
    <row r="3596" spans="1:5" x14ac:dyDescent="0.2">
      <c r="A3596"/>
      <c r="B3596" s="663"/>
      <c r="C3596" s="663"/>
      <c r="D3596" s="663"/>
      <c r="E3596" s="663"/>
    </row>
    <row r="3597" spans="1:5" x14ac:dyDescent="0.2">
      <c r="A3597"/>
      <c r="B3597" s="663"/>
      <c r="C3597" s="663"/>
      <c r="D3597" s="663"/>
      <c r="E3597" s="663"/>
    </row>
    <row r="3598" spans="1:5" x14ac:dyDescent="0.2">
      <c r="A3598"/>
      <c r="B3598" s="663"/>
      <c r="C3598" s="663"/>
      <c r="D3598" s="663"/>
      <c r="E3598" s="663"/>
    </row>
    <row r="3599" spans="1:5" x14ac:dyDescent="0.2">
      <c r="A3599"/>
      <c r="B3599" s="663"/>
      <c r="C3599" s="663"/>
      <c r="D3599" s="663"/>
      <c r="E3599" s="663"/>
    </row>
    <row r="3600" spans="1:5" x14ac:dyDescent="0.2">
      <c r="A3600"/>
      <c r="B3600" s="663"/>
      <c r="C3600" s="663"/>
      <c r="D3600" s="663"/>
      <c r="E3600" s="663"/>
    </row>
    <row r="3601" spans="1:5" x14ac:dyDescent="0.2">
      <c r="A3601"/>
      <c r="B3601" s="663"/>
      <c r="C3601" s="663"/>
      <c r="D3601" s="663"/>
      <c r="E3601" s="663"/>
    </row>
    <row r="3602" spans="1:5" x14ac:dyDescent="0.2">
      <c r="A3602"/>
      <c r="B3602" s="663"/>
      <c r="C3602" s="663"/>
      <c r="D3602" s="663"/>
      <c r="E3602" s="663"/>
    </row>
    <row r="3603" spans="1:5" x14ac:dyDescent="0.2">
      <c r="A3603"/>
      <c r="B3603" s="663"/>
      <c r="C3603" s="663"/>
      <c r="D3603" s="663"/>
      <c r="E3603" s="663"/>
    </row>
    <row r="3604" spans="1:5" x14ac:dyDescent="0.2">
      <c r="A3604"/>
      <c r="B3604" s="663"/>
      <c r="C3604" s="663"/>
      <c r="D3604" s="663"/>
      <c r="E3604" s="663"/>
    </row>
    <row r="3605" spans="1:5" x14ac:dyDescent="0.2">
      <c r="A3605"/>
      <c r="B3605" s="663"/>
      <c r="C3605" s="663"/>
      <c r="D3605" s="663"/>
      <c r="E3605" s="663"/>
    </row>
    <row r="3606" spans="1:5" x14ac:dyDescent="0.2">
      <c r="A3606"/>
      <c r="B3606" s="663"/>
      <c r="C3606" s="663"/>
      <c r="D3606" s="663"/>
      <c r="E3606" s="663"/>
    </row>
    <row r="3607" spans="1:5" x14ac:dyDescent="0.2">
      <c r="A3607"/>
      <c r="B3607" s="663"/>
      <c r="C3607" s="663"/>
      <c r="D3607" s="663"/>
      <c r="E3607" s="663"/>
    </row>
    <row r="3608" spans="1:5" x14ac:dyDescent="0.2">
      <c r="A3608"/>
      <c r="B3608" s="663"/>
      <c r="C3608" s="663"/>
      <c r="D3608" s="663"/>
      <c r="E3608" s="663"/>
    </row>
    <row r="3609" spans="1:5" x14ac:dyDescent="0.2">
      <c r="A3609"/>
      <c r="B3609" s="663"/>
      <c r="C3609" s="663"/>
      <c r="D3609" s="663"/>
      <c r="E3609" s="663"/>
    </row>
    <row r="3610" spans="1:5" x14ac:dyDescent="0.2">
      <c r="A3610"/>
      <c r="B3610" s="663"/>
      <c r="C3610" s="663"/>
      <c r="D3610" s="663"/>
      <c r="E3610" s="663"/>
    </row>
    <row r="3611" spans="1:5" x14ac:dyDescent="0.2">
      <c r="A3611"/>
      <c r="B3611" s="663"/>
      <c r="C3611" s="663"/>
      <c r="D3611" s="663"/>
      <c r="E3611" s="663"/>
    </row>
    <row r="3612" spans="1:5" x14ac:dyDescent="0.2">
      <c r="A3612"/>
      <c r="B3612" s="663"/>
      <c r="C3612" s="663"/>
      <c r="D3612" s="663"/>
      <c r="E3612" s="663"/>
    </row>
    <row r="3613" spans="1:5" x14ac:dyDescent="0.2">
      <c r="A3613"/>
      <c r="B3613" s="663"/>
      <c r="C3613" s="663"/>
      <c r="D3613" s="663"/>
      <c r="E3613" s="663"/>
    </row>
    <row r="3614" spans="1:5" x14ac:dyDescent="0.2">
      <c r="A3614"/>
      <c r="B3614" s="663"/>
      <c r="C3614" s="663"/>
      <c r="D3614" s="663"/>
      <c r="E3614" s="663"/>
    </row>
    <row r="3615" spans="1:5" x14ac:dyDescent="0.2">
      <c r="A3615"/>
      <c r="B3615" s="663"/>
      <c r="C3615" s="663"/>
      <c r="D3615" s="663"/>
      <c r="E3615" s="663"/>
    </row>
    <row r="3616" spans="1:5" x14ac:dyDescent="0.2">
      <c r="A3616"/>
      <c r="B3616" s="663"/>
      <c r="C3616" s="663"/>
      <c r="D3616" s="663"/>
      <c r="E3616" s="663"/>
    </row>
    <row r="3617" spans="1:5" x14ac:dyDescent="0.2">
      <c r="A3617"/>
      <c r="B3617" s="663"/>
      <c r="C3617" s="663"/>
      <c r="D3617" s="663"/>
      <c r="E3617" s="663"/>
    </row>
    <row r="3618" spans="1:5" x14ac:dyDescent="0.2">
      <c r="A3618"/>
      <c r="B3618" s="663"/>
      <c r="C3618" s="663"/>
      <c r="D3618" s="663"/>
      <c r="E3618" s="663"/>
    </row>
    <row r="3619" spans="1:5" x14ac:dyDescent="0.2">
      <c r="A3619"/>
      <c r="B3619" s="663"/>
      <c r="C3619" s="663"/>
      <c r="D3619" s="663"/>
      <c r="E3619" s="663"/>
    </row>
    <row r="3620" spans="1:5" x14ac:dyDescent="0.2">
      <c r="A3620"/>
      <c r="B3620" s="663"/>
      <c r="C3620" s="663"/>
      <c r="D3620" s="663"/>
      <c r="E3620" s="663"/>
    </row>
    <row r="3621" spans="1:5" x14ac:dyDescent="0.2">
      <c r="A3621"/>
      <c r="B3621" s="663"/>
      <c r="C3621" s="663"/>
      <c r="D3621" s="663"/>
      <c r="E3621" s="663"/>
    </row>
    <row r="3622" spans="1:5" x14ac:dyDescent="0.2">
      <c r="A3622"/>
      <c r="B3622" s="663"/>
      <c r="C3622" s="663"/>
      <c r="D3622" s="663"/>
      <c r="E3622" s="663"/>
    </row>
    <row r="3623" spans="1:5" x14ac:dyDescent="0.2">
      <c r="A3623"/>
      <c r="B3623" s="663"/>
      <c r="C3623" s="663"/>
      <c r="D3623" s="663"/>
      <c r="E3623" s="663"/>
    </row>
    <row r="3624" spans="1:5" x14ac:dyDescent="0.2">
      <c r="A3624"/>
      <c r="B3624" s="663"/>
      <c r="C3624" s="663"/>
      <c r="D3624" s="663"/>
      <c r="E3624" s="663"/>
    </row>
    <row r="3625" spans="1:5" x14ac:dyDescent="0.2">
      <c r="A3625"/>
      <c r="B3625" s="663"/>
      <c r="C3625" s="663"/>
      <c r="D3625" s="663"/>
      <c r="E3625" s="663"/>
    </row>
    <row r="3626" spans="1:5" x14ac:dyDescent="0.2">
      <c r="A3626"/>
      <c r="B3626" s="663"/>
      <c r="C3626" s="663"/>
      <c r="D3626" s="663"/>
      <c r="E3626" s="663"/>
    </row>
    <row r="3627" spans="1:5" x14ac:dyDescent="0.2">
      <c r="A3627"/>
      <c r="B3627" s="663"/>
      <c r="C3627" s="663"/>
      <c r="D3627" s="663"/>
      <c r="E3627" s="663"/>
    </row>
    <row r="3628" spans="1:5" x14ac:dyDescent="0.2">
      <c r="A3628"/>
      <c r="B3628" s="663"/>
      <c r="C3628" s="663"/>
      <c r="D3628" s="663"/>
      <c r="E3628" s="663"/>
    </row>
    <row r="3629" spans="1:5" x14ac:dyDescent="0.2">
      <c r="A3629"/>
      <c r="B3629" s="663"/>
      <c r="C3629" s="663"/>
      <c r="D3629" s="663"/>
      <c r="E3629" s="663"/>
    </row>
    <row r="3630" spans="1:5" x14ac:dyDescent="0.2">
      <c r="A3630"/>
      <c r="B3630" s="663"/>
      <c r="C3630" s="663"/>
      <c r="D3630" s="663"/>
      <c r="E3630" s="663"/>
    </row>
    <row r="3631" spans="1:5" x14ac:dyDescent="0.2">
      <c r="A3631"/>
      <c r="B3631" s="663"/>
      <c r="C3631" s="663"/>
      <c r="D3631" s="663"/>
      <c r="E3631" s="663"/>
    </row>
    <row r="3632" spans="1:5" x14ac:dyDescent="0.2">
      <c r="A3632"/>
      <c r="B3632" s="663"/>
      <c r="C3632" s="663"/>
      <c r="D3632" s="663"/>
      <c r="E3632" s="663"/>
    </row>
    <row r="3633" spans="1:5" x14ac:dyDescent="0.2">
      <c r="A3633"/>
      <c r="B3633" s="663"/>
      <c r="C3633" s="663"/>
      <c r="D3633" s="663"/>
      <c r="E3633" s="663"/>
    </row>
    <row r="3634" spans="1:5" x14ac:dyDescent="0.2">
      <c r="A3634"/>
      <c r="B3634" s="663"/>
      <c r="C3634" s="663"/>
      <c r="D3634" s="663"/>
      <c r="E3634" s="663"/>
    </row>
    <row r="3635" spans="1:5" x14ac:dyDescent="0.2">
      <c r="A3635"/>
      <c r="B3635" s="663"/>
      <c r="C3635" s="663"/>
      <c r="D3635" s="663"/>
      <c r="E3635" s="663"/>
    </row>
    <row r="3636" spans="1:5" x14ac:dyDescent="0.2">
      <c r="A3636"/>
      <c r="B3636" s="663"/>
      <c r="C3636" s="663"/>
      <c r="D3636" s="663"/>
      <c r="E3636" s="663"/>
    </row>
    <row r="3637" spans="1:5" x14ac:dyDescent="0.2">
      <c r="A3637"/>
      <c r="B3637" s="663"/>
      <c r="C3637" s="663"/>
      <c r="D3637" s="663"/>
      <c r="E3637" s="663"/>
    </row>
    <row r="3638" spans="1:5" x14ac:dyDescent="0.2">
      <c r="A3638"/>
      <c r="B3638" s="663"/>
      <c r="C3638" s="663"/>
      <c r="D3638" s="663"/>
      <c r="E3638" s="663"/>
    </row>
    <row r="3639" spans="1:5" x14ac:dyDescent="0.2">
      <c r="A3639"/>
      <c r="B3639" s="663"/>
      <c r="C3639" s="663"/>
      <c r="D3639" s="663"/>
      <c r="E3639" s="663"/>
    </row>
    <row r="3640" spans="1:5" x14ac:dyDescent="0.2">
      <c r="A3640"/>
      <c r="B3640" s="663"/>
      <c r="C3640" s="663"/>
      <c r="D3640" s="663"/>
      <c r="E3640" s="663"/>
    </row>
    <row r="3641" spans="1:5" x14ac:dyDescent="0.2">
      <c r="A3641"/>
      <c r="B3641" s="663"/>
      <c r="C3641" s="663"/>
      <c r="D3641" s="663"/>
      <c r="E3641" s="663"/>
    </row>
    <row r="3642" spans="1:5" x14ac:dyDescent="0.2">
      <c r="A3642"/>
      <c r="B3642" s="663"/>
      <c r="C3642" s="663"/>
      <c r="D3642" s="663"/>
      <c r="E3642" s="663"/>
    </row>
    <row r="3643" spans="1:5" x14ac:dyDescent="0.2">
      <c r="A3643"/>
      <c r="B3643" s="663"/>
      <c r="C3643" s="663"/>
      <c r="D3643" s="663"/>
      <c r="E3643" s="663"/>
    </row>
    <row r="3644" spans="1:5" x14ac:dyDescent="0.2">
      <c r="A3644"/>
      <c r="B3644" s="663"/>
      <c r="C3644" s="663"/>
      <c r="D3644" s="663"/>
      <c r="E3644" s="663"/>
    </row>
    <row r="3645" spans="1:5" x14ac:dyDescent="0.2">
      <c r="A3645"/>
      <c r="B3645" s="663"/>
      <c r="C3645" s="663"/>
      <c r="D3645" s="663"/>
      <c r="E3645" s="663"/>
    </row>
    <row r="3646" spans="1:5" x14ac:dyDescent="0.2">
      <c r="A3646"/>
      <c r="B3646" s="663"/>
      <c r="C3646" s="663"/>
      <c r="D3646" s="663"/>
      <c r="E3646" s="663"/>
    </row>
    <row r="3647" spans="1:5" x14ac:dyDescent="0.2">
      <c r="A3647"/>
      <c r="B3647" s="663"/>
      <c r="C3647" s="663"/>
      <c r="D3647" s="663"/>
      <c r="E3647" s="663"/>
    </row>
    <row r="3648" spans="1:5" x14ac:dyDescent="0.2">
      <c r="A3648"/>
      <c r="B3648" s="663"/>
      <c r="C3648" s="663"/>
      <c r="D3648" s="663"/>
      <c r="E3648" s="663"/>
    </row>
    <row r="3649" spans="1:5" x14ac:dyDescent="0.2">
      <c r="A3649"/>
      <c r="B3649" s="663"/>
      <c r="C3649" s="663"/>
      <c r="D3649" s="663"/>
      <c r="E3649" s="663"/>
    </row>
    <row r="3650" spans="1:5" x14ac:dyDescent="0.2">
      <c r="A3650"/>
      <c r="B3650" s="663"/>
      <c r="C3650" s="663"/>
      <c r="D3650" s="663"/>
      <c r="E3650" s="663"/>
    </row>
    <row r="3651" spans="1:5" x14ac:dyDescent="0.2">
      <c r="A3651"/>
      <c r="B3651" s="663"/>
      <c r="C3651" s="663"/>
      <c r="D3651" s="663"/>
      <c r="E3651" s="663"/>
    </row>
    <row r="3652" spans="1:5" x14ac:dyDescent="0.2">
      <c r="A3652"/>
      <c r="B3652" s="663"/>
      <c r="C3652" s="663"/>
      <c r="D3652" s="663"/>
      <c r="E3652" s="663"/>
    </row>
    <row r="3653" spans="1:5" x14ac:dyDescent="0.2">
      <c r="A3653"/>
      <c r="B3653" s="663"/>
      <c r="C3653" s="663"/>
      <c r="D3653" s="663"/>
      <c r="E3653" s="663"/>
    </row>
    <row r="3654" spans="1:5" x14ac:dyDescent="0.2">
      <c r="A3654"/>
      <c r="B3654" s="663"/>
      <c r="C3654" s="663"/>
      <c r="D3654" s="663"/>
      <c r="E3654" s="663"/>
    </row>
    <row r="3655" spans="1:5" x14ac:dyDescent="0.2">
      <c r="A3655"/>
      <c r="B3655" s="663"/>
      <c r="C3655" s="663"/>
      <c r="D3655" s="663"/>
      <c r="E3655" s="663"/>
    </row>
    <row r="3656" spans="1:5" x14ac:dyDescent="0.2">
      <c r="A3656"/>
      <c r="B3656" s="663"/>
      <c r="C3656" s="663"/>
      <c r="D3656" s="663"/>
      <c r="E3656" s="663"/>
    </row>
    <row r="3657" spans="1:5" x14ac:dyDescent="0.2">
      <c r="A3657"/>
      <c r="B3657" s="663"/>
      <c r="C3657" s="663"/>
      <c r="D3657" s="663"/>
      <c r="E3657" s="663"/>
    </row>
    <row r="3658" spans="1:5" x14ac:dyDescent="0.2">
      <c r="A3658"/>
      <c r="B3658" s="663"/>
      <c r="C3658" s="663"/>
      <c r="D3658" s="663"/>
      <c r="E3658" s="663"/>
    </row>
    <row r="3659" spans="1:5" x14ac:dyDescent="0.2">
      <c r="A3659"/>
      <c r="B3659" s="663"/>
      <c r="C3659" s="663"/>
      <c r="D3659" s="663"/>
      <c r="E3659" s="663"/>
    </row>
    <row r="3660" spans="1:5" x14ac:dyDescent="0.2">
      <c r="A3660"/>
      <c r="B3660" s="663"/>
      <c r="C3660" s="663"/>
      <c r="D3660" s="663"/>
      <c r="E3660" s="663"/>
    </row>
    <row r="3661" spans="1:5" x14ac:dyDescent="0.2">
      <c r="A3661"/>
      <c r="B3661" s="663"/>
      <c r="C3661" s="663"/>
      <c r="D3661" s="663"/>
      <c r="E3661" s="663"/>
    </row>
    <row r="3662" spans="1:5" x14ac:dyDescent="0.2">
      <c r="A3662"/>
      <c r="B3662" s="663"/>
      <c r="C3662" s="663"/>
      <c r="D3662" s="663"/>
      <c r="E3662" s="663"/>
    </row>
    <row r="3663" spans="1:5" x14ac:dyDescent="0.2">
      <c r="A3663"/>
      <c r="B3663" s="663"/>
      <c r="C3663" s="663"/>
      <c r="D3663" s="663"/>
      <c r="E3663" s="663"/>
    </row>
    <row r="3664" spans="1:5" x14ac:dyDescent="0.2">
      <c r="A3664"/>
      <c r="B3664" s="663"/>
      <c r="C3664" s="663"/>
      <c r="D3664" s="663"/>
      <c r="E3664" s="663"/>
    </row>
    <row r="3665" spans="1:5" x14ac:dyDescent="0.2">
      <c r="A3665"/>
      <c r="B3665" s="663"/>
      <c r="C3665" s="663"/>
      <c r="D3665" s="663"/>
      <c r="E3665" s="663"/>
    </row>
    <row r="3666" spans="1:5" x14ac:dyDescent="0.2">
      <c r="A3666"/>
      <c r="B3666" s="663"/>
      <c r="C3666" s="663"/>
      <c r="D3666" s="663"/>
      <c r="E3666" s="663"/>
    </row>
    <row r="3667" spans="1:5" x14ac:dyDescent="0.2">
      <c r="A3667"/>
      <c r="B3667" s="663"/>
      <c r="C3667" s="663"/>
      <c r="D3667" s="663"/>
      <c r="E3667" s="663"/>
    </row>
    <row r="3668" spans="1:5" x14ac:dyDescent="0.2">
      <c r="A3668"/>
      <c r="B3668" s="663"/>
      <c r="C3668" s="663"/>
      <c r="D3668" s="663"/>
      <c r="E3668" s="663"/>
    </row>
    <row r="3669" spans="1:5" x14ac:dyDescent="0.2">
      <c r="A3669"/>
      <c r="B3669" s="663"/>
      <c r="C3669" s="663"/>
      <c r="D3669" s="663"/>
      <c r="E3669" s="663"/>
    </row>
    <row r="3670" spans="1:5" x14ac:dyDescent="0.2">
      <c r="A3670"/>
      <c r="B3670" s="663"/>
      <c r="C3670" s="663"/>
      <c r="D3670" s="663"/>
      <c r="E3670" s="663"/>
    </row>
    <row r="3671" spans="1:5" x14ac:dyDescent="0.2">
      <c r="A3671"/>
      <c r="B3671" s="663"/>
      <c r="C3671" s="663"/>
      <c r="D3671" s="663"/>
      <c r="E3671" s="663"/>
    </row>
    <row r="3672" spans="1:5" x14ac:dyDescent="0.2">
      <c r="A3672"/>
      <c r="B3672" s="663"/>
      <c r="C3672" s="663"/>
      <c r="D3672" s="663"/>
      <c r="E3672" s="663"/>
    </row>
    <row r="3673" spans="1:5" x14ac:dyDescent="0.2">
      <c r="A3673"/>
      <c r="B3673" s="663"/>
      <c r="C3673" s="663"/>
      <c r="D3673" s="663"/>
      <c r="E3673" s="663"/>
    </row>
    <row r="3674" spans="1:5" x14ac:dyDescent="0.2">
      <c r="A3674"/>
      <c r="B3674" s="663"/>
      <c r="C3674" s="663"/>
      <c r="D3674" s="663"/>
      <c r="E3674" s="663"/>
    </row>
    <row r="3675" spans="1:5" x14ac:dyDescent="0.2">
      <c r="A3675"/>
      <c r="B3675" s="663"/>
      <c r="C3675" s="663"/>
      <c r="D3675" s="663"/>
      <c r="E3675" s="663"/>
    </row>
    <row r="3676" spans="1:5" x14ac:dyDescent="0.2">
      <c r="A3676"/>
      <c r="B3676" s="663"/>
      <c r="C3676" s="663"/>
      <c r="D3676" s="663"/>
      <c r="E3676" s="663"/>
    </row>
    <row r="3677" spans="1:5" x14ac:dyDescent="0.2">
      <c r="A3677"/>
      <c r="B3677" s="663"/>
      <c r="C3677" s="663"/>
      <c r="D3677" s="663"/>
      <c r="E3677" s="663"/>
    </row>
    <row r="3678" spans="1:5" x14ac:dyDescent="0.2">
      <c r="A3678"/>
      <c r="B3678" s="663"/>
      <c r="C3678" s="663"/>
      <c r="D3678" s="663"/>
      <c r="E3678" s="663"/>
    </row>
    <row r="3679" spans="1:5" x14ac:dyDescent="0.2">
      <c r="A3679"/>
      <c r="B3679" s="663"/>
      <c r="C3679" s="663"/>
      <c r="D3679" s="663"/>
      <c r="E3679" s="663"/>
    </row>
    <row r="3680" spans="1:5" x14ac:dyDescent="0.2">
      <c r="A3680"/>
      <c r="B3680" s="663"/>
      <c r="C3680" s="663"/>
      <c r="D3680" s="663"/>
      <c r="E3680" s="663"/>
    </row>
    <row r="3681" spans="1:5" x14ac:dyDescent="0.2">
      <c r="A3681"/>
      <c r="B3681" s="663"/>
      <c r="C3681" s="663"/>
      <c r="D3681" s="663"/>
      <c r="E3681" s="663"/>
    </row>
    <row r="3682" spans="1:5" x14ac:dyDescent="0.2">
      <c r="A3682"/>
      <c r="B3682" s="663"/>
      <c r="C3682" s="663"/>
      <c r="D3682" s="663"/>
      <c r="E3682" s="663"/>
    </row>
    <row r="3683" spans="1:5" x14ac:dyDescent="0.2">
      <c r="A3683"/>
      <c r="B3683" s="663"/>
      <c r="C3683" s="663"/>
      <c r="D3683" s="663"/>
      <c r="E3683" s="663"/>
    </row>
    <row r="3684" spans="1:5" x14ac:dyDescent="0.2">
      <c r="A3684"/>
      <c r="B3684" s="663"/>
      <c r="C3684" s="663"/>
      <c r="D3684" s="663"/>
      <c r="E3684" s="663"/>
    </row>
    <row r="3685" spans="1:5" x14ac:dyDescent="0.2">
      <c r="A3685"/>
      <c r="B3685" s="663"/>
      <c r="C3685" s="663"/>
      <c r="D3685" s="663"/>
      <c r="E3685" s="663"/>
    </row>
    <row r="3686" spans="1:5" x14ac:dyDescent="0.2">
      <c r="A3686"/>
      <c r="B3686" s="663"/>
      <c r="C3686" s="663"/>
      <c r="D3686" s="663"/>
      <c r="E3686" s="663"/>
    </row>
    <row r="3687" spans="1:5" x14ac:dyDescent="0.2">
      <c r="A3687"/>
      <c r="B3687" s="663"/>
      <c r="C3687" s="663"/>
      <c r="D3687" s="663"/>
      <c r="E3687" s="663"/>
    </row>
    <row r="3688" spans="1:5" x14ac:dyDescent="0.2">
      <c r="A3688"/>
      <c r="B3688" s="663"/>
      <c r="C3688" s="663"/>
      <c r="D3688" s="663"/>
      <c r="E3688" s="663"/>
    </row>
    <row r="3689" spans="1:5" x14ac:dyDescent="0.2">
      <c r="A3689"/>
      <c r="B3689" s="663"/>
      <c r="C3689" s="663"/>
      <c r="D3689" s="663"/>
      <c r="E3689" s="663"/>
    </row>
    <row r="3690" spans="1:5" x14ac:dyDescent="0.2">
      <c r="A3690"/>
      <c r="B3690" s="663"/>
      <c r="C3690" s="663"/>
      <c r="D3690" s="663"/>
      <c r="E3690" s="663"/>
    </row>
    <row r="3691" spans="1:5" x14ac:dyDescent="0.2">
      <c r="A3691"/>
      <c r="B3691" s="663"/>
      <c r="C3691" s="663"/>
      <c r="D3691" s="663"/>
      <c r="E3691" s="663"/>
    </row>
    <row r="3692" spans="1:5" x14ac:dyDescent="0.2">
      <c r="A3692"/>
      <c r="B3692" s="663"/>
      <c r="C3692" s="663"/>
      <c r="D3692" s="663"/>
      <c r="E3692" s="663"/>
    </row>
    <row r="3693" spans="1:5" x14ac:dyDescent="0.2">
      <c r="A3693"/>
      <c r="B3693" s="663"/>
      <c r="C3693" s="663"/>
      <c r="D3693" s="663"/>
      <c r="E3693" s="663"/>
    </row>
    <row r="3694" spans="1:5" x14ac:dyDescent="0.2">
      <c r="A3694"/>
      <c r="B3694" s="663"/>
      <c r="C3694" s="663"/>
      <c r="D3694" s="663"/>
      <c r="E3694" s="663"/>
    </row>
    <row r="3695" spans="1:5" x14ac:dyDescent="0.2">
      <c r="A3695"/>
      <c r="B3695" s="663"/>
      <c r="C3695" s="663"/>
      <c r="D3695" s="663"/>
      <c r="E3695" s="663"/>
    </row>
    <row r="3696" spans="1:5" x14ac:dyDescent="0.2">
      <c r="A3696"/>
      <c r="B3696" s="663"/>
      <c r="C3696" s="663"/>
      <c r="D3696" s="663"/>
      <c r="E3696" s="663"/>
    </row>
    <row r="3697" spans="1:5" x14ac:dyDescent="0.2">
      <c r="A3697"/>
      <c r="B3697" s="663"/>
      <c r="C3697" s="663"/>
      <c r="D3697" s="663"/>
      <c r="E3697" s="663"/>
    </row>
    <row r="3698" spans="1:5" x14ac:dyDescent="0.2">
      <c r="A3698"/>
      <c r="B3698" s="663"/>
      <c r="C3698" s="663"/>
      <c r="D3698" s="663"/>
      <c r="E3698" s="663"/>
    </row>
    <row r="3699" spans="1:5" x14ac:dyDescent="0.2">
      <c r="A3699"/>
      <c r="B3699" s="663"/>
      <c r="C3699" s="663"/>
      <c r="D3699" s="663"/>
      <c r="E3699" s="663"/>
    </row>
    <row r="3700" spans="1:5" x14ac:dyDescent="0.2">
      <c r="A3700"/>
      <c r="B3700" s="663"/>
      <c r="C3700" s="663"/>
      <c r="D3700" s="663"/>
      <c r="E3700" s="663"/>
    </row>
    <row r="3701" spans="1:5" x14ac:dyDescent="0.2">
      <c r="A3701"/>
      <c r="B3701" s="663"/>
      <c r="C3701" s="663"/>
      <c r="D3701" s="663"/>
      <c r="E3701" s="663"/>
    </row>
    <row r="3702" spans="1:5" x14ac:dyDescent="0.2">
      <c r="A3702"/>
      <c r="B3702" s="663"/>
      <c r="C3702" s="663"/>
      <c r="D3702" s="663"/>
      <c r="E3702" s="663"/>
    </row>
    <row r="3703" spans="1:5" x14ac:dyDescent="0.2">
      <c r="A3703"/>
      <c r="B3703" s="663"/>
      <c r="C3703" s="663"/>
      <c r="D3703" s="663"/>
      <c r="E3703" s="663"/>
    </row>
    <row r="3704" spans="1:5" x14ac:dyDescent="0.2">
      <c r="A3704"/>
      <c r="B3704" s="663"/>
      <c r="C3704" s="663"/>
      <c r="D3704" s="663"/>
      <c r="E3704" s="663"/>
    </row>
    <row r="3705" spans="1:5" x14ac:dyDescent="0.2">
      <c r="A3705"/>
      <c r="B3705" s="663"/>
      <c r="C3705" s="663"/>
      <c r="D3705" s="663"/>
      <c r="E3705" s="663"/>
    </row>
    <row r="3706" spans="1:5" x14ac:dyDescent="0.2">
      <c r="A3706"/>
      <c r="B3706" s="663"/>
      <c r="C3706" s="663"/>
      <c r="D3706" s="663"/>
      <c r="E3706" s="663"/>
    </row>
    <row r="3707" spans="1:5" x14ac:dyDescent="0.2">
      <c r="A3707"/>
      <c r="B3707" s="663"/>
      <c r="C3707" s="663"/>
      <c r="D3707" s="663"/>
      <c r="E3707" s="663"/>
    </row>
    <row r="3708" spans="1:5" x14ac:dyDescent="0.2">
      <c r="A3708"/>
      <c r="B3708" s="663"/>
      <c r="C3708" s="663"/>
      <c r="D3708" s="663"/>
      <c r="E3708" s="663"/>
    </row>
    <row r="3709" spans="1:5" x14ac:dyDescent="0.2">
      <c r="A3709"/>
      <c r="B3709" s="663"/>
      <c r="C3709" s="663"/>
      <c r="D3709" s="663"/>
      <c r="E3709" s="663"/>
    </row>
    <row r="3710" spans="1:5" x14ac:dyDescent="0.2">
      <c r="A3710"/>
      <c r="B3710" s="663"/>
      <c r="C3710" s="663"/>
      <c r="D3710" s="663"/>
      <c r="E3710" s="663"/>
    </row>
    <row r="3711" spans="1:5" x14ac:dyDescent="0.2">
      <c r="A3711"/>
      <c r="B3711" s="663"/>
      <c r="C3711" s="663"/>
      <c r="D3711" s="663"/>
      <c r="E3711" s="663"/>
    </row>
    <row r="3712" spans="1:5" x14ac:dyDescent="0.2">
      <c r="A3712"/>
      <c r="B3712" s="663"/>
      <c r="C3712" s="663"/>
      <c r="D3712" s="663"/>
      <c r="E3712" s="663"/>
    </row>
    <row r="3713" spans="1:5" x14ac:dyDescent="0.2">
      <c r="A3713"/>
      <c r="B3713" s="663"/>
      <c r="C3713" s="663"/>
      <c r="D3713" s="663"/>
      <c r="E3713" s="663"/>
    </row>
    <row r="3714" spans="1:5" x14ac:dyDescent="0.2">
      <c r="A3714"/>
      <c r="B3714" s="663"/>
      <c r="C3714" s="663"/>
      <c r="D3714" s="663"/>
      <c r="E3714" s="663"/>
    </row>
    <row r="3715" spans="1:5" x14ac:dyDescent="0.2">
      <c r="A3715"/>
      <c r="B3715" s="663"/>
      <c r="C3715" s="663"/>
      <c r="D3715" s="663"/>
      <c r="E3715" s="663"/>
    </row>
    <row r="3716" spans="1:5" x14ac:dyDescent="0.2">
      <c r="A3716"/>
      <c r="B3716" s="663"/>
      <c r="C3716" s="663"/>
      <c r="D3716" s="663"/>
      <c r="E3716" s="663"/>
    </row>
    <row r="3717" spans="1:5" x14ac:dyDescent="0.2">
      <c r="A3717"/>
      <c r="B3717" s="663"/>
      <c r="C3717" s="663"/>
      <c r="D3717" s="663"/>
      <c r="E3717" s="663"/>
    </row>
    <row r="3718" spans="1:5" x14ac:dyDescent="0.2">
      <c r="A3718"/>
      <c r="B3718" s="663"/>
      <c r="C3718" s="663"/>
      <c r="D3718" s="663"/>
      <c r="E3718" s="663"/>
    </row>
    <row r="3719" spans="1:5" x14ac:dyDescent="0.2">
      <c r="A3719"/>
      <c r="B3719" s="663"/>
      <c r="C3719" s="663"/>
      <c r="D3719" s="663"/>
      <c r="E3719" s="663"/>
    </row>
    <row r="3720" spans="1:5" x14ac:dyDescent="0.2">
      <c r="A3720"/>
      <c r="B3720" s="663"/>
      <c r="C3720" s="663"/>
      <c r="D3720" s="663"/>
      <c r="E3720" s="663"/>
    </row>
    <row r="3721" spans="1:5" x14ac:dyDescent="0.2">
      <c r="A3721"/>
      <c r="B3721" s="663"/>
      <c r="C3721" s="663"/>
      <c r="D3721" s="663"/>
      <c r="E3721" s="663"/>
    </row>
    <row r="3722" spans="1:5" x14ac:dyDescent="0.2">
      <c r="A3722"/>
      <c r="B3722" s="663"/>
      <c r="C3722" s="663"/>
      <c r="D3722" s="663"/>
      <c r="E3722" s="663"/>
    </row>
    <row r="3723" spans="1:5" x14ac:dyDescent="0.2">
      <c r="A3723"/>
      <c r="B3723" s="663"/>
      <c r="C3723" s="663"/>
      <c r="D3723" s="663"/>
      <c r="E3723" s="663"/>
    </row>
    <row r="3724" spans="1:5" x14ac:dyDescent="0.2">
      <c r="A3724"/>
      <c r="B3724" s="663"/>
      <c r="C3724" s="663"/>
      <c r="D3724" s="663"/>
      <c r="E3724" s="663"/>
    </row>
    <row r="3725" spans="1:5" x14ac:dyDescent="0.2">
      <c r="A3725"/>
      <c r="B3725" s="663"/>
      <c r="C3725" s="663"/>
      <c r="D3725" s="663"/>
      <c r="E3725" s="663"/>
    </row>
    <row r="3726" spans="1:5" x14ac:dyDescent="0.2">
      <c r="A3726"/>
      <c r="B3726" s="663"/>
      <c r="C3726" s="663"/>
      <c r="D3726" s="663"/>
      <c r="E3726" s="663"/>
    </row>
    <row r="3727" spans="1:5" x14ac:dyDescent="0.2">
      <c r="A3727"/>
      <c r="B3727" s="663"/>
      <c r="C3727" s="663"/>
      <c r="D3727" s="663"/>
      <c r="E3727" s="663"/>
    </row>
    <row r="3728" spans="1:5" x14ac:dyDescent="0.2">
      <c r="A3728"/>
      <c r="B3728" s="663"/>
      <c r="C3728" s="663"/>
      <c r="D3728" s="663"/>
      <c r="E3728" s="663"/>
    </row>
    <row r="3729" spans="1:5" x14ac:dyDescent="0.2">
      <c r="A3729"/>
      <c r="B3729" s="663"/>
      <c r="C3729" s="663"/>
      <c r="D3729" s="663"/>
      <c r="E3729" s="663"/>
    </row>
    <row r="3730" spans="1:5" x14ac:dyDescent="0.2">
      <c r="A3730"/>
      <c r="B3730" s="663"/>
      <c r="C3730" s="663"/>
      <c r="D3730" s="663"/>
      <c r="E3730" s="663"/>
    </row>
    <row r="3731" spans="1:5" x14ac:dyDescent="0.2">
      <c r="A3731"/>
      <c r="B3731" s="663"/>
      <c r="C3731" s="663"/>
      <c r="D3731" s="663"/>
      <c r="E3731" s="663"/>
    </row>
    <row r="3732" spans="1:5" x14ac:dyDescent="0.2">
      <c r="A3732"/>
      <c r="B3732" s="663"/>
      <c r="C3732" s="663"/>
      <c r="D3732" s="663"/>
      <c r="E3732" s="663"/>
    </row>
    <row r="3733" spans="1:5" x14ac:dyDescent="0.2">
      <c r="A3733"/>
      <c r="B3733" s="663"/>
      <c r="C3733" s="663"/>
      <c r="D3733" s="663"/>
      <c r="E3733" s="663"/>
    </row>
    <row r="3734" spans="1:5" x14ac:dyDescent="0.2">
      <c r="A3734"/>
      <c r="B3734" s="663"/>
      <c r="C3734" s="663"/>
      <c r="D3734" s="663"/>
      <c r="E3734" s="663"/>
    </row>
    <row r="3735" spans="1:5" x14ac:dyDescent="0.2">
      <c r="A3735"/>
      <c r="B3735" s="663"/>
      <c r="C3735" s="663"/>
      <c r="D3735" s="663"/>
      <c r="E3735" s="663"/>
    </row>
    <row r="3736" spans="1:5" x14ac:dyDescent="0.2">
      <c r="A3736"/>
      <c r="B3736" s="663"/>
      <c r="C3736" s="663"/>
      <c r="D3736" s="663"/>
      <c r="E3736" s="663"/>
    </row>
    <row r="3737" spans="1:5" x14ac:dyDescent="0.2">
      <c r="A3737"/>
      <c r="B3737" s="663"/>
      <c r="C3737" s="663"/>
      <c r="D3737" s="663"/>
      <c r="E3737" s="663"/>
    </row>
    <row r="3738" spans="1:5" x14ac:dyDescent="0.2">
      <c r="A3738"/>
      <c r="B3738" s="663"/>
      <c r="C3738" s="663"/>
      <c r="D3738" s="663"/>
      <c r="E3738" s="663"/>
    </row>
    <row r="3739" spans="1:5" x14ac:dyDescent="0.2">
      <c r="A3739"/>
      <c r="B3739" s="663"/>
      <c r="C3739" s="663"/>
      <c r="D3739" s="663"/>
      <c r="E3739" s="663"/>
    </row>
    <row r="3740" spans="1:5" x14ac:dyDescent="0.2">
      <c r="A3740"/>
      <c r="B3740" s="663"/>
      <c r="C3740" s="663"/>
      <c r="D3740" s="663"/>
      <c r="E3740" s="663"/>
    </row>
    <row r="3741" spans="1:5" x14ac:dyDescent="0.2">
      <c r="A3741"/>
      <c r="B3741" s="663"/>
      <c r="C3741" s="663"/>
      <c r="D3741" s="663"/>
      <c r="E3741" s="663"/>
    </row>
    <row r="3742" spans="1:5" x14ac:dyDescent="0.2">
      <c r="A3742"/>
      <c r="B3742" s="663"/>
      <c r="C3742" s="663"/>
      <c r="D3742" s="663"/>
      <c r="E3742" s="663"/>
    </row>
    <row r="3743" spans="1:5" x14ac:dyDescent="0.2">
      <c r="A3743"/>
      <c r="B3743" s="663"/>
      <c r="C3743" s="663"/>
      <c r="D3743" s="663"/>
      <c r="E3743" s="663"/>
    </row>
    <row r="3744" spans="1:5" x14ac:dyDescent="0.2">
      <c r="A3744"/>
      <c r="B3744" s="663"/>
      <c r="C3744" s="663"/>
      <c r="D3744" s="663"/>
      <c r="E3744" s="663"/>
    </row>
    <row r="3745" spans="1:5" x14ac:dyDescent="0.2">
      <c r="A3745"/>
      <c r="B3745" s="663"/>
      <c r="C3745" s="663"/>
      <c r="D3745" s="663"/>
      <c r="E3745" s="663"/>
    </row>
    <row r="3746" spans="1:5" x14ac:dyDescent="0.2">
      <c r="A3746"/>
      <c r="B3746" s="663"/>
      <c r="C3746" s="663"/>
      <c r="D3746" s="663"/>
      <c r="E3746" s="663"/>
    </row>
    <row r="3747" spans="1:5" x14ac:dyDescent="0.2">
      <c r="A3747"/>
      <c r="B3747" s="663"/>
      <c r="C3747" s="663"/>
      <c r="D3747" s="663"/>
      <c r="E3747" s="663"/>
    </row>
    <row r="3748" spans="1:5" x14ac:dyDescent="0.2">
      <c r="A3748"/>
      <c r="B3748" s="663"/>
      <c r="C3748" s="663"/>
      <c r="D3748" s="663"/>
      <c r="E3748" s="663"/>
    </row>
    <row r="3749" spans="1:5" x14ac:dyDescent="0.2">
      <c r="A3749"/>
      <c r="B3749" s="663"/>
      <c r="C3749" s="663"/>
      <c r="D3749" s="663"/>
      <c r="E3749" s="663"/>
    </row>
    <row r="3750" spans="1:5" x14ac:dyDescent="0.2">
      <c r="A3750"/>
      <c r="B3750" s="663"/>
      <c r="C3750" s="663"/>
      <c r="D3750" s="663"/>
      <c r="E3750" s="663"/>
    </row>
    <row r="3751" spans="1:5" x14ac:dyDescent="0.2">
      <c r="A3751"/>
      <c r="B3751" s="663"/>
      <c r="C3751" s="663"/>
      <c r="D3751" s="663"/>
      <c r="E3751" s="663"/>
    </row>
    <row r="3752" spans="1:5" x14ac:dyDescent="0.2">
      <c r="A3752"/>
      <c r="B3752" s="663"/>
      <c r="C3752" s="663"/>
      <c r="D3752" s="663"/>
      <c r="E3752" s="663"/>
    </row>
    <row r="3753" spans="1:5" x14ac:dyDescent="0.2">
      <c r="A3753"/>
      <c r="B3753" s="663"/>
      <c r="C3753" s="663"/>
      <c r="D3753" s="663"/>
      <c r="E3753" s="663"/>
    </row>
    <row r="3754" spans="1:5" x14ac:dyDescent="0.2">
      <c r="A3754"/>
      <c r="B3754" s="663"/>
      <c r="C3754" s="663"/>
      <c r="D3754" s="663"/>
      <c r="E3754" s="663"/>
    </row>
    <row r="3755" spans="1:5" x14ac:dyDescent="0.2">
      <c r="A3755"/>
      <c r="B3755" s="663"/>
      <c r="C3755" s="663"/>
      <c r="D3755" s="663"/>
      <c r="E3755" s="663"/>
    </row>
    <row r="3756" spans="1:5" x14ac:dyDescent="0.2">
      <c r="A3756"/>
      <c r="B3756" s="663"/>
      <c r="C3756" s="663"/>
      <c r="D3756" s="663"/>
      <c r="E3756" s="663"/>
    </row>
    <row r="3757" spans="1:5" x14ac:dyDescent="0.2">
      <c r="A3757"/>
      <c r="B3757" s="663"/>
      <c r="C3757" s="663"/>
      <c r="D3757" s="663"/>
      <c r="E3757" s="663"/>
    </row>
    <row r="3758" spans="1:5" x14ac:dyDescent="0.2">
      <c r="A3758"/>
      <c r="B3758" s="663"/>
      <c r="C3758" s="663"/>
      <c r="D3758" s="663"/>
      <c r="E3758" s="663"/>
    </row>
    <row r="3759" spans="1:5" x14ac:dyDescent="0.2">
      <c r="A3759"/>
      <c r="B3759" s="663"/>
      <c r="C3759" s="663"/>
      <c r="D3759" s="663"/>
      <c r="E3759" s="663"/>
    </row>
    <row r="3760" spans="1:5" x14ac:dyDescent="0.2">
      <c r="A3760"/>
      <c r="B3760" s="663"/>
      <c r="C3760" s="663"/>
      <c r="D3760" s="663"/>
      <c r="E3760" s="663"/>
    </row>
    <row r="3761" spans="1:5" x14ac:dyDescent="0.2">
      <c r="A3761"/>
      <c r="B3761" s="663"/>
      <c r="C3761" s="663"/>
      <c r="D3761" s="663"/>
      <c r="E3761" s="663"/>
    </row>
    <row r="3762" spans="1:5" x14ac:dyDescent="0.2">
      <c r="A3762"/>
      <c r="B3762" s="663"/>
      <c r="C3762" s="663"/>
      <c r="D3762" s="663"/>
      <c r="E3762" s="663"/>
    </row>
    <row r="3763" spans="1:5" x14ac:dyDescent="0.2">
      <c r="A3763"/>
      <c r="B3763" s="663"/>
      <c r="C3763" s="663"/>
      <c r="D3763" s="663"/>
      <c r="E3763" s="663"/>
    </row>
    <row r="3764" spans="1:5" x14ac:dyDescent="0.2">
      <c r="A3764"/>
      <c r="B3764" s="663"/>
      <c r="C3764" s="663"/>
      <c r="D3764" s="663"/>
      <c r="E3764" s="663"/>
    </row>
    <row r="3765" spans="1:5" x14ac:dyDescent="0.2">
      <c r="A3765"/>
      <c r="B3765" s="663"/>
      <c r="C3765" s="663"/>
      <c r="D3765" s="663"/>
      <c r="E3765" s="663"/>
    </row>
    <row r="3766" spans="1:5" x14ac:dyDescent="0.2">
      <c r="A3766"/>
      <c r="B3766" s="663"/>
      <c r="C3766" s="663"/>
      <c r="D3766" s="663"/>
      <c r="E3766" s="663"/>
    </row>
    <row r="3767" spans="1:5" x14ac:dyDescent="0.2">
      <c r="A3767"/>
      <c r="B3767" s="663"/>
      <c r="C3767" s="663"/>
      <c r="D3767" s="663"/>
      <c r="E3767" s="663"/>
    </row>
    <row r="3768" spans="1:5" x14ac:dyDescent="0.2">
      <c r="A3768"/>
      <c r="B3768" s="663"/>
      <c r="C3768" s="663"/>
      <c r="D3768" s="663"/>
      <c r="E3768" s="663"/>
    </row>
    <row r="3769" spans="1:5" x14ac:dyDescent="0.2">
      <c r="A3769"/>
      <c r="B3769" s="663"/>
      <c r="C3769" s="663"/>
      <c r="D3769" s="663"/>
      <c r="E3769" s="663"/>
    </row>
    <row r="3770" spans="1:5" x14ac:dyDescent="0.2">
      <c r="A3770"/>
      <c r="B3770" s="663"/>
      <c r="C3770" s="663"/>
      <c r="D3770" s="663"/>
      <c r="E3770" s="663"/>
    </row>
    <row r="3771" spans="1:5" x14ac:dyDescent="0.2">
      <c r="A3771"/>
      <c r="B3771" s="663"/>
      <c r="C3771" s="663"/>
      <c r="D3771" s="663"/>
      <c r="E3771" s="663"/>
    </row>
    <row r="3772" spans="1:5" x14ac:dyDescent="0.2">
      <c r="A3772"/>
      <c r="B3772" s="663"/>
      <c r="C3772" s="663"/>
      <c r="D3772" s="663"/>
      <c r="E3772" s="663"/>
    </row>
    <row r="3773" spans="1:5" x14ac:dyDescent="0.2">
      <c r="A3773"/>
      <c r="B3773" s="663"/>
      <c r="C3773" s="663"/>
      <c r="D3773" s="663"/>
      <c r="E3773" s="663"/>
    </row>
    <row r="3774" spans="1:5" x14ac:dyDescent="0.2">
      <c r="A3774"/>
      <c r="B3774" s="663"/>
      <c r="C3774" s="663"/>
      <c r="D3774" s="663"/>
      <c r="E3774" s="663"/>
    </row>
    <row r="3775" spans="1:5" x14ac:dyDescent="0.2">
      <c r="A3775"/>
      <c r="B3775" s="663"/>
      <c r="C3775" s="663"/>
      <c r="D3775" s="663"/>
      <c r="E3775" s="663"/>
    </row>
    <row r="3776" spans="1:5" x14ac:dyDescent="0.2">
      <c r="A3776"/>
      <c r="B3776" s="663"/>
      <c r="C3776" s="663"/>
      <c r="D3776" s="663"/>
      <c r="E3776" s="663"/>
    </row>
    <row r="3777" spans="1:5" x14ac:dyDescent="0.2">
      <c r="A3777"/>
      <c r="B3777" s="663"/>
      <c r="C3777" s="663"/>
      <c r="D3777" s="663"/>
      <c r="E3777" s="663"/>
    </row>
    <row r="3778" spans="1:5" x14ac:dyDescent="0.2">
      <c r="A3778"/>
      <c r="B3778" s="663"/>
      <c r="C3778" s="663"/>
      <c r="D3778" s="663"/>
      <c r="E3778" s="663"/>
    </row>
    <row r="3779" spans="1:5" x14ac:dyDescent="0.2">
      <c r="A3779"/>
      <c r="B3779" s="663"/>
      <c r="C3779" s="663"/>
      <c r="D3779" s="663"/>
      <c r="E3779" s="663"/>
    </row>
    <row r="3780" spans="1:5" x14ac:dyDescent="0.2">
      <c r="A3780"/>
      <c r="B3780" s="663"/>
      <c r="C3780" s="663"/>
      <c r="D3780" s="663"/>
      <c r="E3780" s="663"/>
    </row>
    <row r="3781" spans="1:5" x14ac:dyDescent="0.2">
      <c r="A3781"/>
      <c r="B3781" s="663"/>
      <c r="C3781" s="663"/>
      <c r="D3781" s="663"/>
      <c r="E3781" s="663"/>
    </row>
    <row r="3782" spans="1:5" x14ac:dyDescent="0.2">
      <c r="A3782"/>
      <c r="B3782" s="663"/>
      <c r="C3782" s="663"/>
      <c r="D3782" s="663"/>
      <c r="E3782" s="663"/>
    </row>
    <row r="3783" spans="1:5" x14ac:dyDescent="0.2">
      <c r="A3783"/>
      <c r="B3783" s="663"/>
      <c r="C3783" s="663"/>
      <c r="D3783" s="663"/>
      <c r="E3783" s="663"/>
    </row>
    <row r="3784" spans="1:5" x14ac:dyDescent="0.2">
      <c r="A3784"/>
      <c r="B3784" s="663"/>
      <c r="C3784" s="663"/>
      <c r="D3784" s="663"/>
      <c r="E3784" s="663"/>
    </row>
    <row r="3785" spans="1:5" x14ac:dyDescent="0.2">
      <c r="A3785"/>
      <c r="B3785" s="663"/>
      <c r="C3785" s="663"/>
      <c r="D3785" s="663"/>
      <c r="E3785" s="663"/>
    </row>
    <row r="3786" spans="1:5" x14ac:dyDescent="0.2">
      <c r="A3786"/>
      <c r="B3786" s="663"/>
      <c r="C3786" s="663"/>
      <c r="D3786" s="663"/>
      <c r="E3786" s="663"/>
    </row>
    <row r="3787" spans="1:5" x14ac:dyDescent="0.2">
      <c r="A3787"/>
      <c r="B3787" s="663"/>
      <c r="C3787" s="663"/>
      <c r="D3787" s="663"/>
      <c r="E3787" s="663"/>
    </row>
    <row r="3788" spans="1:5" x14ac:dyDescent="0.2">
      <c r="A3788"/>
      <c r="B3788" s="663"/>
      <c r="C3788" s="663"/>
      <c r="D3788" s="663"/>
      <c r="E3788" s="663"/>
    </row>
    <row r="3789" spans="1:5" x14ac:dyDescent="0.2">
      <c r="A3789"/>
      <c r="B3789" s="663"/>
      <c r="C3789" s="663"/>
      <c r="D3789" s="663"/>
      <c r="E3789" s="663"/>
    </row>
    <row r="3790" spans="1:5" x14ac:dyDescent="0.2">
      <c r="A3790"/>
      <c r="B3790" s="663"/>
      <c r="C3790" s="663"/>
      <c r="D3790" s="663"/>
      <c r="E3790" s="663"/>
    </row>
    <row r="3791" spans="1:5" x14ac:dyDescent="0.2">
      <c r="A3791"/>
      <c r="B3791" s="663"/>
      <c r="C3791" s="663"/>
      <c r="D3791" s="663"/>
      <c r="E3791" s="663"/>
    </row>
    <row r="3792" spans="1:5" x14ac:dyDescent="0.2">
      <c r="A3792"/>
      <c r="B3792" s="663"/>
      <c r="C3792" s="663"/>
      <c r="D3792" s="663"/>
      <c r="E3792" s="663"/>
    </row>
    <row r="3793" spans="1:5" x14ac:dyDescent="0.2">
      <c r="A3793"/>
      <c r="B3793" s="663"/>
      <c r="C3793" s="663"/>
      <c r="D3793" s="663"/>
      <c r="E3793" s="663"/>
    </row>
    <row r="3794" spans="1:5" x14ac:dyDescent="0.2">
      <c r="A3794"/>
      <c r="B3794" s="663"/>
      <c r="C3794" s="663"/>
      <c r="D3794" s="663"/>
      <c r="E3794" s="663"/>
    </row>
    <row r="3795" spans="1:5" x14ac:dyDescent="0.2">
      <c r="A3795"/>
      <c r="B3795" s="663"/>
      <c r="C3795" s="663"/>
      <c r="D3795" s="663"/>
      <c r="E3795" s="663"/>
    </row>
    <row r="3796" spans="1:5" x14ac:dyDescent="0.2">
      <c r="A3796"/>
      <c r="B3796" s="663"/>
      <c r="C3796" s="663"/>
      <c r="D3796" s="663"/>
      <c r="E3796" s="663"/>
    </row>
    <row r="3797" spans="1:5" x14ac:dyDescent="0.2">
      <c r="A3797"/>
      <c r="B3797" s="663"/>
      <c r="C3797" s="663"/>
      <c r="D3797" s="663"/>
      <c r="E3797" s="663"/>
    </row>
    <row r="3798" spans="1:5" x14ac:dyDescent="0.2">
      <c r="A3798"/>
      <c r="B3798" s="663"/>
      <c r="C3798" s="663"/>
      <c r="D3798" s="663"/>
      <c r="E3798" s="663"/>
    </row>
    <row r="3799" spans="1:5" x14ac:dyDescent="0.2">
      <c r="A3799"/>
      <c r="B3799" s="663"/>
      <c r="C3799" s="663"/>
      <c r="D3799" s="663"/>
      <c r="E3799" s="663"/>
    </row>
    <row r="3800" spans="1:5" x14ac:dyDescent="0.2">
      <c r="A3800"/>
      <c r="B3800" s="663"/>
      <c r="C3800" s="663"/>
      <c r="D3800" s="663"/>
      <c r="E3800" s="663"/>
    </row>
    <row r="3801" spans="1:5" x14ac:dyDescent="0.2">
      <c r="A3801"/>
      <c r="B3801" s="663"/>
      <c r="C3801" s="663"/>
      <c r="D3801" s="663"/>
      <c r="E3801" s="663"/>
    </row>
    <row r="3802" spans="1:5" x14ac:dyDescent="0.2">
      <c r="A3802"/>
      <c r="B3802" s="663"/>
      <c r="C3802" s="663"/>
      <c r="D3802" s="663"/>
      <c r="E3802" s="663"/>
    </row>
    <row r="3803" spans="1:5" x14ac:dyDescent="0.2">
      <c r="A3803"/>
      <c r="B3803" s="663"/>
      <c r="C3803" s="663"/>
      <c r="D3803" s="663"/>
      <c r="E3803" s="663"/>
    </row>
    <row r="3804" spans="1:5" x14ac:dyDescent="0.2">
      <c r="A3804"/>
      <c r="B3804" s="663"/>
      <c r="C3804" s="663"/>
      <c r="D3804" s="663"/>
      <c r="E3804" s="663"/>
    </row>
    <row r="3805" spans="1:5" x14ac:dyDescent="0.2">
      <c r="A3805"/>
      <c r="B3805" s="663"/>
      <c r="C3805" s="663"/>
      <c r="D3805" s="663"/>
      <c r="E3805" s="663"/>
    </row>
    <row r="3806" spans="1:5" x14ac:dyDescent="0.2">
      <c r="A3806"/>
      <c r="B3806" s="663"/>
      <c r="C3806" s="663"/>
      <c r="D3806" s="663"/>
      <c r="E3806" s="663"/>
    </row>
    <row r="3807" spans="1:5" x14ac:dyDescent="0.2">
      <c r="A3807"/>
      <c r="B3807" s="663"/>
      <c r="C3807" s="663"/>
      <c r="D3807" s="663"/>
      <c r="E3807" s="663"/>
    </row>
    <row r="3808" spans="1:5" x14ac:dyDescent="0.2">
      <c r="A3808"/>
      <c r="B3808" s="663"/>
      <c r="C3808" s="663"/>
      <c r="D3808" s="663"/>
      <c r="E3808" s="663"/>
    </row>
    <row r="3809" spans="1:5" x14ac:dyDescent="0.2">
      <c r="A3809"/>
      <c r="B3809" s="663"/>
      <c r="C3809" s="663"/>
      <c r="D3809" s="663"/>
      <c r="E3809" s="663"/>
    </row>
    <row r="3810" spans="1:5" x14ac:dyDescent="0.2">
      <c r="A3810"/>
      <c r="B3810" s="663"/>
      <c r="C3810" s="663"/>
      <c r="D3810" s="663"/>
      <c r="E3810" s="663"/>
    </row>
    <row r="3811" spans="1:5" x14ac:dyDescent="0.2">
      <c r="A3811"/>
      <c r="B3811" s="663"/>
      <c r="C3811" s="663"/>
      <c r="D3811" s="663"/>
      <c r="E3811" s="663"/>
    </row>
    <row r="3812" spans="1:5" x14ac:dyDescent="0.2">
      <c r="A3812"/>
      <c r="B3812" s="663"/>
      <c r="C3812" s="663"/>
      <c r="D3812" s="663"/>
      <c r="E3812" s="663"/>
    </row>
    <row r="3813" spans="1:5" x14ac:dyDescent="0.2">
      <c r="A3813"/>
      <c r="B3813" s="663"/>
      <c r="C3813" s="663"/>
      <c r="D3813" s="663"/>
      <c r="E3813" s="663"/>
    </row>
    <row r="3814" spans="1:5" x14ac:dyDescent="0.2">
      <c r="A3814"/>
      <c r="B3814" s="663"/>
      <c r="C3814" s="663"/>
      <c r="D3814" s="663"/>
      <c r="E3814" s="663"/>
    </row>
    <row r="3815" spans="1:5" x14ac:dyDescent="0.2">
      <c r="A3815"/>
      <c r="B3815" s="663"/>
      <c r="C3815" s="663"/>
      <c r="D3815" s="663"/>
      <c r="E3815" s="663"/>
    </row>
    <row r="3816" spans="1:5" x14ac:dyDescent="0.2">
      <c r="A3816"/>
      <c r="B3816" s="663"/>
      <c r="C3816" s="663"/>
      <c r="D3816" s="663"/>
      <c r="E3816" s="663"/>
    </row>
    <row r="3817" spans="1:5" x14ac:dyDescent="0.2">
      <c r="A3817"/>
      <c r="B3817" s="663"/>
      <c r="C3817" s="663"/>
      <c r="D3817" s="663"/>
      <c r="E3817" s="663"/>
    </row>
    <row r="3818" spans="1:5" x14ac:dyDescent="0.2">
      <c r="A3818"/>
      <c r="B3818" s="663"/>
      <c r="C3818" s="663"/>
      <c r="D3818" s="663"/>
      <c r="E3818" s="663"/>
    </row>
    <row r="3819" spans="1:5" x14ac:dyDescent="0.2">
      <c r="A3819"/>
      <c r="B3819" s="663"/>
      <c r="C3819" s="663"/>
      <c r="D3819" s="663"/>
      <c r="E3819" s="663"/>
    </row>
    <row r="3820" spans="1:5" x14ac:dyDescent="0.2">
      <c r="A3820"/>
      <c r="B3820" s="663"/>
      <c r="C3820" s="663"/>
      <c r="D3820" s="663"/>
      <c r="E3820" s="663"/>
    </row>
    <row r="3821" spans="1:5" x14ac:dyDescent="0.2">
      <c r="A3821"/>
      <c r="B3821" s="663"/>
      <c r="C3821" s="663"/>
      <c r="D3821" s="663"/>
      <c r="E3821" s="663"/>
    </row>
    <row r="3822" spans="1:5" x14ac:dyDescent="0.2">
      <c r="A3822"/>
      <c r="B3822" s="663"/>
      <c r="C3822" s="663"/>
      <c r="D3822" s="663"/>
      <c r="E3822" s="663"/>
    </row>
    <row r="3823" spans="1:5" x14ac:dyDescent="0.2">
      <c r="A3823"/>
      <c r="B3823" s="663"/>
      <c r="C3823" s="663"/>
      <c r="D3823" s="663"/>
      <c r="E3823" s="663"/>
    </row>
    <row r="3824" spans="1:5" x14ac:dyDescent="0.2">
      <c r="A3824"/>
      <c r="B3824" s="663"/>
      <c r="C3824" s="663"/>
      <c r="D3824" s="663"/>
      <c r="E3824" s="663"/>
    </row>
    <row r="3825" spans="1:5" x14ac:dyDescent="0.2">
      <c r="A3825"/>
      <c r="B3825" s="663"/>
      <c r="C3825" s="663"/>
      <c r="D3825" s="663"/>
      <c r="E3825" s="663"/>
    </row>
    <row r="3826" spans="1:5" x14ac:dyDescent="0.2">
      <c r="A3826"/>
      <c r="B3826" s="663"/>
      <c r="C3826" s="663"/>
      <c r="D3826" s="663"/>
      <c r="E3826" s="663"/>
    </row>
    <row r="3827" spans="1:5" x14ac:dyDescent="0.2">
      <c r="A3827"/>
      <c r="B3827" s="663"/>
      <c r="C3827" s="663"/>
      <c r="D3827" s="663"/>
      <c r="E3827" s="663"/>
    </row>
    <row r="3828" spans="1:5" x14ac:dyDescent="0.2">
      <c r="A3828"/>
      <c r="B3828" s="663"/>
      <c r="C3828" s="663"/>
      <c r="D3828" s="663"/>
      <c r="E3828" s="663"/>
    </row>
    <row r="3829" spans="1:5" x14ac:dyDescent="0.2">
      <c r="A3829"/>
      <c r="B3829" s="663"/>
      <c r="C3829" s="663"/>
      <c r="D3829" s="663"/>
      <c r="E3829" s="663"/>
    </row>
    <row r="3830" spans="1:5" x14ac:dyDescent="0.2">
      <c r="A3830"/>
      <c r="B3830" s="663"/>
      <c r="C3830" s="663"/>
      <c r="D3830" s="663"/>
      <c r="E3830" s="663"/>
    </row>
    <row r="3831" spans="1:5" x14ac:dyDescent="0.2">
      <c r="A3831"/>
      <c r="B3831" s="663"/>
      <c r="C3831" s="663"/>
      <c r="D3831" s="663"/>
      <c r="E3831" s="663"/>
    </row>
    <row r="3832" spans="1:5" x14ac:dyDescent="0.2">
      <c r="A3832"/>
      <c r="B3832" s="663"/>
      <c r="C3832" s="663"/>
      <c r="D3832" s="663"/>
      <c r="E3832" s="663"/>
    </row>
    <row r="3833" spans="1:5" x14ac:dyDescent="0.2">
      <c r="A3833"/>
      <c r="B3833" s="663"/>
      <c r="C3833" s="663"/>
      <c r="D3833" s="663"/>
      <c r="E3833" s="663"/>
    </row>
    <row r="3834" spans="1:5" x14ac:dyDescent="0.2">
      <c r="A3834"/>
      <c r="B3834" s="663"/>
      <c r="C3834" s="663"/>
      <c r="D3834" s="663"/>
      <c r="E3834" s="663"/>
    </row>
    <row r="3835" spans="1:5" x14ac:dyDescent="0.2">
      <c r="A3835"/>
      <c r="B3835" s="663"/>
      <c r="C3835" s="663"/>
      <c r="D3835" s="663"/>
      <c r="E3835" s="663"/>
    </row>
    <row r="3836" spans="1:5" x14ac:dyDescent="0.2">
      <c r="A3836"/>
      <c r="B3836" s="663"/>
      <c r="C3836" s="663"/>
      <c r="D3836" s="663"/>
      <c r="E3836" s="663"/>
    </row>
    <row r="3837" spans="1:5" x14ac:dyDescent="0.2">
      <c r="A3837"/>
      <c r="B3837" s="663"/>
      <c r="C3837" s="663"/>
      <c r="D3837" s="663"/>
      <c r="E3837" s="663"/>
    </row>
    <row r="3838" spans="1:5" x14ac:dyDescent="0.2">
      <c r="A3838"/>
      <c r="B3838" s="663"/>
      <c r="C3838" s="663"/>
      <c r="D3838" s="663"/>
      <c r="E3838" s="663"/>
    </row>
    <row r="3839" spans="1:5" x14ac:dyDescent="0.2">
      <c r="A3839"/>
      <c r="B3839" s="663"/>
      <c r="C3839" s="663"/>
      <c r="D3839" s="663"/>
      <c r="E3839" s="663"/>
    </row>
    <row r="3840" spans="1:5" x14ac:dyDescent="0.2">
      <c r="A3840"/>
      <c r="B3840" s="663"/>
      <c r="C3840" s="663"/>
      <c r="D3840" s="663"/>
      <c r="E3840" s="663"/>
    </row>
    <row r="3841" spans="1:5" x14ac:dyDescent="0.2">
      <c r="A3841"/>
      <c r="B3841" s="663"/>
      <c r="C3841" s="663"/>
      <c r="D3841" s="663"/>
      <c r="E3841" s="663"/>
    </row>
    <row r="3842" spans="1:5" x14ac:dyDescent="0.2">
      <c r="A3842"/>
      <c r="B3842" s="663"/>
      <c r="C3842" s="663"/>
      <c r="D3842" s="663"/>
      <c r="E3842" s="663"/>
    </row>
    <row r="3843" spans="1:5" x14ac:dyDescent="0.2">
      <c r="A3843"/>
      <c r="B3843" s="663"/>
      <c r="C3843" s="663"/>
      <c r="D3843" s="663"/>
      <c r="E3843" s="663"/>
    </row>
    <row r="3844" spans="1:5" x14ac:dyDescent="0.2">
      <c r="A3844"/>
      <c r="B3844" s="663"/>
      <c r="C3844" s="663"/>
      <c r="D3844" s="663"/>
      <c r="E3844" s="663"/>
    </row>
    <row r="3845" spans="1:5" x14ac:dyDescent="0.2">
      <c r="A3845"/>
      <c r="B3845" s="663"/>
      <c r="C3845" s="663"/>
      <c r="D3845" s="663"/>
      <c r="E3845" s="663"/>
    </row>
    <row r="3846" spans="1:5" x14ac:dyDescent="0.2">
      <c r="A3846"/>
      <c r="B3846" s="663"/>
      <c r="C3846" s="663"/>
      <c r="D3846" s="663"/>
      <c r="E3846" s="663"/>
    </row>
    <row r="3847" spans="1:5" x14ac:dyDescent="0.2">
      <c r="A3847"/>
      <c r="B3847" s="663"/>
      <c r="C3847" s="663"/>
      <c r="D3847" s="663"/>
      <c r="E3847" s="663"/>
    </row>
    <row r="3848" spans="1:5" x14ac:dyDescent="0.2">
      <c r="A3848"/>
      <c r="B3848" s="663"/>
      <c r="C3848" s="663"/>
      <c r="D3848" s="663"/>
      <c r="E3848" s="663"/>
    </row>
    <row r="3849" spans="1:5" x14ac:dyDescent="0.2">
      <c r="A3849"/>
      <c r="B3849" s="663"/>
      <c r="C3849" s="663"/>
      <c r="D3849" s="663"/>
      <c r="E3849" s="663"/>
    </row>
    <row r="3850" spans="1:5" x14ac:dyDescent="0.2">
      <c r="A3850"/>
      <c r="B3850" s="663"/>
      <c r="C3850" s="663"/>
      <c r="D3850" s="663"/>
      <c r="E3850" s="663"/>
    </row>
    <row r="3851" spans="1:5" x14ac:dyDescent="0.2">
      <c r="A3851"/>
      <c r="B3851" s="663"/>
      <c r="C3851" s="663"/>
      <c r="D3851" s="663"/>
      <c r="E3851" s="663"/>
    </row>
    <row r="3852" spans="1:5" x14ac:dyDescent="0.2">
      <c r="A3852"/>
      <c r="B3852" s="663"/>
      <c r="C3852" s="663"/>
      <c r="D3852" s="663"/>
      <c r="E3852" s="663"/>
    </row>
    <row r="3853" spans="1:5" x14ac:dyDescent="0.2">
      <c r="A3853"/>
      <c r="B3853" s="663"/>
      <c r="C3853" s="663"/>
      <c r="D3853" s="663"/>
      <c r="E3853" s="663"/>
    </row>
    <row r="3854" spans="1:5" x14ac:dyDescent="0.2">
      <c r="A3854"/>
      <c r="B3854" s="663"/>
      <c r="C3854" s="663"/>
      <c r="D3854" s="663"/>
      <c r="E3854" s="663"/>
    </row>
    <row r="3855" spans="1:5" x14ac:dyDescent="0.2">
      <c r="A3855"/>
      <c r="B3855" s="663"/>
      <c r="C3855" s="663"/>
      <c r="D3855" s="663"/>
      <c r="E3855" s="663"/>
    </row>
    <row r="3856" spans="1:5" x14ac:dyDescent="0.2">
      <c r="A3856"/>
      <c r="B3856" s="663"/>
      <c r="C3856" s="663"/>
      <c r="D3856" s="663"/>
      <c r="E3856" s="663"/>
    </row>
    <row r="3857" spans="1:5" x14ac:dyDescent="0.2">
      <c r="A3857"/>
      <c r="B3857" s="663"/>
      <c r="C3857" s="663"/>
      <c r="D3857" s="663"/>
      <c r="E3857" s="663"/>
    </row>
    <row r="3858" spans="1:5" x14ac:dyDescent="0.2">
      <c r="A3858"/>
      <c r="B3858" s="663"/>
      <c r="C3858" s="663"/>
      <c r="D3858" s="663"/>
      <c r="E3858" s="663"/>
    </row>
    <row r="3859" spans="1:5" x14ac:dyDescent="0.2">
      <c r="A3859"/>
      <c r="B3859" s="663"/>
      <c r="C3859" s="663"/>
      <c r="D3859" s="663"/>
      <c r="E3859" s="663"/>
    </row>
    <row r="3860" spans="1:5" x14ac:dyDescent="0.2">
      <c r="A3860"/>
      <c r="B3860" s="663"/>
      <c r="C3860" s="663"/>
      <c r="D3860" s="663"/>
      <c r="E3860" s="663"/>
    </row>
    <row r="3861" spans="1:5" x14ac:dyDescent="0.2">
      <c r="A3861"/>
      <c r="B3861" s="663"/>
      <c r="C3861" s="663"/>
      <c r="D3861" s="663"/>
      <c r="E3861" s="663"/>
    </row>
    <row r="3862" spans="1:5" x14ac:dyDescent="0.2">
      <c r="A3862"/>
      <c r="B3862" s="663"/>
      <c r="C3862" s="663"/>
      <c r="D3862" s="663"/>
      <c r="E3862" s="663"/>
    </row>
    <row r="3863" spans="1:5" x14ac:dyDescent="0.2">
      <c r="A3863"/>
      <c r="B3863" s="663"/>
      <c r="C3863" s="663"/>
      <c r="D3863" s="663"/>
      <c r="E3863" s="663"/>
    </row>
    <row r="3864" spans="1:5" x14ac:dyDescent="0.2">
      <c r="A3864"/>
      <c r="B3864" s="663"/>
      <c r="C3864" s="663"/>
      <c r="D3864" s="663"/>
      <c r="E3864" s="663"/>
    </row>
    <row r="3865" spans="1:5" x14ac:dyDescent="0.2">
      <c r="A3865"/>
      <c r="B3865" s="663"/>
      <c r="C3865" s="663"/>
      <c r="D3865" s="663"/>
      <c r="E3865" s="663"/>
    </row>
    <row r="3866" spans="1:5" x14ac:dyDescent="0.2">
      <c r="A3866"/>
      <c r="B3866" s="663"/>
      <c r="C3866" s="663"/>
      <c r="D3866" s="663"/>
      <c r="E3866" s="663"/>
    </row>
    <row r="3867" spans="1:5" x14ac:dyDescent="0.2">
      <c r="A3867"/>
      <c r="B3867" s="663"/>
      <c r="C3867" s="663"/>
      <c r="D3867" s="663"/>
      <c r="E3867" s="663"/>
    </row>
    <row r="3868" spans="1:5" x14ac:dyDescent="0.2">
      <c r="A3868"/>
      <c r="B3868" s="663"/>
      <c r="C3868" s="663"/>
      <c r="D3868" s="663"/>
      <c r="E3868" s="663"/>
    </row>
    <row r="3869" spans="1:5" x14ac:dyDescent="0.2">
      <c r="A3869"/>
      <c r="B3869" s="663"/>
      <c r="C3869" s="663"/>
      <c r="D3869" s="663"/>
      <c r="E3869" s="663"/>
    </row>
    <row r="3870" spans="1:5" x14ac:dyDescent="0.2">
      <c r="A3870"/>
      <c r="B3870" s="663"/>
      <c r="C3870" s="663"/>
      <c r="D3870" s="663"/>
      <c r="E3870" s="663"/>
    </row>
    <row r="3871" spans="1:5" x14ac:dyDescent="0.2">
      <c r="A3871"/>
      <c r="B3871" s="663"/>
      <c r="C3871" s="663"/>
      <c r="D3871" s="663"/>
      <c r="E3871" s="663"/>
    </row>
    <row r="3872" spans="1:5" x14ac:dyDescent="0.2">
      <c r="A3872"/>
      <c r="B3872" s="663"/>
      <c r="C3872" s="663"/>
      <c r="D3872" s="663"/>
      <c r="E3872" s="663"/>
    </row>
    <row r="3873" spans="1:5" x14ac:dyDescent="0.2">
      <c r="A3873"/>
      <c r="B3873" s="663"/>
      <c r="C3873" s="663"/>
      <c r="D3873" s="663"/>
      <c r="E3873" s="663"/>
    </row>
    <row r="3874" spans="1:5" x14ac:dyDescent="0.2">
      <c r="A3874"/>
      <c r="B3874" s="663"/>
      <c r="C3874" s="663"/>
      <c r="D3874" s="663"/>
      <c r="E3874" s="663"/>
    </row>
    <row r="3875" spans="1:5" x14ac:dyDescent="0.2">
      <c r="A3875"/>
      <c r="B3875" s="663"/>
      <c r="C3875" s="663"/>
      <c r="D3875" s="663"/>
      <c r="E3875" s="663"/>
    </row>
    <row r="3876" spans="1:5" x14ac:dyDescent="0.2">
      <c r="A3876"/>
      <c r="B3876" s="663"/>
      <c r="C3876" s="663"/>
      <c r="D3876" s="663"/>
      <c r="E3876" s="663"/>
    </row>
    <row r="3877" spans="1:5" x14ac:dyDescent="0.2">
      <c r="A3877"/>
      <c r="B3877" s="663"/>
      <c r="C3877" s="663"/>
      <c r="D3877" s="663"/>
      <c r="E3877" s="663"/>
    </row>
    <row r="3878" spans="1:5" x14ac:dyDescent="0.2">
      <c r="A3878"/>
      <c r="B3878" s="663"/>
      <c r="C3878" s="663"/>
      <c r="D3878" s="663"/>
      <c r="E3878" s="663"/>
    </row>
    <row r="3879" spans="1:5" x14ac:dyDescent="0.2">
      <c r="A3879"/>
      <c r="B3879" s="663"/>
      <c r="C3879" s="663"/>
      <c r="D3879" s="663"/>
      <c r="E3879" s="663"/>
    </row>
    <row r="3880" spans="1:5" x14ac:dyDescent="0.2">
      <c r="A3880"/>
      <c r="B3880" s="663"/>
      <c r="C3880" s="663"/>
      <c r="D3880" s="663"/>
      <c r="E3880" s="663"/>
    </row>
    <row r="3881" spans="1:5" x14ac:dyDescent="0.2">
      <c r="A3881"/>
      <c r="B3881" s="663"/>
      <c r="C3881" s="663"/>
      <c r="D3881" s="663"/>
      <c r="E3881" s="663"/>
    </row>
    <row r="3882" spans="1:5" x14ac:dyDescent="0.2">
      <c r="A3882"/>
      <c r="B3882" s="663"/>
      <c r="C3882" s="663"/>
      <c r="D3882" s="663"/>
      <c r="E3882" s="663"/>
    </row>
    <row r="3883" spans="1:5" x14ac:dyDescent="0.2">
      <c r="A3883"/>
      <c r="B3883" s="663"/>
      <c r="C3883" s="663"/>
      <c r="D3883" s="663"/>
      <c r="E3883" s="663"/>
    </row>
    <row r="3884" spans="1:5" x14ac:dyDescent="0.2">
      <c r="A3884"/>
      <c r="B3884" s="663"/>
      <c r="C3884" s="663"/>
      <c r="D3884" s="663"/>
      <c r="E3884" s="663"/>
    </row>
    <row r="3885" spans="1:5" x14ac:dyDescent="0.2">
      <c r="A3885"/>
      <c r="B3885" s="663"/>
      <c r="C3885" s="663"/>
      <c r="D3885" s="663"/>
      <c r="E3885" s="663"/>
    </row>
    <row r="3886" spans="1:5" x14ac:dyDescent="0.2">
      <c r="A3886"/>
      <c r="B3886" s="663"/>
      <c r="C3886" s="663"/>
      <c r="D3886" s="663"/>
      <c r="E3886" s="663"/>
    </row>
    <row r="3887" spans="1:5" x14ac:dyDescent="0.2">
      <c r="A3887"/>
      <c r="B3887" s="663"/>
      <c r="C3887" s="663"/>
      <c r="D3887" s="663"/>
      <c r="E3887" s="663"/>
    </row>
    <row r="3888" spans="1:5" x14ac:dyDescent="0.2">
      <c r="A3888"/>
      <c r="B3888" s="663"/>
      <c r="C3888" s="663"/>
      <c r="D3888" s="663"/>
      <c r="E3888" s="663"/>
    </row>
    <row r="3889" spans="1:5" x14ac:dyDescent="0.2">
      <c r="A3889"/>
      <c r="B3889" s="663"/>
      <c r="C3889" s="663"/>
      <c r="D3889" s="663"/>
      <c r="E3889" s="663"/>
    </row>
    <row r="3890" spans="1:5" x14ac:dyDescent="0.2">
      <c r="A3890"/>
      <c r="B3890" s="663"/>
      <c r="C3890" s="663"/>
      <c r="D3890" s="663"/>
      <c r="E3890" s="663"/>
    </row>
    <row r="3891" spans="1:5" x14ac:dyDescent="0.2">
      <c r="A3891"/>
      <c r="B3891" s="663"/>
      <c r="C3891" s="663"/>
      <c r="D3891" s="663"/>
      <c r="E3891" s="663"/>
    </row>
    <row r="3892" spans="1:5" x14ac:dyDescent="0.2">
      <c r="A3892"/>
      <c r="B3892" s="663"/>
      <c r="C3892" s="663"/>
      <c r="D3892" s="663"/>
      <c r="E3892" s="663"/>
    </row>
    <row r="3893" spans="1:5" x14ac:dyDescent="0.2">
      <c r="A3893"/>
      <c r="B3893" s="663"/>
      <c r="C3893" s="663"/>
      <c r="D3893" s="663"/>
      <c r="E3893" s="663"/>
    </row>
    <row r="3894" spans="1:5" x14ac:dyDescent="0.2">
      <c r="A3894"/>
      <c r="B3894" s="663"/>
      <c r="C3894" s="663"/>
      <c r="D3894" s="663"/>
      <c r="E3894" s="663"/>
    </row>
    <row r="3895" spans="1:5" x14ac:dyDescent="0.2">
      <c r="A3895"/>
      <c r="B3895" s="663"/>
      <c r="C3895" s="663"/>
      <c r="D3895" s="663"/>
      <c r="E3895" s="663"/>
    </row>
    <row r="3896" spans="1:5" x14ac:dyDescent="0.2">
      <c r="A3896"/>
      <c r="B3896" s="663"/>
      <c r="C3896" s="663"/>
      <c r="D3896" s="663"/>
      <c r="E3896" s="663"/>
    </row>
    <row r="3897" spans="1:5" x14ac:dyDescent="0.2">
      <c r="A3897"/>
      <c r="B3897" s="663"/>
      <c r="C3897" s="663"/>
      <c r="D3897" s="663"/>
      <c r="E3897" s="663"/>
    </row>
    <row r="3898" spans="1:5" x14ac:dyDescent="0.2">
      <c r="A3898"/>
      <c r="B3898" s="663"/>
      <c r="C3898" s="663"/>
      <c r="D3898" s="663"/>
      <c r="E3898" s="663"/>
    </row>
    <row r="3899" spans="1:5" x14ac:dyDescent="0.2">
      <c r="A3899"/>
      <c r="B3899" s="663"/>
      <c r="C3899" s="663"/>
      <c r="D3899" s="663"/>
      <c r="E3899" s="663"/>
    </row>
    <row r="3900" spans="1:5" x14ac:dyDescent="0.2">
      <c r="A3900"/>
      <c r="B3900" s="663"/>
      <c r="C3900" s="663"/>
      <c r="D3900" s="663"/>
      <c r="E3900" s="663"/>
    </row>
    <row r="3901" spans="1:5" x14ac:dyDescent="0.2">
      <c r="A3901"/>
      <c r="B3901" s="663"/>
      <c r="C3901" s="663"/>
      <c r="D3901" s="663"/>
      <c r="E3901" s="663"/>
    </row>
    <row r="3902" spans="1:5" x14ac:dyDescent="0.2">
      <c r="A3902"/>
      <c r="B3902" s="663"/>
      <c r="C3902" s="663"/>
      <c r="D3902" s="663"/>
      <c r="E3902" s="663"/>
    </row>
    <row r="3903" spans="1:5" x14ac:dyDescent="0.2">
      <c r="A3903"/>
      <c r="B3903" s="663"/>
      <c r="C3903" s="663"/>
      <c r="D3903" s="663"/>
      <c r="E3903" s="663"/>
    </row>
    <row r="3904" spans="1:5" x14ac:dyDescent="0.2">
      <c r="A3904"/>
      <c r="B3904" s="663"/>
      <c r="C3904" s="663"/>
      <c r="D3904" s="663"/>
      <c r="E3904" s="663"/>
    </row>
    <row r="3905" spans="1:5" x14ac:dyDescent="0.2">
      <c r="A3905"/>
      <c r="B3905" s="663"/>
      <c r="C3905" s="663"/>
      <c r="D3905" s="663"/>
      <c r="E3905" s="663"/>
    </row>
    <row r="3906" spans="1:5" x14ac:dyDescent="0.2">
      <c r="A3906"/>
      <c r="B3906" s="663"/>
      <c r="C3906" s="663"/>
      <c r="D3906" s="663"/>
      <c r="E3906" s="663"/>
    </row>
    <row r="3907" spans="1:5" x14ac:dyDescent="0.2">
      <c r="A3907"/>
      <c r="B3907" s="663"/>
      <c r="C3907" s="663"/>
      <c r="D3907" s="663"/>
      <c r="E3907" s="663"/>
    </row>
    <row r="3908" spans="1:5" x14ac:dyDescent="0.2">
      <c r="A3908"/>
      <c r="B3908" s="663"/>
      <c r="C3908" s="663"/>
      <c r="D3908" s="663"/>
      <c r="E3908" s="663"/>
    </row>
    <row r="3909" spans="1:5" x14ac:dyDescent="0.2">
      <c r="A3909"/>
      <c r="B3909" s="663"/>
      <c r="C3909" s="663"/>
      <c r="D3909" s="663"/>
      <c r="E3909" s="663"/>
    </row>
    <row r="3910" spans="1:5" x14ac:dyDescent="0.2">
      <c r="A3910"/>
      <c r="B3910" s="663"/>
      <c r="C3910" s="663"/>
      <c r="D3910" s="663"/>
      <c r="E3910" s="663"/>
    </row>
    <row r="3911" spans="1:5" x14ac:dyDescent="0.2">
      <c r="A3911"/>
      <c r="B3911" s="663"/>
      <c r="C3911" s="663"/>
      <c r="D3911" s="663"/>
      <c r="E3911" s="663"/>
    </row>
    <row r="3912" spans="1:5" x14ac:dyDescent="0.2">
      <c r="A3912"/>
      <c r="B3912" s="663"/>
      <c r="C3912" s="663"/>
      <c r="D3912" s="663"/>
      <c r="E3912" s="663"/>
    </row>
    <row r="3913" spans="1:5" x14ac:dyDescent="0.2">
      <c r="A3913"/>
      <c r="B3913" s="663"/>
      <c r="C3913" s="663"/>
      <c r="D3913" s="663"/>
      <c r="E3913" s="663"/>
    </row>
    <row r="3914" spans="1:5" x14ac:dyDescent="0.2">
      <c r="A3914"/>
      <c r="B3914" s="663"/>
      <c r="C3914" s="663"/>
      <c r="D3914" s="663"/>
      <c r="E3914" s="663"/>
    </row>
    <row r="3915" spans="1:5" x14ac:dyDescent="0.2">
      <c r="A3915"/>
      <c r="B3915" s="663"/>
      <c r="C3915" s="663"/>
      <c r="D3915" s="663"/>
      <c r="E3915" s="663"/>
    </row>
    <row r="3916" spans="1:5" x14ac:dyDescent="0.2">
      <c r="A3916"/>
      <c r="B3916" s="663"/>
      <c r="C3916" s="663"/>
      <c r="D3916" s="663"/>
      <c r="E3916" s="663"/>
    </row>
    <row r="3917" spans="1:5" x14ac:dyDescent="0.2">
      <c r="A3917"/>
      <c r="B3917" s="663"/>
      <c r="C3917" s="663"/>
      <c r="D3917" s="663"/>
      <c r="E3917" s="663"/>
    </row>
    <row r="3918" spans="1:5" x14ac:dyDescent="0.2">
      <c r="A3918"/>
      <c r="B3918" s="663"/>
      <c r="C3918" s="663"/>
      <c r="D3918" s="663"/>
      <c r="E3918" s="663"/>
    </row>
    <row r="3919" spans="1:5" x14ac:dyDescent="0.2">
      <c r="A3919"/>
      <c r="B3919" s="663"/>
      <c r="C3919" s="663"/>
      <c r="D3919" s="663"/>
      <c r="E3919" s="663"/>
    </row>
    <row r="3920" spans="1:5" x14ac:dyDescent="0.2">
      <c r="A3920"/>
      <c r="B3920" s="663"/>
      <c r="C3920" s="663"/>
      <c r="D3920" s="663"/>
      <c r="E3920" s="663"/>
    </row>
    <row r="3921" spans="1:5" x14ac:dyDescent="0.2">
      <c r="A3921"/>
      <c r="B3921" s="663"/>
      <c r="C3921" s="663"/>
      <c r="D3921" s="663"/>
      <c r="E3921" s="663"/>
    </row>
    <row r="3922" spans="1:5" x14ac:dyDescent="0.2">
      <c r="A3922"/>
      <c r="B3922" s="663"/>
      <c r="C3922" s="663"/>
      <c r="D3922" s="663"/>
      <c r="E3922" s="663"/>
    </row>
    <row r="3923" spans="1:5" x14ac:dyDescent="0.2">
      <c r="A3923"/>
      <c r="B3923" s="663"/>
      <c r="C3923" s="663"/>
      <c r="D3923" s="663"/>
      <c r="E3923" s="663"/>
    </row>
    <row r="3924" spans="1:5" x14ac:dyDescent="0.2">
      <c r="A3924"/>
      <c r="B3924" s="663"/>
      <c r="C3924" s="663"/>
      <c r="D3924" s="663"/>
      <c r="E3924" s="663"/>
    </row>
    <row r="3925" spans="1:5" x14ac:dyDescent="0.2">
      <c r="A3925"/>
      <c r="B3925" s="663"/>
      <c r="C3925" s="663"/>
      <c r="D3925" s="663"/>
      <c r="E3925" s="663"/>
    </row>
    <row r="3926" spans="1:5" x14ac:dyDescent="0.2">
      <c r="A3926"/>
      <c r="B3926" s="663"/>
      <c r="C3926" s="663"/>
      <c r="D3926" s="663"/>
      <c r="E3926" s="663"/>
    </row>
    <row r="3927" spans="1:5" x14ac:dyDescent="0.2">
      <c r="A3927"/>
      <c r="B3927" s="663"/>
      <c r="C3927" s="663"/>
      <c r="D3927" s="663"/>
      <c r="E3927" s="663"/>
    </row>
    <row r="3928" spans="1:5" x14ac:dyDescent="0.2">
      <c r="A3928"/>
      <c r="B3928" s="663"/>
      <c r="C3928" s="663"/>
      <c r="D3928" s="663"/>
      <c r="E3928" s="663"/>
    </row>
    <row r="3929" spans="1:5" x14ac:dyDescent="0.2">
      <c r="A3929"/>
      <c r="B3929" s="663"/>
      <c r="C3929" s="663"/>
      <c r="D3929" s="663"/>
      <c r="E3929" s="663"/>
    </row>
    <row r="3930" spans="1:5" x14ac:dyDescent="0.2">
      <c r="A3930"/>
      <c r="B3930" s="663"/>
      <c r="C3930" s="663"/>
      <c r="D3930" s="663"/>
      <c r="E3930" s="663"/>
    </row>
    <row r="3931" spans="1:5" x14ac:dyDescent="0.2">
      <c r="A3931"/>
      <c r="B3931" s="663"/>
      <c r="C3931" s="663"/>
      <c r="D3931" s="663"/>
      <c r="E3931" s="663"/>
    </row>
    <row r="3932" spans="1:5" x14ac:dyDescent="0.2">
      <c r="A3932"/>
      <c r="B3932" s="663"/>
      <c r="C3932" s="663"/>
      <c r="D3932" s="663"/>
      <c r="E3932" s="663"/>
    </row>
    <row r="3933" spans="1:5" x14ac:dyDescent="0.2">
      <c r="A3933"/>
      <c r="B3933" s="663"/>
      <c r="C3933" s="663"/>
      <c r="D3933" s="663"/>
      <c r="E3933" s="663"/>
    </row>
    <row r="3934" spans="1:5" x14ac:dyDescent="0.2">
      <c r="A3934"/>
      <c r="B3934" s="663"/>
      <c r="C3934" s="663"/>
      <c r="D3934" s="663"/>
      <c r="E3934" s="663"/>
    </row>
    <row r="3935" spans="1:5" x14ac:dyDescent="0.2">
      <c r="A3935"/>
      <c r="B3935" s="663"/>
      <c r="C3935" s="663"/>
      <c r="D3935" s="663"/>
      <c r="E3935" s="663"/>
    </row>
    <row r="3936" spans="1:5" x14ac:dyDescent="0.2">
      <c r="A3936"/>
      <c r="B3936" s="663"/>
      <c r="C3936" s="663"/>
      <c r="D3936" s="663"/>
      <c r="E3936" s="663"/>
    </row>
    <row r="3937" spans="1:5" x14ac:dyDescent="0.2">
      <c r="A3937"/>
      <c r="B3937" s="663"/>
      <c r="C3937" s="663"/>
      <c r="D3937" s="663"/>
      <c r="E3937" s="663"/>
    </row>
    <row r="3938" spans="1:5" x14ac:dyDescent="0.2">
      <c r="A3938"/>
      <c r="B3938" s="663"/>
      <c r="C3938" s="663"/>
      <c r="D3938" s="663"/>
      <c r="E3938" s="663"/>
    </row>
    <row r="3939" spans="1:5" x14ac:dyDescent="0.2">
      <c r="A3939"/>
      <c r="B3939" s="663"/>
      <c r="C3939" s="663"/>
      <c r="D3939" s="663"/>
      <c r="E3939" s="663"/>
    </row>
    <row r="3940" spans="1:5" x14ac:dyDescent="0.2">
      <c r="A3940"/>
      <c r="B3940" s="663"/>
      <c r="C3940" s="663"/>
      <c r="D3940" s="663"/>
      <c r="E3940" s="663"/>
    </row>
    <row r="3941" spans="1:5" x14ac:dyDescent="0.2">
      <c r="A3941"/>
      <c r="B3941" s="663"/>
      <c r="C3941" s="663"/>
      <c r="D3941" s="663"/>
      <c r="E3941" s="663"/>
    </row>
    <row r="3942" spans="1:5" x14ac:dyDescent="0.2">
      <c r="A3942"/>
      <c r="B3942" s="663"/>
      <c r="C3942" s="663"/>
      <c r="D3942" s="663"/>
      <c r="E3942" s="663"/>
    </row>
    <row r="3943" spans="1:5" x14ac:dyDescent="0.2">
      <c r="A3943"/>
      <c r="B3943" s="663"/>
      <c r="C3943" s="663"/>
      <c r="D3943" s="663"/>
      <c r="E3943" s="663"/>
    </row>
    <row r="3944" spans="1:5" x14ac:dyDescent="0.2">
      <c r="A3944"/>
      <c r="B3944" s="663"/>
      <c r="C3944" s="663"/>
      <c r="D3944" s="663"/>
      <c r="E3944" s="663"/>
    </row>
    <row r="3945" spans="1:5" x14ac:dyDescent="0.2">
      <c r="A3945"/>
      <c r="B3945" s="663"/>
      <c r="C3945" s="663"/>
      <c r="D3945" s="663"/>
      <c r="E3945" s="663"/>
    </row>
    <row r="3946" spans="1:5" x14ac:dyDescent="0.2">
      <c r="A3946"/>
      <c r="B3946" s="663"/>
      <c r="C3946" s="663"/>
      <c r="D3946" s="663"/>
      <c r="E3946" s="663"/>
    </row>
    <row r="3947" spans="1:5" x14ac:dyDescent="0.2">
      <c r="A3947"/>
      <c r="B3947" s="663"/>
      <c r="C3947" s="663"/>
      <c r="D3947" s="663"/>
      <c r="E3947" s="663"/>
    </row>
    <row r="3948" spans="1:5" x14ac:dyDescent="0.2">
      <c r="A3948"/>
      <c r="B3948" s="663"/>
      <c r="C3948" s="663"/>
      <c r="D3948" s="663"/>
      <c r="E3948" s="663"/>
    </row>
    <row r="3949" spans="1:5" x14ac:dyDescent="0.2">
      <c r="A3949"/>
      <c r="B3949" s="663"/>
      <c r="C3949" s="663"/>
      <c r="D3949" s="663"/>
      <c r="E3949" s="663"/>
    </row>
    <row r="3950" spans="1:5" x14ac:dyDescent="0.2">
      <c r="A3950"/>
      <c r="B3950" s="663"/>
      <c r="C3950" s="663"/>
      <c r="D3950" s="663"/>
      <c r="E3950" s="663"/>
    </row>
    <row r="3951" spans="1:5" x14ac:dyDescent="0.2">
      <c r="A3951"/>
      <c r="B3951" s="663"/>
      <c r="C3951" s="663"/>
      <c r="D3951" s="663"/>
      <c r="E3951" s="663"/>
    </row>
    <row r="3952" spans="1:5" x14ac:dyDescent="0.2">
      <c r="A3952"/>
      <c r="B3952" s="663"/>
      <c r="C3952" s="663"/>
      <c r="D3952" s="663"/>
      <c r="E3952" s="663"/>
    </row>
    <row r="3953" spans="1:5" x14ac:dyDescent="0.2">
      <c r="A3953"/>
      <c r="B3953" s="663"/>
      <c r="C3953" s="663"/>
      <c r="D3953" s="663"/>
      <c r="E3953" s="663"/>
    </row>
    <row r="3954" spans="1:5" x14ac:dyDescent="0.2">
      <c r="A3954"/>
      <c r="B3954" s="663"/>
      <c r="C3954" s="663"/>
      <c r="D3954" s="663"/>
      <c r="E3954" s="663"/>
    </row>
    <row r="3955" spans="1:5" x14ac:dyDescent="0.2">
      <c r="A3955"/>
      <c r="B3955" s="663"/>
      <c r="C3955" s="663"/>
      <c r="D3955" s="663"/>
      <c r="E3955" s="663"/>
    </row>
    <row r="3956" spans="1:5" x14ac:dyDescent="0.2">
      <c r="A3956"/>
      <c r="B3956" s="663"/>
      <c r="C3956" s="663"/>
      <c r="D3956" s="663"/>
      <c r="E3956" s="663"/>
    </row>
    <row r="3957" spans="1:5" x14ac:dyDescent="0.2">
      <c r="A3957"/>
      <c r="B3957" s="663"/>
      <c r="C3957" s="663"/>
      <c r="D3957" s="663"/>
      <c r="E3957" s="663"/>
    </row>
    <row r="3958" spans="1:5" x14ac:dyDescent="0.2">
      <c r="A3958"/>
      <c r="B3958" s="663"/>
      <c r="C3958" s="663"/>
      <c r="D3958" s="663"/>
      <c r="E3958" s="663"/>
    </row>
    <row r="3959" spans="1:5" x14ac:dyDescent="0.2">
      <c r="A3959"/>
      <c r="B3959" s="663"/>
      <c r="C3959" s="663"/>
      <c r="D3959" s="663"/>
      <c r="E3959" s="663"/>
    </row>
    <row r="3960" spans="1:5" x14ac:dyDescent="0.2">
      <c r="A3960"/>
      <c r="B3960" s="663"/>
      <c r="C3960" s="663"/>
      <c r="D3960" s="663"/>
      <c r="E3960" s="663"/>
    </row>
    <row r="3961" spans="1:5" x14ac:dyDescent="0.2">
      <c r="A3961"/>
      <c r="B3961" s="663"/>
      <c r="C3961" s="663"/>
      <c r="D3961" s="663"/>
      <c r="E3961" s="663"/>
    </row>
    <row r="3962" spans="1:5" x14ac:dyDescent="0.2">
      <c r="A3962"/>
      <c r="B3962" s="663"/>
      <c r="C3962" s="663"/>
      <c r="D3962" s="663"/>
      <c r="E3962" s="663"/>
    </row>
    <row r="3963" spans="1:5" x14ac:dyDescent="0.2">
      <c r="A3963"/>
      <c r="B3963" s="663"/>
      <c r="C3963" s="663"/>
      <c r="D3963" s="663"/>
      <c r="E3963" s="663"/>
    </row>
    <row r="3964" spans="1:5" x14ac:dyDescent="0.2">
      <c r="A3964"/>
      <c r="B3964" s="663"/>
      <c r="C3964" s="663"/>
      <c r="D3964" s="663"/>
      <c r="E3964" s="663"/>
    </row>
    <row r="3965" spans="1:5" x14ac:dyDescent="0.2">
      <c r="A3965"/>
      <c r="B3965" s="663"/>
      <c r="C3965" s="663"/>
      <c r="D3965" s="663"/>
      <c r="E3965" s="663"/>
    </row>
    <row r="3966" spans="1:5" x14ac:dyDescent="0.2">
      <c r="A3966"/>
      <c r="B3966" s="663"/>
      <c r="C3966" s="663"/>
      <c r="D3966" s="663"/>
      <c r="E3966" s="663"/>
    </row>
    <row r="3967" spans="1:5" x14ac:dyDescent="0.2">
      <c r="A3967"/>
      <c r="B3967" s="663"/>
      <c r="C3967" s="663"/>
      <c r="D3967" s="663"/>
      <c r="E3967" s="663"/>
    </row>
    <row r="3968" spans="1:5" x14ac:dyDescent="0.2">
      <c r="A3968"/>
      <c r="B3968" s="663"/>
      <c r="C3968" s="663"/>
      <c r="D3968" s="663"/>
      <c r="E3968" s="663"/>
    </row>
    <row r="3969" spans="1:5" x14ac:dyDescent="0.2">
      <c r="A3969"/>
      <c r="B3969" s="663"/>
      <c r="C3969" s="663"/>
      <c r="D3969" s="663"/>
      <c r="E3969" s="663"/>
    </row>
    <row r="3970" spans="1:5" x14ac:dyDescent="0.2">
      <c r="A3970"/>
      <c r="B3970" s="663"/>
      <c r="C3970" s="663"/>
      <c r="D3970" s="663"/>
      <c r="E3970" s="663"/>
    </row>
    <row r="3971" spans="1:5" x14ac:dyDescent="0.2">
      <c r="A3971"/>
      <c r="B3971" s="663"/>
      <c r="C3971" s="663"/>
      <c r="D3971" s="663"/>
      <c r="E3971" s="663"/>
    </row>
    <row r="3972" spans="1:5" x14ac:dyDescent="0.2">
      <c r="A3972"/>
      <c r="B3972" s="663"/>
      <c r="C3972" s="663"/>
      <c r="D3972" s="663"/>
      <c r="E3972" s="663"/>
    </row>
    <row r="3973" spans="1:5" x14ac:dyDescent="0.2">
      <c r="A3973"/>
      <c r="B3973" s="663"/>
      <c r="C3973" s="663"/>
      <c r="D3973" s="663"/>
      <c r="E3973" s="663"/>
    </row>
    <row r="3974" spans="1:5" x14ac:dyDescent="0.2">
      <c r="A3974"/>
      <c r="B3974" s="663"/>
      <c r="C3974" s="663"/>
      <c r="D3974" s="663"/>
      <c r="E3974" s="663"/>
    </row>
    <row r="3975" spans="1:5" x14ac:dyDescent="0.2">
      <c r="A3975"/>
      <c r="B3975" s="663"/>
      <c r="C3975" s="663"/>
      <c r="D3975" s="663"/>
      <c r="E3975" s="663"/>
    </row>
    <row r="3976" spans="1:5" x14ac:dyDescent="0.2">
      <c r="A3976"/>
      <c r="B3976" s="663"/>
      <c r="C3976" s="663"/>
      <c r="D3976" s="663"/>
      <c r="E3976" s="663"/>
    </row>
    <row r="3977" spans="1:5" x14ac:dyDescent="0.2">
      <c r="A3977"/>
      <c r="B3977" s="663"/>
      <c r="C3977" s="663"/>
      <c r="D3977" s="663"/>
      <c r="E3977" s="663"/>
    </row>
    <row r="3978" spans="1:5" x14ac:dyDescent="0.2">
      <c r="A3978"/>
      <c r="B3978" s="663"/>
      <c r="C3978" s="663"/>
      <c r="D3978" s="663"/>
      <c r="E3978" s="663"/>
    </row>
    <row r="3979" spans="1:5" x14ac:dyDescent="0.2">
      <c r="A3979"/>
      <c r="B3979" s="663"/>
      <c r="C3979" s="663"/>
      <c r="D3979" s="663"/>
      <c r="E3979" s="663"/>
    </row>
    <row r="3980" spans="1:5" x14ac:dyDescent="0.2">
      <c r="A3980"/>
      <c r="B3980" s="663"/>
      <c r="C3980" s="663"/>
      <c r="D3980" s="663"/>
      <c r="E3980" s="663"/>
    </row>
    <row r="3981" spans="1:5" x14ac:dyDescent="0.2">
      <c r="A3981"/>
      <c r="B3981" s="663"/>
      <c r="C3981" s="663"/>
      <c r="D3981" s="663"/>
      <c r="E3981" s="663"/>
    </row>
    <row r="3982" spans="1:5" x14ac:dyDescent="0.2">
      <c r="A3982"/>
      <c r="B3982" s="663"/>
      <c r="C3982" s="663"/>
      <c r="D3982" s="663"/>
      <c r="E3982" s="663"/>
    </row>
    <row r="3983" spans="1:5" x14ac:dyDescent="0.2">
      <c r="A3983"/>
      <c r="B3983" s="663"/>
      <c r="C3983" s="663"/>
      <c r="D3983" s="663"/>
      <c r="E3983" s="663"/>
    </row>
    <row r="3984" spans="1:5" x14ac:dyDescent="0.2">
      <c r="A3984"/>
      <c r="B3984" s="663"/>
      <c r="C3984" s="663"/>
      <c r="D3984" s="663"/>
      <c r="E3984" s="663"/>
    </row>
    <row r="3985" spans="1:5" x14ac:dyDescent="0.2">
      <c r="A3985"/>
      <c r="B3985" s="663"/>
      <c r="C3985" s="663"/>
      <c r="D3985" s="663"/>
      <c r="E3985" s="663"/>
    </row>
    <row r="3986" spans="1:5" x14ac:dyDescent="0.2">
      <c r="A3986"/>
      <c r="B3986" s="663"/>
      <c r="C3986" s="663"/>
      <c r="D3986" s="663"/>
      <c r="E3986" s="663"/>
    </row>
    <row r="3987" spans="1:5" x14ac:dyDescent="0.2">
      <c r="A3987"/>
      <c r="B3987" s="663"/>
      <c r="C3987" s="663"/>
      <c r="D3987" s="663"/>
      <c r="E3987" s="663"/>
    </row>
    <row r="3988" spans="1:5" x14ac:dyDescent="0.2">
      <c r="A3988"/>
      <c r="B3988" s="663"/>
      <c r="C3988" s="663"/>
      <c r="D3988" s="663"/>
      <c r="E3988" s="663"/>
    </row>
    <row r="3989" spans="1:5" x14ac:dyDescent="0.2">
      <c r="A3989"/>
      <c r="B3989" s="663"/>
      <c r="C3989" s="663"/>
      <c r="D3989" s="663"/>
      <c r="E3989" s="663"/>
    </row>
    <row r="3990" spans="1:5" x14ac:dyDescent="0.2">
      <c r="A3990"/>
      <c r="B3990" s="663"/>
      <c r="C3990" s="663"/>
      <c r="D3990" s="663"/>
      <c r="E3990" s="663"/>
    </row>
    <row r="3991" spans="1:5" x14ac:dyDescent="0.2">
      <c r="A3991"/>
      <c r="B3991" s="663"/>
      <c r="C3991" s="663"/>
      <c r="D3991" s="663"/>
      <c r="E3991" s="663"/>
    </row>
    <row r="3992" spans="1:5" x14ac:dyDescent="0.2">
      <c r="A3992"/>
      <c r="B3992" s="663"/>
      <c r="C3992" s="663"/>
      <c r="D3992" s="663"/>
      <c r="E3992" s="663"/>
    </row>
    <row r="3993" spans="1:5" x14ac:dyDescent="0.2">
      <c r="A3993"/>
      <c r="B3993" s="663"/>
      <c r="C3993" s="663"/>
      <c r="D3993" s="663"/>
      <c r="E3993" s="663"/>
    </row>
    <row r="3994" spans="1:5" x14ac:dyDescent="0.2">
      <c r="A3994"/>
      <c r="B3994" s="663"/>
      <c r="C3994" s="663"/>
      <c r="D3994" s="663"/>
      <c r="E3994" s="663"/>
    </row>
    <row r="3995" spans="1:5" x14ac:dyDescent="0.2">
      <c r="A3995"/>
      <c r="B3995" s="663"/>
      <c r="C3995" s="663"/>
      <c r="D3995" s="663"/>
      <c r="E3995" s="663"/>
    </row>
    <row r="3996" spans="1:5" x14ac:dyDescent="0.2">
      <c r="A3996"/>
      <c r="B3996" s="663"/>
      <c r="C3996" s="663"/>
      <c r="D3996" s="663"/>
      <c r="E3996" s="663"/>
    </row>
    <row r="3997" spans="1:5" x14ac:dyDescent="0.2">
      <c r="A3997"/>
      <c r="B3997" s="663"/>
      <c r="C3997" s="663"/>
      <c r="D3997" s="663"/>
      <c r="E3997" s="663"/>
    </row>
    <row r="3998" spans="1:5" x14ac:dyDescent="0.2">
      <c r="A3998"/>
      <c r="B3998" s="663"/>
      <c r="C3998" s="663"/>
      <c r="D3998" s="663"/>
      <c r="E3998" s="663"/>
    </row>
    <row r="3999" spans="1:5" x14ac:dyDescent="0.2">
      <c r="A3999"/>
      <c r="B3999" s="663"/>
      <c r="C3999" s="663"/>
      <c r="D3999" s="663"/>
      <c r="E3999" s="663"/>
    </row>
    <row r="4000" spans="1:5" x14ac:dyDescent="0.2">
      <c r="A4000"/>
      <c r="B4000" s="663"/>
      <c r="C4000" s="663"/>
      <c r="D4000" s="663"/>
      <c r="E4000" s="663"/>
    </row>
    <row r="4001" spans="1:5" x14ac:dyDescent="0.2">
      <c r="A4001"/>
      <c r="B4001" s="663"/>
      <c r="C4001" s="663"/>
      <c r="D4001" s="663"/>
      <c r="E4001" s="663"/>
    </row>
    <row r="4002" spans="1:5" x14ac:dyDescent="0.2">
      <c r="A4002"/>
      <c r="B4002" s="663"/>
      <c r="C4002" s="663"/>
      <c r="D4002" s="663"/>
      <c r="E4002" s="663"/>
    </row>
    <row r="4003" spans="1:5" x14ac:dyDescent="0.2">
      <c r="A4003"/>
      <c r="B4003" s="663"/>
      <c r="C4003" s="663"/>
      <c r="D4003" s="663"/>
      <c r="E4003" s="663"/>
    </row>
    <row r="4004" spans="1:5" x14ac:dyDescent="0.2">
      <c r="A4004"/>
      <c r="B4004" s="663"/>
      <c r="C4004" s="663"/>
      <c r="D4004" s="663"/>
      <c r="E4004" s="663"/>
    </row>
    <row r="4005" spans="1:5" x14ac:dyDescent="0.2">
      <c r="A4005"/>
      <c r="B4005" s="663"/>
      <c r="C4005" s="663"/>
      <c r="D4005" s="663"/>
      <c r="E4005" s="663"/>
    </row>
    <row r="4006" spans="1:5" x14ac:dyDescent="0.2">
      <c r="A4006"/>
      <c r="B4006" s="663"/>
      <c r="C4006" s="663"/>
      <c r="D4006" s="663"/>
      <c r="E4006" s="663"/>
    </row>
    <row r="4007" spans="1:5" x14ac:dyDescent="0.2">
      <c r="A4007"/>
      <c r="B4007" s="663"/>
      <c r="C4007" s="663"/>
      <c r="D4007" s="663"/>
      <c r="E4007" s="663"/>
    </row>
    <row r="4008" spans="1:5" x14ac:dyDescent="0.2">
      <c r="A4008"/>
      <c r="B4008" s="663"/>
      <c r="C4008" s="663"/>
      <c r="D4008" s="663"/>
      <c r="E4008" s="663"/>
    </row>
    <row r="4009" spans="1:5" x14ac:dyDescent="0.2">
      <c r="A4009"/>
      <c r="B4009" s="663"/>
      <c r="C4009" s="663"/>
      <c r="D4009" s="663"/>
      <c r="E4009" s="663"/>
    </row>
    <row r="4010" spans="1:5" x14ac:dyDescent="0.2">
      <c r="A4010"/>
      <c r="B4010" s="663"/>
      <c r="C4010" s="663"/>
      <c r="D4010" s="663"/>
      <c r="E4010" s="663"/>
    </row>
    <row r="4011" spans="1:5" x14ac:dyDescent="0.2">
      <c r="A4011"/>
      <c r="B4011" s="663"/>
      <c r="C4011" s="663"/>
      <c r="D4011" s="663"/>
      <c r="E4011" s="663"/>
    </row>
    <row r="4012" spans="1:5" x14ac:dyDescent="0.2">
      <c r="A4012"/>
      <c r="B4012" s="663"/>
      <c r="C4012" s="663"/>
      <c r="D4012" s="663"/>
      <c r="E4012" s="663"/>
    </row>
    <row r="4013" spans="1:5" x14ac:dyDescent="0.2">
      <c r="A4013"/>
      <c r="B4013" s="663"/>
      <c r="C4013" s="663"/>
      <c r="D4013" s="663"/>
      <c r="E4013" s="663"/>
    </row>
    <row r="4014" spans="1:5" x14ac:dyDescent="0.2">
      <c r="A4014"/>
      <c r="B4014" s="663"/>
      <c r="C4014" s="663"/>
      <c r="D4014" s="663"/>
      <c r="E4014" s="663"/>
    </row>
    <row r="4015" spans="1:5" x14ac:dyDescent="0.2">
      <c r="A4015"/>
      <c r="B4015" s="663"/>
      <c r="C4015" s="663"/>
      <c r="D4015" s="663"/>
      <c r="E4015" s="663"/>
    </row>
    <row r="4016" spans="1:5" x14ac:dyDescent="0.2">
      <c r="A4016"/>
      <c r="B4016" s="663"/>
      <c r="C4016" s="663"/>
      <c r="D4016" s="663"/>
      <c r="E4016" s="663"/>
    </row>
    <row r="4017" spans="1:5" x14ac:dyDescent="0.2">
      <c r="A4017"/>
      <c r="B4017" s="663"/>
      <c r="C4017" s="663"/>
      <c r="D4017" s="663"/>
      <c r="E4017" s="663"/>
    </row>
    <row r="4018" spans="1:5" x14ac:dyDescent="0.2">
      <c r="A4018"/>
      <c r="B4018" s="663"/>
      <c r="C4018" s="663"/>
      <c r="D4018" s="663"/>
      <c r="E4018" s="663"/>
    </row>
    <row r="4019" spans="1:5" x14ac:dyDescent="0.2">
      <c r="A4019"/>
      <c r="B4019" s="663"/>
      <c r="C4019" s="663"/>
      <c r="D4019" s="663"/>
      <c r="E4019" s="663"/>
    </row>
    <row r="4020" spans="1:5" x14ac:dyDescent="0.2">
      <c r="A4020"/>
      <c r="B4020" s="663"/>
      <c r="C4020" s="663"/>
      <c r="D4020" s="663"/>
      <c r="E4020" s="663"/>
    </row>
    <row r="4021" spans="1:5" x14ac:dyDescent="0.2">
      <c r="A4021"/>
      <c r="B4021" s="663"/>
      <c r="C4021" s="663"/>
      <c r="D4021" s="663"/>
      <c r="E4021" s="663"/>
    </row>
    <row r="4022" spans="1:5" x14ac:dyDescent="0.2">
      <c r="A4022"/>
      <c r="B4022" s="663"/>
      <c r="C4022" s="663"/>
      <c r="D4022" s="663"/>
      <c r="E4022" s="663"/>
    </row>
    <row r="4023" spans="1:5" x14ac:dyDescent="0.2">
      <c r="A4023"/>
      <c r="B4023" s="663"/>
      <c r="C4023" s="663"/>
      <c r="D4023" s="663"/>
      <c r="E4023" s="663"/>
    </row>
    <row r="4024" spans="1:5" x14ac:dyDescent="0.2">
      <c r="A4024"/>
      <c r="B4024" s="663"/>
      <c r="C4024" s="663"/>
      <c r="D4024" s="663"/>
      <c r="E4024" s="663"/>
    </row>
    <row r="4025" spans="1:5" x14ac:dyDescent="0.2">
      <c r="A4025"/>
      <c r="B4025" s="663"/>
      <c r="C4025" s="663"/>
      <c r="D4025" s="663"/>
      <c r="E4025" s="663"/>
    </row>
    <row r="4026" spans="1:5" x14ac:dyDescent="0.2">
      <c r="A4026"/>
      <c r="B4026" s="663"/>
      <c r="C4026" s="663"/>
      <c r="D4026" s="663"/>
      <c r="E4026" s="663"/>
    </row>
    <row r="4027" spans="1:5" x14ac:dyDescent="0.2">
      <c r="A4027"/>
      <c r="B4027" s="663"/>
      <c r="C4027" s="663"/>
      <c r="D4027" s="663"/>
      <c r="E4027" s="663"/>
    </row>
    <row r="4028" spans="1:5" x14ac:dyDescent="0.2">
      <c r="A4028"/>
      <c r="B4028" s="663"/>
      <c r="C4028" s="663"/>
      <c r="D4028" s="663"/>
      <c r="E4028" s="663"/>
    </row>
    <row r="4029" spans="1:5" x14ac:dyDescent="0.2">
      <c r="A4029"/>
      <c r="B4029" s="663"/>
      <c r="C4029" s="663"/>
      <c r="D4029" s="663"/>
      <c r="E4029" s="663"/>
    </row>
    <row r="4030" spans="1:5" x14ac:dyDescent="0.2">
      <c r="A4030"/>
      <c r="B4030" s="663"/>
      <c r="C4030" s="663"/>
      <c r="D4030" s="663"/>
      <c r="E4030" s="663"/>
    </row>
    <row r="4031" spans="1:5" x14ac:dyDescent="0.2">
      <c r="A4031"/>
      <c r="B4031" s="663"/>
      <c r="C4031" s="663"/>
      <c r="D4031" s="663"/>
      <c r="E4031" s="663"/>
    </row>
    <row r="4032" spans="1:5" x14ac:dyDescent="0.2">
      <c r="A4032"/>
      <c r="B4032" s="663"/>
      <c r="C4032" s="663"/>
      <c r="D4032" s="663"/>
      <c r="E4032" s="663"/>
    </row>
    <row r="4033" spans="1:5" x14ac:dyDescent="0.2">
      <c r="A4033"/>
      <c r="B4033" s="663"/>
      <c r="C4033" s="663"/>
      <c r="D4033" s="663"/>
      <c r="E4033" s="663"/>
    </row>
    <row r="4034" spans="1:5" x14ac:dyDescent="0.2">
      <c r="A4034"/>
      <c r="B4034" s="663"/>
      <c r="C4034" s="663"/>
      <c r="D4034" s="663"/>
      <c r="E4034" s="663"/>
    </row>
    <row r="4035" spans="1:5" x14ac:dyDescent="0.2">
      <c r="A4035"/>
      <c r="B4035" s="663"/>
      <c r="C4035" s="663"/>
      <c r="D4035" s="663"/>
      <c r="E4035" s="663"/>
    </row>
    <row r="4036" spans="1:5" x14ac:dyDescent="0.2">
      <c r="A4036"/>
      <c r="B4036" s="663"/>
      <c r="C4036" s="663"/>
      <c r="D4036" s="663"/>
      <c r="E4036" s="663"/>
    </row>
    <row r="4037" spans="1:5" x14ac:dyDescent="0.2">
      <c r="A4037"/>
      <c r="B4037" s="663"/>
      <c r="C4037" s="663"/>
      <c r="D4037" s="663"/>
      <c r="E4037" s="663"/>
    </row>
    <row r="4038" spans="1:5" x14ac:dyDescent="0.2">
      <c r="A4038"/>
      <c r="B4038" s="663"/>
      <c r="C4038" s="663"/>
      <c r="D4038" s="663"/>
      <c r="E4038" s="663"/>
    </row>
    <row r="4039" spans="1:5" x14ac:dyDescent="0.2">
      <c r="A4039"/>
      <c r="B4039" s="663"/>
      <c r="C4039" s="663"/>
      <c r="D4039" s="663"/>
      <c r="E4039" s="663"/>
    </row>
    <row r="4040" spans="1:5" x14ac:dyDescent="0.2">
      <c r="A4040"/>
      <c r="B4040" s="663"/>
      <c r="C4040" s="663"/>
      <c r="D4040" s="663"/>
      <c r="E4040" s="663"/>
    </row>
    <row r="4041" spans="1:5" x14ac:dyDescent="0.2">
      <c r="A4041"/>
      <c r="B4041" s="663"/>
      <c r="C4041" s="663"/>
      <c r="D4041" s="663"/>
      <c r="E4041" s="663"/>
    </row>
    <row r="4042" spans="1:5" x14ac:dyDescent="0.2">
      <c r="A4042"/>
      <c r="B4042" s="663"/>
      <c r="C4042" s="663"/>
      <c r="D4042" s="663"/>
      <c r="E4042" s="663"/>
    </row>
    <row r="4043" spans="1:5" x14ac:dyDescent="0.2">
      <c r="A4043"/>
      <c r="B4043" s="663"/>
      <c r="C4043" s="663"/>
      <c r="D4043" s="663"/>
      <c r="E4043" s="663"/>
    </row>
    <row r="4044" spans="1:5" x14ac:dyDescent="0.2">
      <c r="A4044"/>
      <c r="B4044" s="663"/>
      <c r="C4044" s="663"/>
      <c r="D4044" s="663"/>
      <c r="E4044" s="663"/>
    </row>
    <row r="4045" spans="1:5" x14ac:dyDescent="0.2">
      <c r="A4045"/>
      <c r="B4045" s="663"/>
      <c r="C4045" s="663"/>
      <c r="D4045" s="663"/>
      <c r="E4045" s="663"/>
    </row>
    <row r="4046" spans="1:5" x14ac:dyDescent="0.2">
      <c r="A4046"/>
      <c r="B4046" s="663"/>
      <c r="C4046" s="663"/>
      <c r="D4046" s="663"/>
      <c r="E4046" s="663"/>
    </row>
    <row r="4047" spans="1:5" x14ac:dyDescent="0.2">
      <c r="A4047"/>
      <c r="B4047" s="663"/>
      <c r="C4047" s="663"/>
      <c r="D4047" s="663"/>
      <c r="E4047" s="663"/>
    </row>
    <row r="4048" spans="1:5" x14ac:dyDescent="0.2">
      <c r="A4048"/>
      <c r="B4048" s="663"/>
      <c r="C4048" s="663"/>
      <c r="D4048" s="663"/>
      <c r="E4048" s="663"/>
    </row>
    <row r="4049" spans="1:5" x14ac:dyDescent="0.2">
      <c r="A4049"/>
      <c r="B4049" s="663"/>
      <c r="C4049" s="663"/>
      <c r="D4049" s="663"/>
      <c r="E4049" s="663"/>
    </row>
    <row r="4050" spans="1:5" x14ac:dyDescent="0.2">
      <c r="A4050"/>
      <c r="B4050" s="663"/>
      <c r="C4050" s="663"/>
      <c r="D4050" s="663"/>
      <c r="E4050" s="663"/>
    </row>
    <row r="4051" spans="1:5" x14ac:dyDescent="0.2">
      <c r="A4051"/>
      <c r="B4051" s="663"/>
      <c r="C4051" s="663"/>
      <c r="D4051" s="663"/>
      <c r="E4051" s="663"/>
    </row>
    <row r="4052" spans="1:5" x14ac:dyDescent="0.2">
      <c r="A4052"/>
      <c r="B4052" s="663"/>
      <c r="C4052" s="663"/>
      <c r="D4052" s="663"/>
      <c r="E4052" s="663"/>
    </row>
    <row r="4053" spans="1:5" x14ac:dyDescent="0.2">
      <c r="A4053"/>
      <c r="B4053" s="663"/>
      <c r="C4053" s="663"/>
      <c r="D4053" s="663"/>
      <c r="E4053" s="663"/>
    </row>
    <row r="4054" spans="1:5" x14ac:dyDescent="0.2">
      <c r="A4054"/>
      <c r="B4054" s="663"/>
      <c r="C4054" s="663"/>
      <c r="D4054" s="663"/>
      <c r="E4054" s="663"/>
    </row>
    <row r="4055" spans="1:5" x14ac:dyDescent="0.2">
      <c r="A4055"/>
      <c r="B4055" s="663"/>
      <c r="C4055" s="663"/>
      <c r="D4055" s="663"/>
      <c r="E4055" s="663"/>
    </row>
    <row r="4056" spans="1:5" x14ac:dyDescent="0.2">
      <c r="A4056"/>
      <c r="B4056" s="663"/>
      <c r="C4056" s="663"/>
      <c r="D4056" s="663"/>
      <c r="E4056" s="663"/>
    </row>
    <row r="4057" spans="1:5" x14ac:dyDescent="0.2">
      <c r="A4057"/>
      <c r="B4057" s="663"/>
      <c r="C4057" s="663"/>
      <c r="D4057" s="663"/>
      <c r="E4057" s="663"/>
    </row>
    <row r="4058" spans="1:5" x14ac:dyDescent="0.2">
      <c r="A4058"/>
      <c r="B4058" s="663"/>
      <c r="C4058" s="663"/>
      <c r="D4058" s="663"/>
      <c r="E4058" s="663"/>
    </row>
    <row r="4059" spans="1:5" x14ac:dyDescent="0.2">
      <c r="A4059"/>
      <c r="B4059" s="663"/>
      <c r="C4059" s="663"/>
      <c r="D4059" s="663"/>
      <c r="E4059" s="663"/>
    </row>
    <row r="4060" spans="1:5" x14ac:dyDescent="0.2">
      <c r="A4060"/>
      <c r="B4060" s="663"/>
      <c r="C4060" s="663"/>
      <c r="D4060" s="663"/>
      <c r="E4060" s="663"/>
    </row>
    <row r="4061" spans="1:5" x14ac:dyDescent="0.2">
      <c r="A4061"/>
      <c r="B4061" s="663"/>
      <c r="C4061" s="663"/>
      <c r="D4061" s="663"/>
      <c r="E4061" s="663"/>
    </row>
    <row r="4062" spans="1:5" x14ac:dyDescent="0.2">
      <c r="A4062"/>
      <c r="B4062" s="663"/>
      <c r="C4062" s="663"/>
      <c r="D4062" s="663"/>
      <c r="E4062" s="663"/>
    </row>
    <row r="4063" spans="1:5" x14ac:dyDescent="0.2">
      <c r="A4063"/>
      <c r="B4063" s="663"/>
      <c r="C4063" s="663"/>
      <c r="D4063" s="663"/>
      <c r="E4063" s="663"/>
    </row>
    <row r="4064" spans="1:5" x14ac:dyDescent="0.2">
      <c r="A4064"/>
      <c r="B4064" s="663"/>
      <c r="C4064" s="663"/>
      <c r="D4064" s="663"/>
      <c r="E4064" s="663"/>
    </row>
    <row r="4065" spans="1:5" x14ac:dyDescent="0.2">
      <c r="A4065"/>
      <c r="B4065" s="663"/>
      <c r="C4065" s="663"/>
      <c r="D4065" s="663"/>
      <c r="E4065" s="663"/>
    </row>
    <row r="4066" spans="1:5" x14ac:dyDescent="0.2">
      <c r="A4066"/>
      <c r="B4066" s="663"/>
      <c r="C4066" s="663"/>
      <c r="D4066" s="663"/>
      <c r="E4066" s="663"/>
    </row>
    <row r="4067" spans="1:5" x14ac:dyDescent="0.2">
      <c r="A4067"/>
      <c r="B4067" s="663"/>
      <c r="C4067" s="663"/>
      <c r="D4067" s="663"/>
      <c r="E4067" s="663"/>
    </row>
    <row r="4068" spans="1:5" x14ac:dyDescent="0.2">
      <c r="A4068"/>
      <c r="B4068" s="663"/>
      <c r="C4068" s="663"/>
      <c r="D4068" s="663"/>
      <c r="E4068" s="663"/>
    </row>
    <row r="4069" spans="1:5" x14ac:dyDescent="0.2">
      <c r="A4069"/>
      <c r="B4069" s="663"/>
      <c r="C4069" s="663"/>
      <c r="D4069" s="663"/>
      <c r="E4069" s="663"/>
    </row>
    <row r="4070" spans="1:5" x14ac:dyDescent="0.2">
      <c r="A4070"/>
      <c r="B4070" s="663"/>
      <c r="C4070" s="663"/>
      <c r="D4070" s="663"/>
      <c r="E4070" s="663"/>
    </row>
    <row r="4071" spans="1:5" x14ac:dyDescent="0.2">
      <c r="A4071"/>
      <c r="B4071" s="663"/>
      <c r="C4071" s="663"/>
      <c r="D4071" s="663"/>
      <c r="E4071" s="663"/>
    </row>
    <row r="4072" spans="1:5" x14ac:dyDescent="0.2">
      <c r="A4072"/>
      <c r="B4072" s="663"/>
      <c r="C4072" s="663"/>
      <c r="D4072" s="663"/>
      <c r="E4072" s="663"/>
    </row>
    <row r="4073" spans="1:5" x14ac:dyDescent="0.2">
      <c r="A4073"/>
      <c r="B4073" s="663"/>
      <c r="C4073" s="663"/>
      <c r="D4073" s="663"/>
      <c r="E4073" s="663"/>
    </row>
    <row r="4074" spans="1:5" x14ac:dyDescent="0.2">
      <c r="A4074"/>
      <c r="B4074" s="663"/>
      <c r="C4074" s="663"/>
      <c r="D4074" s="663"/>
      <c r="E4074" s="663"/>
    </row>
    <row r="4075" spans="1:5" x14ac:dyDescent="0.2">
      <c r="A4075"/>
      <c r="B4075" s="663"/>
      <c r="C4075" s="663"/>
      <c r="D4075" s="663"/>
      <c r="E4075" s="663"/>
    </row>
    <row r="4076" spans="1:5" x14ac:dyDescent="0.2">
      <c r="A4076"/>
      <c r="B4076" s="663"/>
      <c r="C4076" s="663"/>
      <c r="D4076" s="663"/>
      <c r="E4076" s="663"/>
    </row>
    <row r="4077" spans="1:5" x14ac:dyDescent="0.2">
      <c r="A4077"/>
      <c r="B4077" s="663"/>
      <c r="C4077" s="663"/>
      <c r="D4077" s="663"/>
      <c r="E4077" s="663"/>
    </row>
    <row r="4078" spans="1:5" x14ac:dyDescent="0.2">
      <c r="A4078"/>
      <c r="B4078" s="663"/>
      <c r="C4078" s="663"/>
      <c r="D4078" s="663"/>
      <c r="E4078" s="663"/>
    </row>
    <row r="4079" spans="1:5" x14ac:dyDescent="0.2">
      <c r="A4079"/>
      <c r="B4079" s="663"/>
      <c r="C4079" s="663"/>
      <c r="D4079" s="663"/>
      <c r="E4079" s="663"/>
    </row>
    <row r="4080" spans="1:5" x14ac:dyDescent="0.2">
      <c r="A4080"/>
      <c r="B4080" s="663"/>
      <c r="C4080" s="663"/>
      <c r="D4080" s="663"/>
      <c r="E4080" s="663"/>
    </row>
    <row r="4081" spans="1:5" x14ac:dyDescent="0.2">
      <c r="A4081"/>
      <c r="B4081" s="663"/>
      <c r="C4081" s="663"/>
      <c r="D4081" s="663"/>
      <c r="E4081" s="663"/>
    </row>
    <row r="4082" spans="1:5" x14ac:dyDescent="0.2">
      <c r="A4082"/>
      <c r="B4082" s="663"/>
      <c r="C4082" s="663"/>
      <c r="D4082" s="663"/>
      <c r="E4082" s="663"/>
    </row>
    <row r="4083" spans="1:5" x14ac:dyDescent="0.2">
      <c r="A4083"/>
      <c r="B4083" s="663"/>
      <c r="C4083" s="663"/>
      <c r="D4083" s="663"/>
      <c r="E4083" s="663"/>
    </row>
    <row r="4084" spans="1:5" x14ac:dyDescent="0.2">
      <c r="A4084"/>
      <c r="B4084" s="663"/>
      <c r="C4084" s="663"/>
      <c r="D4084" s="663"/>
      <c r="E4084" s="663"/>
    </row>
    <row r="4085" spans="1:5" x14ac:dyDescent="0.2">
      <c r="A4085"/>
      <c r="B4085" s="663"/>
      <c r="C4085" s="663"/>
      <c r="D4085" s="663"/>
      <c r="E4085" s="663"/>
    </row>
    <row r="4086" spans="1:5" x14ac:dyDescent="0.2">
      <c r="A4086"/>
      <c r="B4086" s="663"/>
      <c r="C4086" s="663"/>
      <c r="D4086" s="663"/>
      <c r="E4086" s="663"/>
    </row>
    <row r="4087" spans="1:5" x14ac:dyDescent="0.2">
      <c r="A4087"/>
      <c r="B4087" s="663"/>
      <c r="C4087" s="663"/>
      <c r="D4087" s="663"/>
      <c r="E4087" s="663"/>
    </row>
    <row r="4088" spans="1:5" x14ac:dyDescent="0.2">
      <c r="A4088"/>
      <c r="B4088" s="663"/>
      <c r="C4088" s="663"/>
      <c r="D4088" s="663"/>
      <c r="E4088" s="663"/>
    </row>
    <row r="4089" spans="1:5" x14ac:dyDescent="0.2">
      <c r="A4089"/>
      <c r="B4089" s="663"/>
      <c r="C4089" s="663"/>
      <c r="D4089" s="663"/>
      <c r="E4089" s="663"/>
    </row>
    <row r="4090" spans="1:5" x14ac:dyDescent="0.2">
      <c r="A4090"/>
      <c r="B4090" s="663"/>
      <c r="C4090" s="663"/>
      <c r="D4090" s="663"/>
      <c r="E4090" s="663"/>
    </row>
    <row r="4091" spans="1:5" x14ac:dyDescent="0.2">
      <c r="A4091"/>
      <c r="B4091" s="663"/>
      <c r="C4091" s="663"/>
      <c r="D4091" s="663"/>
      <c r="E4091" s="663"/>
    </row>
    <row r="4092" spans="1:5" x14ac:dyDescent="0.2">
      <c r="A4092"/>
      <c r="B4092" s="663"/>
      <c r="C4092" s="663"/>
      <c r="D4092" s="663"/>
      <c r="E4092" s="663"/>
    </row>
    <row r="4093" spans="1:5" x14ac:dyDescent="0.2">
      <c r="A4093"/>
      <c r="B4093" s="663"/>
      <c r="C4093" s="663"/>
      <c r="D4093" s="663"/>
      <c r="E4093" s="663"/>
    </row>
    <row r="4094" spans="1:5" x14ac:dyDescent="0.2">
      <c r="A4094"/>
      <c r="B4094" s="663"/>
      <c r="C4094" s="663"/>
      <c r="D4094" s="663"/>
      <c r="E4094" s="663"/>
    </row>
    <row r="4095" spans="1:5" x14ac:dyDescent="0.2">
      <c r="A4095"/>
      <c r="B4095" s="663"/>
      <c r="C4095" s="663"/>
      <c r="D4095" s="663"/>
      <c r="E4095" s="663"/>
    </row>
    <row r="4096" spans="1:5" x14ac:dyDescent="0.2">
      <c r="A4096"/>
      <c r="B4096" s="663"/>
      <c r="C4096" s="663"/>
      <c r="D4096" s="663"/>
      <c r="E4096" s="663"/>
    </row>
    <row r="4097" spans="1:5" x14ac:dyDescent="0.2">
      <c r="A4097"/>
      <c r="B4097" s="663"/>
      <c r="C4097" s="663"/>
      <c r="D4097" s="663"/>
      <c r="E4097" s="663"/>
    </row>
    <row r="4098" spans="1:5" x14ac:dyDescent="0.2">
      <c r="A4098"/>
      <c r="B4098" s="663"/>
      <c r="C4098" s="663"/>
      <c r="D4098" s="663"/>
      <c r="E4098" s="663"/>
    </row>
    <row r="4099" spans="1:5" x14ac:dyDescent="0.2">
      <c r="A4099"/>
      <c r="B4099" s="663"/>
      <c r="C4099" s="663"/>
      <c r="D4099" s="663"/>
      <c r="E4099" s="663"/>
    </row>
    <row r="4100" spans="1:5" x14ac:dyDescent="0.2">
      <c r="A4100"/>
      <c r="B4100" s="663"/>
      <c r="C4100" s="663"/>
      <c r="D4100" s="663"/>
      <c r="E4100" s="663"/>
    </row>
    <row r="4101" spans="1:5" x14ac:dyDescent="0.2">
      <c r="A4101"/>
      <c r="B4101" s="663"/>
      <c r="C4101" s="663"/>
      <c r="D4101" s="663"/>
      <c r="E4101" s="663"/>
    </row>
    <row r="4102" spans="1:5" x14ac:dyDescent="0.2">
      <c r="A4102"/>
      <c r="B4102" s="663"/>
      <c r="C4102" s="663"/>
      <c r="D4102" s="663"/>
      <c r="E4102" s="663"/>
    </row>
    <row r="4103" spans="1:5" x14ac:dyDescent="0.2">
      <c r="A4103"/>
      <c r="B4103" s="663"/>
      <c r="C4103" s="663"/>
      <c r="D4103" s="663"/>
      <c r="E4103" s="663"/>
    </row>
    <row r="4104" spans="1:5" x14ac:dyDescent="0.2">
      <c r="A4104"/>
      <c r="B4104" s="663"/>
      <c r="C4104" s="663"/>
      <c r="D4104" s="663"/>
      <c r="E4104" s="663"/>
    </row>
    <row r="4105" spans="1:5" x14ac:dyDescent="0.2">
      <c r="A4105"/>
      <c r="B4105" s="663"/>
      <c r="C4105" s="663"/>
      <c r="D4105" s="663"/>
      <c r="E4105" s="663"/>
    </row>
    <row r="4106" spans="1:5" x14ac:dyDescent="0.2">
      <c r="A4106"/>
      <c r="B4106" s="663"/>
      <c r="C4106" s="663"/>
      <c r="D4106" s="663"/>
      <c r="E4106" s="663"/>
    </row>
    <row r="4107" spans="1:5" x14ac:dyDescent="0.2">
      <c r="A4107"/>
      <c r="B4107" s="663"/>
      <c r="C4107" s="663"/>
      <c r="D4107" s="663"/>
      <c r="E4107" s="663"/>
    </row>
    <row r="4108" spans="1:5" x14ac:dyDescent="0.2">
      <c r="A4108"/>
      <c r="B4108" s="663"/>
      <c r="C4108" s="663"/>
      <c r="D4108" s="663"/>
      <c r="E4108" s="663"/>
    </row>
    <row r="4109" spans="1:5" x14ac:dyDescent="0.2">
      <c r="A4109"/>
      <c r="B4109" s="663"/>
      <c r="C4109" s="663"/>
      <c r="D4109" s="663"/>
      <c r="E4109" s="663"/>
    </row>
    <row r="4110" spans="1:5" x14ac:dyDescent="0.2">
      <c r="A4110"/>
      <c r="B4110" s="663"/>
      <c r="C4110" s="663"/>
      <c r="D4110" s="663"/>
      <c r="E4110" s="663"/>
    </row>
    <row r="4111" spans="1:5" x14ac:dyDescent="0.2">
      <c r="A4111"/>
      <c r="B4111" s="663"/>
      <c r="C4111" s="663"/>
      <c r="D4111" s="663"/>
      <c r="E4111" s="663"/>
    </row>
    <row r="4112" spans="1:5" x14ac:dyDescent="0.2">
      <c r="A4112"/>
      <c r="B4112" s="663"/>
      <c r="C4112" s="663"/>
      <c r="D4112" s="663"/>
      <c r="E4112" s="663"/>
    </row>
    <row r="4113" spans="1:5" x14ac:dyDescent="0.2">
      <c r="A4113"/>
      <c r="B4113" s="663"/>
      <c r="C4113" s="663"/>
      <c r="D4113" s="663"/>
      <c r="E4113" s="663"/>
    </row>
    <row r="4114" spans="1:5" x14ac:dyDescent="0.2">
      <c r="A4114"/>
      <c r="B4114" s="663"/>
      <c r="C4114" s="663"/>
      <c r="D4114" s="663"/>
      <c r="E4114" s="663"/>
    </row>
    <row r="4115" spans="1:5" x14ac:dyDescent="0.2">
      <c r="A4115"/>
      <c r="B4115" s="663"/>
      <c r="C4115" s="663"/>
      <c r="D4115" s="663"/>
      <c r="E4115" s="663"/>
    </row>
    <row r="4116" spans="1:5" x14ac:dyDescent="0.2">
      <c r="A4116"/>
      <c r="B4116" s="663"/>
      <c r="C4116" s="663"/>
      <c r="D4116" s="663"/>
      <c r="E4116" s="663"/>
    </row>
    <row r="4117" spans="1:5" x14ac:dyDescent="0.2">
      <c r="A4117"/>
      <c r="B4117" s="663"/>
      <c r="C4117" s="663"/>
      <c r="D4117" s="663"/>
      <c r="E4117" s="663"/>
    </row>
    <row r="4118" spans="1:5" x14ac:dyDescent="0.2">
      <c r="A4118"/>
      <c r="B4118" s="663"/>
      <c r="C4118" s="663"/>
      <c r="D4118" s="663"/>
      <c r="E4118" s="663"/>
    </row>
    <row r="4119" spans="1:5" x14ac:dyDescent="0.2">
      <c r="A4119"/>
      <c r="B4119" s="663"/>
      <c r="C4119" s="663"/>
      <c r="D4119" s="663"/>
      <c r="E4119" s="663"/>
    </row>
    <row r="4120" spans="1:5" x14ac:dyDescent="0.2">
      <c r="A4120"/>
      <c r="B4120" s="663"/>
      <c r="C4120" s="663"/>
      <c r="D4120" s="663"/>
      <c r="E4120" s="663"/>
    </row>
    <row r="4121" spans="1:5" x14ac:dyDescent="0.2">
      <c r="A4121"/>
      <c r="B4121" s="663"/>
      <c r="C4121" s="663"/>
      <c r="D4121" s="663"/>
      <c r="E4121" s="663"/>
    </row>
    <row r="4122" spans="1:5" x14ac:dyDescent="0.2">
      <c r="A4122"/>
      <c r="B4122" s="663"/>
      <c r="C4122" s="663"/>
      <c r="D4122" s="663"/>
      <c r="E4122" s="663"/>
    </row>
    <row r="4123" spans="1:5" x14ac:dyDescent="0.2">
      <c r="A4123"/>
      <c r="B4123" s="663"/>
      <c r="C4123" s="663"/>
      <c r="D4123" s="663"/>
      <c r="E4123" s="663"/>
    </row>
    <row r="4124" spans="1:5" x14ac:dyDescent="0.2">
      <c r="A4124"/>
      <c r="B4124" s="663"/>
      <c r="C4124" s="663"/>
      <c r="D4124" s="663"/>
      <c r="E4124" s="663"/>
    </row>
    <row r="4125" spans="1:5" x14ac:dyDescent="0.2">
      <c r="A4125"/>
      <c r="B4125" s="663"/>
      <c r="C4125" s="663"/>
      <c r="D4125" s="663"/>
      <c r="E4125" s="663"/>
    </row>
    <row r="4126" spans="1:5" x14ac:dyDescent="0.2">
      <c r="A4126"/>
      <c r="B4126" s="663"/>
      <c r="C4126" s="663"/>
      <c r="D4126" s="663"/>
      <c r="E4126" s="663"/>
    </row>
    <row r="4127" spans="1:5" x14ac:dyDescent="0.2">
      <c r="A4127"/>
      <c r="B4127" s="663"/>
      <c r="C4127" s="663"/>
      <c r="D4127" s="663"/>
      <c r="E4127" s="663"/>
    </row>
    <row r="4128" spans="1:5" x14ac:dyDescent="0.2">
      <c r="A4128"/>
      <c r="B4128" s="663"/>
      <c r="C4128" s="663"/>
      <c r="D4128" s="663"/>
      <c r="E4128" s="663"/>
    </row>
    <row r="4129" spans="1:5" x14ac:dyDescent="0.2">
      <c r="A4129"/>
      <c r="B4129" s="663"/>
      <c r="C4129" s="663"/>
      <c r="D4129" s="663"/>
      <c r="E4129" s="663"/>
    </row>
    <row r="4130" spans="1:5" x14ac:dyDescent="0.2">
      <c r="A4130"/>
      <c r="B4130" s="663"/>
      <c r="C4130" s="663"/>
      <c r="D4130" s="663"/>
      <c r="E4130" s="663"/>
    </row>
    <row r="4131" spans="1:5" x14ac:dyDescent="0.2">
      <c r="A4131"/>
      <c r="B4131" s="663"/>
      <c r="C4131" s="663"/>
      <c r="D4131" s="663"/>
      <c r="E4131" s="663"/>
    </row>
    <row r="4132" spans="1:5" x14ac:dyDescent="0.2">
      <c r="A4132"/>
      <c r="B4132" s="663"/>
      <c r="C4132" s="663"/>
      <c r="D4132" s="663"/>
      <c r="E4132" s="663"/>
    </row>
    <row r="4133" spans="1:5" x14ac:dyDescent="0.2">
      <c r="A4133"/>
      <c r="B4133" s="663"/>
      <c r="C4133" s="663"/>
      <c r="D4133" s="663"/>
      <c r="E4133" s="663"/>
    </row>
    <row r="4134" spans="1:5" x14ac:dyDescent="0.2">
      <c r="A4134"/>
      <c r="B4134" s="663"/>
      <c r="C4134" s="663"/>
      <c r="D4134" s="663"/>
      <c r="E4134" s="663"/>
    </row>
    <row r="4135" spans="1:5" x14ac:dyDescent="0.2">
      <c r="A4135"/>
      <c r="B4135" s="663"/>
      <c r="C4135" s="663"/>
      <c r="D4135" s="663"/>
      <c r="E4135" s="663"/>
    </row>
    <row r="4136" spans="1:5" x14ac:dyDescent="0.2">
      <c r="A4136"/>
      <c r="B4136" s="663"/>
      <c r="C4136" s="663"/>
      <c r="D4136" s="663"/>
      <c r="E4136" s="663"/>
    </row>
    <row r="4137" spans="1:5" x14ac:dyDescent="0.2">
      <c r="A4137"/>
      <c r="B4137" s="663"/>
      <c r="C4137" s="663"/>
      <c r="D4137" s="663"/>
      <c r="E4137" s="663"/>
    </row>
    <row r="4138" spans="1:5" x14ac:dyDescent="0.2">
      <c r="A4138"/>
      <c r="B4138" s="663"/>
      <c r="C4138" s="663"/>
      <c r="D4138" s="663"/>
      <c r="E4138" s="663"/>
    </row>
    <row r="4139" spans="1:5" x14ac:dyDescent="0.2">
      <c r="A4139"/>
      <c r="B4139" s="663"/>
      <c r="C4139" s="663"/>
      <c r="D4139" s="663"/>
      <c r="E4139" s="663"/>
    </row>
    <row r="4140" spans="1:5" x14ac:dyDescent="0.2">
      <c r="A4140"/>
      <c r="B4140" s="663"/>
      <c r="C4140" s="663"/>
      <c r="D4140" s="663"/>
      <c r="E4140" s="663"/>
    </row>
    <row r="4141" spans="1:5" x14ac:dyDescent="0.2">
      <c r="A4141"/>
      <c r="B4141" s="663"/>
      <c r="C4141" s="663"/>
      <c r="D4141" s="663"/>
      <c r="E4141" s="663"/>
    </row>
    <row r="4142" spans="1:5" x14ac:dyDescent="0.2">
      <c r="A4142"/>
      <c r="B4142" s="663"/>
      <c r="C4142" s="663"/>
      <c r="D4142" s="663"/>
      <c r="E4142" s="663"/>
    </row>
    <row r="4143" spans="1:5" x14ac:dyDescent="0.2">
      <c r="A4143"/>
      <c r="B4143" s="663"/>
      <c r="C4143" s="663"/>
      <c r="D4143" s="663"/>
      <c r="E4143" s="663"/>
    </row>
    <row r="4144" spans="1:5" x14ac:dyDescent="0.2">
      <c r="A4144"/>
      <c r="B4144" s="663"/>
      <c r="C4144" s="663"/>
      <c r="D4144" s="663"/>
      <c r="E4144" s="663"/>
    </row>
    <row r="4145" spans="1:5" x14ac:dyDescent="0.2">
      <c r="A4145"/>
      <c r="B4145" s="663"/>
      <c r="C4145" s="663"/>
      <c r="D4145" s="663"/>
      <c r="E4145" s="663"/>
    </row>
    <row r="4146" spans="1:5" x14ac:dyDescent="0.2">
      <c r="A4146"/>
      <c r="B4146" s="663"/>
      <c r="C4146" s="663"/>
      <c r="D4146" s="663"/>
      <c r="E4146" s="663"/>
    </row>
    <row r="4147" spans="1:5" x14ac:dyDescent="0.2">
      <c r="A4147"/>
      <c r="B4147" s="663"/>
      <c r="C4147" s="663"/>
      <c r="D4147" s="663"/>
      <c r="E4147" s="663"/>
    </row>
    <row r="4148" spans="1:5" x14ac:dyDescent="0.2">
      <c r="A4148"/>
      <c r="B4148" s="663"/>
      <c r="C4148" s="663"/>
      <c r="D4148" s="663"/>
      <c r="E4148" s="663"/>
    </row>
    <row r="4149" spans="1:5" x14ac:dyDescent="0.2">
      <c r="A4149"/>
      <c r="B4149" s="663"/>
      <c r="C4149" s="663"/>
      <c r="D4149" s="663"/>
      <c r="E4149" s="663"/>
    </row>
    <row r="4150" spans="1:5" x14ac:dyDescent="0.2">
      <c r="A4150"/>
      <c r="B4150" s="663"/>
      <c r="C4150" s="663"/>
      <c r="D4150" s="663"/>
      <c r="E4150" s="663"/>
    </row>
    <row r="4151" spans="1:5" x14ac:dyDescent="0.2">
      <c r="A4151"/>
      <c r="B4151" s="663"/>
      <c r="C4151" s="663"/>
      <c r="D4151" s="663"/>
      <c r="E4151" s="663"/>
    </row>
    <row r="4152" spans="1:5" x14ac:dyDescent="0.2">
      <c r="A4152"/>
      <c r="B4152" s="663"/>
      <c r="C4152" s="663"/>
      <c r="D4152" s="663"/>
      <c r="E4152" s="663"/>
    </row>
    <row r="4153" spans="1:5" x14ac:dyDescent="0.2">
      <c r="A4153"/>
      <c r="B4153" s="663"/>
      <c r="C4153" s="663"/>
      <c r="D4153" s="663"/>
      <c r="E4153" s="663"/>
    </row>
    <row r="4154" spans="1:5" x14ac:dyDescent="0.2">
      <c r="A4154"/>
      <c r="B4154" s="663"/>
      <c r="C4154" s="663"/>
      <c r="D4154" s="663"/>
      <c r="E4154" s="663"/>
    </row>
    <row r="4155" spans="1:5" x14ac:dyDescent="0.2">
      <c r="A4155"/>
      <c r="B4155" s="663"/>
      <c r="C4155" s="663"/>
      <c r="D4155" s="663"/>
      <c r="E4155" s="663"/>
    </row>
    <row r="4156" spans="1:5" x14ac:dyDescent="0.2">
      <c r="A4156"/>
      <c r="B4156" s="663"/>
      <c r="C4156" s="663"/>
      <c r="D4156" s="663"/>
      <c r="E4156" s="663"/>
    </row>
    <row r="4157" spans="1:5" x14ac:dyDescent="0.2">
      <c r="A4157"/>
      <c r="B4157" s="663"/>
      <c r="C4157" s="663"/>
      <c r="D4157" s="663"/>
      <c r="E4157" s="663"/>
    </row>
    <row r="4158" spans="1:5" x14ac:dyDescent="0.2">
      <c r="A4158"/>
      <c r="B4158" s="663"/>
      <c r="C4158" s="663"/>
      <c r="D4158" s="663"/>
      <c r="E4158" s="663"/>
    </row>
    <row r="4159" spans="1:5" x14ac:dyDescent="0.2">
      <c r="A4159"/>
      <c r="B4159" s="663"/>
      <c r="C4159" s="663"/>
      <c r="D4159" s="663"/>
      <c r="E4159" s="663"/>
    </row>
    <row r="4160" spans="1:5" x14ac:dyDescent="0.2">
      <c r="A4160"/>
      <c r="B4160" s="663"/>
      <c r="C4160" s="663"/>
      <c r="D4160" s="663"/>
      <c r="E4160" s="663"/>
    </row>
    <row r="4161" spans="1:5" x14ac:dyDescent="0.2">
      <c r="A4161"/>
      <c r="B4161" s="663"/>
      <c r="C4161" s="663"/>
      <c r="D4161" s="663"/>
      <c r="E4161" s="663"/>
    </row>
    <row r="4162" spans="1:5" x14ac:dyDescent="0.2">
      <c r="A4162"/>
      <c r="B4162" s="663"/>
      <c r="C4162" s="663"/>
      <c r="D4162" s="663"/>
      <c r="E4162" s="663"/>
    </row>
    <row r="4163" spans="1:5" x14ac:dyDescent="0.2">
      <c r="A4163"/>
      <c r="B4163" s="663"/>
      <c r="C4163" s="663"/>
      <c r="D4163" s="663"/>
      <c r="E4163" s="663"/>
    </row>
    <row r="4164" spans="1:5" x14ac:dyDescent="0.2">
      <c r="A4164"/>
      <c r="B4164" s="663"/>
      <c r="C4164" s="663"/>
      <c r="D4164" s="663"/>
      <c r="E4164" s="663"/>
    </row>
    <row r="4165" spans="1:5" x14ac:dyDescent="0.2">
      <c r="A4165"/>
      <c r="B4165" s="663"/>
      <c r="C4165" s="663"/>
      <c r="D4165" s="663"/>
      <c r="E4165" s="663"/>
    </row>
    <row r="4166" spans="1:5" x14ac:dyDescent="0.2">
      <c r="A4166"/>
      <c r="B4166" s="663"/>
      <c r="C4166" s="663"/>
      <c r="D4166" s="663"/>
      <c r="E4166" s="663"/>
    </row>
    <row r="4167" spans="1:5" x14ac:dyDescent="0.2">
      <c r="A4167"/>
      <c r="B4167" s="663"/>
      <c r="C4167" s="663"/>
      <c r="D4167" s="663"/>
      <c r="E4167" s="663"/>
    </row>
    <row r="4168" spans="1:5" x14ac:dyDescent="0.2">
      <c r="A4168"/>
      <c r="B4168" s="663"/>
      <c r="C4168" s="663"/>
      <c r="D4168" s="663"/>
      <c r="E4168" s="663"/>
    </row>
    <row r="4169" spans="1:5" x14ac:dyDescent="0.2">
      <c r="A4169"/>
      <c r="B4169" s="663"/>
      <c r="C4169" s="663"/>
      <c r="D4169" s="663"/>
      <c r="E4169" s="663"/>
    </row>
    <row r="4170" spans="1:5" x14ac:dyDescent="0.2">
      <c r="A4170"/>
      <c r="B4170" s="663"/>
      <c r="C4170" s="663"/>
      <c r="D4170" s="663"/>
      <c r="E4170" s="663"/>
    </row>
    <row r="4171" spans="1:5" x14ac:dyDescent="0.2">
      <c r="A4171"/>
      <c r="B4171" s="663"/>
      <c r="C4171" s="663"/>
      <c r="D4171" s="663"/>
      <c r="E4171" s="663"/>
    </row>
    <row r="4172" spans="1:5" x14ac:dyDescent="0.2">
      <c r="A4172"/>
      <c r="B4172" s="663"/>
      <c r="C4172" s="663"/>
      <c r="D4172" s="663"/>
      <c r="E4172" s="663"/>
    </row>
    <row r="4173" spans="1:5" x14ac:dyDescent="0.2">
      <c r="A4173"/>
      <c r="B4173" s="663"/>
      <c r="C4173" s="663"/>
      <c r="D4173" s="663"/>
      <c r="E4173" s="663"/>
    </row>
    <row r="4174" spans="1:5" x14ac:dyDescent="0.2">
      <c r="A4174"/>
      <c r="B4174" s="663"/>
      <c r="C4174" s="663"/>
      <c r="D4174" s="663"/>
      <c r="E4174" s="663"/>
    </row>
    <row r="4175" spans="1:5" x14ac:dyDescent="0.2">
      <c r="A4175"/>
      <c r="B4175" s="663"/>
      <c r="C4175" s="663"/>
      <c r="D4175" s="663"/>
      <c r="E4175" s="663"/>
    </row>
    <row r="4176" spans="1:5" x14ac:dyDescent="0.2">
      <c r="A4176"/>
      <c r="B4176" s="663"/>
      <c r="C4176" s="663"/>
      <c r="D4176" s="663"/>
      <c r="E4176" s="663"/>
    </row>
    <row r="4177" spans="1:5" x14ac:dyDescent="0.2">
      <c r="A4177"/>
      <c r="B4177" s="663"/>
      <c r="C4177" s="663"/>
      <c r="D4177" s="663"/>
      <c r="E4177" s="663"/>
    </row>
    <row r="4178" spans="1:5" x14ac:dyDescent="0.2">
      <c r="A4178"/>
      <c r="B4178" s="663"/>
      <c r="C4178" s="663"/>
      <c r="D4178" s="663"/>
      <c r="E4178" s="663"/>
    </row>
    <row r="4179" spans="1:5" x14ac:dyDescent="0.2">
      <c r="A4179"/>
      <c r="B4179" s="663"/>
      <c r="C4179" s="663"/>
      <c r="D4179" s="663"/>
      <c r="E4179" s="663"/>
    </row>
    <row r="4180" spans="1:5" x14ac:dyDescent="0.2">
      <c r="A4180"/>
      <c r="B4180" s="663"/>
      <c r="C4180" s="663"/>
      <c r="D4180" s="663"/>
      <c r="E4180" s="663"/>
    </row>
    <row r="4181" spans="1:5" x14ac:dyDescent="0.2">
      <c r="A4181"/>
      <c r="B4181" s="663"/>
      <c r="C4181" s="663"/>
      <c r="D4181" s="663"/>
      <c r="E4181" s="663"/>
    </row>
    <row r="4182" spans="1:5" x14ac:dyDescent="0.2">
      <c r="A4182"/>
      <c r="B4182" s="663"/>
      <c r="C4182" s="663"/>
      <c r="D4182" s="663"/>
      <c r="E4182" s="663"/>
    </row>
    <row r="4183" spans="1:5" x14ac:dyDescent="0.2">
      <c r="A4183"/>
      <c r="B4183" s="663"/>
      <c r="C4183" s="663"/>
      <c r="D4183" s="663"/>
      <c r="E4183" s="663"/>
    </row>
    <row r="4184" spans="1:5" x14ac:dyDescent="0.2">
      <c r="A4184"/>
      <c r="B4184" s="663"/>
      <c r="C4184" s="663"/>
      <c r="D4184" s="663"/>
      <c r="E4184" s="663"/>
    </row>
    <row r="4185" spans="1:5" x14ac:dyDescent="0.2">
      <c r="A4185"/>
      <c r="B4185" s="663"/>
      <c r="C4185" s="663"/>
      <c r="D4185" s="663"/>
      <c r="E4185" s="663"/>
    </row>
    <row r="4186" spans="1:5" x14ac:dyDescent="0.2">
      <c r="A4186"/>
      <c r="B4186" s="663"/>
      <c r="C4186" s="663"/>
      <c r="D4186" s="663"/>
      <c r="E4186" s="663"/>
    </row>
    <row r="4187" spans="1:5" x14ac:dyDescent="0.2">
      <c r="A4187"/>
      <c r="B4187" s="663"/>
      <c r="C4187" s="663"/>
      <c r="D4187" s="663"/>
      <c r="E4187" s="663"/>
    </row>
    <row r="4188" spans="1:5" x14ac:dyDescent="0.2">
      <c r="A4188"/>
      <c r="B4188" s="663"/>
      <c r="C4188" s="663"/>
      <c r="D4188" s="663"/>
      <c r="E4188" s="663"/>
    </row>
    <row r="4189" spans="1:5" x14ac:dyDescent="0.2">
      <c r="A4189"/>
      <c r="B4189" s="663"/>
      <c r="C4189" s="663"/>
      <c r="D4189" s="663"/>
      <c r="E4189" s="663"/>
    </row>
    <row r="4190" spans="1:5" x14ac:dyDescent="0.2">
      <c r="A4190"/>
      <c r="B4190" s="663"/>
      <c r="C4190" s="663"/>
      <c r="D4190" s="663"/>
      <c r="E4190" s="663"/>
    </row>
    <row r="4191" spans="1:5" x14ac:dyDescent="0.2">
      <c r="A4191"/>
      <c r="B4191" s="663"/>
      <c r="C4191" s="663"/>
      <c r="D4191" s="663"/>
      <c r="E4191" s="663"/>
    </row>
    <row r="4192" spans="1:5" x14ac:dyDescent="0.2">
      <c r="A4192"/>
      <c r="B4192" s="663"/>
      <c r="C4192" s="663"/>
      <c r="D4192" s="663"/>
      <c r="E4192" s="663"/>
    </row>
    <row r="4193" spans="1:5" x14ac:dyDescent="0.2">
      <c r="A4193"/>
      <c r="B4193" s="663"/>
      <c r="C4193" s="663"/>
      <c r="D4193" s="663"/>
      <c r="E4193" s="663"/>
    </row>
    <row r="4194" spans="1:5" x14ac:dyDescent="0.2">
      <c r="A4194"/>
      <c r="B4194" s="663"/>
      <c r="C4194" s="663"/>
      <c r="D4194" s="663"/>
      <c r="E4194" s="663"/>
    </row>
    <row r="4195" spans="1:5" x14ac:dyDescent="0.2">
      <c r="A4195"/>
      <c r="B4195" s="663"/>
      <c r="C4195" s="663"/>
      <c r="D4195" s="663"/>
      <c r="E4195" s="663"/>
    </row>
    <row r="4196" spans="1:5" x14ac:dyDescent="0.2">
      <c r="A4196"/>
      <c r="B4196" s="663"/>
      <c r="C4196" s="663"/>
      <c r="D4196" s="663"/>
      <c r="E4196" s="663"/>
    </row>
    <row r="4197" spans="1:5" x14ac:dyDescent="0.2">
      <c r="A4197"/>
      <c r="B4197" s="663"/>
      <c r="C4197" s="663"/>
      <c r="D4197" s="663"/>
      <c r="E4197" s="663"/>
    </row>
    <row r="4198" spans="1:5" x14ac:dyDescent="0.2">
      <c r="A4198"/>
      <c r="B4198" s="663"/>
      <c r="C4198" s="663"/>
      <c r="D4198" s="663"/>
      <c r="E4198" s="663"/>
    </row>
    <row r="4199" spans="1:5" x14ac:dyDescent="0.2">
      <c r="A4199"/>
      <c r="B4199" s="663"/>
      <c r="C4199" s="663"/>
      <c r="D4199" s="663"/>
      <c r="E4199" s="663"/>
    </row>
    <row r="4200" spans="1:5" x14ac:dyDescent="0.2">
      <c r="A4200"/>
      <c r="B4200" s="663"/>
      <c r="C4200" s="663"/>
      <c r="D4200" s="663"/>
      <c r="E4200" s="663"/>
    </row>
    <row r="4201" spans="1:5" x14ac:dyDescent="0.2">
      <c r="A4201"/>
      <c r="B4201" s="663"/>
      <c r="C4201" s="663"/>
      <c r="D4201" s="663"/>
      <c r="E4201" s="663"/>
    </row>
    <row r="4202" spans="1:5" x14ac:dyDescent="0.2">
      <c r="A4202"/>
      <c r="B4202" s="663"/>
      <c r="C4202" s="663"/>
      <c r="D4202" s="663"/>
      <c r="E4202" s="663"/>
    </row>
    <row r="4203" spans="1:5" x14ac:dyDescent="0.2">
      <c r="A4203"/>
      <c r="B4203" s="663"/>
      <c r="C4203" s="663"/>
      <c r="D4203" s="663"/>
      <c r="E4203" s="663"/>
    </row>
    <row r="4204" spans="1:5" x14ac:dyDescent="0.2">
      <c r="A4204"/>
      <c r="B4204" s="663"/>
      <c r="C4204" s="663"/>
      <c r="D4204" s="663"/>
      <c r="E4204" s="663"/>
    </row>
    <row r="4205" spans="1:5" x14ac:dyDescent="0.2">
      <c r="A4205"/>
      <c r="B4205" s="663"/>
      <c r="C4205" s="663"/>
      <c r="D4205" s="663"/>
      <c r="E4205" s="663"/>
    </row>
    <row r="4206" spans="1:5" x14ac:dyDescent="0.2">
      <c r="A4206"/>
      <c r="B4206" s="663"/>
      <c r="C4206" s="663"/>
      <c r="D4206" s="663"/>
      <c r="E4206" s="663"/>
    </row>
    <row r="4207" spans="1:5" x14ac:dyDescent="0.2">
      <c r="A4207"/>
      <c r="B4207" s="663"/>
      <c r="C4207" s="663"/>
      <c r="D4207" s="663"/>
      <c r="E4207" s="663"/>
    </row>
    <row r="4208" spans="1:5" x14ac:dyDescent="0.2">
      <c r="A4208"/>
      <c r="B4208" s="663"/>
      <c r="C4208" s="663"/>
      <c r="D4208" s="663"/>
      <c r="E4208" s="663"/>
    </row>
    <row r="4209" spans="1:5" x14ac:dyDescent="0.2">
      <c r="A4209"/>
      <c r="B4209" s="663"/>
      <c r="C4209" s="663"/>
      <c r="D4209" s="663"/>
      <c r="E4209" s="663"/>
    </row>
    <row r="4210" spans="1:5" x14ac:dyDescent="0.2">
      <c r="A4210"/>
      <c r="B4210" s="663"/>
      <c r="C4210" s="663"/>
      <c r="D4210" s="663"/>
      <c r="E4210" s="663"/>
    </row>
    <row r="4211" spans="1:5" x14ac:dyDescent="0.2">
      <c r="A4211"/>
      <c r="B4211" s="663"/>
      <c r="C4211" s="663"/>
      <c r="D4211" s="663"/>
      <c r="E4211" s="663"/>
    </row>
    <row r="4212" spans="1:5" x14ac:dyDescent="0.2">
      <c r="A4212"/>
      <c r="B4212" s="663"/>
      <c r="C4212" s="663"/>
      <c r="D4212" s="663"/>
      <c r="E4212" s="663"/>
    </row>
    <row r="4213" spans="1:5" x14ac:dyDescent="0.2">
      <c r="A4213"/>
      <c r="B4213" s="663"/>
      <c r="C4213" s="663"/>
      <c r="D4213" s="663"/>
      <c r="E4213" s="663"/>
    </row>
    <row r="4214" spans="1:5" x14ac:dyDescent="0.2">
      <c r="A4214"/>
      <c r="B4214" s="663"/>
      <c r="C4214" s="663"/>
      <c r="D4214" s="663"/>
      <c r="E4214" s="663"/>
    </row>
    <row r="4215" spans="1:5" x14ac:dyDescent="0.2">
      <c r="A4215"/>
      <c r="B4215" s="663"/>
      <c r="C4215" s="663"/>
      <c r="D4215" s="663"/>
      <c r="E4215" s="663"/>
    </row>
    <row r="4216" spans="1:5" x14ac:dyDescent="0.2">
      <c r="A4216"/>
      <c r="B4216" s="663"/>
      <c r="C4216" s="663"/>
      <c r="D4216" s="663"/>
      <c r="E4216" s="663"/>
    </row>
    <row r="4217" spans="1:5" x14ac:dyDescent="0.2">
      <c r="A4217"/>
      <c r="B4217" s="663"/>
      <c r="C4217" s="663"/>
      <c r="D4217" s="663"/>
      <c r="E4217" s="663"/>
    </row>
    <row r="4218" spans="1:5" x14ac:dyDescent="0.2">
      <c r="A4218"/>
      <c r="B4218" s="663"/>
      <c r="C4218" s="663"/>
      <c r="D4218" s="663"/>
      <c r="E4218" s="663"/>
    </row>
    <row r="4219" spans="1:5" x14ac:dyDescent="0.2">
      <c r="A4219"/>
      <c r="B4219" s="663"/>
      <c r="C4219" s="663"/>
      <c r="D4219" s="663"/>
      <c r="E4219" s="663"/>
    </row>
    <row r="4220" spans="1:5" x14ac:dyDescent="0.2">
      <c r="A4220"/>
      <c r="B4220" s="663"/>
      <c r="C4220" s="663"/>
      <c r="D4220" s="663"/>
      <c r="E4220" s="663"/>
    </row>
    <row r="4221" spans="1:5" x14ac:dyDescent="0.2">
      <c r="A4221"/>
      <c r="B4221" s="663"/>
      <c r="C4221" s="663"/>
      <c r="D4221" s="663"/>
      <c r="E4221" s="663"/>
    </row>
    <row r="4222" spans="1:5" x14ac:dyDescent="0.2">
      <c r="A4222"/>
      <c r="B4222" s="663"/>
      <c r="C4222" s="663"/>
      <c r="D4222" s="663"/>
      <c r="E4222" s="663"/>
    </row>
    <row r="4223" spans="1:5" x14ac:dyDescent="0.2">
      <c r="A4223"/>
      <c r="B4223" s="663"/>
      <c r="C4223" s="663"/>
      <c r="D4223" s="663"/>
      <c r="E4223" s="663"/>
    </row>
    <row r="4224" spans="1:5" x14ac:dyDescent="0.2">
      <c r="A4224"/>
      <c r="B4224" s="663"/>
      <c r="C4224" s="663"/>
      <c r="D4224" s="663"/>
      <c r="E4224" s="663"/>
    </row>
    <row r="4225" spans="1:5" x14ac:dyDescent="0.2">
      <c r="A4225"/>
      <c r="B4225" s="663"/>
      <c r="C4225" s="663"/>
      <c r="D4225" s="663"/>
      <c r="E4225" s="663"/>
    </row>
    <row r="4226" spans="1:5" x14ac:dyDescent="0.2">
      <c r="A4226"/>
      <c r="B4226" s="663"/>
      <c r="C4226" s="663"/>
      <c r="D4226" s="663"/>
      <c r="E4226" s="663"/>
    </row>
    <row r="4227" spans="1:5" x14ac:dyDescent="0.2">
      <c r="A4227"/>
      <c r="B4227" s="663"/>
      <c r="C4227" s="663"/>
      <c r="D4227" s="663"/>
      <c r="E4227" s="663"/>
    </row>
    <row r="4228" spans="1:5" x14ac:dyDescent="0.2">
      <c r="A4228"/>
      <c r="B4228" s="663"/>
      <c r="C4228" s="663"/>
      <c r="D4228" s="663"/>
      <c r="E4228" s="663"/>
    </row>
    <row r="4229" spans="1:5" x14ac:dyDescent="0.2">
      <c r="A4229"/>
      <c r="B4229" s="663"/>
      <c r="C4229" s="663"/>
      <c r="D4229" s="663"/>
      <c r="E4229" s="663"/>
    </row>
    <row r="4230" spans="1:5" x14ac:dyDescent="0.2">
      <c r="A4230"/>
      <c r="B4230" s="663"/>
      <c r="C4230" s="663"/>
      <c r="D4230" s="663"/>
      <c r="E4230" s="663"/>
    </row>
    <row r="4231" spans="1:5" x14ac:dyDescent="0.2">
      <c r="A4231"/>
      <c r="B4231" s="663"/>
      <c r="C4231" s="663"/>
      <c r="D4231" s="663"/>
      <c r="E4231" s="663"/>
    </row>
    <row r="4232" spans="1:5" x14ac:dyDescent="0.2">
      <c r="A4232"/>
      <c r="B4232" s="663"/>
      <c r="C4232" s="663"/>
      <c r="D4232" s="663"/>
      <c r="E4232" s="663"/>
    </row>
    <row r="4233" spans="1:5" x14ac:dyDescent="0.2">
      <c r="A4233"/>
      <c r="B4233" s="663"/>
      <c r="C4233" s="663"/>
      <c r="D4233" s="663"/>
      <c r="E4233" s="663"/>
    </row>
    <row r="4234" spans="1:5" x14ac:dyDescent="0.2">
      <c r="A4234"/>
      <c r="B4234" s="663"/>
      <c r="C4234" s="663"/>
      <c r="D4234" s="663"/>
      <c r="E4234" s="663"/>
    </row>
    <row r="4235" spans="1:5" x14ac:dyDescent="0.2">
      <c r="A4235"/>
      <c r="B4235" s="663"/>
      <c r="C4235" s="663"/>
      <c r="D4235" s="663"/>
      <c r="E4235" s="663"/>
    </row>
    <row r="4236" spans="1:5" x14ac:dyDescent="0.2">
      <c r="A4236"/>
      <c r="B4236" s="663"/>
      <c r="C4236" s="663"/>
      <c r="D4236" s="663"/>
      <c r="E4236" s="663"/>
    </row>
    <row r="4237" spans="1:5" x14ac:dyDescent="0.2">
      <c r="A4237"/>
      <c r="B4237" s="663"/>
      <c r="C4237" s="663"/>
      <c r="D4237" s="663"/>
      <c r="E4237" s="663"/>
    </row>
    <row r="4238" spans="1:5" x14ac:dyDescent="0.2">
      <c r="A4238"/>
      <c r="B4238" s="663"/>
      <c r="C4238" s="663"/>
      <c r="D4238" s="663"/>
      <c r="E4238" s="663"/>
    </row>
    <row r="4239" spans="1:5" x14ac:dyDescent="0.2">
      <c r="A4239"/>
      <c r="B4239" s="663"/>
      <c r="C4239" s="663"/>
      <c r="D4239" s="663"/>
      <c r="E4239" s="663"/>
    </row>
    <row r="4240" spans="1:5" x14ac:dyDescent="0.2">
      <c r="A4240"/>
      <c r="B4240" s="663"/>
      <c r="C4240" s="663"/>
      <c r="D4240" s="663"/>
      <c r="E4240" s="663"/>
    </row>
    <row r="4241" spans="1:5" x14ac:dyDescent="0.2">
      <c r="A4241"/>
      <c r="B4241" s="663"/>
      <c r="C4241" s="663"/>
      <c r="D4241" s="663"/>
      <c r="E4241" s="663"/>
    </row>
    <row r="4242" spans="1:5" x14ac:dyDescent="0.2">
      <c r="A4242"/>
      <c r="B4242" s="663"/>
      <c r="C4242" s="663"/>
      <c r="D4242" s="663"/>
      <c r="E4242" s="663"/>
    </row>
    <row r="4243" spans="1:5" x14ac:dyDescent="0.2">
      <c r="A4243"/>
      <c r="B4243" s="663"/>
      <c r="C4243" s="663"/>
      <c r="D4243" s="663"/>
      <c r="E4243" s="663"/>
    </row>
    <row r="4244" spans="1:5" x14ac:dyDescent="0.2">
      <c r="A4244"/>
      <c r="B4244" s="663"/>
      <c r="C4244" s="663"/>
      <c r="D4244" s="663"/>
      <c r="E4244" s="663"/>
    </row>
    <row r="4245" spans="1:5" x14ac:dyDescent="0.2">
      <c r="A4245"/>
      <c r="B4245" s="663"/>
      <c r="C4245" s="663"/>
      <c r="D4245" s="663"/>
      <c r="E4245" s="663"/>
    </row>
    <row r="4246" spans="1:5" x14ac:dyDescent="0.2">
      <c r="A4246"/>
      <c r="B4246" s="663"/>
      <c r="C4246" s="663"/>
      <c r="D4246" s="663"/>
      <c r="E4246" s="663"/>
    </row>
    <row r="4247" spans="1:5" x14ac:dyDescent="0.2">
      <c r="A4247"/>
      <c r="B4247" s="663"/>
      <c r="C4247" s="663"/>
      <c r="D4247" s="663"/>
      <c r="E4247" s="663"/>
    </row>
    <row r="4248" spans="1:5" x14ac:dyDescent="0.2">
      <c r="A4248"/>
      <c r="B4248" s="663"/>
      <c r="C4248" s="663"/>
      <c r="D4248" s="663"/>
      <c r="E4248" s="663"/>
    </row>
    <row r="4249" spans="1:5" x14ac:dyDescent="0.2">
      <c r="A4249"/>
      <c r="B4249" s="663"/>
      <c r="C4249" s="663"/>
      <c r="D4249" s="663"/>
      <c r="E4249" s="663"/>
    </row>
    <row r="4250" spans="1:5" x14ac:dyDescent="0.2">
      <c r="A4250"/>
      <c r="B4250" s="663"/>
      <c r="C4250" s="663"/>
      <c r="D4250" s="663"/>
      <c r="E4250" s="663"/>
    </row>
    <row r="4251" spans="1:5" x14ac:dyDescent="0.2">
      <c r="A4251"/>
      <c r="B4251" s="663"/>
      <c r="C4251" s="663"/>
      <c r="D4251" s="663"/>
      <c r="E4251" s="663"/>
    </row>
    <row r="4252" spans="1:5" x14ac:dyDescent="0.2">
      <c r="A4252"/>
      <c r="B4252" s="663"/>
      <c r="C4252" s="663"/>
      <c r="D4252" s="663"/>
      <c r="E4252" s="663"/>
    </row>
    <row r="4253" spans="1:5" x14ac:dyDescent="0.2">
      <c r="A4253"/>
      <c r="B4253" s="663"/>
      <c r="C4253" s="663"/>
      <c r="D4253" s="663"/>
      <c r="E4253" s="663"/>
    </row>
    <row r="4254" spans="1:5" x14ac:dyDescent="0.2">
      <c r="A4254"/>
      <c r="B4254" s="663"/>
      <c r="C4254" s="663"/>
      <c r="D4254" s="663"/>
      <c r="E4254" s="663"/>
    </row>
    <row r="4255" spans="1:5" x14ac:dyDescent="0.2">
      <c r="A4255"/>
      <c r="B4255" s="663"/>
      <c r="C4255" s="663"/>
      <c r="D4255" s="663"/>
      <c r="E4255" s="663"/>
    </row>
    <row r="4256" spans="1:5" x14ac:dyDescent="0.2">
      <c r="A4256"/>
      <c r="B4256" s="663"/>
      <c r="C4256" s="663"/>
      <c r="D4256" s="663"/>
      <c r="E4256" s="663"/>
    </row>
    <row r="4257" spans="1:5" x14ac:dyDescent="0.2">
      <c r="A4257"/>
      <c r="B4257" s="663"/>
      <c r="C4257" s="663"/>
      <c r="D4257" s="663"/>
      <c r="E4257" s="663"/>
    </row>
    <row r="4258" spans="1:5" x14ac:dyDescent="0.2">
      <c r="A4258"/>
      <c r="B4258" s="663"/>
      <c r="C4258" s="663"/>
      <c r="D4258" s="663"/>
      <c r="E4258" s="663"/>
    </row>
    <row r="4259" spans="1:5" x14ac:dyDescent="0.2">
      <c r="A4259"/>
      <c r="B4259" s="663"/>
      <c r="C4259" s="663"/>
      <c r="D4259" s="663"/>
      <c r="E4259" s="663"/>
    </row>
    <row r="4260" spans="1:5" x14ac:dyDescent="0.2">
      <c r="A4260"/>
      <c r="B4260" s="663"/>
      <c r="C4260" s="663"/>
      <c r="D4260" s="663"/>
      <c r="E4260" s="663"/>
    </row>
    <row r="4261" spans="1:5" x14ac:dyDescent="0.2">
      <c r="A4261"/>
      <c r="B4261" s="663"/>
      <c r="C4261" s="663"/>
      <c r="D4261" s="663"/>
      <c r="E4261" s="663"/>
    </row>
    <row r="4262" spans="1:5" x14ac:dyDescent="0.2">
      <c r="A4262"/>
      <c r="B4262" s="663"/>
      <c r="C4262" s="663"/>
      <c r="D4262" s="663"/>
      <c r="E4262" s="663"/>
    </row>
    <row r="4263" spans="1:5" x14ac:dyDescent="0.2">
      <c r="A4263"/>
      <c r="B4263" s="663"/>
      <c r="C4263" s="663"/>
      <c r="D4263" s="663"/>
      <c r="E4263" s="663"/>
    </row>
    <row r="4264" spans="1:5" x14ac:dyDescent="0.2">
      <c r="A4264"/>
      <c r="B4264" s="663"/>
      <c r="C4264" s="663"/>
      <c r="D4264" s="663"/>
      <c r="E4264" s="663"/>
    </row>
    <row r="4265" spans="1:5" x14ac:dyDescent="0.2">
      <c r="A4265"/>
      <c r="B4265" s="663"/>
      <c r="C4265" s="663"/>
      <c r="D4265" s="663"/>
      <c r="E4265" s="663"/>
    </row>
    <row r="4266" spans="1:5" x14ac:dyDescent="0.2">
      <c r="A4266"/>
      <c r="B4266" s="663"/>
      <c r="C4266" s="663"/>
      <c r="D4266" s="663"/>
      <c r="E4266" s="663"/>
    </row>
    <row r="4267" spans="1:5" x14ac:dyDescent="0.2">
      <c r="A4267"/>
      <c r="B4267" s="663"/>
      <c r="C4267" s="663"/>
      <c r="D4267" s="663"/>
      <c r="E4267" s="663"/>
    </row>
    <row r="4268" spans="1:5" x14ac:dyDescent="0.2">
      <c r="A4268"/>
      <c r="B4268" s="663"/>
      <c r="C4268" s="663"/>
      <c r="D4268" s="663"/>
      <c r="E4268" s="663"/>
    </row>
    <row r="4269" spans="1:5" x14ac:dyDescent="0.2">
      <c r="A4269"/>
      <c r="B4269" s="663"/>
      <c r="C4269" s="663"/>
      <c r="D4269" s="663"/>
      <c r="E4269" s="663"/>
    </row>
    <row r="4270" spans="1:5" x14ac:dyDescent="0.2">
      <c r="A4270"/>
      <c r="B4270" s="663"/>
      <c r="C4270" s="663"/>
      <c r="D4270" s="663"/>
      <c r="E4270" s="663"/>
    </row>
    <row r="4271" spans="1:5" x14ac:dyDescent="0.2">
      <c r="A4271"/>
      <c r="B4271" s="663"/>
      <c r="C4271" s="663"/>
      <c r="D4271" s="663"/>
      <c r="E4271" s="663"/>
    </row>
    <row r="4272" spans="1:5" x14ac:dyDescent="0.2">
      <c r="A4272"/>
      <c r="B4272" s="663"/>
      <c r="C4272" s="663"/>
      <c r="D4272" s="663"/>
      <c r="E4272" s="663"/>
    </row>
    <row r="4273" spans="1:5" x14ac:dyDescent="0.2">
      <c r="A4273"/>
      <c r="B4273" s="663"/>
      <c r="C4273" s="663"/>
      <c r="D4273" s="663"/>
      <c r="E4273" s="663"/>
    </row>
    <row r="4274" spans="1:5" x14ac:dyDescent="0.2">
      <c r="A4274"/>
      <c r="B4274" s="663"/>
      <c r="C4274" s="663"/>
      <c r="D4274" s="663"/>
      <c r="E4274" s="663"/>
    </row>
    <row r="4275" spans="1:5" x14ac:dyDescent="0.2">
      <c r="A4275"/>
      <c r="B4275" s="663"/>
      <c r="C4275" s="663"/>
      <c r="D4275" s="663"/>
      <c r="E4275" s="663"/>
    </row>
    <row r="4276" spans="1:5" x14ac:dyDescent="0.2">
      <c r="A4276"/>
      <c r="B4276" s="663"/>
      <c r="C4276" s="663"/>
      <c r="D4276" s="663"/>
      <c r="E4276" s="663"/>
    </row>
    <row r="4277" spans="1:5" x14ac:dyDescent="0.2">
      <c r="A4277"/>
      <c r="B4277" s="663"/>
      <c r="C4277" s="663"/>
      <c r="D4277" s="663"/>
      <c r="E4277" s="663"/>
    </row>
    <row r="4278" spans="1:5" x14ac:dyDescent="0.2">
      <c r="A4278"/>
      <c r="B4278" s="663"/>
      <c r="C4278" s="663"/>
      <c r="D4278" s="663"/>
      <c r="E4278" s="663"/>
    </row>
    <row r="4279" spans="1:5" x14ac:dyDescent="0.2">
      <c r="A4279"/>
      <c r="B4279" s="663"/>
      <c r="C4279" s="663"/>
      <c r="D4279" s="663"/>
      <c r="E4279" s="663"/>
    </row>
    <row r="4280" spans="1:5" x14ac:dyDescent="0.2">
      <c r="A4280"/>
      <c r="B4280" s="663"/>
      <c r="C4280" s="663"/>
      <c r="D4280" s="663"/>
      <c r="E4280" s="663"/>
    </row>
    <row r="4281" spans="1:5" x14ac:dyDescent="0.2">
      <c r="A4281"/>
      <c r="B4281" s="663"/>
      <c r="C4281" s="663"/>
      <c r="D4281" s="663"/>
      <c r="E4281" s="663"/>
    </row>
    <row r="4282" spans="1:5" x14ac:dyDescent="0.2">
      <c r="A4282"/>
      <c r="B4282" s="663"/>
      <c r="C4282" s="663"/>
      <c r="D4282" s="663"/>
      <c r="E4282" s="663"/>
    </row>
    <row r="4283" spans="1:5" x14ac:dyDescent="0.2">
      <c r="A4283"/>
      <c r="B4283" s="663"/>
      <c r="C4283" s="663"/>
      <c r="D4283" s="663"/>
      <c r="E4283" s="663"/>
    </row>
    <row r="4284" spans="1:5" x14ac:dyDescent="0.2">
      <c r="A4284"/>
      <c r="B4284" s="663"/>
      <c r="C4284" s="663"/>
      <c r="D4284" s="663"/>
      <c r="E4284" s="663"/>
    </row>
    <row r="4285" spans="1:5" x14ac:dyDescent="0.2">
      <c r="A4285"/>
      <c r="B4285" s="663"/>
      <c r="C4285" s="663"/>
      <c r="D4285" s="663"/>
      <c r="E4285" s="663"/>
    </row>
    <row r="4286" spans="1:5" x14ac:dyDescent="0.2">
      <c r="A4286"/>
      <c r="B4286" s="663"/>
      <c r="C4286" s="663"/>
      <c r="D4286" s="663"/>
      <c r="E4286" s="663"/>
    </row>
    <row r="4287" spans="1:5" x14ac:dyDescent="0.2">
      <c r="A4287"/>
      <c r="B4287" s="663"/>
      <c r="C4287" s="663"/>
      <c r="D4287" s="663"/>
      <c r="E4287" s="663"/>
    </row>
    <row r="4288" spans="1:5" x14ac:dyDescent="0.2">
      <c r="A4288"/>
      <c r="B4288" s="663"/>
      <c r="C4288" s="663"/>
      <c r="D4288" s="663"/>
      <c r="E4288" s="663"/>
    </row>
    <row r="4289" spans="1:5" x14ac:dyDescent="0.2">
      <c r="A4289"/>
      <c r="B4289" s="663"/>
      <c r="C4289" s="663"/>
      <c r="D4289" s="663"/>
      <c r="E4289" s="663"/>
    </row>
    <row r="4290" spans="1:5" x14ac:dyDescent="0.2">
      <c r="A4290"/>
      <c r="B4290" s="663"/>
      <c r="C4290" s="663"/>
      <c r="D4290" s="663"/>
      <c r="E4290" s="663"/>
    </row>
    <row r="4291" spans="1:5" x14ac:dyDescent="0.2">
      <c r="A4291"/>
      <c r="B4291" s="663"/>
      <c r="C4291" s="663"/>
      <c r="D4291" s="663"/>
      <c r="E4291" s="663"/>
    </row>
    <row r="4292" spans="1:5" x14ac:dyDescent="0.2">
      <c r="A4292"/>
      <c r="B4292" s="663"/>
      <c r="C4292" s="663"/>
      <c r="D4292" s="663"/>
      <c r="E4292" s="663"/>
    </row>
    <row r="4293" spans="1:5" x14ac:dyDescent="0.2">
      <c r="A4293"/>
      <c r="B4293" s="663"/>
      <c r="C4293" s="663"/>
      <c r="D4293" s="663"/>
      <c r="E4293" s="663"/>
    </row>
    <row r="4294" spans="1:5" x14ac:dyDescent="0.2">
      <c r="A4294"/>
      <c r="B4294" s="663"/>
      <c r="C4294" s="663"/>
      <c r="D4294" s="663"/>
      <c r="E4294" s="663"/>
    </row>
    <row r="4295" spans="1:5" x14ac:dyDescent="0.2">
      <c r="A4295"/>
      <c r="B4295" s="663"/>
      <c r="C4295" s="663"/>
      <c r="D4295" s="663"/>
      <c r="E4295" s="663"/>
    </row>
    <row r="4296" spans="1:5" x14ac:dyDescent="0.2">
      <c r="A4296"/>
      <c r="B4296" s="663"/>
      <c r="C4296" s="663"/>
      <c r="D4296" s="663"/>
      <c r="E4296" s="663"/>
    </row>
    <row r="4297" spans="1:5" x14ac:dyDescent="0.2">
      <c r="A4297"/>
      <c r="B4297" s="663"/>
      <c r="C4297" s="663"/>
      <c r="D4297" s="663"/>
      <c r="E4297" s="663"/>
    </row>
    <row r="4298" spans="1:5" x14ac:dyDescent="0.2">
      <c r="A4298"/>
      <c r="B4298" s="663"/>
      <c r="C4298" s="663"/>
      <c r="D4298" s="663"/>
      <c r="E4298" s="663"/>
    </row>
    <row r="4299" spans="1:5" x14ac:dyDescent="0.2">
      <c r="A4299"/>
      <c r="B4299" s="663"/>
      <c r="C4299" s="663"/>
      <c r="D4299" s="663"/>
      <c r="E4299" s="663"/>
    </row>
    <row r="4300" spans="1:5" x14ac:dyDescent="0.2">
      <c r="A4300"/>
      <c r="B4300" s="663"/>
      <c r="C4300" s="663"/>
      <c r="D4300" s="663"/>
      <c r="E4300" s="663"/>
    </row>
    <row r="4301" spans="1:5" x14ac:dyDescent="0.2">
      <c r="A4301"/>
      <c r="B4301" s="663"/>
      <c r="C4301" s="663"/>
      <c r="D4301" s="663"/>
      <c r="E4301" s="663"/>
    </row>
    <row r="4302" spans="1:5" x14ac:dyDescent="0.2">
      <c r="A4302"/>
      <c r="B4302" s="663"/>
      <c r="C4302" s="663"/>
      <c r="D4302" s="663"/>
      <c r="E4302" s="663"/>
    </row>
    <row r="4303" spans="1:5" x14ac:dyDescent="0.2">
      <c r="A4303"/>
      <c r="B4303" s="663"/>
      <c r="C4303" s="663"/>
      <c r="D4303" s="663"/>
      <c r="E4303" s="663"/>
    </row>
    <row r="4304" spans="1:5" x14ac:dyDescent="0.2">
      <c r="A4304"/>
      <c r="B4304" s="663"/>
      <c r="C4304" s="663"/>
      <c r="D4304" s="663"/>
      <c r="E4304" s="663"/>
    </row>
    <row r="4305" spans="1:5" x14ac:dyDescent="0.2">
      <c r="A4305"/>
      <c r="B4305" s="663"/>
      <c r="C4305" s="663"/>
      <c r="D4305" s="663"/>
      <c r="E4305" s="663"/>
    </row>
    <row r="4306" spans="1:5" x14ac:dyDescent="0.2">
      <c r="A4306"/>
      <c r="B4306" s="663"/>
      <c r="C4306" s="663"/>
      <c r="D4306" s="663"/>
      <c r="E4306" s="663"/>
    </row>
    <row r="4307" spans="1:5" x14ac:dyDescent="0.2">
      <c r="A4307"/>
      <c r="B4307" s="663"/>
      <c r="C4307" s="663"/>
      <c r="D4307" s="663"/>
      <c r="E4307" s="663"/>
    </row>
    <row r="4308" spans="1:5" x14ac:dyDescent="0.2">
      <c r="A4308"/>
      <c r="B4308" s="663"/>
      <c r="C4308" s="663"/>
      <c r="D4308" s="663"/>
      <c r="E4308" s="663"/>
    </row>
    <row r="4309" spans="1:5" x14ac:dyDescent="0.2">
      <c r="A4309"/>
      <c r="B4309" s="663"/>
      <c r="C4309" s="663"/>
      <c r="D4309" s="663"/>
      <c r="E4309" s="663"/>
    </row>
    <row r="4310" spans="1:5" x14ac:dyDescent="0.2">
      <c r="A4310"/>
      <c r="B4310" s="663"/>
      <c r="C4310" s="663"/>
      <c r="D4310" s="663"/>
      <c r="E4310" s="663"/>
    </row>
    <row r="4311" spans="1:5" x14ac:dyDescent="0.2">
      <c r="A4311"/>
      <c r="B4311" s="663"/>
      <c r="C4311" s="663"/>
      <c r="D4311" s="663"/>
      <c r="E4311" s="663"/>
    </row>
    <row r="4312" spans="1:5" x14ac:dyDescent="0.2">
      <c r="A4312"/>
      <c r="B4312" s="663"/>
      <c r="C4312" s="663"/>
      <c r="D4312" s="663"/>
      <c r="E4312" s="663"/>
    </row>
    <row r="4313" spans="1:5" x14ac:dyDescent="0.2">
      <c r="A4313"/>
      <c r="B4313" s="663"/>
      <c r="C4313" s="663"/>
      <c r="D4313" s="663"/>
      <c r="E4313" s="663"/>
    </row>
    <row r="4314" spans="1:5" x14ac:dyDescent="0.2">
      <c r="A4314"/>
      <c r="B4314" s="663"/>
      <c r="C4314" s="663"/>
      <c r="D4314" s="663"/>
      <c r="E4314" s="663"/>
    </row>
    <row r="4315" spans="1:5" x14ac:dyDescent="0.2">
      <c r="A4315"/>
      <c r="B4315" s="663"/>
      <c r="C4315" s="663"/>
      <c r="D4315" s="663"/>
      <c r="E4315" s="663"/>
    </row>
    <row r="4316" spans="1:5" x14ac:dyDescent="0.2">
      <c r="A4316"/>
      <c r="B4316" s="663"/>
      <c r="C4316" s="663"/>
      <c r="D4316" s="663"/>
      <c r="E4316" s="663"/>
    </row>
    <row r="4317" spans="1:5" x14ac:dyDescent="0.2">
      <c r="A4317"/>
      <c r="B4317" s="663"/>
      <c r="C4317" s="663"/>
      <c r="D4317" s="663"/>
      <c r="E4317" s="663"/>
    </row>
    <row r="4318" spans="1:5" x14ac:dyDescent="0.2">
      <c r="A4318"/>
      <c r="B4318" s="663"/>
      <c r="C4318" s="663"/>
      <c r="D4318" s="663"/>
      <c r="E4318" s="663"/>
    </row>
    <row r="4319" spans="1:5" x14ac:dyDescent="0.2">
      <c r="A4319"/>
      <c r="B4319" s="663"/>
      <c r="C4319" s="663"/>
      <c r="D4319" s="663"/>
      <c r="E4319" s="663"/>
    </row>
    <row r="4320" spans="1:5" x14ac:dyDescent="0.2">
      <c r="A4320"/>
      <c r="B4320" s="663"/>
      <c r="C4320" s="663"/>
      <c r="D4320" s="663"/>
      <c r="E4320" s="663"/>
    </row>
    <row r="4321" spans="1:5" x14ac:dyDescent="0.2">
      <c r="A4321"/>
      <c r="B4321" s="663"/>
      <c r="C4321" s="663"/>
      <c r="D4321" s="663"/>
      <c r="E4321" s="663"/>
    </row>
    <row r="4322" spans="1:5" x14ac:dyDescent="0.2">
      <c r="A4322"/>
      <c r="B4322" s="663"/>
      <c r="C4322" s="663"/>
      <c r="D4322" s="663"/>
      <c r="E4322" s="663"/>
    </row>
    <row r="4323" spans="1:5" x14ac:dyDescent="0.2">
      <c r="A4323"/>
      <c r="B4323" s="663"/>
      <c r="C4323" s="663"/>
      <c r="D4323" s="663"/>
      <c r="E4323" s="663"/>
    </row>
    <row r="4324" spans="1:5" x14ac:dyDescent="0.2">
      <c r="A4324"/>
      <c r="B4324" s="663"/>
      <c r="C4324" s="663"/>
      <c r="D4324" s="663"/>
      <c r="E4324" s="663"/>
    </row>
    <row r="4325" spans="1:5" x14ac:dyDescent="0.2">
      <c r="A4325"/>
      <c r="B4325" s="663"/>
      <c r="C4325" s="663"/>
      <c r="D4325" s="663"/>
      <c r="E4325" s="663"/>
    </row>
    <row r="4326" spans="1:5" x14ac:dyDescent="0.2">
      <c r="A4326"/>
      <c r="B4326" s="663"/>
      <c r="C4326" s="663"/>
      <c r="D4326" s="663"/>
      <c r="E4326" s="663"/>
    </row>
    <row r="4327" spans="1:5" x14ac:dyDescent="0.2">
      <c r="A4327"/>
      <c r="B4327" s="663"/>
      <c r="C4327" s="663"/>
      <c r="D4327" s="663"/>
      <c r="E4327" s="663"/>
    </row>
    <row r="4328" spans="1:5" x14ac:dyDescent="0.2">
      <c r="A4328"/>
      <c r="B4328" s="663"/>
      <c r="C4328" s="663"/>
      <c r="D4328" s="663"/>
      <c r="E4328" s="663"/>
    </row>
    <row r="4329" spans="1:5" x14ac:dyDescent="0.2">
      <c r="A4329"/>
      <c r="B4329" s="663"/>
      <c r="C4329" s="663"/>
      <c r="D4329" s="663"/>
      <c r="E4329" s="663"/>
    </row>
    <row r="4330" spans="1:5" x14ac:dyDescent="0.2">
      <c r="A4330"/>
      <c r="B4330" s="663"/>
      <c r="C4330" s="663"/>
      <c r="D4330" s="663"/>
      <c r="E4330" s="663"/>
    </row>
    <row r="4331" spans="1:5" x14ac:dyDescent="0.2">
      <c r="A4331"/>
      <c r="B4331" s="663"/>
      <c r="C4331" s="663"/>
      <c r="D4331" s="663"/>
      <c r="E4331" s="663"/>
    </row>
    <row r="4332" spans="1:5" x14ac:dyDescent="0.2">
      <c r="A4332"/>
      <c r="B4332" s="663"/>
      <c r="C4332" s="663"/>
      <c r="D4332" s="663"/>
      <c r="E4332" s="663"/>
    </row>
    <row r="4333" spans="1:5" x14ac:dyDescent="0.2">
      <c r="A4333"/>
      <c r="B4333" s="663"/>
      <c r="C4333" s="663"/>
      <c r="D4333" s="663"/>
      <c r="E4333" s="663"/>
    </row>
    <row r="4334" spans="1:5" x14ac:dyDescent="0.2">
      <c r="A4334"/>
      <c r="B4334" s="663"/>
      <c r="C4334" s="663"/>
      <c r="D4334" s="663"/>
      <c r="E4334" s="663"/>
    </row>
    <row r="4335" spans="1:5" x14ac:dyDescent="0.2">
      <c r="A4335"/>
      <c r="B4335" s="663"/>
      <c r="C4335" s="663"/>
      <c r="D4335" s="663"/>
      <c r="E4335" s="663"/>
    </row>
    <row r="4336" spans="1:5" x14ac:dyDescent="0.2">
      <c r="A4336"/>
      <c r="B4336" s="663"/>
      <c r="C4336" s="663"/>
      <c r="D4336" s="663"/>
      <c r="E4336" s="663"/>
    </row>
    <row r="4337" spans="1:5" x14ac:dyDescent="0.2">
      <c r="A4337"/>
      <c r="B4337" s="663"/>
      <c r="C4337" s="663"/>
      <c r="D4337" s="663"/>
      <c r="E4337" s="663"/>
    </row>
    <row r="4338" spans="1:5" x14ac:dyDescent="0.2">
      <c r="A4338"/>
      <c r="B4338" s="663"/>
      <c r="C4338" s="663"/>
      <c r="D4338" s="663"/>
      <c r="E4338" s="663"/>
    </row>
    <row r="4339" spans="1:5" x14ac:dyDescent="0.2">
      <c r="A4339"/>
      <c r="B4339" s="663"/>
      <c r="C4339" s="663"/>
      <c r="D4339" s="663"/>
      <c r="E4339" s="663"/>
    </row>
    <row r="4340" spans="1:5" x14ac:dyDescent="0.2">
      <c r="A4340"/>
      <c r="B4340" s="663"/>
      <c r="C4340" s="663"/>
      <c r="D4340" s="663"/>
      <c r="E4340" s="663"/>
    </row>
    <row r="4341" spans="1:5" x14ac:dyDescent="0.2">
      <c r="A4341"/>
      <c r="B4341" s="663"/>
      <c r="C4341" s="663"/>
      <c r="D4341" s="663"/>
      <c r="E4341" s="663"/>
    </row>
    <row r="4342" spans="1:5" x14ac:dyDescent="0.2">
      <c r="A4342"/>
      <c r="B4342" s="663"/>
      <c r="C4342" s="663"/>
      <c r="D4342" s="663"/>
      <c r="E4342" s="663"/>
    </row>
    <row r="4343" spans="1:5" x14ac:dyDescent="0.2">
      <c r="A4343"/>
      <c r="B4343" s="663"/>
      <c r="C4343" s="663"/>
      <c r="D4343" s="663"/>
      <c r="E4343" s="663"/>
    </row>
    <row r="4344" spans="1:5" x14ac:dyDescent="0.2">
      <c r="A4344"/>
      <c r="B4344" s="663"/>
      <c r="C4344" s="663"/>
      <c r="D4344" s="663"/>
      <c r="E4344" s="663"/>
    </row>
    <row r="4345" spans="1:5" x14ac:dyDescent="0.2">
      <c r="A4345"/>
      <c r="B4345" s="663"/>
      <c r="C4345" s="663"/>
      <c r="D4345" s="663"/>
      <c r="E4345" s="663"/>
    </row>
    <row r="4346" spans="1:5" x14ac:dyDescent="0.2">
      <c r="A4346"/>
      <c r="B4346" s="663"/>
      <c r="C4346" s="663"/>
      <c r="D4346" s="663"/>
      <c r="E4346" s="663"/>
    </row>
    <row r="4347" spans="1:5" x14ac:dyDescent="0.2">
      <c r="A4347"/>
      <c r="B4347" s="663"/>
      <c r="C4347" s="663"/>
      <c r="D4347" s="663"/>
      <c r="E4347" s="663"/>
    </row>
    <row r="4348" spans="1:5" x14ac:dyDescent="0.2">
      <c r="A4348"/>
      <c r="B4348" s="663"/>
      <c r="C4348" s="663"/>
      <c r="D4348" s="663"/>
      <c r="E4348" s="663"/>
    </row>
    <row r="4349" spans="1:5" x14ac:dyDescent="0.2">
      <c r="A4349"/>
      <c r="B4349" s="663"/>
      <c r="C4349" s="663"/>
      <c r="D4349" s="663"/>
      <c r="E4349" s="663"/>
    </row>
    <row r="4350" spans="1:5" x14ac:dyDescent="0.2">
      <c r="A4350"/>
      <c r="B4350" s="663"/>
      <c r="C4350" s="663"/>
      <c r="D4350" s="663"/>
      <c r="E4350" s="663"/>
    </row>
    <row r="4351" spans="1:5" x14ac:dyDescent="0.2">
      <c r="A4351"/>
      <c r="B4351" s="663"/>
      <c r="C4351" s="663"/>
      <c r="D4351" s="663"/>
      <c r="E4351" s="663"/>
    </row>
    <row r="4352" spans="1:5" x14ac:dyDescent="0.2">
      <c r="A4352"/>
      <c r="B4352" s="663"/>
      <c r="C4352" s="663"/>
      <c r="D4352" s="663"/>
      <c r="E4352" s="663"/>
    </row>
    <row r="4353" spans="1:5" x14ac:dyDescent="0.2">
      <c r="A4353"/>
      <c r="B4353" s="663"/>
      <c r="C4353" s="663"/>
      <c r="D4353" s="663"/>
      <c r="E4353" s="663"/>
    </row>
    <row r="4354" spans="1:5" x14ac:dyDescent="0.2">
      <c r="A4354"/>
      <c r="B4354" s="663"/>
      <c r="C4354" s="663"/>
      <c r="D4354" s="663"/>
      <c r="E4354" s="663"/>
    </row>
    <row r="4355" spans="1:5" x14ac:dyDescent="0.2">
      <c r="A4355"/>
      <c r="B4355" s="663"/>
      <c r="C4355" s="663"/>
      <c r="D4355" s="663"/>
      <c r="E4355" s="663"/>
    </row>
    <row r="4356" spans="1:5" x14ac:dyDescent="0.2">
      <c r="A4356"/>
      <c r="B4356" s="663"/>
      <c r="C4356" s="663"/>
      <c r="D4356" s="663"/>
      <c r="E4356" s="663"/>
    </row>
    <row r="4357" spans="1:5" x14ac:dyDescent="0.2">
      <c r="A4357"/>
      <c r="B4357" s="663"/>
      <c r="C4357" s="663"/>
      <c r="D4357" s="663"/>
      <c r="E4357" s="663"/>
    </row>
    <row r="4358" spans="1:5" x14ac:dyDescent="0.2">
      <c r="A4358"/>
      <c r="B4358" s="663"/>
      <c r="C4358" s="663"/>
      <c r="D4358" s="663"/>
      <c r="E4358" s="663"/>
    </row>
    <row r="4359" spans="1:5" x14ac:dyDescent="0.2">
      <c r="A4359"/>
      <c r="B4359" s="663"/>
      <c r="C4359" s="663"/>
      <c r="D4359" s="663"/>
      <c r="E4359" s="663"/>
    </row>
    <row r="4360" spans="1:5" x14ac:dyDescent="0.2">
      <c r="A4360"/>
      <c r="B4360" s="663"/>
      <c r="C4360" s="663"/>
      <c r="D4360" s="663"/>
      <c r="E4360" s="663"/>
    </row>
    <row r="4361" spans="1:5" x14ac:dyDescent="0.2">
      <c r="A4361"/>
      <c r="B4361" s="663"/>
      <c r="C4361" s="663"/>
      <c r="D4361" s="663"/>
      <c r="E4361" s="663"/>
    </row>
    <row r="4362" spans="1:5" x14ac:dyDescent="0.2">
      <c r="A4362"/>
      <c r="B4362" s="663"/>
      <c r="C4362" s="663"/>
      <c r="D4362" s="663"/>
      <c r="E4362" s="663"/>
    </row>
    <row r="4363" spans="1:5" x14ac:dyDescent="0.2">
      <c r="A4363"/>
      <c r="B4363" s="663"/>
      <c r="C4363" s="663"/>
      <c r="D4363" s="663"/>
      <c r="E4363" s="663"/>
    </row>
    <row r="4364" spans="1:5" x14ac:dyDescent="0.2">
      <c r="A4364"/>
      <c r="B4364" s="663"/>
      <c r="C4364" s="663"/>
      <c r="D4364" s="663"/>
      <c r="E4364" s="663"/>
    </row>
    <row r="4365" spans="1:5" x14ac:dyDescent="0.2">
      <c r="A4365"/>
      <c r="B4365" s="663"/>
      <c r="C4365" s="663"/>
      <c r="D4365" s="663"/>
      <c r="E4365" s="663"/>
    </row>
    <row r="4366" spans="1:5" x14ac:dyDescent="0.2">
      <c r="A4366"/>
      <c r="B4366" s="663"/>
      <c r="C4366" s="663"/>
      <c r="D4366" s="663"/>
      <c r="E4366" s="663"/>
    </row>
    <row r="4367" spans="1:5" x14ac:dyDescent="0.2">
      <c r="A4367"/>
      <c r="B4367" s="663"/>
      <c r="C4367" s="663"/>
      <c r="D4367" s="663"/>
      <c r="E4367" s="663"/>
    </row>
    <row r="4368" spans="1:5" x14ac:dyDescent="0.2">
      <c r="A4368"/>
      <c r="B4368" s="663"/>
      <c r="C4368" s="663"/>
      <c r="D4368" s="663"/>
      <c r="E4368" s="663"/>
    </row>
    <row r="4369" spans="1:5" x14ac:dyDescent="0.2">
      <c r="A4369"/>
      <c r="B4369" s="663"/>
      <c r="C4369" s="663"/>
      <c r="D4369" s="663"/>
      <c r="E4369" s="663"/>
    </row>
    <row r="4370" spans="1:5" x14ac:dyDescent="0.2">
      <c r="A4370"/>
      <c r="B4370" s="663"/>
      <c r="C4370" s="663"/>
      <c r="D4370" s="663"/>
      <c r="E4370" s="663"/>
    </row>
    <row r="4371" spans="1:5" x14ac:dyDescent="0.2">
      <c r="A4371"/>
      <c r="B4371" s="663"/>
      <c r="C4371" s="663"/>
      <c r="D4371" s="663"/>
      <c r="E4371" s="663"/>
    </row>
    <row r="4372" spans="1:5" x14ac:dyDescent="0.2">
      <c r="A4372"/>
      <c r="B4372" s="663"/>
      <c r="C4372" s="663"/>
      <c r="D4372" s="663"/>
      <c r="E4372" s="663"/>
    </row>
    <row r="4373" spans="1:5" x14ac:dyDescent="0.2">
      <c r="A4373"/>
      <c r="B4373" s="663"/>
      <c r="C4373" s="663"/>
      <c r="D4373" s="663"/>
      <c r="E4373" s="663"/>
    </row>
    <row r="4374" spans="1:5" x14ac:dyDescent="0.2">
      <c r="A4374"/>
      <c r="B4374" s="663"/>
      <c r="C4374" s="663"/>
      <c r="D4374" s="663"/>
      <c r="E4374" s="663"/>
    </row>
    <row r="4375" spans="1:5" x14ac:dyDescent="0.2">
      <c r="A4375"/>
      <c r="B4375" s="663"/>
      <c r="C4375" s="663"/>
      <c r="D4375" s="663"/>
      <c r="E4375" s="663"/>
    </row>
    <row r="4376" spans="1:5" x14ac:dyDescent="0.2">
      <c r="A4376"/>
      <c r="B4376" s="663"/>
      <c r="C4376" s="663"/>
      <c r="D4376" s="663"/>
      <c r="E4376" s="663"/>
    </row>
    <row r="4377" spans="1:5" x14ac:dyDescent="0.2">
      <c r="A4377"/>
      <c r="B4377" s="663"/>
      <c r="C4377" s="663"/>
      <c r="D4377" s="663"/>
      <c r="E4377" s="663"/>
    </row>
    <row r="4378" spans="1:5" x14ac:dyDescent="0.2">
      <c r="A4378"/>
      <c r="B4378" s="663"/>
      <c r="C4378" s="663"/>
      <c r="D4378" s="663"/>
      <c r="E4378" s="663"/>
    </row>
    <row r="4379" spans="1:5" x14ac:dyDescent="0.2">
      <c r="A4379"/>
      <c r="B4379" s="663"/>
      <c r="C4379" s="663"/>
      <c r="D4379" s="663"/>
      <c r="E4379" s="663"/>
    </row>
    <row r="4380" spans="1:5" x14ac:dyDescent="0.2">
      <c r="A4380"/>
      <c r="B4380" s="663"/>
      <c r="C4380" s="663"/>
      <c r="D4380" s="663"/>
      <c r="E4380" s="663"/>
    </row>
    <row r="4381" spans="1:5" x14ac:dyDescent="0.2">
      <c r="A4381"/>
      <c r="B4381" s="663"/>
      <c r="C4381" s="663"/>
      <c r="D4381" s="663"/>
      <c r="E4381" s="663"/>
    </row>
    <row r="4382" spans="1:5" x14ac:dyDescent="0.2">
      <c r="A4382"/>
      <c r="B4382" s="663"/>
      <c r="C4382" s="663"/>
      <c r="D4382" s="663"/>
      <c r="E4382" s="663"/>
    </row>
    <row r="4383" spans="1:5" x14ac:dyDescent="0.2">
      <c r="A4383"/>
      <c r="B4383" s="663"/>
      <c r="C4383" s="663"/>
      <c r="D4383" s="663"/>
      <c r="E4383" s="663"/>
    </row>
    <row r="4384" spans="1:5" x14ac:dyDescent="0.2">
      <c r="A4384"/>
      <c r="B4384" s="663"/>
      <c r="C4384" s="663"/>
      <c r="D4384" s="663"/>
      <c r="E4384" s="663"/>
    </row>
    <row r="4385" spans="1:5" x14ac:dyDescent="0.2">
      <c r="A4385"/>
      <c r="B4385" s="663"/>
      <c r="C4385" s="663"/>
      <c r="D4385" s="663"/>
      <c r="E4385" s="663"/>
    </row>
    <row r="4386" spans="1:5" x14ac:dyDescent="0.2">
      <c r="A4386"/>
      <c r="B4386" s="663"/>
      <c r="C4386" s="663"/>
      <c r="D4386" s="663"/>
      <c r="E4386" s="663"/>
    </row>
    <row r="4387" spans="1:5" x14ac:dyDescent="0.2">
      <c r="A4387"/>
      <c r="B4387" s="663"/>
      <c r="C4387" s="663"/>
      <c r="D4387" s="663"/>
      <c r="E4387" s="663"/>
    </row>
    <row r="4388" spans="1:5" x14ac:dyDescent="0.2">
      <c r="A4388"/>
      <c r="B4388" s="663"/>
      <c r="C4388" s="663"/>
      <c r="D4388" s="663"/>
      <c r="E4388" s="663"/>
    </row>
    <row r="4389" spans="1:5" x14ac:dyDescent="0.2">
      <c r="A4389"/>
      <c r="B4389" s="663"/>
      <c r="C4389" s="663"/>
      <c r="D4389" s="663"/>
      <c r="E4389" s="663"/>
    </row>
    <row r="4390" spans="1:5" x14ac:dyDescent="0.2">
      <c r="A4390"/>
      <c r="B4390" s="663"/>
      <c r="C4390" s="663"/>
      <c r="D4390" s="663"/>
      <c r="E4390" s="663"/>
    </row>
    <row r="4391" spans="1:5" x14ac:dyDescent="0.2">
      <c r="A4391"/>
      <c r="B4391" s="663"/>
      <c r="C4391" s="663"/>
      <c r="D4391" s="663"/>
      <c r="E4391" s="663"/>
    </row>
    <row r="4392" spans="1:5" x14ac:dyDescent="0.2">
      <c r="A4392"/>
      <c r="B4392" s="663"/>
      <c r="C4392" s="663"/>
      <c r="D4392" s="663"/>
      <c r="E4392" s="663"/>
    </row>
    <row r="4393" spans="1:5" x14ac:dyDescent="0.2">
      <c r="A4393"/>
      <c r="B4393" s="663"/>
      <c r="C4393" s="663"/>
      <c r="D4393" s="663"/>
      <c r="E4393" s="663"/>
    </row>
    <row r="4394" spans="1:5" x14ac:dyDescent="0.2">
      <c r="A4394"/>
      <c r="B4394" s="663"/>
      <c r="C4394" s="663"/>
      <c r="D4394" s="663"/>
      <c r="E4394" s="663"/>
    </row>
    <row r="4395" spans="1:5" x14ac:dyDescent="0.2">
      <c r="A4395"/>
      <c r="B4395" s="663"/>
      <c r="C4395" s="663"/>
      <c r="D4395" s="663"/>
      <c r="E4395" s="663"/>
    </row>
    <row r="4396" spans="1:5" x14ac:dyDescent="0.2">
      <c r="A4396"/>
      <c r="B4396" s="663"/>
      <c r="C4396" s="663"/>
      <c r="D4396" s="663"/>
      <c r="E4396" s="663"/>
    </row>
    <row r="4397" spans="1:5" x14ac:dyDescent="0.2">
      <c r="A4397"/>
      <c r="B4397" s="663"/>
      <c r="C4397" s="663"/>
      <c r="D4397" s="663"/>
      <c r="E4397" s="663"/>
    </row>
    <row r="4398" spans="1:5" x14ac:dyDescent="0.2">
      <c r="A4398"/>
      <c r="B4398" s="663"/>
      <c r="C4398" s="663"/>
      <c r="D4398" s="663"/>
      <c r="E4398" s="663"/>
    </row>
    <row r="4399" spans="1:5" x14ac:dyDescent="0.2">
      <c r="A4399"/>
      <c r="B4399" s="663"/>
      <c r="C4399" s="663"/>
      <c r="D4399" s="663"/>
      <c r="E4399" s="663"/>
    </row>
    <row r="4400" spans="1:5" x14ac:dyDescent="0.2">
      <c r="A4400"/>
      <c r="B4400" s="663"/>
      <c r="C4400" s="663"/>
      <c r="D4400" s="663"/>
      <c r="E4400" s="663"/>
    </row>
    <row r="4401" spans="1:5" x14ac:dyDescent="0.2">
      <c r="A4401"/>
      <c r="B4401" s="663"/>
      <c r="C4401" s="663"/>
      <c r="D4401" s="663"/>
      <c r="E4401" s="663"/>
    </row>
    <row r="4402" spans="1:5" x14ac:dyDescent="0.2">
      <c r="A4402"/>
      <c r="B4402" s="663"/>
      <c r="C4402" s="663"/>
      <c r="D4402" s="663"/>
      <c r="E4402" s="663"/>
    </row>
    <row r="4403" spans="1:5" x14ac:dyDescent="0.2">
      <c r="A4403"/>
      <c r="B4403" s="663"/>
      <c r="C4403" s="663"/>
      <c r="D4403" s="663"/>
      <c r="E4403" s="663"/>
    </row>
    <row r="4404" spans="1:5" x14ac:dyDescent="0.2">
      <c r="A4404"/>
      <c r="B4404" s="663"/>
      <c r="C4404" s="663"/>
      <c r="D4404" s="663"/>
      <c r="E4404" s="663"/>
    </row>
    <row r="4405" spans="1:5" x14ac:dyDescent="0.2">
      <c r="A4405"/>
      <c r="B4405" s="663"/>
      <c r="C4405" s="663"/>
      <c r="D4405" s="663"/>
      <c r="E4405" s="663"/>
    </row>
    <row r="4406" spans="1:5" x14ac:dyDescent="0.2">
      <c r="A4406"/>
      <c r="B4406" s="663"/>
      <c r="C4406" s="663"/>
      <c r="D4406" s="663"/>
      <c r="E4406" s="663"/>
    </row>
    <row r="4407" spans="1:5" x14ac:dyDescent="0.2">
      <c r="A4407"/>
      <c r="B4407" s="663"/>
      <c r="C4407" s="663"/>
      <c r="D4407" s="663"/>
      <c r="E4407" s="663"/>
    </row>
    <row r="4408" spans="1:5" x14ac:dyDescent="0.2">
      <c r="A4408"/>
      <c r="B4408" s="663"/>
      <c r="C4408" s="663"/>
      <c r="D4408" s="663"/>
      <c r="E4408" s="663"/>
    </row>
    <row r="4409" spans="1:5" x14ac:dyDescent="0.2">
      <c r="A4409"/>
      <c r="B4409" s="663"/>
      <c r="C4409" s="663"/>
      <c r="D4409" s="663"/>
      <c r="E4409" s="663"/>
    </row>
    <row r="4410" spans="1:5" x14ac:dyDescent="0.2">
      <c r="A4410"/>
      <c r="B4410" s="663"/>
      <c r="C4410" s="663"/>
      <c r="D4410" s="663"/>
      <c r="E4410" s="663"/>
    </row>
    <row r="4411" spans="1:5" x14ac:dyDescent="0.2">
      <c r="A4411"/>
      <c r="B4411" s="663"/>
      <c r="C4411" s="663"/>
      <c r="D4411" s="663"/>
      <c r="E4411" s="663"/>
    </row>
    <row r="4412" spans="1:5" x14ac:dyDescent="0.2">
      <c r="A4412"/>
      <c r="B4412" s="663"/>
      <c r="C4412" s="663"/>
      <c r="D4412" s="663"/>
      <c r="E4412" s="663"/>
    </row>
    <row r="4413" spans="1:5" x14ac:dyDescent="0.2">
      <c r="A4413"/>
      <c r="B4413" s="663"/>
      <c r="C4413" s="663"/>
      <c r="D4413" s="663"/>
      <c r="E4413" s="663"/>
    </row>
    <row r="4414" spans="1:5" x14ac:dyDescent="0.2">
      <c r="A4414"/>
      <c r="B4414" s="663"/>
      <c r="C4414" s="663"/>
      <c r="D4414" s="663"/>
      <c r="E4414" s="663"/>
    </row>
    <row r="4415" spans="1:5" x14ac:dyDescent="0.2">
      <c r="A4415"/>
      <c r="B4415" s="663"/>
      <c r="C4415" s="663"/>
      <c r="D4415" s="663"/>
      <c r="E4415" s="663"/>
    </row>
    <row r="4416" spans="1:5" x14ac:dyDescent="0.2">
      <c r="A4416"/>
      <c r="B4416" s="663"/>
      <c r="C4416" s="663"/>
      <c r="D4416" s="663"/>
      <c r="E4416" s="663"/>
    </row>
    <row r="4417" spans="1:5" x14ac:dyDescent="0.2">
      <c r="A4417"/>
      <c r="B4417" s="663"/>
      <c r="C4417" s="663"/>
      <c r="D4417" s="663"/>
      <c r="E4417" s="663"/>
    </row>
    <row r="4418" spans="1:5" x14ac:dyDescent="0.2">
      <c r="A4418"/>
      <c r="B4418" s="663"/>
      <c r="C4418" s="663"/>
      <c r="D4418" s="663"/>
      <c r="E4418" s="663"/>
    </row>
    <row r="4419" spans="1:5" x14ac:dyDescent="0.2">
      <c r="A4419"/>
      <c r="B4419" s="663"/>
      <c r="C4419" s="663"/>
      <c r="D4419" s="663"/>
      <c r="E4419" s="663"/>
    </row>
    <row r="4420" spans="1:5" x14ac:dyDescent="0.2">
      <c r="A4420"/>
      <c r="B4420" s="663"/>
      <c r="C4420" s="663"/>
      <c r="D4420" s="663"/>
      <c r="E4420" s="663"/>
    </row>
    <row r="4421" spans="1:5" x14ac:dyDescent="0.2">
      <c r="A4421"/>
      <c r="B4421" s="663"/>
      <c r="C4421" s="663"/>
      <c r="D4421" s="663"/>
      <c r="E4421" s="663"/>
    </row>
    <row r="4422" spans="1:5" x14ac:dyDescent="0.2">
      <c r="A4422"/>
      <c r="B4422" s="663"/>
      <c r="C4422" s="663"/>
      <c r="D4422" s="663"/>
      <c r="E4422" s="663"/>
    </row>
    <row r="4423" spans="1:5" x14ac:dyDescent="0.2">
      <c r="A4423"/>
      <c r="B4423" s="663"/>
      <c r="C4423" s="663"/>
      <c r="D4423" s="663"/>
      <c r="E4423" s="663"/>
    </row>
    <row r="4424" spans="1:5" x14ac:dyDescent="0.2">
      <c r="A4424"/>
      <c r="B4424" s="663"/>
      <c r="C4424" s="663"/>
      <c r="D4424" s="663"/>
      <c r="E4424" s="663"/>
    </row>
    <row r="4425" spans="1:5" x14ac:dyDescent="0.2">
      <c r="A4425"/>
      <c r="B4425" s="663"/>
      <c r="C4425" s="663"/>
      <c r="D4425" s="663"/>
      <c r="E4425" s="663"/>
    </row>
    <row r="4426" spans="1:5" x14ac:dyDescent="0.2">
      <c r="A4426"/>
      <c r="B4426" s="663"/>
      <c r="C4426" s="663"/>
      <c r="D4426" s="663"/>
      <c r="E4426" s="663"/>
    </row>
    <row r="4427" spans="1:5" x14ac:dyDescent="0.2">
      <c r="A4427"/>
      <c r="B4427" s="663"/>
      <c r="C4427" s="663"/>
      <c r="D4427" s="663"/>
      <c r="E4427" s="663"/>
    </row>
    <row r="4428" spans="1:5" x14ac:dyDescent="0.2">
      <c r="A4428"/>
      <c r="B4428" s="663"/>
      <c r="C4428" s="663"/>
      <c r="D4428" s="663"/>
      <c r="E4428" s="663"/>
    </row>
    <row r="4429" spans="1:5" x14ac:dyDescent="0.2">
      <c r="A4429"/>
      <c r="B4429" s="663"/>
      <c r="C4429" s="663"/>
      <c r="D4429" s="663"/>
      <c r="E4429" s="663"/>
    </row>
    <row r="4430" spans="1:5" x14ac:dyDescent="0.2">
      <c r="A4430"/>
      <c r="B4430" s="663"/>
      <c r="C4430" s="663"/>
      <c r="D4430" s="663"/>
      <c r="E4430" s="663"/>
    </row>
    <row r="4431" spans="1:5" x14ac:dyDescent="0.2">
      <c r="A4431"/>
      <c r="B4431" s="663"/>
      <c r="C4431" s="663"/>
      <c r="D4431" s="663"/>
      <c r="E4431" s="663"/>
    </row>
    <row r="4432" spans="1:5" x14ac:dyDescent="0.2">
      <c r="A4432"/>
      <c r="B4432" s="663"/>
      <c r="C4432" s="663"/>
      <c r="D4432" s="663"/>
      <c r="E4432" s="663"/>
    </row>
    <row r="4433" spans="1:5" x14ac:dyDescent="0.2">
      <c r="A4433"/>
      <c r="B4433" s="663"/>
      <c r="C4433" s="663"/>
      <c r="D4433" s="663"/>
      <c r="E4433" s="663"/>
    </row>
    <row r="4434" spans="1:5" x14ac:dyDescent="0.2">
      <c r="A4434"/>
      <c r="B4434" s="663"/>
      <c r="C4434" s="663"/>
      <c r="D4434" s="663"/>
      <c r="E4434" s="663"/>
    </row>
    <row r="4435" spans="1:5" x14ac:dyDescent="0.2">
      <c r="A4435"/>
      <c r="B4435" s="663"/>
      <c r="C4435" s="663"/>
      <c r="D4435" s="663"/>
      <c r="E4435" s="663"/>
    </row>
    <row r="4436" spans="1:5" x14ac:dyDescent="0.2">
      <c r="A4436"/>
      <c r="B4436" s="663"/>
      <c r="C4436" s="663"/>
      <c r="D4436" s="663"/>
      <c r="E4436" s="663"/>
    </row>
    <row r="4437" spans="1:5" x14ac:dyDescent="0.2">
      <c r="A4437"/>
      <c r="B4437" s="663"/>
      <c r="C4437" s="663"/>
      <c r="D4437" s="663"/>
      <c r="E4437" s="663"/>
    </row>
    <row r="4438" spans="1:5" x14ac:dyDescent="0.2">
      <c r="A4438"/>
      <c r="B4438" s="663"/>
      <c r="C4438" s="663"/>
      <c r="D4438" s="663"/>
      <c r="E4438" s="663"/>
    </row>
    <row r="4439" spans="1:5" x14ac:dyDescent="0.2">
      <c r="A4439"/>
      <c r="B4439" s="663"/>
      <c r="C4439" s="663"/>
      <c r="D4439" s="663"/>
      <c r="E4439" s="663"/>
    </row>
    <row r="4440" spans="1:5" x14ac:dyDescent="0.2">
      <c r="A4440"/>
      <c r="B4440" s="663"/>
      <c r="C4440" s="663"/>
      <c r="D4440" s="663"/>
      <c r="E4440" s="663"/>
    </row>
    <row r="4441" spans="1:5" x14ac:dyDescent="0.2">
      <c r="A4441"/>
      <c r="B4441" s="663"/>
      <c r="C4441" s="663"/>
      <c r="D4441" s="663"/>
      <c r="E4441" s="663"/>
    </row>
    <row r="4442" spans="1:5" x14ac:dyDescent="0.2">
      <c r="A4442"/>
      <c r="B4442" s="663"/>
      <c r="C4442" s="663"/>
      <c r="D4442" s="663"/>
      <c r="E4442" s="663"/>
    </row>
    <row r="4443" spans="1:5" x14ac:dyDescent="0.2">
      <c r="A4443"/>
      <c r="B4443" s="663"/>
      <c r="C4443" s="663"/>
      <c r="D4443" s="663"/>
      <c r="E4443" s="663"/>
    </row>
    <row r="4444" spans="1:5" x14ac:dyDescent="0.2">
      <c r="A4444"/>
      <c r="B4444" s="663"/>
      <c r="C4444" s="663"/>
      <c r="D4444" s="663"/>
      <c r="E4444" s="663"/>
    </row>
    <row r="4445" spans="1:5" x14ac:dyDescent="0.2">
      <c r="A4445"/>
      <c r="B4445" s="663"/>
      <c r="C4445" s="663"/>
      <c r="D4445" s="663"/>
      <c r="E4445" s="663"/>
    </row>
    <row r="4446" spans="1:5" x14ac:dyDescent="0.2">
      <c r="A4446"/>
      <c r="B4446" s="663"/>
      <c r="C4446" s="663"/>
      <c r="D4446" s="663"/>
      <c r="E4446" s="663"/>
    </row>
    <row r="4447" spans="1:5" x14ac:dyDescent="0.2">
      <c r="A4447"/>
      <c r="B4447" s="663"/>
      <c r="C4447" s="663"/>
      <c r="D4447" s="663"/>
      <c r="E4447" s="663"/>
    </row>
    <row r="4448" spans="1:5" x14ac:dyDescent="0.2">
      <c r="A4448"/>
      <c r="B4448" s="663"/>
      <c r="C4448" s="663"/>
      <c r="D4448" s="663"/>
      <c r="E4448" s="663"/>
    </row>
    <row r="4449" spans="1:5" x14ac:dyDescent="0.2">
      <c r="A4449"/>
      <c r="B4449" s="663"/>
      <c r="C4449" s="663"/>
      <c r="D4449" s="663"/>
      <c r="E4449" s="663"/>
    </row>
    <row r="4450" spans="1:5" x14ac:dyDescent="0.2">
      <c r="A4450"/>
      <c r="B4450" s="663"/>
      <c r="C4450" s="663"/>
      <c r="D4450" s="663"/>
      <c r="E4450" s="663"/>
    </row>
    <row r="4451" spans="1:5" x14ac:dyDescent="0.2">
      <c r="A4451"/>
      <c r="B4451" s="663"/>
      <c r="C4451" s="663"/>
      <c r="D4451" s="663"/>
      <c r="E4451" s="663"/>
    </row>
    <row r="4452" spans="1:5" x14ac:dyDescent="0.2">
      <c r="A4452"/>
      <c r="B4452" s="663"/>
      <c r="C4452" s="663"/>
      <c r="D4452" s="663"/>
      <c r="E4452" s="663"/>
    </row>
    <row r="4453" spans="1:5" x14ac:dyDescent="0.2">
      <c r="A4453"/>
      <c r="B4453" s="663"/>
      <c r="C4453" s="663"/>
      <c r="D4453" s="663"/>
      <c r="E4453" s="663"/>
    </row>
    <row r="4454" spans="1:5" x14ac:dyDescent="0.2">
      <c r="A4454"/>
      <c r="B4454" s="663"/>
      <c r="C4454" s="663"/>
      <c r="D4454" s="663"/>
      <c r="E4454" s="663"/>
    </row>
    <row r="4455" spans="1:5" x14ac:dyDescent="0.2">
      <c r="A4455"/>
      <c r="B4455" s="663"/>
      <c r="C4455" s="663"/>
      <c r="D4455" s="663"/>
      <c r="E4455" s="663"/>
    </row>
    <row r="4456" spans="1:5" x14ac:dyDescent="0.2">
      <c r="A4456"/>
      <c r="B4456" s="663"/>
      <c r="C4456" s="663"/>
      <c r="D4456" s="663"/>
      <c r="E4456" s="663"/>
    </row>
    <row r="4457" spans="1:5" x14ac:dyDescent="0.2">
      <c r="A4457"/>
      <c r="B4457" s="663"/>
      <c r="C4457" s="663"/>
      <c r="D4457" s="663"/>
      <c r="E4457" s="663"/>
    </row>
    <row r="4458" spans="1:5" x14ac:dyDescent="0.2">
      <c r="A4458"/>
      <c r="B4458" s="663"/>
      <c r="C4458" s="663"/>
      <c r="D4458" s="663"/>
      <c r="E4458" s="663"/>
    </row>
    <row r="4459" spans="1:5" x14ac:dyDescent="0.2">
      <c r="A4459"/>
      <c r="B4459" s="663"/>
      <c r="C4459" s="663"/>
      <c r="D4459" s="663"/>
      <c r="E4459" s="663"/>
    </row>
    <row r="4460" spans="1:5" x14ac:dyDescent="0.2">
      <c r="A4460"/>
      <c r="B4460" s="663"/>
      <c r="C4460" s="663"/>
      <c r="D4460" s="663"/>
      <c r="E4460" s="663"/>
    </row>
    <row r="4461" spans="1:5" x14ac:dyDescent="0.2">
      <c r="A4461"/>
      <c r="B4461" s="663"/>
      <c r="C4461" s="663"/>
      <c r="D4461" s="663"/>
      <c r="E4461" s="663"/>
    </row>
    <row r="4462" spans="1:5" x14ac:dyDescent="0.2">
      <c r="A4462"/>
      <c r="B4462" s="663"/>
      <c r="C4462" s="663"/>
      <c r="D4462" s="663"/>
      <c r="E4462" s="663"/>
    </row>
    <row r="4463" spans="1:5" x14ac:dyDescent="0.2">
      <c r="A4463"/>
      <c r="B4463" s="663"/>
      <c r="C4463" s="663"/>
      <c r="D4463" s="663"/>
      <c r="E4463" s="663"/>
    </row>
    <row r="4464" spans="1:5" x14ac:dyDescent="0.2">
      <c r="A4464"/>
      <c r="B4464" s="663"/>
      <c r="C4464" s="663"/>
      <c r="D4464" s="663"/>
      <c r="E4464" s="663"/>
    </row>
    <row r="4465" spans="1:5" x14ac:dyDescent="0.2">
      <c r="A4465"/>
      <c r="B4465" s="663"/>
      <c r="C4465" s="663"/>
      <c r="D4465" s="663"/>
      <c r="E4465" s="663"/>
    </row>
    <row r="4466" spans="1:5" x14ac:dyDescent="0.2">
      <c r="A4466"/>
      <c r="B4466" s="663"/>
      <c r="C4466" s="663"/>
      <c r="D4466" s="663"/>
      <c r="E4466" s="663"/>
    </row>
    <row r="4467" spans="1:5" x14ac:dyDescent="0.2">
      <c r="A4467"/>
      <c r="B4467" s="663"/>
      <c r="C4467" s="663"/>
      <c r="D4467" s="663"/>
      <c r="E4467" s="663"/>
    </row>
    <row r="4468" spans="1:5" x14ac:dyDescent="0.2">
      <c r="A4468"/>
      <c r="B4468" s="663"/>
      <c r="C4468" s="663"/>
      <c r="D4468" s="663"/>
      <c r="E4468" s="663"/>
    </row>
    <row r="4469" spans="1:5" x14ac:dyDescent="0.2">
      <c r="A4469"/>
      <c r="B4469" s="663"/>
      <c r="C4469" s="663"/>
      <c r="D4469" s="663"/>
      <c r="E4469" s="663"/>
    </row>
    <row r="4470" spans="1:5" x14ac:dyDescent="0.2">
      <c r="A4470"/>
      <c r="B4470" s="663"/>
      <c r="C4470" s="663"/>
      <c r="D4470" s="663"/>
      <c r="E4470" s="663"/>
    </row>
    <row r="4471" spans="1:5" x14ac:dyDescent="0.2">
      <c r="A4471"/>
      <c r="B4471" s="663"/>
      <c r="C4471" s="663"/>
      <c r="D4471" s="663"/>
      <c r="E4471" s="663"/>
    </row>
    <row r="4472" spans="1:5" x14ac:dyDescent="0.2">
      <c r="A4472"/>
      <c r="B4472" s="663"/>
      <c r="C4472" s="663"/>
      <c r="D4472" s="663"/>
      <c r="E4472" s="663"/>
    </row>
    <row r="4473" spans="1:5" x14ac:dyDescent="0.2">
      <c r="A4473"/>
      <c r="B4473" s="663"/>
      <c r="C4473" s="663"/>
      <c r="D4473" s="663"/>
      <c r="E4473" s="663"/>
    </row>
    <row r="4474" spans="1:5" x14ac:dyDescent="0.2">
      <c r="A4474"/>
      <c r="B4474" s="663"/>
      <c r="C4474" s="663"/>
      <c r="D4474" s="663"/>
      <c r="E4474" s="663"/>
    </row>
    <row r="4475" spans="1:5" x14ac:dyDescent="0.2">
      <c r="A4475"/>
      <c r="B4475" s="663"/>
      <c r="C4475" s="663"/>
      <c r="D4475" s="663"/>
      <c r="E4475" s="663"/>
    </row>
    <row r="4476" spans="1:5" x14ac:dyDescent="0.2">
      <c r="A4476"/>
      <c r="B4476" s="663"/>
      <c r="C4476" s="663"/>
      <c r="D4476" s="663"/>
      <c r="E4476" s="663"/>
    </row>
    <row r="4477" spans="1:5" x14ac:dyDescent="0.2">
      <c r="A4477"/>
      <c r="B4477" s="663"/>
      <c r="C4477" s="663"/>
      <c r="D4477" s="663"/>
      <c r="E4477" s="663"/>
    </row>
    <row r="4478" spans="1:5" x14ac:dyDescent="0.2">
      <c r="A4478"/>
      <c r="B4478" s="663"/>
      <c r="C4478" s="663"/>
      <c r="D4478" s="663"/>
      <c r="E4478" s="663"/>
    </row>
    <row r="4479" spans="1:5" x14ac:dyDescent="0.2">
      <c r="A4479"/>
      <c r="B4479" s="663"/>
      <c r="C4479" s="663"/>
      <c r="D4479" s="663"/>
      <c r="E4479" s="663"/>
    </row>
    <row r="4480" spans="1:5" x14ac:dyDescent="0.2">
      <c r="A4480"/>
      <c r="B4480" s="663"/>
      <c r="C4480" s="663"/>
      <c r="D4480" s="663"/>
      <c r="E4480" s="663"/>
    </row>
    <row r="4481" spans="1:5" x14ac:dyDescent="0.2">
      <c r="A4481"/>
      <c r="B4481" s="663"/>
      <c r="C4481" s="663"/>
      <c r="D4481" s="663"/>
      <c r="E4481" s="663"/>
    </row>
    <row r="4482" spans="1:5" x14ac:dyDescent="0.2">
      <c r="A4482"/>
      <c r="B4482" s="663"/>
      <c r="C4482" s="663"/>
      <c r="D4482" s="663"/>
      <c r="E4482" s="663"/>
    </row>
    <row r="4483" spans="1:5" x14ac:dyDescent="0.2">
      <c r="A4483"/>
      <c r="B4483" s="663"/>
      <c r="C4483" s="663"/>
      <c r="D4483" s="663"/>
      <c r="E4483" s="663"/>
    </row>
    <row r="4484" spans="1:5" x14ac:dyDescent="0.2">
      <c r="A4484"/>
      <c r="B4484" s="663"/>
      <c r="C4484" s="663"/>
      <c r="D4484" s="663"/>
      <c r="E4484" s="663"/>
    </row>
    <row r="4485" spans="1:5" x14ac:dyDescent="0.2">
      <c r="A4485"/>
      <c r="B4485" s="663"/>
      <c r="C4485" s="663"/>
      <c r="D4485" s="663"/>
      <c r="E4485" s="663"/>
    </row>
    <row r="4486" spans="1:5" x14ac:dyDescent="0.2">
      <c r="A4486"/>
      <c r="B4486" s="663"/>
      <c r="C4486" s="663"/>
      <c r="D4486" s="663"/>
      <c r="E4486" s="663"/>
    </row>
    <row r="4487" spans="1:5" x14ac:dyDescent="0.2">
      <c r="A4487"/>
      <c r="B4487" s="663"/>
      <c r="C4487" s="663"/>
      <c r="D4487" s="663"/>
      <c r="E4487" s="663"/>
    </row>
    <row r="4488" spans="1:5" x14ac:dyDescent="0.2">
      <c r="A4488"/>
      <c r="B4488" s="663"/>
      <c r="C4488" s="663"/>
      <c r="D4488" s="663"/>
      <c r="E4488" s="663"/>
    </row>
    <row r="4489" spans="1:5" x14ac:dyDescent="0.2">
      <c r="A4489"/>
      <c r="B4489" s="663"/>
      <c r="C4489" s="663"/>
      <c r="D4489" s="663"/>
      <c r="E4489" s="663"/>
    </row>
    <row r="4490" spans="1:5" x14ac:dyDescent="0.2">
      <c r="A4490"/>
      <c r="B4490" s="663"/>
      <c r="C4490" s="663"/>
      <c r="D4490" s="663"/>
      <c r="E4490" s="663"/>
    </row>
    <row r="4491" spans="1:5" x14ac:dyDescent="0.2">
      <c r="A4491"/>
      <c r="B4491" s="663"/>
      <c r="C4491" s="663"/>
      <c r="D4491" s="663"/>
      <c r="E4491" s="663"/>
    </row>
    <row r="4492" spans="1:5" x14ac:dyDescent="0.2">
      <c r="A4492"/>
      <c r="B4492" s="663"/>
      <c r="C4492" s="663"/>
      <c r="D4492" s="663"/>
      <c r="E4492" s="663"/>
    </row>
    <row r="4493" spans="1:5" x14ac:dyDescent="0.2">
      <c r="A4493"/>
      <c r="B4493" s="663"/>
      <c r="C4493" s="663"/>
      <c r="D4493" s="663"/>
      <c r="E4493" s="663"/>
    </row>
    <row r="4494" spans="1:5" x14ac:dyDescent="0.2">
      <c r="A4494"/>
      <c r="B4494" s="663"/>
      <c r="C4494" s="663"/>
      <c r="D4494" s="663"/>
      <c r="E4494" s="663"/>
    </row>
    <row r="4495" spans="1:5" x14ac:dyDescent="0.2">
      <c r="A4495"/>
      <c r="B4495" s="663"/>
      <c r="C4495" s="663"/>
      <c r="D4495" s="663"/>
      <c r="E4495" s="663"/>
    </row>
    <row r="4496" spans="1:5" x14ac:dyDescent="0.2">
      <c r="A4496"/>
      <c r="B4496" s="663"/>
      <c r="C4496" s="663"/>
      <c r="D4496" s="663"/>
      <c r="E4496" s="663"/>
    </row>
    <row r="4497" spans="1:5" x14ac:dyDescent="0.2">
      <c r="A4497"/>
      <c r="B4497" s="663"/>
      <c r="C4497" s="663"/>
      <c r="D4497" s="663"/>
      <c r="E4497" s="663"/>
    </row>
    <row r="4498" spans="1:5" x14ac:dyDescent="0.2">
      <c r="A4498"/>
      <c r="B4498" s="663"/>
      <c r="C4498" s="663"/>
      <c r="D4498" s="663"/>
      <c r="E4498" s="663"/>
    </row>
    <row r="4499" spans="1:5" x14ac:dyDescent="0.2">
      <c r="A4499"/>
      <c r="B4499" s="663"/>
      <c r="C4499" s="663"/>
      <c r="D4499" s="663"/>
      <c r="E4499" s="663"/>
    </row>
    <row r="4500" spans="1:5" x14ac:dyDescent="0.2">
      <c r="A4500"/>
      <c r="B4500" s="663"/>
      <c r="C4500" s="663"/>
      <c r="D4500" s="663"/>
      <c r="E4500" s="663"/>
    </row>
    <row r="4501" spans="1:5" x14ac:dyDescent="0.2">
      <c r="A4501"/>
      <c r="B4501" s="663"/>
      <c r="C4501" s="663"/>
      <c r="D4501" s="663"/>
      <c r="E4501" s="663"/>
    </row>
    <row r="4502" spans="1:5" x14ac:dyDescent="0.2">
      <c r="A4502"/>
      <c r="B4502" s="663"/>
      <c r="C4502" s="663"/>
      <c r="D4502" s="663"/>
      <c r="E4502" s="663"/>
    </row>
    <row r="4503" spans="1:5" x14ac:dyDescent="0.2">
      <c r="A4503"/>
      <c r="B4503" s="663"/>
      <c r="C4503" s="663"/>
      <c r="D4503" s="663"/>
      <c r="E4503" s="663"/>
    </row>
    <row r="4504" spans="1:5" x14ac:dyDescent="0.2">
      <c r="A4504"/>
      <c r="B4504" s="663"/>
      <c r="C4504" s="663"/>
      <c r="D4504" s="663"/>
      <c r="E4504" s="663"/>
    </row>
    <row r="4505" spans="1:5" x14ac:dyDescent="0.2">
      <c r="A4505"/>
      <c r="B4505" s="663"/>
      <c r="C4505" s="663"/>
      <c r="D4505" s="663"/>
      <c r="E4505" s="663"/>
    </row>
    <row r="4506" spans="1:5" x14ac:dyDescent="0.2">
      <c r="A4506"/>
      <c r="B4506" s="663"/>
      <c r="C4506" s="663"/>
      <c r="D4506" s="663"/>
      <c r="E4506" s="663"/>
    </row>
    <row r="4507" spans="1:5" x14ac:dyDescent="0.2">
      <c r="A4507"/>
      <c r="B4507" s="663"/>
      <c r="C4507" s="663"/>
      <c r="D4507" s="663"/>
      <c r="E4507" s="663"/>
    </row>
    <row r="4508" spans="1:5" x14ac:dyDescent="0.2">
      <c r="A4508"/>
      <c r="B4508" s="663"/>
      <c r="C4508" s="663"/>
      <c r="D4508" s="663"/>
      <c r="E4508" s="663"/>
    </row>
    <row r="4509" spans="1:5" x14ac:dyDescent="0.2">
      <c r="A4509"/>
      <c r="B4509" s="663"/>
      <c r="C4509" s="663"/>
      <c r="D4509" s="663"/>
      <c r="E4509" s="663"/>
    </row>
    <row r="4510" spans="1:5" x14ac:dyDescent="0.2">
      <c r="A4510"/>
      <c r="B4510" s="663"/>
      <c r="C4510" s="663"/>
      <c r="D4510" s="663"/>
      <c r="E4510" s="663"/>
    </row>
    <row r="4511" spans="1:5" x14ac:dyDescent="0.2">
      <c r="A4511"/>
      <c r="B4511" s="663"/>
      <c r="C4511" s="663"/>
      <c r="D4511" s="663"/>
      <c r="E4511" s="663"/>
    </row>
    <row r="4512" spans="1:5" x14ac:dyDescent="0.2">
      <c r="A4512"/>
      <c r="B4512" s="663"/>
      <c r="C4512" s="663"/>
      <c r="D4512" s="663"/>
      <c r="E4512" s="663"/>
    </row>
    <row r="4513" spans="1:5" x14ac:dyDescent="0.2">
      <c r="A4513"/>
      <c r="B4513" s="663"/>
      <c r="C4513" s="663"/>
      <c r="D4513" s="663"/>
      <c r="E4513" s="663"/>
    </row>
    <row r="4514" spans="1:5" x14ac:dyDescent="0.2">
      <c r="A4514"/>
      <c r="B4514" s="663"/>
      <c r="C4514" s="663"/>
      <c r="D4514" s="663"/>
      <c r="E4514" s="663"/>
    </row>
    <row r="4515" spans="1:5" x14ac:dyDescent="0.2">
      <c r="A4515"/>
      <c r="B4515" s="663"/>
      <c r="C4515" s="663"/>
      <c r="D4515" s="663"/>
      <c r="E4515" s="663"/>
    </row>
    <row r="4516" spans="1:5" x14ac:dyDescent="0.2">
      <c r="A4516"/>
      <c r="B4516" s="663"/>
      <c r="C4516" s="663"/>
      <c r="D4516" s="663"/>
      <c r="E4516" s="663"/>
    </row>
    <row r="4517" spans="1:5" x14ac:dyDescent="0.2">
      <c r="A4517"/>
      <c r="B4517" s="663"/>
      <c r="C4517" s="663"/>
      <c r="D4517" s="663"/>
      <c r="E4517" s="663"/>
    </row>
    <row r="4518" spans="1:5" x14ac:dyDescent="0.2">
      <c r="A4518"/>
      <c r="B4518" s="663"/>
      <c r="C4518" s="663"/>
      <c r="D4518" s="663"/>
      <c r="E4518" s="663"/>
    </row>
    <row r="4519" spans="1:5" x14ac:dyDescent="0.2">
      <c r="A4519"/>
      <c r="B4519" s="663"/>
      <c r="C4519" s="663"/>
      <c r="D4519" s="663"/>
      <c r="E4519" s="663"/>
    </row>
    <row r="4520" spans="1:5" x14ac:dyDescent="0.2">
      <c r="A4520"/>
      <c r="B4520" s="663"/>
      <c r="C4520" s="663"/>
      <c r="D4520" s="663"/>
      <c r="E4520" s="663"/>
    </row>
    <row r="4521" spans="1:5" x14ac:dyDescent="0.2">
      <c r="A4521"/>
      <c r="B4521" s="663"/>
      <c r="C4521" s="663"/>
      <c r="D4521" s="663"/>
      <c r="E4521" s="663"/>
    </row>
    <row r="4522" spans="1:5" x14ac:dyDescent="0.2">
      <c r="A4522"/>
      <c r="B4522" s="663"/>
      <c r="C4522" s="663"/>
      <c r="D4522" s="663"/>
      <c r="E4522" s="663"/>
    </row>
    <row r="4523" spans="1:5" x14ac:dyDescent="0.2">
      <c r="A4523"/>
      <c r="B4523" s="663"/>
      <c r="C4523" s="663"/>
      <c r="D4523" s="663"/>
      <c r="E4523" s="663"/>
    </row>
    <row r="4524" spans="1:5" x14ac:dyDescent="0.2">
      <c r="A4524"/>
      <c r="B4524" s="663"/>
      <c r="C4524" s="663"/>
      <c r="D4524" s="663"/>
      <c r="E4524" s="663"/>
    </row>
    <row r="4525" spans="1:5" x14ac:dyDescent="0.2">
      <c r="A4525"/>
      <c r="B4525" s="663"/>
      <c r="C4525" s="663"/>
      <c r="D4525" s="663"/>
      <c r="E4525" s="663"/>
    </row>
    <row r="4526" spans="1:5" x14ac:dyDescent="0.2">
      <c r="A4526"/>
      <c r="B4526" s="663"/>
      <c r="C4526" s="663"/>
      <c r="D4526" s="663"/>
      <c r="E4526" s="663"/>
    </row>
    <row r="4527" spans="1:5" x14ac:dyDescent="0.2">
      <c r="A4527"/>
      <c r="B4527" s="663"/>
      <c r="C4527" s="663"/>
      <c r="D4527" s="663"/>
      <c r="E4527" s="663"/>
    </row>
    <row r="4528" spans="1:5" x14ac:dyDescent="0.2">
      <c r="A4528"/>
      <c r="B4528" s="663"/>
      <c r="C4528" s="663"/>
      <c r="D4528" s="663"/>
      <c r="E4528" s="663"/>
    </row>
    <row r="4529" spans="1:5" x14ac:dyDescent="0.2">
      <c r="A4529"/>
      <c r="B4529" s="663"/>
      <c r="C4529" s="663"/>
      <c r="D4529" s="663"/>
      <c r="E4529" s="663"/>
    </row>
    <row r="4530" spans="1:5" x14ac:dyDescent="0.2">
      <c r="A4530"/>
      <c r="B4530" s="663"/>
      <c r="C4530" s="663"/>
      <c r="D4530" s="663"/>
      <c r="E4530" s="663"/>
    </row>
    <row r="4531" spans="1:5" x14ac:dyDescent="0.2">
      <c r="A4531"/>
      <c r="B4531" s="663"/>
      <c r="C4531" s="663"/>
      <c r="D4531" s="663"/>
      <c r="E4531" s="663"/>
    </row>
    <row r="4532" spans="1:5" x14ac:dyDescent="0.2">
      <c r="A4532"/>
      <c r="B4532" s="663"/>
      <c r="C4532" s="663"/>
      <c r="D4532" s="663"/>
      <c r="E4532" s="663"/>
    </row>
    <row r="4533" spans="1:5" x14ac:dyDescent="0.2">
      <c r="A4533"/>
      <c r="B4533" s="663"/>
      <c r="C4533" s="663"/>
      <c r="D4533" s="663"/>
      <c r="E4533" s="663"/>
    </row>
    <row r="4534" spans="1:5" x14ac:dyDescent="0.2">
      <c r="A4534"/>
      <c r="B4534" s="663"/>
      <c r="C4534" s="663"/>
      <c r="D4534" s="663"/>
      <c r="E4534" s="663"/>
    </row>
    <row r="4535" spans="1:5" x14ac:dyDescent="0.2">
      <c r="A4535"/>
      <c r="B4535" s="663"/>
      <c r="C4535" s="663"/>
      <c r="D4535" s="663"/>
      <c r="E4535" s="663"/>
    </row>
    <row r="4536" spans="1:5" x14ac:dyDescent="0.2">
      <c r="A4536"/>
      <c r="B4536" s="663"/>
      <c r="C4536" s="663"/>
      <c r="D4536" s="663"/>
      <c r="E4536" s="663"/>
    </row>
    <row r="4537" spans="1:5" x14ac:dyDescent="0.2">
      <c r="A4537"/>
      <c r="B4537" s="663"/>
      <c r="C4537" s="663"/>
      <c r="D4537" s="663"/>
      <c r="E4537" s="663"/>
    </row>
    <row r="4538" spans="1:5" x14ac:dyDescent="0.2">
      <c r="A4538"/>
      <c r="B4538" s="663"/>
      <c r="C4538" s="663"/>
      <c r="D4538" s="663"/>
      <c r="E4538" s="663"/>
    </row>
    <row r="4539" spans="1:5" x14ac:dyDescent="0.2">
      <c r="A4539"/>
      <c r="B4539" s="663"/>
      <c r="C4539" s="663"/>
      <c r="D4539" s="663"/>
      <c r="E4539" s="663"/>
    </row>
    <row r="4540" spans="1:5" x14ac:dyDescent="0.2">
      <c r="A4540"/>
      <c r="B4540" s="663"/>
      <c r="C4540" s="663"/>
      <c r="D4540" s="663"/>
      <c r="E4540" s="663"/>
    </row>
    <row r="4541" spans="1:5" x14ac:dyDescent="0.2">
      <c r="A4541"/>
      <c r="B4541" s="663"/>
      <c r="C4541" s="663"/>
      <c r="D4541" s="663"/>
      <c r="E4541" s="663"/>
    </row>
    <row r="4542" spans="1:5" x14ac:dyDescent="0.2">
      <c r="A4542"/>
      <c r="B4542" s="663"/>
      <c r="C4542" s="663"/>
      <c r="D4542" s="663"/>
      <c r="E4542" s="663"/>
    </row>
    <row r="4543" spans="1:5" x14ac:dyDescent="0.2">
      <c r="A4543"/>
      <c r="B4543" s="663"/>
      <c r="C4543" s="663"/>
      <c r="D4543" s="663"/>
      <c r="E4543" s="663"/>
    </row>
    <row r="4544" spans="1:5" x14ac:dyDescent="0.2">
      <c r="A4544"/>
      <c r="B4544" s="663"/>
      <c r="C4544" s="663"/>
      <c r="D4544" s="663"/>
      <c r="E4544" s="663"/>
    </row>
    <row r="4545" spans="1:5" x14ac:dyDescent="0.2">
      <c r="A4545"/>
      <c r="B4545" s="663"/>
      <c r="C4545" s="663"/>
      <c r="D4545" s="663"/>
      <c r="E4545" s="663"/>
    </row>
    <row r="4546" spans="1:5" x14ac:dyDescent="0.2">
      <c r="A4546"/>
      <c r="B4546" s="663"/>
      <c r="C4546" s="663"/>
      <c r="D4546" s="663"/>
      <c r="E4546" s="663"/>
    </row>
    <row r="4547" spans="1:5" x14ac:dyDescent="0.2">
      <c r="A4547"/>
      <c r="B4547" s="663"/>
      <c r="C4547" s="663"/>
      <c r="D4547" s="663"/>
      <c r="E4547" s="663"/>
    </row>
    <row r="4548" spans="1:5" x14ac:dyDescent="0.2">
      <c r="A4548"/>
      <c r="B4548" s="663"/>
      <c r="C4548" s="663"/>
      <c r="D4548" s="663"/>
      <c r="E4548" s="663"/>
    </row>
    <row r="4549" spans="1:5" x14ac:dyDescent="0.2">
      <c r="A4549"/>
      <c r="B4549" s="663"/>
      <c r="C4549" s="663"/>
      <c r="D4549" s="663"/>
      <c r="E4549" s="663"/>
    </row>
    <row r="4550" spans="1:5" x14ac:dyDescent="0.2">
      <c r="A4550"/>
      <c r="B4550" s="663"/>
      <c r="C4550" s="663"/>
      <c r="D4550" s="663"/>
      <c r="E4550" s="663"/>
    </row>
    <row r="4551" spans="1:5" x14ac:dyDescent="0.2">
      <c r="A4551"/>
      <c r="B4551" s="663"/>
      <c r="C4551" s="663"/>
      <c r="D4551" s="663"/>
      <c r="E4551" s="663"/>
    </row>
    <row r="4552" spans="1:5" x14ac:dyDescent="0.2">
      <c r="A4552"/>
      <c r="B4552" s="663"/>
      <c r="C4552" s="663"/>
      <c r="D4552" s="663"/>
      <c r="E4552" s="663"/>
    </row>
    <row r="4553" spans="1:5" x14ac:dyDescent="0.2">
      <c r="A4553"/>
      <c r="B4553" s="663"/>
      <c r="C4553" s="663"/>
      <c r="D4553" s="663"/>
      <c r="E4553" s="663"/>
    </row>
    <row r="4554" spans="1:5" x14ac:dyDescent="0.2">
      <c r="A4554"/>
      <c r="B4554" s="663"/>
      <c r="C4554" s="663"/>
      <c r="D4554" s="663"/>
      <c r="E4554" s="663"/>
    </row>
    <row r="4555" spans="1:5" x14ac:dyDescent="0.2">
      <c r="A4555"/>
      <c r="B4555" s="663"/>
      <c r="C4555" s="663"/>
      <c r="D4555" s="663"/>
      <c r="E4555" s="663"/>
    </row>
    <row r="4556" spans="1:5" x14ac:dyDescent="0.2">
      <c r="A4556"/>
      <c r="B4556" s="663"/>
      <c r="C4556" s="663"/>
      <c r="D4556" s="663"/>
      <c r="E4556" s="663"/>
    </row>
    <row r="4557" spans="1:5" x14ac:dyDescent="0.2">
      <c r="A4557"/>
      <c r="B4557" s="663"/>
      <c r="C4557" s="663"/>
      <c r="D4557" s="663"/>
      <c r="E4557" s="663"/>
    </row>
    <row r="4558" spans="1:5" x14ac:dyDescent="0.2">
      <c r="A4558"/>
      <c r="B4558" s="663"/>
      <c r="C4558" s="663"/>
      <c r="D4558" s="663"/>
      <c r="E4558" s="663"/>
    </row>
    <row r="4559" spans="1:5" x14ac:dyDescent="0.2">
      <c r="A4559"/>
      <c r="B4559" s="663"/>
      <c r="C4559" s="663"/>
      <c r="D4559" s="663"/>
      <c r="E4559" s="663"/>
    </row>
    <row r="4560" spans="1:5" x14ac:dyDescent="0.2">
      <c r="A4560"/>
      <c r="B4560" s="663"/>
      <c r="C4560" s="663"/>
      <c r="D4560" s="663"/>
      <c r="E4560" s="663"/>
    </row>
    <row r="4561" spans="1:5" x14ac:dyDescent="0.2">
      <c r="A4561"/>
      <c r="B4561" s="663"/>
      <c r="C4561" s="663"/>
      <c r="D4561" s="663"/>
      <c r="E4561" s="663"/>
    </row>
    <row r="4562" spans="1:5" x14ac:dyDescent="0.2">
      <c r="A4562"/>
      <c r="B4562" s="663"/>
      <c r="C4562" s="663"/>
      <c r="D4562" s="663"/>
      <c r="E4562" s="663"/>
    </row>
    <row r="4563" spans="1:5" x14ac:dyDescent="0.2">
      <c r="A4563"/>
      <c r="B4563" s="663"/>
      <c r="C4563" s="663"/>
      <c r="D4563" s="663"/>
      <c r="E4563" s="663"/>
    </row>
    <row r="4564" spans="1:5" x14ac:dyDescent="0.2">
      <c r="A4564"/>
      <c r="B4564" s="663"/>
      <c r="C4564" s="663"/>
      <c r="D4564" s="663"/>
      <c r="E4564" s="663"/>
    </row>
    <row r="4565" spans="1:5" x14ac:dyDescent="0.2">
      <c r="A4565"/>
      <c r="B4565" s="663"/>
      <c r="C4565" s="663"/>
      <c r="D4565" s="663"/>
      <c r="E4565" s="663"/>
    </row>
    <row r="4566" spans="1:5" x14ac:dyDescent="0.2">
      <c r="A4566"/>
      <c r="B4566" s="663"/>
      <c r="C4566" s="663"/>
      <c r="D4566" s="663"/>
      <c r="E4566" s="663"/>
    </row>
    <row r="4567" spans="1:5" x14ac:dyDescent="0.2">
      <c r="A4567"/>
      <c r="B4567" s="663"/>
      <c r="C4567" s="663"/>
      <c r="D4567" s="663"/>
      <c r="E4567" s="663"/>
    </row>
    <row r="4568" spans="1:5" x14ac:dyDescent="0.2">
      <c r="A4568"/>
      <c r="B4568" s="663"/>
      <c r="C4568" s="663"/>
      <c r="D4568" s="663"/>
      <c r="E4568" s="663"/>
    </row>
    <row r="4569" spans="1:5" x14ac:dyDescent="0.2">
      <c r="A4569"/>
      <c r="B4569" s="663"/>
      <c r="C4569" s="663"/>
      <c r="D4569" s="663"/>
      <c r="E4569" s="663"/>
    </row>
    <row r="4570" spans="1:5" x14ac:dyDescent="0.2">
      <c r="A4570"/>
      <c r="B4570" s="663"/>
      <c r="C4570" s="663"/>
      <c r="D4570" s="663"/>
      <c r="E4570" s="663"/>
    </row>
    <row r="4571" spans="1:5" x14ac:dyDescent="0.2">
      <c r="A4571"/>
      <c r="B4571" s="663"/>
      <c r="C4571" s="663"/>
      <c r="D4571" s="663"/>
      <c r="E4571" s="663"/>
    </row>
    <row r="4572" spans="1:5" x14ac:dyDescent="0.2">
      <c r="A4572"/>
      <c r="B4572" s="663"/>
      <c r="C4572" s="663"/>
      <c r="D4572" s="663"/>
      <c r="E4572" s="663"/>
    </row>
    <row r="4573" spans="1:5" x14ac:dyDescent="0.2">
      <c r="A4573"/>
      <c r="B4573" s="663"/>
      <c r="C4573" s="663"/>
      <c r="D4573" s="663"/>
      <c r="E4573" s="663"/>
    </row>
    <row r="4574" spans="1:5" x14ac:dyDescent="0.2">
      <c r="A4574"/>
      <c r="B4574" s="663"/>
      <c r="C4574" s="663"/>
      <c r="D4574" s="663"/>
      <c r="E4574" s="663"/>
    </row>
    <row r="4575" spans="1:5" x14ac:dyDescent="0.2">
      <c r="A4575"/>
      <c r="B4575" s="663"/>
      <c r="C4575" s="663"/>
      <c r="D4575" s="663"/>
      <c r="E4575" s="663"/>
    </row>
    <row r="4576" spans="1:5" x14ac:dyDescent="0.2">
      <c r="A4576"/>
      <c r="B4576" s="663"/>
      <c r="C4576" s="663"/>
      <c r="D4576" s="663"/>
      <c r="E4576" s="663"/>
    </row>
    <row r="4577" spans="1:5" x14ac:dyDescent="0.2">
      <c r="A4577"/>
      <c r="B4577" s="663"/>
      <c r="C4577" s="663"/>
      <c r="D4577" s="663"/>
      <c r="E4577" s="663"/>
    </row>
    <row r="4578" spans="1:5" x14ac:dyDescent="0.2">
      <c r="A4578"/>
      <c r="B4578" s="663"/>
      <c r="C4578" s="663"/>
      <c r="D4578" s="663"/>
      <c r="E4578" s="663"/>
    </row>
    <row r="4579" spans="1:5" x14ac:dyDescent="0.2">
      <c r="A4579"/>
      <c r="B4579" s="663"/>
      <c r="C4579" s="663"/>
      <c r="D4579" s="663"/>
      <c r="E4579" s="663"/>
    </row>
    <row r="4580" spans="1:5" x14ac:dyDescent="0.2">
      <c r="A4580"/>
      <c r="B4580" s="663"/>
      <c r="C4580" s="663"/>
      <c r="D4580" s="663"/>
      <c r="E4580" s="663"/>
    </row>
    <row r="4581" spans="1:5" x14ac:dyDescent="0.2">
      <c r="A4581"/>
      <c r="B4581" s="663"/>
      <c r="C4581" s="663"/>
      <c r="D4581" s="663"/>
      <c r="E4581" s="663"/>
    </row>
    <row r="4582" spans="1:5" x14ac:dyDescent="0.2">
      <c r="A4582"/>
      <c r="B4582" s="663"/>
      <c r="C4582" s="663"/>
      <c r="D4582" s="663"/>
      <c r="E4582" s="663"/>
    </row>
    <row r="4583" spans="1:5" x14ac:dyDescent="0.2">
      <c r="A4583"/>
      <c r="B4583" s="663"/>
      <c r="C4583" s="663"/>
      <c r="D4583" s="663"/>
      <c r="E4583" s="663"/>
    </row>
    <row r="4584" spans="1:5" x14ac:dyDescent="0.2">
      <c r="A4584"/>
      <c r="B4584" s="663"/>
      <c r="C4584" s="663"/>
      <c r="D4584" s="663"/>
      <c r="E4584" s="663"/>
    </row>
    <row r="4585" spans="1:5" x14ac:dyDescent="0.2">
      <c r="A4585"/>
      <c r="B4585" s="663"/>
      <c r="C4585" s="663"/>
      <c r="D4585" s="663"/>
      <c r="E4585" s="663"/>
    </row>
    <row r="4586" spans="1:5" x14ac:dyDescent="0.2">
      <c r="A4586"/>
      <c r="B4586" s="663"/>
      <c r="C4586" s="663"/>
      <c r="D4586" s="663"/>
      <c r="E4586" s="663"/>
    </row>
    <row r="4587" spans="1:5" x14ac:dyDescent="0.2">
      <c r="A4587"/>
      <c r="B4587" s="663"/>
      <c r="C4587" s="663"/>
      <c r="D4587" s="663"/>
      <c r="E4587" s="663"/>
    </row>
    <row r="4588" spans="1:5" x14ac:dyDescent="0.2">
      <c r="A4588"/>
      <c r="B4588" s="663"/>
      <c r="C4588" s="663"/>
      <c r="D4588" s="663"/>
      <c r="E4588" s="663"/>
    </row>
    <row r="4589" spans="1:5" x14ac:dyDescent="0.2">
      <c r="A4589"/>
      <c r="B4589" s="663"/>
      <c r="C4589" s="663"/>
      <c r="D4589" s="663"/>
      <c r="E4589" s="663"/>
    </row>
    <row r="4590" spans="1:5" x14ac:dyDescent="0.2">
      <c r="A4590"/>
      <c r="B4590" s="663"/>
      <c r="C4590" s="663"/>
      <c r="D4590" s="663"/>
      <c r="E4590" s="663"/>
    </row>
    <row r="4591" spans="1:5" x14ac:dyDescent="0.2">
      <c r="A4591"/>
      <c r="B4591" s="663"/>
      <c r="C4591" s="663"/>
      <c r="D4591" s="663"/>
      <c r="E4591" s="663"/>
    </row>
    <row r="4592" spans="1:5" x14ac:dyDescent="0.2">
      <c r="A4592"/>
      <c r="B4592" s="663"/>
      <c r="C4592" s="663"/>
      <c r="D4592" s="663"/>
      <c r="E4592" s="663"/>
    </row>
    <row r="4593" spans="1:5" x14ac:dyDescent="0.2">
      <c r="A4593"/>
      <c r="B4593" s="663"/>
      <c r="C4593" s="663"/>
      <c r="D4593" s="663"/>
      <c r="E4593" s="663"/>
    </row>
    <row r="4594" spans="1:5" x14ac:dyDescent="0.2">
      <c r="A4594"/>
      <c r="B4594" s="663"/>
      <c r="C4594" s="663"/>
      <c r="D4594" s="663"/>
      <c r="E4594" s="663"/>
    </row>
    <row r="4595" spans="1:5" x14ac:dyDescent="0.2">
      <c r="A4595"/>
      <c r="B4595" s="663"/>
      <c r="C4595" s="663"/>
      <c r="D4595" s="663"/>
      <c r="E4595" s="663"/>
    </row>
    <row r="4596" spans="1:5" x14ac:dyDescent="0.2">
      <c r="A4596"/>
      <c r="B4596" s="663"/>
      <c r="C4596" s="663"/>
      <c r="D4596" s="663"/>
      <c r="E4596" s="663"/>
    </row>
    <row r="4597" spans="1:5" x14ac:dyDescent="0.2">
      <c r="A4597"/>
      <c r="B4597" s="663"/>
      <c r="C4597" s="663"/>
      <c r="D4597" s="663"/>
      <c r="E4597" s="663"/>
    </row>
    <row r="4598" spans="1:5" x14ac:dyDescent="0.2">
      <c r="A4598"/>
      <c r="B4598" s="663"/>
      <c r="C4598" s="663"/>
      <c r="D4598" s="663"/>
      <c r="E4598" s="663"/>
    </row>
    <row r="4599" spans="1:5" x14ac:dyDescent="0.2">
      <c r="A4599"/>
      <c r="B4599" s="663"/>
      <c r="C4599" s="663"/>
      <c r="D4599" s="663"/>
      <c r="E4599" s="663"/>
    </row>
    <row r="4600" spans="1:5" x14ac:dyDescent="0.2">
      <c r="A4600"/>
      <c r="B4600" s="663"/>
      <c r="C4600" s="663"/>
      <c r="D4600" s="663"/>
      <c r="E4600" s="663"/>
    </row>
    <row r="4601" spans="1:5" x14ac:dyDescent="0.2">
      <c r="A4601"/>
      <c r="B4601" s="663"/>
      <c r="C4601" s="663"/>
      <c r="D4601" s="663"/>
      <c r="E4601" s="663"/>
    </row>
    <row r="4602" spans="1:5" x14ac:dyDescent="0.2">
      <c r="A4602"/>
      <c r="B4602" s="663"/>
      <c r="C4602" s="663"/>
      <c r="D4602" s="663"/>
      <c r="E4602" s="663"/>
    </row>
    <row r="4603" spans="1:5" x14ac:dyDescent="0.2">
      <c r="A4603"/>
      <c r="B4603" s="663"/>
      <c r="C4603" s="663"/>
      <c r="D4603" s="663"/>
      <c r="E4603" s="663"/>
    </row>
    <row r="4604" spans="1:5" x14ac:dyDescent="0.2">
      <c r="A4604"/>
      <c r="B4604" s="663"/>
      <c r="C4604" s="663"/>
      <c r="D4604" s="663"/>
      <c r="E4604" s="663"/>
    </row>
    <row r="4605" spans="1:5" x14ac:dyDescent="0.2">
      <c r="A4605"/>
      <c r="B4605" s="663"/>
      <c r="C4605" s="663"/>
      <c r="D4605" s="663"/>
      <c r="E4605" s="663"/>
    </row>
    <row r="4606" spans="1:5" x14ac:dyDescent="0.2">
      <c r="A4606"/>
      <c r="B4606" s="663"/>
      <c r="C4606" s="663"/>
      <c r="D4606" s="663"/>
      <c r="E4606" s="663"/>
    </row>
    <row r="4607" spans="1:5" x14ac:dyDescent="0.2">
      <c r="A4607"/>
      <c r="B4607" s="663"/>
      <c r="C4607" s="663"/>
      <c r="D4607" s="663"/>
      <c r="E4607" s="663"/>
    </row>
    <row r="4608" spans="1:5" x14ac:dyDescent="0.2">
      <c r="A4608"/>
      <c r="B4608" s="663"/>
      <c r="C4608" s="663"/>
      <c r="D4608" s="663"/>
      <c r="E4608" s="663"/>
    </row>
    <row r="4609" spans="1:5" x14ac:dyDescent="0.2">
      <c r="A4609"/>
      <c r="B4609" s="663"/>
      <c r="C4609" s="663"/>
      <c r="D4609" s="663"/>
      <c r="E4609" s="663"/>
    </row>
    <row r="4610" spans="1:5" x14ac:dyDescent="0.2">
      <c r="A4610"/>
      <c r="B4610" s="663"/>
      <c r="C4610" s="663"/>
      <c r="D4610" s="663"/>
      <c r="E4610" s="663"/>
    </row>
    <row r="4611" spans="1:5" x14ac:dyDescent="0.2">
      <c r="A4611"/>
      <c r="B4611" s="663"/>
      <c r="C4611" s="663"/>
      <c r="D4611" s="663"/>
      <c r="E4611" s="663"/>
    </row>
    <row r="4612" spans="1:5" x14ac:dyDescent="0.2">
      <c r="A4612"/>
      <c r="B4612" s="663"/>
      <c r="C4612" s="663"/>
      <c r="D4612" s="663"/>
      <c r="E4612" s="663"/>
    </row>
    <row r="4613" spans="1:5" x14ac:dyDescent="0.2">
      <c r="A4613"/>
      <c r="B4613" s="663"/>
      <c r="C4613" s="663"/>
      <c r="D4613" s="663"/>
      <c r="E4613" s="663"/>
    </row>
    <row r="4614" spans="1:5" x14ac:dyDescent="0.2">
      <c r="A4614"/>
      <c r="B4614" s="663"/>
      <c r="C4614" s="663"/>
      <c r="D4614" s="663"/>
      <c r="E4614" s="663"/>
    </row>
    <row r="4615" spans="1:5" x14ac:dyDescent="0.2">
      <c r="A4615"/>
      <c r="B4615" s="663"/>
      <c r="C4615" s="663"/>
      <c r="D4615" s="663"/>
      <c r="E4615" s="663"/>
    </row>
    <row r="4616" spans="1:5" x14ac:dyDescent="0.2">
      <c r="A4616"/>
      <c r="B4616" s="663"/>
      <c r="C4616" s="663"/>
      <c r="D4616" s="663"/>
      <c r="E4616" s="663"/>
    </row>
    <row r="4617" spans="1:5" x14ac:dyDescent="0.2">
      <c r="A4617"/>
      <c r="B4617" s="663"/>
      <c r="C4617" s="663"/>
      <c r="D4617" s="663"/>
      <c r="E4617" s="663"/>
    </row>
    <row r="4618" spans="1:5" x14ac:dyDescent="0.2">
      <c r="A4618"/>
      <c r="B4618" s="663"/>
      <c r="C4618" s="663"/>
      <c r="D4618" s="663"/>
      <c r="E4618" s="663"/>
    </row>
    <row r="4619" spans="1:5" x14ac:dyDescent="0.2">
      <c r="A4619"/>
      <c r="B4619" s="663"/>
      <c r="C4619" s="663"/>
      <c r="D4619" s="663"/>
      <c r="E4619" s="663"/>
    </row>
    <row r="4620" spans="1:5" x14ac:dyDescent="0.2">
      <c r="A4620"/>
      <c r="B4620" s="663"/>
      <c r="C4620" s="663"/>
      <c r="D4620" s="663"/>
      <c r="E4620" s="663"/>
    </row>
    <row r="4621" spans="1:5" x14ac:dyDescent="0.2">
      <c r="A4621"/>
      <c r="B4621" s="663"/>
      <c r="C4621" s="663"/>
      <c r="D4621" s="663"/>
      <c r="E4621" s="663"/>
    </row>
    <row r="4622" spans="1:5" x14ac:dyDescent="0.2">
      <c r="A4622"/>
      <c r="B4622" s="663"/>
      <c r="C4622" s="663"/>
      <c r="D4622" s="663"/>
      <c r="E4622" s="663"/>
    </row>
    <row r="4623" spans="1:5" x14ac:dyDescent="0.2">
      <c r="A4623"/>
      <c r="B4623" s="663"/>
      <c r="C4623" s="663"/>
      <c r="D4623" s="663"/>
      <c r="E4623" s="663"/>
    </row>
    <row r="4624" spans="1:5" x14ac:dyDescent="0.2">
      <c r="A4624"/>
      <c r="B4624" s="663"/>
      <c r="C4624" s="663"/>
      <c r="D4624" s="663"/>
      <c r="E4624" s="663"/>
    </row>
    <row r="4625" spans="1:5" x14ac:dyDescent="0.2">
      <c r="A4625"/>
      <c r="B4625" s="663"/>
      <c r="C4625" s="663"/>
      <c r="D4625" s="663"/>
      <c r="E4625" s="663"/>
    </row>
    <row r="4626" spans="1:5" x14ac:dyDescent="0.2">
      <c r="A4626"/>
      <c r="B4626" s="663"/>
      <c r="C4626" s="663"/>
      <c r="D4626" s="663"/>
      <c r="E4626" s="663"/>
    </row>
    <row r="4627" spans="1:5" x14ac:dyDescent="0.2">
      <c r="A4627"/>
      <c r="B4627" s="663"/>
      <c r="C4627" s="663"/>
      <c r="D4627" s="663"/>
      <c r="E4627" s="663"/>
    </row>
    <row r="4628" spans="1:5" x14ac:dyDescent="0.2">
      <c r="A4628"/>
      <c r="B4628" s="663"/>
      <c r="C4628" s="663"/>
      <c r="D4628" s="663"/>
      <c r="E4628" s="663"/>
    </row>
    <row r="4629" spans="1:5" x14ac:dyDescent="0.2">
      <c r="A4629"/>
      <c r="B4629" s="663"/>
      <c r="C4629" s="663"/>
      <c r="D4629" s="663"/>
      <c r="E4629" s="663"/>
    </row>
    <row r="4630" spans="1:5" x14ac:dyDescent="0.2">
      <c r="A4630"/>
      <c r="B4630" s="663"/>
      <c r="C4630" s="663"/>
      <c r="D4630" s="663"/>
      <c r="E4630" s="663"/>
    </row>
    <row r="4631" spans="1:5" x14ac:dyDescent="0.2">
      <c r="A4631"/>
      <c r="B4631" s="663"/>
      <c r="C4631" s="663"/>
      <c r="D4631" s="663"/>
      <c r="E4631" s="663"/>
    </row>
    <row r="4632" spans="1:5" x14ac:dyDescent="0.2">
      <c r="A4632"/>
      <c r="B4632" s="663"/>
      <c r="C4632" s="663"/>
      <c r="D4632" s="663"/>
      <c r="E4632" s="663"/>
    </row>
    <row r="4633" spans="1:5" x14ac:dyDescent="0.2">
      <c r="A4633"/>
      <c r="B4633" s="663"/>
      <c r="C4633" s="663"/>
      <c r="D4633" s="663"/>
      <c r="E4633" s="663"/>
    </row>
    <row r="4634" spans="1:5" x14ac:dyDescent="0.2">
      <c r="A4634"/>
      <c r="B4634" s="663"/>
      <c r="C4634" s="663"/>
      <c r="D4634" s="663"/>
      <c r="E4634" s="663"/>
    </row>
    <row r="4635" spans="1:5" x14ac:dyDescent="0.2">
      <c r="A4635"/>
      <c r="B4635" s="663"/>
      <c r="C4635" s="663"/>
      <c r="D4635" s="663"/>
      <c r="E4635" s="663"/>
    </row>
    <row r="4636" spans="1:5" x14ac:dyDescent="0.2">
      <c r="A4636"/>
      <c r="B4636" s="663"/>
      <c r="C4636" s="663"/>
      <c r="D4636" s="663"/>
      <c r="E4636" s="663"/>
    </row>
    <row r="4637" spans="1:5" x14ac:dyDescent="0.2">
      <c r="A4637"/>
      <c r="B4637" s="663"/>
      <c r="C4637" s="663"/>
      <c r="D4637" s="663"/>
      <c r="E4637" s="663"/>
    </row>
    <row r="4638" spans="1:5" x14ac:dyDescent="0.2">
      <c r="A4638"/>
      <c r="B4638" s="663"/>
      <c r="C4638" s="663"/>
      <c r="D4638" s="663"/>
      <c r="E4638" s="663"/>
    </row>
    <row r="4639" spans="1:5" x14ac:dyDescent="0.2">
      <c r="A4639"/>
      <c r="B4639" s="663"/>
      <c r="C4639" s="663"/>
      <c r="D4639" s="663"/>
      <c r="E4639" s="663"/>
    </row>
    <row r="4640" spans="1:5" x14ac:dyDescent="0.2">
      <c r="A4640"/>
      <c r="B4640" s="663"/>
      <c r="C4640" s="663"/>
      <c r="D4640" s="663"/>
      <c r="E4640" s="663"/>
    </row>
    <row r="4641" spans="1:5" x14ac:dyDescent="0.2">
      <c r="A4641"/>
      <c r="B4641" s="663"/>
      <c r="C4641" s="663"/>
      <c r="D4641" s="663"/>
      <c r="E4641" s="663"/>
    </row>
    <row r="4642" spans="1:5" x14ac:dyDescent="0.2">
      <c r="A4642"/>
      <c r="B4642" s="663"/>
      <c r="C4642" s="663"/>
      <c r="D4642" s="663"/>
      <c r="E4642" s="663"/>
    </row>
    <row r="4643" spans="1:5" x14ac:dyDescent="0.2">
      <c r="A4643"/>
      <c r="B4643" s="663"/>
      <c r="C4643" s="663"/>
      <c r="D4643" s="663"/>
      <c r="E4643" s="663"/>
    </row>
    <row r="4644" spans="1:5" x14ac:dyDescent="0.2">
      <c r="A4644"/>
      <c r="B4644" s="663"/>
      <c r="C4644" s="663"/>
      <c r="D4644" s="663"/>
      <c r="E4644" s="663"/>
    </row>
    <row r="4645" spans="1:5" x14ac:dyDescent="0.2">
      <c r="A4645"/>
      <c r="B4645" s="663"/>
      <c r="C4645" s="663"/>
      <c r="D4645" s="663"/>
      <c r="E4645" s="663"/>
    </row>
    <row r="4646" spans="1:5" x14ac:dyDescent="0.2">
      <c r="A4646"/>
      <c r="B4646" s="663"/>
      <c r="C4646" s="663"/>
      <c r="D4646" s="663"/>
      <c r="E4646" s="663"/>
    </row>
    <row r="4647" spans="1:5" x14ac:dyDescent="0.2">
      <c r="A4647"/>
      <c r="B4647" s="663"/>
      <c r="C4647" s="663"/>
      <c r="D4647" s="663"/>
      <c r="E4647" s="663"/>
    </row>
    <row r="4648" spans="1:5" x14ac:dyDescent="0.2">
      <c r="A4648"/>
      <c r="B4648" s="663"/>
      <c r="C4648" s="663"/>
      <c r="D4648" s="663"/>
      <c r="E4648" s="663"/>
    </row>
    <row r="4649" spans="1:5" x14ac:dyDescent="0.2">
      <c r="A4649"/>
      <c r="B4649" s="663"/>
      <c r="C4649" s="663"/>
      <c r="D4649" s="663"/>
      <c r="E4649" s="663"/>
    </row>
    <row r="4650" spans="1:5" x14ac:dyDescent="0.2">
      <c r="A4650"/>
      <c r="B4650" s="663"/>
      <c r="C4650" s="663"/>
      <c r="D4650" s="663"/>
      <c r="E4650" s="663"/>
    </row>
    <row r="4651" spans="1:5" x14ac:dyDescent="0.2">
      <c r="A4651"/>
      <c r="B4651" s="663"/>
      <c r="C4651" s="663"/>
      <c r="D4651" s="663"/>
      <c r="E4651" s="663"/>
    </row>
    <row r="4652" spans="1:5" x14ac:dyDescent="0.2">
      <c r="A4652"/>
      <c r="B4652" s="663"/>
      <c r="C4652" s="663"/>
      <c r="D4652" s="663"/>
      <c r="E4652" s="663"/>
    </row>
    <row r="4653" spans="1:5" x14ac:dyDescent="0.2">
      <c r="A4653"/>
      <c r="B4653" s="663"/>
      <c r="C4653" s="663"/>
      <c r="D4653" s="663"/>
      <c r="E4653" s="663"/>
    </row>
    <row r="4654" spans="1:5" x14ac:dyDescent="0.2">
      <c r="A4654"/>
      <c r="B4654" s="663"/>
      <c r="C4654" s="663"/>
      <c r="D4654" s="663"/>
      <c r="E4654" s="663"/>
    </row>
    <row r="4655" spans="1:5" x14ac:dyDescent="0.2">
      <c r="A4655"/>
      <c r="B4655" s="663"/>
      <c r="C4655" s="663"/>
      <c r="D4655" s="663"/>
      <c r="E4655" s="663"/>
    </row>
    <row r="4656" spans="1:5" x14ac:dyDescent="0.2">
      <c r="A4656"/>
      <c r="B4656" s="663"/>
      <c r="C4656" s="663"/>
      <c r="D4656" s="663"/>
      <c r="E4656" s="663"/>
    </row>
    <row r="4657" spans="1:5" x14ac:dyDescent="0.2">
      <c r="A4657"/>
      <c r="B4657" s="663"/>
      <c r="C4657" s="663"/>
      <c r="D4657" s="663"/>
      <c r="E4657" s="663"/>
    </row>
    <row r="4658" spans="1:5" x14ac:dyDescent="0.2">
      <c r="A4658"/>
      <c r="B4658" s="663"/>
      <c r="C4658" s="663"/>
      <c r="D4658" s="663"/>
      <c r="E4658" s="663"/>
    </row>
    <row r="4659" spans="1:5" x14ac:dyDescent="0.2">
      <c r="A4659"/>
      <c r="B4659" s="663"/>
      <c r="C4659" s="663"/>
      <c r="D4659" s="663"/>
      <c r="E4659" s="663"/>
    </row>
    <row r="4660" spans="1:5" x14ac:dyDescent="0.2">
      <c r="A4660"/>
      <c r="B4660" s="663"/>
      <c r="C4660" s="663"/>
      <c r="D4660" s="663"/>
      <c r="E4660" s="663"/>
    </row>
    <row r="4661" spans="1:5" x14ac:dyDescent="0.2">
      <c r="A4661"/>
      <c r="B4661" s="663"/>
      <c r="C4661" s="663"/>
      <c r="D4661" s="663"/>
      <c r="E4661" s="663"/>
    </row>
    <row r="4662" spans="1:5" x14ac:dyDescent="0.2">
      <c r="A4662"/>
      <c r="B4662" s="663"/>
      <c r="C4662" s="663"/>
      <c r="D4662" s="663"/>
      <c r="E4662" s="663"/>
    </row>
    <row r="4663" spans="1:5" x14ac:dyDescent="0.2">
      <c r="A4663"/>
      <c r="B4663" s="663"/>
      <c r="C4663" s="663"/>
      <c r="D4663" s="663"/>
      <c r="E4663" s="663"/>
    </row>
    <row r="4664" spans="1:5" x14ac:dyDescent="0.2">
      <c r="A4664"/>
      <c r="B4664" s="663"/>
      <c r="C4664" s="663"/>
      <c r="D4664" s="663"/>
      <c r="E4664" s="663"/>
    </row>
    <row r="4665" spans="1:5" x14ac:dyDescent="0.2">
      <c r="A4665"/>
      <c r="B4665" s="663"/>
      <c r="C4665" s="663"/>
      <c r="D4665" s="663"/>
      <c r="E4665" s="663"/>
    </row>
    <row r="4666" spans="1:5" x14ac:dyDescent="0.2">
      <c r="A4666"/>
      <c r="B4666" s="663"/>
      <c r="C4666" s="663"/>
      <c r="D4666" s="663"/>
      <c r="E4666" s="663"/>
    </row>
    <row r="4667" spans="1:5" x14ac:dyDescent="0.2">
      <c r="A4667"/>
      <c r="B4667" s="663"/>
      <c r="C4667" s="663"/>
      <c r="D4667" s="663"/>
      <c r="E4667" s="663"/>
    </row>
    <row r="4668" spans="1:5" x14ac:dyDescent="0.2">
      <c r="A4668"/>
      <c r="B4668" s="663"/>
      <c r="C4668" s="663"/>
      <c r="D4668" s="663"/>
      <c r="E4668" s="663"/>
    </row>
    <row r="4669" spans="1:5" x14ac:dyDescent="0.2">
      <c r="A4669"/>
      <c r="B4669" s="663"/>
      <c r="C4669" s="663"/>
      <c r="D4669" s="663"/>
      <c r="E4669" s="663"/>
    </row>
    <row r="4670" spans="1:5" x14ac:dyDescent="0.2">
      <c r="A4670"/>
      <c r="B4670" s="663"/>
      <c r="C4670" s="663"/>
      <c r="D4670" s="663"/>
      <c r="E4670" s="663"/>
    </row>
    <row r="4671" spans="1:5" x14ac:dyDescent="0.2">
      <c r="A4671"/>
      <c r="B4671" s="663"/>
      <c r="C4671" s="663"/>
      <c r="D4671" s="663"/>
      <c r="E4671" s="663"/>
    </row>
    <row r="4672" spans="1:5" x14ac:dyDescent="0.2">
      <c r="A4672"/>
      <c r="B4672" s="663"/>
      <c r="C4672" s="663"/>
      <c r="D4672" s="663"/>
      <c r="E4672" s="663"/>
    </row>
    <row r="4673" spans="1:5" x14ac:dyDescent="0.2">
      <c r="A4673"/>
      <c r="B4673" s="663"/>
      <c r="C4673" s="663"/>
      <c r="D4673" s="663"/>
      <c r="E4673" s="663"/>
    </row>
    <row r="4674" spans="1:5" x14ac:dyDescent="0.2">
      <c r="A4674"/>
      <c r="B4674" s="663"/>
      <c r="C4674" s="663"/>
      <c r="D4674" s="663"/>
      <c r="E4674" s="663"/>
    </row>
    <row r="4675" spans="1:5" x14ac:dyDescent="0.2">
      <c r="A4675"/>
      <c r="B4675" s="663"/>
      <c r="C4675" s="663"/>
      <c r="D4675" s="663"/>
      <c r="E4675" s="663"/>
    </row>
    <row r="4676" spans="1:5" x14ac:dyDescent="0.2">
      <c r="A4676"/>
      <c r="B4676" s="663"/>
      <c r="C4676" s="663"/>
      <c r="D4676" s="663"/>
      <c r="E4676" s="663"/>
    </row>
    <row r="4677" spans="1:5" x14ac:dyDescent="0.2">
      <c r="A4677"/>
      <c r="B4677" s="663"/>
      <c r="C4677" s="663"/>
      <c r="D4677" s="663"/>
      <c r="E4677" s="663"/>
    </row>
    <row r="4678" spans="1:5" x14ac:dyDescent="0.2">
      <c r="A4678"/>
      <c r="B4678" s="663"/>
      <c r="C4678" s="663"/>
      <c r="D4678" s="663"/>
      <c r="E4678" s="663"/>
    </row>
    <row r="4679" spans="1:5" x14ac:dyDescent="0.2">
      <c r="A4679"/>
      <c r="B4679" s="663"/>
      <c r="C4679" s="663"/>
      <c r="D4679" s="663"/>
      <c r="E4679" s="663"/>
    </row>
    <row r="4680" spans="1:5" x14ac:dyDescent="0.2">
      <c r="A4680"/>
      <c r="B4680" s="663"/>
      <c r="C4680" s="663"/>
      <c r="D4680" s="663"/>
      <c r="E4680" s="663"/>
    </row>
    <row r="4681" spans="1:5" x14ac:dyDescent="0.2">
      <c r="A4681"/>
      <c r="B4681" s="663"/>
      <c r="C4681" s="663"/>
      <c r="D4681" s="663"/>
      <c r="E4681" s="663"/>
    </row>
    <row r="4682" spans="1:5" x14ac:dyDescent="0.2">
      <c r="A4682"/>
      <c r="B4682" s="663"/>
      <c r="C4682" s="663"/>
      <c r="D4682" s="663"/>
      <c r="E4682" s="663"/>
    </row>
    <row r="4683" spans="1:5" x14ac:dyDescent="0.2">
      <c r="A4683"/>
      <c r="B4683" s="663"/>
      <c r="C4683" s="663"/>
      <c r="D4683" s="663"/>
      <c r="E4683" s="663"/>
    </row>
    <row r="4684" spans="1:5" x14ac:dyDescent="0.2">
      <c r="A4684"/>
      <c r="B4684" s="663"/>
      <c r="C4684" s="663"/>
      <c r="D4684" s="663"/>
      <c r="E4684" s="663"/>
    </row>
    <row r="4685" spans="1:5" x14ac:dyDescent="0.2">
      <c r="A4685"/>
      <c r="B4685" s="663"/>
      <c r="C4685" s="663"/>
      <c r="D4685" s="663"/>
      <c r="E4685" s="663"/>
    </row>
    <row r="4686" spans="1:5" x14ac:dyDescent="0.2">
      <c r="A4686"/>
      <c r="B4686" s="663"/>
      <c r="C4686" s="663"/>
      <c r="D4686" s="663"/>
      <c r="E4686" s="663"/>
    </row>
    <row r="4687" spans="1:5" x14ac:dyDescent="0.2">
      <c r="A4687"/>
      <c r="B4687" s="663"/>
      <c r="C4687" s="663"/>
      <c r="D4687" s="663"/>
      <c r="E4687" s="663"/>
    </row>
    <row r="4688" spans="1:5" x14ac:dyDescent="0.2">
      <c r="A4688"/>
      <c r="B4688" s="663"/>
      <c r="C4688" s="663"/>
      <c r="D4688" s="663"/>
      <c r="E4688" s="663"/>
    </row>
    <row r="4689" spans="1:5" x14ac:dyDescent="0.2">
      <c r="A4689"/>
      <c r="B4689" s="663"/>
      <c r="C4689" s="663"/>
      <c r="D4689" s="663"/>
      <c r="E4689" s="663"/>
    </row>
    <row r="4690" spans="1:5" x14ac:dyDescent="0.2">
      <c r="A4690"/>
      <c r="B4690" s="663"/>
      <c r="C4690" s="663"/>
      <c r="D4690" s="663"/>
      <c r="E4690" s="663"/>
    </row>
    <row r="4691" spans="1:5" x14ac:dyDescent="0.2">
      <c r="A4691"/>
      <c r="B4691" s="663"/>
      <c r="C4691" s="663"/>
      <c r="D4691" s="663"/>
      <c r="E4691" s="663"/>
    </row>
    <row r="4692" spans="1:5" x14ac:dyDescent="0.2">
      <c r="A4692"/>
      <c r="B4692" s="663"/>
      <c r="C4692" s="663"/>
      <c r="D4692" s="663"/>
      <c r="E4692" s="663"/>
    </row>
    <row r="4693" spans="1:5" x14ac:dyDescent="0.2">
      <c r="A4693"/>
      <c r="B4693" s="663"/>
      <c r="C4693" s="663"/>
      <c r="D4693" s="663"/>
      <c r="E4693" s="663"/>
    </row>
    <row r="4694" spans="1:5" x14ac:dyDescent="0.2">
      <c r="A4694"/>
      <c r="B4694" s="663"/>
      <c r="C4694" s="663"/>
      <c r="D4694" s="663"/>
      <c r="E4694" s="663"/>
    </row>
    <row r="4695" spans="1:5" x14ac:dyDescent="0.2">
      <c r="A4695"/>
      <c r="B4695" s="663"/>
      <c r="C4695" s="663"/>
      <c r="D4695" s="663"/>
      <c r="E4695" s="663"/>
    </row>
    <row r="4696" spans="1:5" x14ac:dyDescent="0.2">
      <c r="A4696"/>
      <c r="B4696" s="663"/>
      <c r="C4696" s="663"/>
      <c r="D4696" s="663"/>
      <c r="E4696" s="663"/>
    </row>
    <row r="4697" spans="1:5" x14ac:dyDescent="0.2">
      <c r="A4697"/>
      <c r="B4697" s="663"/>
      <c r="C4697" s="663"/>
      <c r="D4697" s="663"/>
      <c r="E4697" s="663"/>
    </row>
    <row r="4698" spans="1:5" x14ac:dyDescent="0.2">
      <c r="A4698"/>
      <c r="B4698" s="663"/>
      <c r="C4698" s="663"/>
      <c r="D4698" s="663"/>
      <c r="E4698" s="663"/>
    </row>
    <row r="4699" spans="1:5" x14ac:dyDescent="0.2">
      <c r="A4699"/>
      <c r="B4699" s="663"/>
      <c r="C4699" s="663"/>
      <c r="D4699" s="663"/>
      <c r="E4699" s="663"/>
    </row>
    <row r="4700" spans="1:5" x14ac:dyDescent="0.2">
      <c r="A4700"/>
      <c r="B4700" s="663"/>
      <c r="C4700" s="663"/>
      <c r="D4700" s="663"/>
      <c r="E4700" s="663"/>
    </row>
    <row r="4701" spans="1:5" x14ac:dyDescent="0.2">
      <c r="A4701"/>
      <c r="B4701" s="663"/>
      <c r="C4701" s="663"/>
      <c r="D4701" s="663"/>
      <c r="E4701" s="663"/>
    </row>
    <row r="4702" spans="1:5" x14ac:dyDescent="0.2">
      <c r="A4702"/>
      <c r="B4702" s="663"/>
      <c r="C4702" s="663"/>
      <c r="D4702" s="663"/>
      <c r="E4702" s="663"/>
    </row>
    <row r="4703" spans="1:5" x14ac:dyDescent="0.2">
      <c r="A4703"/>
      <c r="B4703" s="663"/>
      <c r="C4703" s="663"/>
      <c r="D4703" s="663"/>
      <c r="E4703" s="663"/>
    </row>
    <row r="4704" spans="1:5" x14ac:dyDescent="0.2">
      <c r="A4704"/>
      <c r="B4704" s="663"/>
      <c r="C4704" s="663"/>
      <c r="D4704" s="663"/>
      <c r="E4704" s="663"/>
    </row>
    <row r="4705" spans="1:5" x14ac:dyDescent="0.2">
      <c r="A4705"/>
      <c r="B4705" s="663"/>
      <c r="C4705" s="663"/>
      <c r="D4705" s="663"/>
      <c r="E4705" s="663"/>
    </row>
    <row r="4706" spans="1:5" x14ac:dyDescent="0.2">
      <c r="A4706"/>
      <c r="B4706" s="663"/>
      <c r="C4706" s="663"/>
      <c r="D4706" s="663"/>
      <c r="E4706" s="663"/>
    </row>
    <row r="4707" spans="1:5" x14ac:dyDescent="0.2">
      <c r="A4707"/>
      <c r="B4707" s="663"/>
      <c r="C4707" s="663"/>
      <c r="D4707" s="663"/>
      <c r="E4707" s="663"/>
    </row>
    <row r="4708" spans="1:5" x14ac:dyDescent="0.2">
      <c r="A4708"/>
      <c r="B4708" s="663"/>
      <c r="C4708" s="663"/>
      <c r="D4708" s="663"/>
      <c r="E4708" s="663"/>
    </row>
    <row r="4709" spans="1:5" x14ac:dyDescent="0.2">
      <c r="A4709"/>
      <c r="B4709" s="663"/>
      <c r="C4709" s="663"/>
      <c r="D4709" s="663"/>
      <c r="E4709" s="663"/>
    </row>
    <row r="4710" spans="1:5" x14ac:dyDescent="0.2">
      <c r="A4710"/>
      <c r="B4710" s="663"/>
      <c r="C4710" s="663"/>
      <c r="D4710" s="663"/>
      <c r="E4710" s="663"/>
    </row>
    <row r="4711" spans="1:5" x14ac:dyDescent="0.2">
      <c r="A4711"/>
      <c r="B4711" s="663"/>
      <c r="C4711" s="663"/>
      <c r="D4711" s="663"/>
      <c r="E4711" s="663"/>
    </row>
    <row r="4712" spans="1:5" x14ac:dyDescent="0.2">
      <c r="A4712"/>
      <c r="B4712" s="663"/>
      <c r="C4712" s="663"/>
      <c r="D4712" s="663"/>
      <c r="E4712" s="663"/>
    </row>
    <row r="4713" spans="1:5" x14ac:dyDescent="0.2">
      <c r="A4713"/>
      <c r="B4713" s="663"/>
      <c r="C4713" s="663"/>
      <c r="D4713" s="663"/>
      <c r="E4713" s="663"/>
    </row>
    <row r="4714" spans="1:5" x14ac:dyDescent="0.2">
      <c r="A4714"/>
      <c r="B4714" s="663"/>
      <c r="C4714" s="663"/>
      <c r="D4714" s="663"/>
      <c r="E4714" s="663"/>
    </row>
    <row r="4715" spans="1:5" x14ac:dyDescent="0.2">
      <c r="A4715"/>
      <c r="B4715" s="663"/>
      <c r="C4715" s="663"/>
      <c r="D4715" s="663"/>
      <c r="E4715" s="663"/>
    </row>
    <row r="4716" spans="1:5" x14ac:dyDescent="0.2">
      <c r="A4716"/>
      <c r="B4716" s="663"/>
      <c r="C4716" s="663"/>
      <c r="D4716" s="663"/>
      <c r="E4716" s="663"/>
    </row>
    <row r="4717" spans="1:5" x14ac:dyDescent="0.2">
      <c r="A4717"/>
      <c r="B4717" s="663"/>
      <c r="C4717" s="663"/>
      <c r="D4717" s="663"/>
      <c r="E4717" s="663"/>
    </row>
    <row r="4718" spans="1:5" x14ac:dyDescent="0.2">
      <c r="A4718"/>
      <c r="B4718" s="663"/>
      <c r="C4718" s="663"/>
      <c r="D4718" s="663"/>
      <c r="E4718" s="663"/>
    </row>
    <row r="4719" spans="1:5" x14ac:dyDescent="0.2">
      <c r="A4719"/>
      <c r="B4719" s="663"/>
      <c r="C4719" s="663"/>
      <c r="D4719" s="663"/>
      <c r="E4719" s="663"/>
    </row>
    <row r="4720" spans="1:5" x14ac:dyDescent="0.2">
      <c r="A4720"/>
      <c r="B4720" s="663"/>
      <c r="C4720" s="663"/>
      <c r="D4720" s="663"/>
      <c r="E4720" s="663"/>
    </row>
    <row r="4721" spans="1:5" x14ac:dyDescent="0.2">
      <c r="A4721"/>
      <c r="B4721" s="663"/>
      <c r="C4721" s="663"/>
      <c r="D4721" s="663"/>
      <c r="E4721" s="663"/>
    </row>
    <row r="4722" spans="1:5" x14ac:dyDescent="0.2">
      <c r="A4722"/>
      <c r="B4722" s="663"/>
      <c r="C4722" s="663"/>
      <c r="D4722" s="663"/>
      <c r="E4722" s="663"/>
    </row>
    <row r="4723" spans="1:5" x14ac:dyDescent="0.2">
      <c r="A4723"/>
      <c r="B4723" s="663"/>
      <c r="C4723" s="663"/>
      <c r="D4723" s="663"/>
      <c r="E4723" s="663"/>
    </row>
    <row r="4724" spans="1:5" x14ac:dyDescent="0.2">
      <c r="A4724"/>
      <c r="B4724" s="663"/>
      <c r="C4724" s="663"/>
      <c r="D4724" s="663"/>
      <c r="E4724" s="663"/>
    </row>
    <row r="4725" spans="1:5" x14ac:dyDescent="0.2">
      <c r="A4725"/>
      <c r="B4725" s="663"/>
      <c r="C4725" s="663"/>
      <c r="D4725" s="663"/>
      <c r="E4725" s="663"/>
    </row>
    <row r="4726" spans="1:5" x14ac:dyDescent="0.2">
      <c r="A4726"/>
      <c r="B4726" s="663"/>
      <c r="C4726" s="663"/>
      <c r="D4726" s="663"/>
      <c r="E4726" s="663"/>
    </row>
    <row r="4727" spans="1:5" x14ac:dyDescent="0.2">
      <c r="A4727"/>
      <c r="B4727" s="663"/>
      <c r="C4727" s="663"/>
      <c r="D4727" s="663"/>
      <c r="E4727" s="663"/>
    </row>
    <row r="4728" spans="1:5" x14ac:dyDescent="0.2">
      <c r="A4728"/>
      <c r="B4728" s="663"/>
      <c r="C4728" s="663"/>
      <c r="D4728" s="663"/>
      <c r="E4728" s="663"/>
    </row>
    <row r="4729" spans="1:5" x14ac:dyDescent="0.2">
      <c r="A4729"/>
      <c r="B4729" s="663"/>
      <c r="C4729" s="663"/>
      <c r="D4729" s="663"/>
      <c r="E4729" s="663"/>
    </row>
    <row r="4730" spans="1:5" x14ac:dyDescent="0.2">
      <c r="A4730"/>
      <c r="B4730" s="663"/>
      <c r="C4730" s="663"/>
      <c r="D4730" s="663"/>
      <c r="E4730" s="663"/>
    </row>
    <row r="4731" spans="1:5" x14ac:dyDescent="0.2">
      <c r="A4731"/>
      <c r="B4731" s="663"/>
      <c r="C4731" s="663"/>
      <c r="D4731" s="663"/>
      <c r="E4731" s="663"/>
    </row>
    <row r="4732" spans="1:5" x14ac:dyDescent="0.2">
      <c r="A4732"/>
      <c r="B4732" s="663"/>
      <c r="C4732" s="663"/>
      <c r="D4732" s="663"/>
      <c r="E4732" s="663"/>
    </row>
    <row r="4733" spans="1:5" x14ac:dyDescent="0.2">
      <c r="A4733"/>
      <c r="B4733" s="663"/>
      <c r="C4733" s="663"/>
      <c r="D4733" s="663"/>
      <c r="E4733" s="663"/>
    </row>
    <row r="4734" spans="1:5" x14ac:dyDescent="0.2">
      <c r="A4734"/>
      <c r="B4734" s="663"/>
      <c r="C4734" s="663"/>
      <c r="D4734" s="663"/>
      <c r="E4734" s="663"/>
    </row>
    <row r="4735" spans="1:5" x14ac:dyDescent="0.2">
      <c r="A4735"/>
      <c r="B4735" s="663"/>
      <c r="C4735" s="663"/>
      <c r="D4735" s="663"/>
      <c r="E4735" s="663"/>
    </row>
    <row r="4736" spans="1:5" x14ac:dyDescent="0.2">
      <c r="A4736"/>
      <c r="B4736" s="663"/>
      <c r="C4736" s="663"/>
      <c r="D4736" s="663"/>
      <c r="E4736" s="663"/>
    </row>
    <row r="4737" spans="1:5" x14ac:dyDescent="0.2">
      <c r="A4737"/>
      <c r="B4737" s="663"/>
      <c r="C4737" s="663"/>
      <c r="D4737" s="663"/>
      <c r="E4737" s="663"/>
    </row>
    <row r="4738" spans="1:5" x14ac:dyDescent="0.2">
      <c r="A4738"/>
      <c r="B4738" s="663"/>
      <c r="C4738" s="663"/>
      <c r="D4738" s="663"/>
      <c r="E4738" s="663"/>
    </row>
    <row r="4739" spans="1:5" x14ac:dyDescent="0.2">
      <c r="A4739"/>
      <c r="B4739" s="663"/>
      <c r="C4739" s="663"/>
      <c r="D4739" s="663"/>
      <c r="E4739" s="663"/>
    </row>
    <row r="4740" spans="1:5" x14ac:dyDescent="0.2">
      <c r="A4740"/>
      <c r="B4740" s="663"/>
      <c r="C4740" s="663"/>
      <c r="D4740" s="663"/>
      <c r="E4740" s="663"/>
    </row>
    <row r="4741" spans="1:5" x14ac:dyDescent="0.2">
      <c r="A4741"/>
      <c r="B4741" s="663"/>
      <c r="C4741" s="663"/>
      <c r="D4741" s="663"/>
      <c r="E4741" s="663"/>
    </row>
    <row r="4742" spans="1:5" x14ac:dyDescent="0.2">
      <c r="A4742"/>
      <c r="B4742" s="663"/>
      <c r="C4742" s="663"/>
      <c r="D4742" s="663"/>
      <c r="E4742" s="663"/>
    </row>
    <row r="4743" spans="1:5" x14ac:dyDescent="0.2">
      <c r="A4743"/>
      <c r="B4743" s="663"/>
      <c r="C4743" s="663"/>
      <c r="D4743" s="663"/>
      <c r="E4743" s="663"/>
    </row>
    <row r="4744" spans="1:5" x14ac:dyDescent="0.2">
      <c r="A4744"/>
      <c r="B4744" s="663"/>
      <c r="C4744" s="663"/>
      <c r="D4744" s="663"/>
      <c r="E4744" s="663"/>
    </row>
    <row r="4745" spans="1:5" x14ac:dyDescent="0.2">
      <c r="A4745"/>
      <c r="B4745" s="663"/>
      <c r="C4745" s="663"/>
      <c r="D4745" s="663"/>
      <c r="E4745" s="663"/>
    </row>
    <row r="4746" spans="1:5" x14ac:dyDescent="0.2">
      <c r="A4746"/>
      <c r="B4746" s="663"/>
      <c r="C4746" s="663"/>
      <c r="D4746" s="663"/>
      <c r="E4746" s="663"/>
    </row>
    <row r="4747" spans="1:5" x14ac:dyDescent="0.2">
      <c r="A4747"/>
      <c r="B4747" s="663"/>
      <c r="C4747" s="663"/>
      <c r="D4747" s="663"/>
      <c r="E4747" s="663"/>
    </row>
    <row r="4748" spans="1:5" x14ac:dyDescent="0.2">
      <c r="A4748"/>
      <c r="B4748" s="663"/>
      <c r="C4748" s="663"/>
      <c r="D4748" s="663"/>
      <c r="E4748" s="663"/>
    </row>
    <row r="4749" spans="1:5" x14ac:dyDescent="0.2">
      <c r="A4749"/>
      <c r="B4749" s="663"/>
      <c r="C4749" s="663"/>
      <c r="D4749" s="663"/>
      <c r="E4749" s="663"/>
    </row>
    <row r="4750" spans="1:5" x14ac:dyDescent="0.2">
      <c r="A4750"/>
      <c r="B4750" s="663"/>
      <c r="C4750" s="663"/>
      <c r="D4750" s="663"/>
      <c r="E4750" s="663"/>
    </row>
    <row r="4751" spans="1:5" x14ac:dyDescent="0.2">
      <c r="A4751"/>
      <c r="B4751" s="663"/>
      <c r="C4751" s="663"/>
      <c r="D4751" s="663"/>
      <c r="E4751" s="663"/>
    </row>
    <row r="4752" spans="1:5" x14ac:dyDescent="0.2">
      <c r="A4752"/>
      <c r="B4752" s="663"/>
      <c r="C4752" s="663"/>
      <c r="D4752" s="663"/>
      <c r="E4752" s="663"/>
    </row>
    <row r="4753" spans="1:5" x14ac:dyDescent="0.2">
      <c r="A4753"/>
      <c r="B4753" s="663"/>
      <c r="C4753" s="663"/>
      <c r="D4753" s="663"/>
      <c r="E4753" s="663"/>
    </row>
    <row r="4754" spans="1:5" x14ac:dyDescent="0.2">
      <c r="A4754"/>
      <c r="B4754" s="663"/>
      <c r="C4754" s="663"/>
      <c r="D4754" s="663"/>
      <c r="E4754" s="663"/>
    </row>
    <row r="4755" spans="1:5" x14ac:dyDescent="0.2">
      <c r="A4755"/>
      <c r="B4755" s="663"/>
      <c r="C4755" s="663"/>
      <c r="D4755" s="663"/>
      <c r="E4755" s="663"/>
    </row>
    <row r="4756" spans="1:5" x14ac:dyDescent="0.2">
      <c r="A4756"/>
      <c r="B4756" s="663"/>
      <c r="C4756" s="663"/>
      <c r="D4756" s="663"/>
      <c r="E4756" s="663"/>
    </row>
    <row r="4757" spans="1:5" x14ac:dyDescent="0.2">
      <c r="A4757"/>
      <c r="B4757" s="663"/>
      <c r="C4757" s="663"/>
      <c r="D4757" s="663"/>
      <c r="E4757" s="663"/>
    </row>
    <row r="4758" spans="1:5" x14ac:dyDescent="0.2">
      <c r="A4758"/>
      <c r="B4758" s="663"/>
      <c r="C4758" s="663"/>
      <c r="D4758" s="663"/>
      <c r="E4758" s="663"/>
    </row>
    <row r="4759" spans="1:5" x14ac:dyDescent="0.2">
      <c r="A4759"/>
      <c r="B4759" s="663"/>
      <c r="C4759" s="663"/>
      <c r="D4759" s="663"/>
      <c r="E4759" s="663"/>
    </row>
    <row r="4760" spans="1:5" x14ac:dyDescent="0.2">
      <c r="A4760"/>
      <c r="B4760" s="663"/>
      <c r="C4760" s="663"/>
      <c r="D4760" s="663"/>
      <c r="E4760" s="663"/>
    </row>
    <row r="4761" spans="1:5" x14ac:dyDescent="0.2">
      <c r="A4761"/>
      <c r="B4761" s="663"/>
      <c r="C4761" s="663"/>
      <c r="D4761" s="663"/>
      <c r="E4761" s="663"/>
    </row>
    <row r="4762" spans="1:5" x14ac:dyDescent="0.2">
      <c r="A4762"/>
      <c r="B4762" s="663"/>
      <c r="C4762" s="663"/>
      <c r="D4762" s="663"/>
      <c r="E4762" s="663"/>
    </row>
    <row r="4763" spans="1:5" x14ac:dyDescent="0.2">
      <c r="A4763"/>
      <c r="B4763" s="663"/>
      <c r="C4763" s="663"/>
      <c r="D4763" s="663"/>
      <c r="E4763" s="663"/>
    </row>
    <row r="4764" spans="1:5" x14ac:dyDescent="0.2">
      <c r="A4764"/>
      <c r="B4764" s="663"/>
      <c r="C4764" s="663"/>
      <c r="D4764" s="663"/>
      <c r="E4764" s="663"/>
    </row>
    <row r="4765" spans="1:5" x14ac:dyDescent="0.2">
      <c r="A4765"/>
      <c r="B4765" s="663"/>
      <c r="C4765" s="663"/>
      <c r="D4765" s="663"/>
      <c r="E4765" s="663"/>
    </row>
    <row r="4766" spans="1:5" x14ac:dyDescent="0.2">
      <c r="A4766"/>
      <c r="B4766" s="663"/>
      <c r="C4766" s="663"/>
      <c r="D4766" s="663"/>
      <c r="E4766" s="663"/>
    </row>
    <row r="4767" spans="1:5" x14ac:dyDescent="0.2">
      <c r="A4767"/>
      <c r="B4767" s="663"/>
      <c r="C4767" s="663"/>
      <c r="D4767" s="663"/>
      <c r="E4767" s="663"/>
    </row>
    <row r="4768" spans="1:5" x14ac:dyDescent="0.2">
      <c r="A4768"/>
      <c r="B4768" s="663"/>
      <c r="C4768" s="663"/>
      <c r="D4768" s="663"/>
      <c r="E4768" s="663"/>
    </row>
    <row r="4769" spans="1:5" x14ac:dyDescent="0.2">
      <c r="A4769"/>
      <c r="B4769" s="663"/>
      <c r="C4769" s="663"/>
      <c r="D4769" s="663"/>
      <c r="E4769" s="663"/>
    </row>
    <row r="4770" spans="1:5" x14ac:dyDescent="0.2">
      <c r="A4770"/>
      <c r="B4770" s="663"/>
      <c r="C4770" s="663"/>
      <c r="D4770" s="663"/>
      <c r="E4770" s="663"/>
    </row>
    <row r="4771" spans="1:5" x14ac:dyDescent="0.2">
      <c r="A4771"/>
      <c r="B4771" s="663"/>
      <c r="C4771" s="663"/>
      <c r="D4771" s="663"/>
      <c r="E4771" s="663"/>
    </row>
    <row r="4772" spans="1:5" x14ac:dyDescent="0.2">
      <c r="A4772"/>
      <c r="B4772" s="663"/>
      <c r="C4772" s="663"/>
      <c r="D4772" s="663"/>
      <c r="E4772" s="663"/>
    </row>
    <row r="4773" spans="1:5" x14ac:dyDescent="0.2">
      <c r="A4773"/>
      <c r="B4773" s="663"/>
      <c r="C4773" s="663"/>
      <c r="D4773" s="663"/>
      <c r="E4773" s="663"/>
    </row>
    <row r="4774" spans="1:5" x14ac:dyDescent="0.2">
      <c r="A4774"/>
      <c r="B4774" s="663"/>
      <c r="C4774" s="663"/>
      <c r="D4774" s="663"/>
      <c r="E4774" s="663"/>
    </row>
    <row r="4775" spans="1:5" x14ac:dyDescent="0.2">
      <c r="A4775"/>
      <c r="B4775" s="663"/>
      <c r="C4775" s="663"/>
      <c r="D4775" s="663"/>
      <c r="E4775" s="663"/>
    </row>
    <row r="4776" spans="1:5" x14ac:dyDescent="0.2">
      <c r="A4776"/>
      <c r="B4776" s="663"/>
      <c r="C4776" s="663"/>
      <c r="D4776" s="663"/>
      <c r="E4776" s="663"/>
    </row>
    <row r="4777" spans="1:5" x14ac:dyDescent="0.2">
      <c r="A4777"/>
      <c r="B4777" s="663"/>
      <c r="C4777" s="663"/>
      <c r="D4777" s="663"/>
      <c r="E4777" s="663"/>
    </row>
    <row r="4778" spans="1:5" x14ac:dyDescent="0.2">
      <c r="A4778"/>
      <c r="B4778" s="663"/>
      <c r="C4778" s="663"/>
      <c r="D4778" s="663"/>
      <c r="E4778" s="663"/>
    </row>
    <row r="4779" spans="1:5" x14ac:dyDescent="0.2">
      <c r="A4779"/>
      <c r="B4779" s="663"/>
      <c r="C4779" s="663"/>
      <c r="D4779" s="663"/>
      <c r="E4779" s="663"/>
    </row>
    <row r="4780" spans="1:5" x14ac:dyDescent="0.2">
      <c r="A4780"/>
      <c r="B4780" s="663"/>
      <c r="C4780" s="663"/>
      <c r="D4780" s="663"/>
      <c r="E4780" s="663"/>
    </row>
    <row r="4781" spans="1:5" x14ac:dyDescent="0.2">
      <c r="A4781"/>
      <c r="B4781" s="663"/>
      <c r="C4781" s="663"/>
      <c r="D4781" s="663"/>
      <c r="E4781" s="663"/>
    </row>
    <row r="4782" spans="1:5" x14ac:dyDescent="0.2">
      <c r="A4782"/>
      <c r="B4782" s="663"/>
      <c r="C4782" s="663"/>
      <c r="D4782" s="663"/>
      <c r="E4782" s="663"/>
    </row>
    <row r="4783" spans="1:5" x14ac:dyDescent="0.2">
      <c r="A4783"/>
      <c r="B4783" s="663"/>
      <c r="C4783" s="663"/>
      <c r="D4783" s="663"/>
      <c r="E4783" s="663"/>
    </row>
    <row r="4784" spans="1:5" x14ac:dyDescent="0.2">
      <c r="A4784"/>
      <c r="B4784" s="663"/>
      <c r="C4784" s="663"/>
      <c r="D4784" s="663"/>
      <c r="E4784" s="663"/>
    </row>
    <row r="4785" spans="1:5" x14ac:dyDescent="0.2">
      <c r="A4785"/>
      <c r="B4785" s="663"/>
      <c r="C4785" s="663"/>
      <c r="D4785" s="663"/>
      <c r="E4785" s="663"/>
    </row>
    <row r="4786" spans="1:5" x14ac:dyDescent="0.2">
      <c r="A4786"/>
      <c r="B4786" s="663"/>
      <c r="C4786" s="663"/>
      <c r="D4786" s="663"/>
      <c r="E4786" s="663"/>
    </row>
    <row r="4787" spans="1:5" x14ac:dyDescent="0.2">
      <c r="A4787"/>
      <c r="B4787" s="663"/>
      <c r="C4787" s="663"/>
      <c r="D4787" s="663"/>
      <c r="E4787" s="663"/>
    </row>
    <row r="4788" spans="1:5" x14ac:dyDescent="0.2">
      <c r="A4788"/>
      <c r="B4788" s="663"/>
      <c r="C4788" s="663"/>
      <c r="D4788" s="663"/>
      <c r="E4788" s="663"/>
    </row>
    <row r="4789" spans="1:5" x14ac:dyDescent="0.2">
      <c r="A4789"/>
      <c r="B4789" s="663"/>
      <c r="C4789" s="663"/>
      <c r="D4789" s="663"/>
      <c r="E4789" s="663"/>
    </row>
    <row r="4790" spans="1:5" x14ac:dyDescent="0.2">
      <c r="A4790"/>
      <c r="B4790" s="663"/>
      <c r="C4790" s="663"/>
      <c r="D4790" s="663"/>
      <c r="E4790" s="663"/>
    </row>
    <row r="4791" spans="1:5" x14ac:dyDescent="0.2">
      <c r="A4791"/>
      <c r="B4791" s="663"/>
      <c r="C4791" s="663"/>
      <c r="D4791" s="663"/>
      <c r="E4791" s="663"/>
    </row>
    <row r="4792" spans="1:5" x14ac:dyDescent="0.2">
      <c r="A4792"/>
      <c r="B4792" s="663"/>
      <c r="C4792" s="663"/>
      <c r="D4792" s="663"/>
      <c r="E4792" s="663"/>
    </row>
    <row r="4793" spans="1:5" x14ac:dyDescent="0.2">
      <c r="A4793"/>
      <c r="B4793" s="663"/>
      <c r="C4793" s="663"/>
      <c r="D4793" s="663"/>
      <c r="E4793" s="663"/>
    </row>
    <row r="4794" spans="1:5" x14ac:dyDescent="0.2">
      <c r="A4794"/>
      <c r="B4794" s="663"/>
      <c r="C4794" s="663"/>
      <c r="D4794" s="663"/>
      <c r="E4794" s="663"/>
    </row>
    <row r="4795" spans="1:5" x14ac:dyDescent="0.2">
      <c r="A4795"/>
      <c r="B4795" s="663"/>
      <c r="C4795" s="663"/>
      <c r="D4795" s="663"/>
      <c r="E4795" s="663"/>
    </row>
    <row r="4796" spans="1:5" x14ac:dyDescent="0.2">
      <c r="A4796"/>
      <c r="B4796" s="663"/>
      <c r="C4796" s="663"/>
      <c r="D4796" s="663"/>
      <c r="E4796" s="663"/>
    </row>
    <row r="4797" spans="1:5" x14ac:dyDescent="0.2">
      <c r="A4797"/>
      <c r="B4797" s="663"/>
      <c r="C4797" s="663"/>
      <c r="D4797" s="663"/>
      <c r="E4797" s="663"/>
    </row>
    <row r="4798" spans="1:5" x14ac:dyDescent="0.2">
      <c r="A4798"/>
      <c r="B4798" s="663"/>
      <c r="C4798" s="663"/>
      <c r="D4798" s="663"/>
      <c r="E4798" s="663"/>
    </row>
    <row r="4799" spans="1:5" x14ac:dyDescent="0.2">
      <c r="A4799"/>
      <c r="B4799" s="663"/>
      <c r="C4799" s="663"/>
      <c r="D4799" s="663"/>
      <c r="E4799" s="663"/>
    </row>
    <row r="4800" spans="1:5" x14ac:dyDescent="0.2">
      <c r="A4800"/>
      <c r="B4800" s="663"/>
      <c r="C4800" s="663"/>
      <c r="D4800" s="663"/>
      <c r="E4800" s="663"/>
    </row>
    <row r="4801" spans="1:5" x14ac:dyDescent="0.2">
      <c r="A4801"/>
      <c r="B4801" s="663"/>
      <c r="C4801" s="663"/>
      <c r="D4801" s="663"/>
      <c r="E4801" s="663"/>
    </row>
    <row r="4802" spans="1:5" x14ac:dyDescent="0.2">
      <c r="A4802"/>
      <c r="B4802" s="663"/>
      <c r="C4802" s="663"/>
      <c r="D4802" s="663"/>
      <c r="E4802" s="663"/>
    </row>
    <row r="4803" spans="1:5" x14ac:dyDescent="0.2">
      <c r="A4803"/>
      <c r="B4803" s="663"/>
      <c r="C4803" s="663"/>
      <c r="D4803" s="663"/>
      <c r="E4803" s="663"/>
    </row>
    <row r="4804" spans="1:5" x14ac:dyDescent="0.2">
      <c r="A4804"/>
      <c r="B4804" s="663"/>
      <c r="C4804" s="663"/>
      <c r="D4804" s="663"/>
      <c r="E4804" s="663"/>
    </row>
    <row r="4805" spans="1:5" x14ac:dyDescent="0.2">
      <c r="A4805"/>
      <c r="B4805" s="663"/>
      <c r="C4805" s="663"/>
      <c r="D4805" s="663"/>
      <c r="E4805" s="663"/>
    </row>
    <row r="4806" spans="1:5" x14ac:dyDescent="0.2">
      <c r="A4806"/>
      <c r="B4806" s="663"/>
      <c r="C4806" s="663"/>
      <c r="D4806" s="663"/>
      <c r="E4806" s="663"/>
    </row>
    <row r="4807" spans="1:5" x14ac:dyDescent="0.2">
      <c r="A4807"/>
      <c r="B4807" s="663"/>
      <c r="C4807" s="663"/>
      <c r="D4807" s="663"/>
      <c r="E4807" s="663"/>
    </row>
    <row r="4808" spans="1:5" x14ac:dyDescent="0.2">
      <c r="A4808"/>
      <c r="B4808" s="663"/>
      <c r="C4808" s="663"/>
      <c r="D4808" s="663"/>
      <c r="E4808" s="663"/>
    </row>
    <row r="4809" spans="1:5" x14ac:dyDescent="0.2">
      <c r="A4809"/>
      <c r="B4809" s="663"/>
      <c r="C4809" s="663"/>
      <c r="D4809" s="663"/>
      <c r="E4809" s="663"/>
    </row>
    <row r="4810" spans="1:5" x14ac:dyDescent="0.2">
      <c r="A4810"/>
      <c r="B4810" s="663"/>
      <c r="C4810" s="663"/>
      <c r="D4810" s="663"/>
      <c r="E4810" s="663"/>
    </row>
    <row r="4811" spans="1:5" x14ac:dyDescent="0.2">
      <c r="A4811"/>
      <c r="B4811" s="663"/>
      <c r="C4811" s="663"/>
      <c r="D4811" s="663"/>
      <c r="E4811" s="663"/>
    </row>
    <row r="4812" spans="1:5" x14ac:dyDescent="0.2">
      <c r="A4812"/>
      <c r="B4812" s="663"/>
      <c r="C4812" s="663"/>
      <c r="D4812" s="663"/>
      <c r="E4812" s="663"/>
    </row>
    <row r="4813" spans="1:5" x14ac:dyDescent="0.2">
      <c r="A4813"/>
      <c r="B4813" s="663"/>
      <c r="C4813" s="663"/>
      <c r="D4813" s="663"/>
      <c r="E4813" s="663"/>
    </row>
    <row r="4814" spans="1:5" x14ac:dyDescent="0.2">
      <c r="A4814"/>
      <c r="B4814" s="663"/>
      <c r="C4814" s="663"/>
      <c r="D4814" s="663"/>
      <c r="E4814" s="663"/>
    </row>
    <row r="4815" spans="1:5" x14ac:dyDescent="0.2">
      <c r="A4815"/>
      <c r="B4815" s="663"/>
      <c r="C4815" s="663"/>
      <c r="D4815" s="663"/>
      <c r="E4815" s="663"/>
    </row>
    <row r="4816" spans="1:5" x14ac:dyDescent="0.2">
      <c r="A4816"/>
      <c r="B4816" s="663"/>
      <c r="C4816" s="663"/>
      <c r="D4816" s="663"/>
      <c r="E4816" s="663"/>
    </row>
    <row r="4817" spans="1:5" x14ac:dyDescent="0.2">
      <c r="A4817"/>
      <c r="B4817" s="663"/>
      <c r="C4817" s="663"/>
      <c r="D4817" s="663"/>
      <c r="E4817" s="663"/>
    </row>
    <row r="4818" spans="1:5" x14ac:dyDescent="0.2">
      <c r="A4818"/>
      <c r="B4818" s="663"/>
      <c r="C4818" s="663"/>
      <c r="D4818" s="663"/>
      <c r="E4818" s="663"/>
    </row>
    <row r="4819" spans="1:5" x14ac:dyDescent="0.2">
      <c r="A4819"/>
      <c r="B4819" s="663"/>
      <c r="C4819" s="663"/>
      <c r="D4819" s="663"/>
      <c r="E4819" s="663"/>
    </row>
    <row r="4820" spans="1:5" x14ac:dyDescent="0.2">
      <c r="A4820"/>
      <c r="B4820" s="663"/>
      <c r="C4820" s="663"/>
      <c r="D4820" s="663"/>
      <c r="E4820" s="663"/>
    </row>
    <row r="4821" spans="1:5" x14ac:dyDescent="0.2">
      <c r="A4821"/>
      <c r="B4821" s="663"/>
      <c r="C4821" s="663"/>
      <c r="D4821" s="663"/>
      <c r="E4821" s="663"/>
    </row>
    <row r="4822" spans="1:5" x14ac:dyDescent="0.2">
      <c r="A4822"/>
      <c r="B4822" s="663"/>
      <c r="C4822" s="663"/>
      <c r="D4822" s="663"/>
      <c r="E4822" s="663"/>
    </row>
    <row r="4823" spans="1:5" x14ac:dyDescent="0.2">
      <c r="A4823"/>
      <c r="B4823" s="663"/>
      <c r="C4823" s="663"/>
      <c r="D4823" s="663"/>
      <c r="E4823" s="663"/>
    </row>
    <row r="4824" spans="1:5" x14ac:dyDescent="0.2">
      <c r="A4824"/>
      <c r="B4824" s="663"/>
      <c r="C4824" s="663"/>
      <c r="D4824" s="663"/>
      <c r="E4824" s="663"/>
    </row>
    <row r="4825" spans="1:5" x14ac:dyDescent="0.2">
      <c r="A4825"/>
      <c r="B4825" s="663"/>
      <c r="C4825" s="663"/>
      <c r="D4825" s="663"/>
      <c r="E4825" s="663"/>
    </row>
    <row r="4826" spans="1:5" x14ac:dyDescent="0.2">
      <c r="A4826"/>
      <c r="B4826" s="663"/>
      <c r="C4826" s="663"/>
      <c r="D4826" s="663"/>
      <c r="E4826" s="663"/>
    </row>
    <row r="4827" spans="1:5" x14ac:dyDescent="0.2">
      <c r="A4827"/>
      <c r="B4827" s="663"/>
      <c r="C4827" s="663"/>
      <c r="D4827" s="663"/>
      <c r="E4827" s="663"/>
    </row>
    <row r="4828" spans="1:5" x14ac:dyDescent="0.2">
      <c r="A4828"/>
      <c r="B4828" s="663"/>
      <c r="C4828" s="663"/>
      <c r="D4828" s="663"/>
      <c r="E4828" s="663"/>
    </row>
    <row r="4829" spans="1:5" x14ac:dyDescent="0.2">
      <c r="A4829"/>
      <c r="B4829" s="663"/>
      <c r="C4829" s="663"/>
      <c r="D4829" s="663"/>
      <c r="E4829" s="663"/>
    </row>
    <row r="4830" spans="1:5" x14ac:dyDescent="0.2">
      <c r="A4830"/>
      <c r="B4830" s="663"/>
      <c r="C4830" s="663"/>
      <c r="D4830" s="663"/>
      <c r="E4830" s="663"/>
    </row>
    <row r="4831" spans="1:5" x14ac:dyDescent="0.2">
      <c r="A4831"/>
      <c r="B4831" s="663"/>
      <c r="C4831" s="663"/>
      <c r="D4831" s="663"/>
      <c r="E4831" s="663"/>
    </row>
    <row r="4832" spans="1:5" x14ac:dyDescent="0.2">
      <c r="A4832"/>
      <c r="B4832" s="663"/>
      <c r="C4832" s="663"/>
      <c r="D4832" s="663"/>
      <c r="E4832" s="663"/>
    </row>
    <row r="4833" spans="1:5" x14ac:dyDescent="0.2">
      <c r="A4833"/>
      <c r="B4833" s="663"/>
      <c r="C4833" s="663"/>
      <c r="D4833" s="663"/>
      <c r="E4833" s="663"/>
    </row>
    <row r="4834" spans="1:5" x14ac:dyDescent="0.2">
      <c r="A4834"/>
      <c r="B4834" s="663"/>
      <c r="C4834" s="663"/>
      <c r="D4834" s="663"/>
      <c r="E4834" s="663"/>
    </row>
    <row r="4835" spans="1:5" x14ac:dyDescent="0.2">
      <c r="A4835"/>
      <c r="B4835" s="663"/>
      <c r="C4835" s="663"/>
      <c r="D4835" s="663"/>
      <c r="E4835" s="663"/>
    </row>
    <row r="4836" spans="1:5" x14ac:dyDescent="0.2">
      <c r="A4836"/>
      <c r="B4836" s="663"/>
      <c r="C4836" s="663"/>
      <c r="D4836" s="663"/>
      <c r="E4836" s="663"/>
    </row>
    <row r="4837" spans="1:5" x14ac:dyDescent="0.2">
      <c r="A4837"/>
      <c r="B4837" s="663"/>
      <c r="C4837" s="663"/>
      <c r="D4837" s="663"/>
      <c r="E4837" s="663"/>
    </row>
    <row r="4838" spans="1:5" x14ac:dyDescent="0.2">
      <c r="A4838"/>
      <c r="B4838" s="663"/>
      <c r="C4838" s="663"/>
      <c r="D4838" s="663"/>
      <c r="E4838" s="663"/>
    </row>
    <row r="4839" spans="1:5" x14ac:dyDescent="0.2">
      <c r="A4839"/>
      <c r="B4839" s="663"/>
      <c r="C4839" s="663"/>
      <c r="D4839" s="663"/>
      <c r="E4839" s="663"/>
    </row>
    <row r="4840" spans="1:5" x14ac:dyDescent="0.2">
      <c r="A4840"/>
      <c r="B4840" s="663"/>
      <c r="C4840" s="663"/>
      <c r="D4840" s="663"/>
      <c r="E4840" s="663"/>
    </row>
    <row r="4841" spans="1:5" x14ac:dyDescent="0.2">
      <c r="A4841"/>
      <c r="B4841" s="663"/>
      <c r="C4841" s="663"/>
      <c r="D4841" s="663"/>
      <c r="E4841" s="663"/>
    </row>
    <row r="4842" spans="1:5" x14ac:dyDescent="0.2">
      <c r="A4842"/>
      <c r="B4842" s="663"/>
      <c r="C4842" s="663"/>
      <c r="D4842" s="663"/>
      <c r="E4842" s="663"/>
    </row>
    <row r="4843" spans="1:5" x14ac:dyDescent="0.2">
      <c r="A4843"/>
      <c r="B4843" s="663"/>
      <c r="C4843" s="663"/>
      <c r="D4843" s="663"/>
      <c r="E4843" s="663"/>
    </row>
    <row r="4844" spans="1:5" x14ac:dyDescent="0.2">
      <c r="A4844"/>
      <c r="B4844" s="663"/>
      <c r="C4844" s="663"/>
      <c r="D4844" s="663"/>
      <c r="E4844" s="663"/>
    </row>
    <row r="4845" spans="1:5" x14ac:dyDescent="0.2">
      <c r="A4845"/>
      <c r="B4845" s="663"/>
      <c r="C4845" s="663"/>
      <c r="D4845" s="663"/>
      <c r="E4845" s="663"/>
    </row>
    <row r="4846" spans="1:5" x14ac:dyDescent="0.2">
      <c r="A4846"/>
      <c r="B4846" s="663"/>
      <c r="C4846" s="663"/>
      <c r="D4846" s="663"/>
      <c r="E4846" s="663"/>
    </row>
    <row r="4847" spans="1:5" x14ac:dyDescent="0.2">
      <c r="A4847"/>
      <c r="B4847" s="663"/>
      <c r="C4847" s="663"/>
      <c r="D4847" s="663"/>
      <c r="E4847" s="663"/>
    </row>
    <row r="4848" spans="1:5" x14ac:dyDescent="0.2">
      <c r="A4848"/>
      <c r="B4848" s="663"/>
      <c r="C4848" s="663"/>
      <c r="D4848" s="663"/>
      <c r="E4848" s="663"/>
    </row>
    <row r="4849" spans="1:5" x14ac:dyDescent="0.2">
      <c r="A4849"/>
      <c r="B4849" s="663"/>
      <c r="C4849" s="663"/>
      <c r="D4849" s="663"/>
      <c r="E4849" s="663"/>
    </row>
    <row r="4850" spans="1:5" x14ac:dyDescent="0.2">
      <c r="A4850"/>
      <c r="B4850" s="663"/>
      <c r="C4850" s="663"/>
      <c r="D4850" s="663"/>
      <c r="E4850" s="663"/>
    </row>
    <row r="4851" spans="1:5" x14ac:dyDescent="0.2">
      <c r="A4851"/>
      <c r="B4851" s="663"/>
      <c r="C4851" s="663"/>
      <c r="D4851" s="663"/>
      <c r="E4851" s="663"/>
    </row>
    <row r="4852" spans="1:5" x14ac:dyDescent="0.2">
      <c r="A4852"/>
      <c r="B4852" s="663"/>
      <c r="C4852" s="663"/>
      <c r="D4852" s="663"/>
      <c r="E4852" s="663"/>
    </row>
    <row r="4853" spans="1:5" x14ac:dyDescent="0.2">
      <c r="A4853"/>
      <c r="B4853" s="663"/>
      <c r="C4853" s="663"/>
      <c r="D4853" s="663"/>
      <c r="E4853" s="663"/>
    </row>
    <row r="4854" spans="1:5" x14ac:dyDescent="0.2">
      <c r="A4854"/>
      <c r="B4854" s="663"/>
      <c r="C4854" s="663"/>
      <c r="D4854" s="663"/>
      <c r="E4854" s="663"/>
    </row>
    <row r="4855" spans="1:5" x14ac:dyDescent="0.2">
      <c r="A4855"/>
      <c r="B4855" s="663"/>
      <c r="C4855" s="663"/>
      <c r="D4855" s="663"/>
      <c r="E4855" s="663"/>
    </row>
    <row r="4856" spans="1:5" x14ac:dyDescent="0.2">
      <c r="A4856"/>
      <c r="B4856" s="663"/>
      <c r="C4856" s="663"/>
      <c r="D4856" s="663"/>
      <c r="E4856" s="663"/>
    </row>
    <row r="4857" spans="1:5" x14ac:dyDescent="0.2">
      <c r="A4857"/>
      <c r="B4857" s="663"/>
      <c r="C4857" s="663"/>
      <c r="D4857" s="663"/>
      <c r="E4857" s="663"/>
    </row>
    <row r="4858" spans="1:5" x14ac:dyDescent="0.2">
      <c r="A4858"/>
      <c r="B4858" s="663"/>
      <c r="C4858" s="663"/>
      <c r="D4858" s="663"/>
      <c r="E4858" s="663"/>
    </row>
    <row r="4859" spans="1:5" x14ac:dyDescent="0.2">
      <c r="A4859"/>
      <c r="B4859" s="663"/>
      <c r="C4859" s="663"/>
      <c r="D4859" s="663"/>
      <c r="E4859" s="663"/>
    </row>
    <row r="4860" spans="1:5" x14ac:dyDescent="0.2">
      <c r="A4860"/>
      <c r="B4860" s="663"/>
      <c r="C4860" s="663"/>
      <c r="D4860" s="663"/>
      <c r="E4860" s="663"/>
    </row>
    <row r="4861" spans="1:5" x14ac:dyDescent="0.2">
      <c r="A4861"/>
      <c r="B4861" s="663"/>
      <c r="C4861" s="663"/>
      <c r="D4861" s="663"/>
      <c r="E4861" s="663"/>
    </row>
    <row r="4862" spans="1:5" x14ac:dyDescent="0.2">
      <c r="A4862"/>
      <c r="B4862" s="663"/>
      <c r="C4862" s="663"/>
      <c r="D4862" s="663"/>
      <c r="E4862" s="663"/>
    </row>
    <row r="4863" spans="1:5" x14ac:dyDescent="0.2">
      <c r="A4863"/>
      <c r="B4863" s="663"/>
      <c r="C4863" s="663"/>
      <c r="D4863" s="663"/>
      <c r="E4863" s="663"/>
    </row>
    <row r="4864" spans="1:5" x14ac:dyDescent="0.2">
      <c r="A4864"/>
      <c r="B4864" s="663"/>
      <c r="C4864" s="663"/>
      <c r="D4864" s="663"/>
      <c r="E4864" s="663"/>
    </row>
    <row r="4865" spans="1:5" x14ac:dyDescent="0.2">
      <c r="A4865"/>
      <c r="B4865" s="663"/>
      <c r="C4865" s="663"/>
      <c r="D4865" s="663"/>
      <c r="E4865" s="663"/>
    </row>
    <row r="4866" spans="1:5" x14ac:dyDescent="0.2">
      <c r="A4866"/>
      <c r="B4866" s="663"/>
      <c r="C4866" s="663"/>
      <c r="D4866" s="663"/>
      <c r="E4866" s="663"/>
    </row>
    <row r="4867" spans="1:5" x14ac:dyDescent="0.2">
      <c r="A4867"/>
      <c r="B4867" s="663"/>
      <c r="C4867" s="663"/>
      <c r="D4867" s="663"/>
      <c r="E4867" s="663"/>
    </row>
    <row r="4868" spans="1:5" x14ac:dyDescent="0.2">
      <c r="A4868"/>
      <c r="B4868" s="663"/>
      <c r="C4868" s="663"/>
      <c r="D4868" s="663"/>
      <c r="E4868" s="663"/>
    </row>
    <row r="4869" spans="1:5" x14ac:dyDescent="0.2">
      <c r="A4869"/>
      <c r="B4869" s="663"/>
      <c r="C4869" s="663"/>
      <c r="D4869" s="663"/>
      <c r="E4869" s="663"/>
    </row>
    <row r="4870" spans="1:5" x14ac:dyDescent="0.2">
      <c r="A4870"/>
      <c r="B4870" s="663"/>
      <c r="C4870" s="663"/>
      <c r="D4870" s="663"/>
      <c r="E4870" s="663"/>
    </row>
    <row r="4871" spans="1:5" x14ac:dyDescent="0.2">
      <c r="A4871"/>
      <c r="B4871" s="663"/>
      <c r="C4871" s="663"/>
      <c r="D4871" s="663"/>
      <c r="E4871" s="663"/>
    </row>
    <row r="4872" spans="1:5" x14ac:dyDescent="0.2">
      <c r="A4872"/>
      <c r="B4872" s="663"/>
      <c r="C4872" s="663"/>
      <c r="D4872" s="663"/>
      <c r="E4872" s="663"/>
    </row>
    <row r="4873" spans="1:5" x14ac:dyDescent="0.2">
      <c r="A4873"/>
      <c r="B4873" s="663"/>
      <c r="C4873" s="663"/>
      <c r="D4873" s="663"/>
      <c r="E4873" s="663"/>
    </row>
    <row r="4874" spans="1:5" x14ac:dyDescent="0.2">
      <c r="A4874"/>
      <c r="B4874" s="663"/>
      <c r="C4874" s="663"/>
      <c r="D4874" s="663"/>
      <c r="E4874" s="663"/>
    </row>
    <row r="4875" spans="1:5" x14ac:dyDescent="0.2">
      <c r="A4875"/>
      <c r="B4875" s="663"/>
      <c r="C4875" s="663"/>
      <c r="D4875" s="663"/>
      <c r="E4875" s="663"/>
    </row>
    <row r="4876" spans="1:5" x14ac:dyDescent="0.2">
      <c r="A4876"/>
      <c r="B4876" s="663"/>
      <c r="C4876" s="663"/>
      <c r="D4876" s="663"/>
      <c r="E4876" s="663"/>
    </row>
    <row r="4877" spans="1:5" x14ac:dyDescent="0.2">
      <c r="A4877"/>
      <c r="B4877" s="663"/>
      <c r="C4877" s="663"/>
      <c r="D4877" s="663"/>
      <c r="E4877" s="663"/>
    </row>
    <row r="4878" spans="1:5" x14ac:dyDescent="0.2">
      <c r="A4878"/>
      <c r="B4878" s="663"/>
      <c r="C4878" s="663"/>
      <c r="D4878" s="663"/>
      <c r="E4878" s="663"/>
    </row>
    <row r="4879" spans="1:5" x14ac:dyDescent="0.2">
      <c r="A4879"/>
      <c r="B4879" s="663"/>
      <c r="C4879" s="663"/>
      <c r="D4879" s="663"/>
      <c r="E4879" s="663"/>
    </row>
    <row r="4880" spans="1:5" x14ac:dyDescent="0.2">
      <c r="A4880"/>
      <c r="B4880" s="663"/>
      <c r="C4880" s="663"/>
      <c r="D4880" s="663"/>
      <c r="E4880" s="663"/>
    </row>
    <row r="4881" spans="1:5" x14ac:dyDescent="0.2">
      <c r="A4881"/>
      <c r="B4881" s="663"/>
      <c r="C4881" s="663"/>
      <c r="D4881" s="663"/>
      <c r="E4881" s="663"/>
    </row>
    <row r="4882" spans="1:5" x14ac:dyDescent="0.2">
      <c r="A4882"/>
      <c r="B4882" s="663"/>
      <c r="C4882" s="663"/>
      <c r="D4882" s="663"/>
      <c r="E4882" s="663"/>
    </row>
    <row r="4883" spans="1:5" x14ac:dyDescent="0.2">
      <c r="A4883"/>
      <c r="B4883" s="663"/>
      <c r="C4883" s="663"/>
      <c r="D4883" s="663"/>
      <c r="E4883" s="663"/>
    </row>
    <row r="4884" spans="1:5" x14ac:dyDescent="0.2">
      <c r="A4884"/>
      <c r="B4884" s="663"/>
      <c r="C4884" s="663"/>
      <c r="D4884" s="663"/>
      <c r="E4884" s="663"/>
    </row>
    <row r="4885" spans="1:5" x14ac:dyDescent="0.2">
      <c r="A4885"/>
      <c r="B4885" s="663"/>
      <c r="C4885" s="663"/>
      <c r="D4885" s="663"/>
      <c r="E4885" s="663"/>
    </row>
    <row r="4886" spans="1:5" x14ac:dyDescent="0.2">
      <c r="A4886"/>
      <c r="B4886" s="663"/>
      <c r="C4886" s="663"/>
      <c r="D4886" s="663"/>
      <c r="E4886" s="663"/>
    </row>
    <row r="4887" spans="1:5" x14ac:dyDescent="0.2">
      <c r="A4887"/>
      <c r="B4887" s="663"/>
      <c r="C4887" s="663"/>
      <c r="D4887" s="663"/>
      <c r="E4887" s="663"/>
    </row>
    <row r="4888" spans="1:5" x14ac:dyDescent="0.2">
      <c r="A4888"/>
      <c r="B4888" s="663"/>
      <c r="C4888" s="663"/>
      <c r="D4888" s="663"/>
      <c r="E4888" s="663"/>
    </row>
    <row r="4889" spans="1:5" x14ac:dyDescent="0.2">
      <c r="A4889"/>
      <c r="B4889" s="663"/>
      <c r="C4889" s="663"/>
      <c r="D4889" s="663"/>
      <c r="E4889" s="663"/>
    </row>
    <row r="4890" spans="1:5" x14ac:dyDescent="0.2">
      <c r="A4890"/>
      <c r="B4890" s="663"/>
      <c r="C4890" s="663"/>
      <c r="D4890" s="663"/>
      <c r="E4890" s="663"/>
    </row>
    <row r="4891" spans="1:5" x14ac:dyDescent="0.2">
      <c r="A4891"/>
      <c r="B4891" s="663"/>
      <c r="C4891" s="663"/>
      <c r="D4891" s="663"/>
      <c r="E4891" s="663"/>
    </row>
    <row r="4892" spans="1:5" x14ac:dyDescent="0.2">
      <c r="A4892"/>
      <c r="B4892" s="663"/>
      <c r="C4892" s="663"/>
      <c r="D4892" s="663"/>
      <c r="E4892" s="663"/>
    </row>
    <row r="4893" spans="1:5" x14ac:dyDescent="0.2">
      <c r="A4893"/>
      <c r="B4893" s="663"/>
      <c r="C4893" s="663"/>
      <c r="D4893" s="663"/>
      <c r="E4893" s="663"/>
    </row>
    <row r="4894" spans="1:5" x14ac:dyDescent="0.2">
      <c r="A4894"/>
      <c r="B4894" s="663"/>
      <c r="C4894" s="663"/>
      <c r="D4894" s="663"/>
      <c r="E4894" s="663"/>
    </row>
    <row r="4895" spans="1:5" x14ac:dyDescent="0.2">
      <c r="A4895"/>
      <c r="B4895" s="663"/>
      <c r="C4895" s="663"/>
      <c r="D4895" s="663"/>
      <c r="E4895" s="663"/>
    </row>
    <row r="4896" spans="1:5" x14ac:dyDescent="0.2">
      <c r="A4896"/>
      <c r="B4896" s="663"/>
      <c r="C4896" s="663"/>
      <c r="D4896" s="663"/>
      <c r="E4896" s="663"/>
    </row>
    <row r="4897" spans="1:5" x14ac:dyDescent="0.2">
      <c r="A4897"/>
      <c r="B4897" s="663"/>
      <c r="C4897" s="663"/>
      <c r="D4897" s="663"/>
      <c r="E4897" s="663"/>
    </row>
    <row r="4898" spans="1:5" x14ac:dyDescent="0.2">
      <c r="A4898"/>
      <c r="B4898" s="663"/>
      <c r="C4898" s="663"/>
      <c r="D4898" s="663"/>
      <c r="E4898" s="663"/>
    </row>
    <row r="4899" spans="1:5" x14ac:dyDescent="0.2">
      <c r="A4899"/>
      <c r="B4899" s="663"/>
      <c r="C4899" s="663"/>
      <c r="D4899" s="663"/>
      <c r="E4899" s="663"/>
    </row>
    <row r="4900" spans="1:5" x14ac:dyDescent="0.2">
      <c r="A4900"/>
      <c r="B4900" s="663"/>
      <c r="C4900" s="663"/>
      <c r="D4900" s="663"/>
      <c r="E4900" s="663"/>
    </row>
    <row r="4901" spans="1:5" x14ac:dyDescent="0.2">
      <c r="A4901"/>
      <c r="B4901" s="663"/>
      <c r="C4901" s="663"/>
      <c r="D4901" s="663"/>
      <c r="E4901" s="663"/>
    </row>
    <row r="4902" spans="1:5" x14ac:dyDescent="0.2">
      <c r="A4902"/>
      <c r="B4902" s="663"/>
      <c r="C4902" s="663"/>
      <c r="D4902" s="663"/>
      <c r="E4902" s="663"/>
    </row>
    <row r="4903" spans="1:5" x14ac:dyDescent="0.2">
      <c r="A4903"/>
      <c r="B4903" s="663"/>
      <c r="C4903" s="663"/>
      <c r="D4903" s="663"/>
      <c r="E4903" s="663"/>
    </row>
    <row r="4904" spans="1:5" x14ac:dyDescent="0.2">
      <c r="A4904"/>
      <c r="B4904" s="663"/>
      <c r="C4904" s="663"/>
      <c r="D4904" s="663"/>
      <c r="E4904" s="663"/>
    </row>
    <row r="4905" spans="1:5" x14ac:dyDescent="0.2">
      <c r="A4905"/>
      <c r="B4905" s="663"/>
      <c r="C4905" s="663"/>
      <c r="D4905" s="663"/>
      <c r="E4905" s="663"/>
    </row>
    <row r="4906" spans="1:5" x14ac:dyDescent="0.2">
      <c r="A4906"/>
      <c r="B4906" s="663"/>
      <c r="C4906" s="663"/>
      <c r="D4906" s="663"/>
      <c r="E4906" s="663"/>
    </row>
    <row r="4907" spans="1:5" x14ac:dyDescent="0.2">
      <c r="A4907"/>
      <c r="B4907" s="663"/>
      <c r="C4907" s="663"/>
      <c r="D4907" s="663"/>
      <c r="E4907" s="663"/>
    </row>
    <row r="4908" spans="1:5" x14ac:dyDescent="0.2">
      <c r="A4908"/>
      <c r="B4908" s="663"/>
      <c r="C4908" s="663"/>
      <c r="D4908" s="663"/>
      <c r="E4908" s="663"/>
    </row>
    <row r="4909" spans="1:5" x14ac:dyDescent="0.2">
      <c r="A4909"/>
      <c r="B4909" s="663"/>
      <c r="C4909" s="663"/>
      <c r="D4909" s="663"/>
      <c r="E4909" s="663"/>
    </row>
    <row r="4910" spans="1:5" x14ac:dyDescent="0.2">
      <c r="A4910"/>
      <c r="B4910" s="663"/>
      <c r="C4910" s="663"/>
      <c r="D4910" s="663"/>
      <c r="E4910" s="663"/>
    </row>
    <row r="4911" spans="1:5" x14ac:dyDescent="0.2">
      <c r="A4911"/>
      <c r="B4911" s="663"/>
      <c r="C4911" s="663"/>
      <c r="D4911" s="663"/>
      <c r="E4911" s="663"/>
    </row>
    <row r="4912" spans="1:5" x14ac:dyDescent="0.2">
      <c r="A4912"/>
      <c r="B4912" s="663"/>
      <c r="C4912" s="663"/>
      <c r="D4912" s="663"/>
      <c r="E4912" s="663"/>
    </row>
    <row r="4913" spans="1:5" x14ac:dyDescent="0.2">
      <c r="A4913"/>
      <c r="B4913" s="663"/>
      <c r="C4913" s="663"/>
      <c r="D4913" s="663"/>
      <c r="E4913" s="663"/>
    </row>
    <row r="4914" spans="1:5" x14ac:dyDescent="0.2">
      <c r="A4914"/>
      <c r="B4914" s="663"/>
      <c r="C4914" s="663"/>
      <c r="D4914" s="663"/>
      <c r="E4914" s="663"/>
    </row>
    <row r="4915" spans="1:5" x14ac:dyDescent="0.2">
      <c r="A4915"/>
      <c r="B4915" s="663"/>
      <c r="C4915" s="663"/>
      <c r="D4915" s="663"/>
      <c r="E4915" s="663"/>
    </row>
    <row r="4916" spans="1:5" x14ac:dyDescent="0.2">
      <c r="A4916"/>
      <c r="B4916" s="663"/>
      <c r="C4916" s="663"/>
      <c r="D4916" s="663"/>
      <c r="E4916" s="663"/>
    </row>
    <row r="4917" spans="1:5" x14ac:dyDescent="0.2">
      <c r="A4917"/>
      <c r="B4917" s="663"/>
      <c r="C4917" s="663"/>
      <c r="D4917" s="663"/>
      <c r="E4917" s="663"/>
    </row>
    <row r="4918" spans="1:5" x14ac:dyDescent="0.2">
      <c r="A4918"/>
      <c r="B4918" s="663"/>
      <c r="C4918" s="663"/>
      <c r="D4918" s="663"/>
      <c r="E4918" s="663"/>
    </row>
    <row r="4919" spans="1:5" x14ac:dyDescent="0.2">
      <c r="A4919"/>
      <c r="B4919" s="663"/>
      <c r="C4919" s="663"/>
      <c r="D4919" s="663"/>
      <c r="E4919" s="663"/>
    </row>
    <row r="4920" spans="1:5" x14ac:dyDescent="0.2">
      <c r="A4920"/>
      <c r="B4920" s="663"/>
      <c r="C4920" s="663"/>
      <c r="D4920" s="663"/>
      <c r="E4920" s="663"/>
    </row>
    <row r="4921" spans="1:5" x14ac:dyDescent="0.2">
      <c r="A4921"/>
      <c r="B4921" s="663"/>
      <c r="C4921" s="663"/>
      <c r="D4921" s="663"/>
      <c r="E4921" s="663"/>
    </row>
    <row r="4922" spans="1:5" x14ac:dyDescent="0.2">
      <c r="A4922"/>
      <c r="B4922" s="663"/>
      <c r="C4922" s="663"/>
      <c r="D4922" s="663"/>
      <c r="E4922" s="663"/>
    </row>
    <row r="4923" spans="1:5" x14ac:dyDescent="0.2">
      <c r="A4923"/>
      <c r="B4923" s="663"/>
      <c r="C4923" s="663"/>
      <c r="D4923" s="663"/>
      <c r="E4923" s="663"/>
    </row>
    <row r="4924" spans="1:5" x14ac:dyDescent="0.2">
      <c r="A4924"/>
      <c r="B4924" s="663"/>
      <c r="C4924" s="663"/>
      <c r="D4924" s="663"/>
      <c r="E4924" s="663"/>
    </row>
    <row r="4925" spans="1:5" x14ac:dyDescent="0.2">
      <c r="A4925"/>
      <c r="B4925" s="663"/>
      <c r="C4925" s="663"/>
      <c r="D4925" s="663"/>
      <c r="E4925" s="663"/>
    </row>
    <row r="4926" spans="1:5" x14ac:dyDescent="0.2">
      <c r="A4926"/>
      <c r="B4926" s="663"/>
      <c r="C4926" s="663"/>
      <c r="D4926" s="663"/>
      <c r="E4926" s="663"/>
    </row>
    <row r="4927" spans="1:5" x14ac:dyDescent="0.2">
      <c r="A4927"/>
      <c r="B4927" s="663"/>
      <c r="C4927" s="663"/>
      <c r="D4927" s="663"/>
      <c r="E4927" s="663"/>
    </row>
    <row r="4928" spans="1:5" x14ac:dyDescent="0.2">
      <c r="A4928"/>
      <c r="B4928" s="663"/>
      <c r="C4928" s="663"/>
      <c r="D4928" s="663"/>
      <c r="E4928" s="663"/>
    </row>
    <row r="4929" spans="1:5" x14ac:dyDescent="0.2">
      <c r="A4929"/>
      <c r="B4929" s="663"/>
      <c r="C4929" s="663"/>
      <c r="D4929" s="663"/>
      <c r="E4929" s="663"/>
    </row>
    <row r="4930" spans="1:5" x14ac:dyDescent="0.2">
      <c r="A4930"/>
      <c r="B4930" s="663"/>
      <c r="C4930" s="663"/>
      <c r="D4930" s="663"/>
      <c r="E4930" s="663"/>
    </row>
    <row r="4931" spans="1:5" x14ac:dyDescent="0.2">
      <c r="A4931"/>
      <c r="B4931" s="663"/>
      <c r="C4931" s="663"/>
      <c r="D4931" s="663"/>
      <c r="E4931" s="663"/>
    </row>
    <row r="4932" spans="1:5" x14ac:dyDescent="0.2">
      <c r="A4932"/>
      <c r="B4932" s="663"/>
      <c r="C4932" s="663"/>
      <c r="D4932" s="663"/>
      <c r="E4932" s="663"/>
    </row>
    <row r="4933" spans="1:5" x14ac:dyDescent="0.2">
      <c r="A4933"/>
      <c r="B4933" s="663"/>
      <c r="C4933" s="663"/>
      <c r="D4933" s="663"/>
      <c r="E4933" s="663"/>
    </row>
    <row r="4934" spans="1:5" x14ac:dyDescent="0.2">
      <c r="A4934"/>
      <c r="B4934" s="663"/>
      <c r="C4934" s="663"/>
      <c r="D4934" s="663"/>
      <c r="E4934" s="663"/>
    </row>
    <row r="4935" spans="1:5" x14ac:dyDescent="0.2">
      <c r="A4935"/>
      <c r="B4935" s="663"/>
      <c r="C4935" s="663"/>
      <c r="D4935" s="663"/>
      <c r="E4935" s="663"/>
    </row>
    <row r="4936" spans="1:5" x14ac:dyDescent="0.2">
      <c r="A4936"/>
      <c r="B4936" s="663"/>
      <c r="C4936" s="663"/>
      <c r="D4936" s="663"/>
      <c r="E4936" s="663"/>
    </row>
    <row r="4937" spans="1:5" x14ac:dyDescent="0.2">
      <c r="A4937"/>
      <c r="B4937" s="663"/>
      <c r="C4937" s="663"/>
      <c r="D4937" s="663"/>
      <c r="E4937" s="663"/>
    </row>
    <row r="4938" spans="1:5" x14ac:dyDescent="0.2">
      <c r="A4938"/>
      <c r="B4938" s="663"/>
      <c r="C4938" s="663"/>
      <c r="D4938" s="663"/>
      <c r="E4938" s="663"/>
    </row>
    <row r="4939" spans="1:5" x14ac:dyDescent="0.2">
      <c r="A4939"/>
      <c r="B4939" s="663"/>
      <c r="C4939" s="663"/>
      <c r="D4939" s="663"/>
      <c r="E4939" s="663"/>
    </row>
    <row r="4940" spans="1:5" x14ac:dyDescent="0.2">
      <c r="A4940"/>
      <c r="B4940" s="663"/>
      <c r="C4940" s="663"/>
      <c r="D4940" s="663"/>
      <c r="E4940" s="663"/>
    </row>
    <row r="4941" spans="1:5" x14ac:dyDescent="0.2">
      <c r="A4941"/>
      <c r="B4941" s="663"/>
      <c r="C4941" s="663"/>
      <c r="D4941" s="663"/>
      <c r="E4941" s="663"/>
    </row>
    <row r="4942" spans="1:5" x14ac:dyDescent="0.2">
      <c r="A4942"/>
      <c r="B4942" s="663"/>
      <c r="C4942" s="663"/>
      <c r="D4942" s="663"/>
      <c r="E4942" s="663"/>
    </row>
    <row r="4943" spans="1:5" x14ac:dyDescent="0.2">
      <c r="A4943"/>
      <c r="B4943" s="663"/>
      <c r="C4943" s="663"/>
      <c r="D4943" s="663"/>
      <c r="E4943" s="663"/>
    </row>
    <row r="4944" spans="1:5" x14ac:dyDescent="0.2">
      <c r="A4944"/>
      <c r="B4944" s="663"/>
      <c r="C4944" s="663"/>
      <c r="D4944" s="663"/>
      <c r="E4944" s="663"/>
    </row>
    <row r="4945" spans="1:5" x14ac:dyDescent="0.2">
      <c r="A4945"/>
      <c r="B4945" s="663"/>
      <c r="C4945" s="663"/>
      <c r="D4945" s="663"/>
      <c r="E4945" s="663"/>
    </row>
    <row r="4946" spans="1:5" x14ac:dyDescent="0.2">
      <c r="A4946"/>
      <c r="B4946" s="663"/>
      <c r="C4946" s="663"/>
      <c r="D4946" s="663"/>
      <c r="E4946" s="663"/>
    </row>
    <row r="4947" spans="1:5" x14ac:dyDescent="0.2">
      <c r="A4947"/>
      <c r="B4947" s="663"/>
      <c r="C4947" s="663"/>
      <c r="D4947" s="663"/>
      <c r="E4947" s="663"/>
    </row>
    <row r="4948" spans="1:5" x14ac:dyDescent="0.2">
      <c r="A4948"/>
      <c r="B4948" s="663"/>
      <c r="C4948" s="663"/>
      <c r="D4948" s="663"/>
      <c r="E4948" s="663"/>
    </row>
    <row r="4949" spans="1:5" x14ac:dyDescent="0.2">
      <c r="A4949"/>
      <c r="B4949" s="663"/>
      <c r="C4949" s="663"/>
      <c r="D4949" s="663"/>
      <c r="E4949" s="663"/>
    </row>
    <row r="4950" spans="1:5" x14ac:dyDescent="0.2">
      <c r="A4950"/>
      <c r="B4950" s="663"/>
      <c r="C4950" s="663"/>
      <c r="D4950" s="663"/>
      <c r="E4950" s="663"/>
    </row>
    <row r="4951" spans="1:5" x14ac:dyDescent="0.2">
      <c r="A4951"/>
      <c r="B4951" s="663"/>
      <c r="C4951" s="663"/>
      <c r="D4951" s="663"/>
      <c r="E4951" s="663"/>
    </row>
    <row r="4952" spans="1:5" x14ac:dyDescent="0.2">
      <c r="A4952"/>
      <c r="B4952" s="663"/>
      <c r="C4952" s="663"/>
      <c r="D4952" s="663"/>
      <c r="E4952" s="663"/>
    </row>
    <row r="4953" spans="1:5" x14ac:dyDescent="0.2">
      <c r="A4953"/>
      <c r="B4953" s="663"/>
      <c r="C4953" s="663"/>
      <c r="D4953" s="663"/>
      <c r="E4953" s="663"/>
    </row>
    <row r="4954" spans="1:5" x14ac:dyDescent="0.2">
      <c r="A4954"/>
      <c r="B4954" s="663"/>
      <c r="C4954" s="663"/>
      <c r="D4954" s="663"/>
      <c r="E4954" s="663"/>
    </row>
    <row r="4955" spans="1:5" x14ac:dyDescent="0.2">
      <c r="A4955"/>
      <c r="B4955" s="663"/>
      <c r="C4955" s="663"/>
      <c r="D4955" s="663"/>
      <c r="E4955" s="663"/>
    </row>
    <row r="4956" spans="1:5" x14ac:dyDescent="0.2">
      <c r="A4956"/>
      <c r="B4956" s="663"/>
      <c r="C4956" s="663"/>
      <c r="D4956" s="663"/>
      <c r="E4956" s="663"/>
    </row>
    <row r="4957" spans="1:5" x14ac:dyDescent="0.2">
      <c r="A4957"/>
      <c r="B4957" s="663"/>
      <c r="C4957" s="663"/>
      <c r="D4957" s="663"/>
      <c r="E4957" s="663"/>
    </row>
    <row r="4958" spans="1:5" x14ac:dyDescent="0.2">
      <c r="A4958"/>
      <c r="B4958" s="663"/>
      <c r="C4958" s="663"/>
      <c r="D4958" s="663"/>
      <c r="E4958" s="663"/>
    </row>
    <row r="4959" spans="1:5" x14ac:dyDescent="0.2">
      <c r="A4959"/>
      <c r="B4959" s="663"/>
      <c r="C4959" s="663"/>
      <c r="D4959" s="663"/>
      <c r="E4959" s="663"/>
    </row>
    <row r="4960" spans="1:5" x14ac:dyDescent="0.2">
      <c r="A4960"/>
      <c r="B4960" s="663"/>
      <c r="C4960" s="663"/>
      <c r="D4960" s="663"/>
      <c r="E4960" s="663"/>
    </row>
    <row r="4961" spans="1:5" x14ac:dyDescent="0.2">
      <c r="A4961"/>
      <c r="B4961" s="663"/>
      <c r="C4961" s="663"/>
      <c r="D4961" s="663"/>
      <c r="E4961" s="663"/>
    </row>
    <row r="4962" spans="1:5" x14ac:dyDescent="0.2">
      <c r="A4962"/>
      <c r="B4962" s="663"/>
      <c r="C4962" s="663"/>
      <c r="D4962" s="663"/>
      <c r="E4962" s="663"/>
    </row>
    <row r="4963" spans="1:5" x14ac:dyDescent="0.2">
      <c r="A4963"/>
      <c r="B4963" s="663"/>
      <c r="C4963" s="663"/>
      <c r="D4963" s="663"/>
      <c r="E4963" s="663"/>
    </row>
    <row r="4964" spans="1:5" x14ac:dyDescent="0.2">
      <c r="A4964"/>
      <c r="B4964" s="663"/>
      <c r="C4964" s="663"/>
      <c r="D4964" s="663"/>
      <c r="E4964" s="663"/>
    </row>
    <row r="4965" spans="1:5" x14ac:dyDescent="0.2">
      <c r="A4965"/>
      <c r="B4965" s="663"/>
      <c r="C4965" s="663"/>
      <c r="D4965" s="663"/>
      <c r="E4965" s="663"/>
    </row>
    <row r="4966" spans="1:5" x14ac:dyDescent="0.2">
      <c r="A4966"/>
      <c r="B4966" s="663"/>
      <c r="C4966" s="663"/>
      <c r="D4966" s="663"/>
      <c r="E4966" s="663"/>
    </row>
    <row r="4967" spans="1:5" x14ac:dyDescent="0.2">
      <c r="A4967"/>
      <c r="B4967" s="663"/>
      <c r="C4967" s="663"/>
      <c r="D4967" s="663"/>
      <c r="E4967" s="663"/>
    </row>
    <row r="4968" spans="1:5" x14ac:dyDescent="0.2">
      <c r="A4968"/>
      <c r="B4968" s="663"/>
      <c r="C4968" s="663"/>
      <c r="D4968" s="663"/>
      <c r="E4968" s="663"/>
    </row>
    <row r="4969" spans="1:5" x14ac:dyDescent="0.2">
      <c r="A4969"/>
      <c r="B4969" s="663"/>
      <c r="C4969" s="663"/>
      <c r="D4969" s="663"/>
      <c r="E4969" s="663"/>
    </row>
    <row r="4970" spans="1:5" x14ac:dyDescent="0.2">
      <c r="A4970"/>
      <c r="B4970" s="663"/>
      <c r="C4970" s="663"/>
      <c r="D4970" s="663"/>
      <c r="E4970" s="663"/>
    </row>
    <row r="4971" spans="1:5" x14ac:dyDescent="0.2">
      <c r="A4971"/>
      <c r="B4971" s="663"/>
      <c r="C4971" s="663"/>
      <c r="D4971" s="663"/>
      <c r="E4971" s="663"/>
    </row>
    <row r="4972" spans="1:5" x14ac:dyDescent="0.2">
      <c r="A4972"/>
      <c r="B4972" s="663"/>
      <c r="C4972" s="663"/>
      <c r="D4972" s="663"/>
      <c r="E4972" s="663"/>
    </row>
    <row r="4973" spans="1:5" x14ac:dyDescent="0.2">
      <c r="A4973"/>
      <c r="B4973" s="663"/>
      <c r="C4973" s="663"/>
      <c r="D4973" s="663"/>
      <c r="E4973" s="663"/>
    </row>
    <row r="4974" spans="1:5" x14ac:dyDescent="0.2">
      <c r="A4974"/>
      <c r="B4974" s="663"/>
      <c r="C4974" s="663"/>
      <c r="D4974" s="663"/>
      <c r="E4974" s="663"/>
    </row>
    <row r="4975" spans="1:5" x14ac:dyDescent="0.2">
      <c r="A4975"/>
      <c r="B4975" s="663"/>
      <c r="C4975" s="663"/>
      <c r="D4975" s="663"/>
      <c r="E4975" s="663"/>
    </row>
    <row r="4976" spans="1:5" x14ac:dyDescent="0.2">
      <c r="A4976"/>
      <c r="B4976" s="663"/>
      <c r="C4976" s="663"/>
      <c r="D4976" s="663"/>
      <c r="E4976" s="663"/>
    </row>
    <row r="4977" spans="1:5" x14ac:dyDescent="0.2">
      <c r="A4977"/>
      <c r="B4977" s="663"/>
      <c r="C4977" s="663"/>
      <c r="D4977" s="663"/>
      <c r="E4977" s="663"/>
    </row>
    <row r="4978" spans="1:5" x14ac:dyDescent="0.2">
      <c r="A4978"/>
      <c r="B4978" s="663"/>
      <c r="C4978" s="663"/>
      <c r="D4978" s="663"/>
      <c r="E4978" s="663"/>
    </row>
    <row r="4979" spans="1:5" x14ac:dyDescent="0.2">
      <c r="A4979"/>
      <c r="B4979" s="663"/>
      <c r="C4979" s="663"/>
      <c r="D4979" s="663"/>
      <c r="E4979" s="663"/>
    </row>
    <row r="4980" spans="1:5" x14ac:dyDescent="0.2">
      <c r="A4980"/>
      <c r="B4980" s="663"/>
      <c r="C4980" s="663"/>
      <c r="D4980" s="663"/>
      <c r="E4980" s="663"/>
    </row>
    <row r="4981" spans="1:5" x14ac:dyDescent="0.2">
      <c r="A4981"/>
      <c r="B4981" s="663"/>
      <c r="C4981" s="663"/>
      <c r="D4981" s="663"/>
      <c r="E4981" s="663"/>
    </row>
    <row r="4982" spans="1:5" x14ac:dyDescent="0.2">
      <c r="A4982"/>
      <c r="B4982" s="663"/>
      <c r="C4982" s="663"/>
      <c r="D4982" s="663"/>
      <c r="E4982" s="663"/>
    </row>
    <row r="4983" spans="1:5" x14ac:dyDescent="0.2">
      <c r="A4983"/>
      <c r="B4983" s="663"/>
      <c r="C4983" s="663"/>
      <c r="D4983" s="663"/>
      <c r="E4983" s="663"/>
    </row>
    <row r="4984" spans="1:5" x14ac:dyDescent="0.2">
      <c r="A4984"/>
      <c r="B4984" s="663"/>
      <c r="C4984" s="663"/>
      <c r="D4984" s="663"/>
      <c r="E4984" s="663"/>
    </row>
    <row r="4985" spans="1:5" x14ac:dyDescent="0.2">
      <c r="A4985"/>
      <c r="B4985" s="663"/>
      <c r="C4985" s="663"/>
      <c r="D4985" s="663"/>
      <c r="E4985" s="663"/>
    </row>
    <row r="4986" spans="1:5" x14ac:dyDescent="0.2">
      <c r="A4986"/>
      <c r="B4986" s="663"/>
      <c r="C4986" s="663"/>
      <c r="D4986" s="663"/>
      <c r="E4986" s="663"/>
    </row>
    <row r="4987" spans="1:5" x14ac:dyDescent="0.2">
      <c r="A4987"/>
      <c r="B4987" s="663"/>
      <c r="C4987" s="663"/>
      <c r="D4987" s="663"/>
      <c r="E4987" s="663"/>
    </row>
    <row r="4988" spans="1:5" x14ac:dyDescent="0.2">
      <c r="A4988"/>
      <c r="B4988" s="663"/>
      <c r="C4988" s="663"/>
      <c r="D4988" s="663"/>
      <c r="E4988" s="663"/>
    </row>
    <row r="4989" spans="1:5" x14ac:dyDescent="0.2">
      <c r="A4989"/>
      <c r="B4989" s="663"/>
      <c r="C4989" s="663"/>
      <c r="D4989" s="663"/>
      <c r="E4989" s="663"/>
    </row>
    <row r="4990" spans="1:5" x14ac:dyDescent="0.2">
      <c r="A4990"/>
      <c r="B4990" s="663"/>
      <c r="C4990" s="663"/>
      <c r="D4990" s="663"/>
      <c r="E4990" s="663"/>
    </row>
    <row r="4991" spans="1:5" x14ac:dyDescent="0.2">
      <c r="A4991"/>
      <c r="B4991" s="663"/>
      <c r="C4991" s="663"/>
      <c r="D4991" s="663"/>
      <c r="E4991" s="663"/>
    </row>
    <row r="4992" spans="1:5" x14ac:dyDescent="0.2">
      <c r="A4992"/>
      <c r="B4992" s="663"/>
      <c r="C4992" s="663"/>
      <c r="D4992" s="663"/>
      <c r="E4992" s="663"/>
    </row>
    <row r="4993" spans="1:5" x14ac:dyDescent="0.2">
      <c r="A4993"/>
      <c r="B4993" s="663"/>
      <c r="C4993" s="663"/>
      <c r="D4993" s="663"/>
      <c r="E4993" s="663"/>
    </row>
    <row r="4994" spans="1:5" x14ac:dyDescent="0.2">
      <c r="A4994"/>
      <c r="B4994" s="663"/>
      <c r="C4994" s="663"/>
      <c r="D4994" s="663"/>
      <c r="E4994" s="663"/>
    </row>
    <row r="4995" spans="1:5" x14ac:dyDescent="0.2">
      <c r="A4995"/>
      <c r="B4995" s="663"/>
      <c r="C4995" s="663"/>
      <c r="D4995" s="663"/>
      <c r="E4995" s="663"/>
    </row>
    <row r="4996" spans="1:5" x14ac:dyDescent="0.2">
      <c r="A4996"/>
      <c r="B4996" s="663"/>
      <c r="C4996" s="663"/>
      <c r="D4996" s="663"/>
      <c r="E4996" s="663"/>
    </row>
    <row r="4997" spans="1:5" x14ac:dyDescent="0.2">
      <c r="A4997"/>
      <c r="B4997" s="663"/>
      <c r="C4997" s="663"/>
      <c r="D4997" s="663"/>
      <c r="E4997" s="663"/>
    </row>
    <row r="4998" spans="1:5" x14ac:dyDescent="0.2">
      <c r="A4998"/>
      <c r="B4998" s="663"/>
      <c r="C4998" s="663"/>
      <c r="D4998" s="663"/>
      <c r="E4998" s="663"/>
    </row>
    <row r="4999" spans="1:5" x14ac:dyDescent="0.2">
      <c r="A4999"/>
      <c r="B4999" s="663"/>
      <c r="C4999" s="663"/>
      <c r="D4999" s="663"/>
      <c r="E4999" s="663"/>
    </row>
    <row r="5000" spans="1:5" x14ac:dyDescent="0.2">
      <c r="A5000"/>
      <c r="B5000" s="663"/>
      <c r="C5000" s="663"/>
      <c r="D5000" s="663"/>
      <c r="E5000" s="663"/>
    </row>
    <row r="5001" spans="1:5" x14ac:dyDescent="0.2">
      <c r="A5001"/>
      <c r="B5001" s="663"/>
      <c r="C5001" s="663"/>
      <c r="D5001" s="663"/>
      <c r="E5001" s="663"/>
    </row>
    <row r="5002" spans="1:5" x14ac:dyDescent="0.2">
      <c r="A5002"/>
      <c r="B5002" s="663"/>
      <c r="C5002" s="663"/>
      <c r="D5002" s="663"/>
      <c r="E5002" s="663"/>
    </row>
    <row r="5003" spans="1:5" x14ac:dyDescent="0.2">
      <c r="A5003"/>
      <c r="B5003" s="663"/>
      <c r="C5003" s="663"/>
      <c r="D5003" s="663"/>
      <c r="E5003" s="663"/>
    </row>
    <row r="5004" spans="1:5" x14ac:dyDescent="0.2">
      <c r="A5004"/>
      <c r="B5004" s="663"/>
      <c r="C5004" s="663"/>
      <c r="D5004" s="663"/>
      <c r="E5004" s="663"/>
    </row>
    <row r="5005" spans="1:5" x14ac:dyDescent="0.2">
      <c r="A5005"/>
      <c r="B5005" s="663"/>
      <c r="C5005" s="663"/>
      <c r="D5005" s="663"/>
      <c r="E5005" s="663"/>
    </row>
    <row r="5006" spans="1:5" x14ac:dyDescent="0.2">
      <c r="A5006"/>
      <c r="B5006" s="663"/>
      <c r="C5006" s="663"/>
      <c r="D5006" s="663"/>
      <c r="E5006" s="663"/>
    </row>
    <row r="5007" spans="1:5" x14ac:dyDescent="0.2">
      <c r="A5007"/>
      <c r="B5007" s="663"/>
      <c r="C5007" s="663"/>
      <c r="D5007" s="663"/>
      <c r="E5007" s="663"/>
    </row>
    <row r="5008" spans="1:5" x14ac:dyDescent="0.2">
      <c r="A5008"/>
      <c r="B5008" s="663"/>
      <c r="C5008" s="663"/>
      <c r="D5008" s="663"/>
      <c r="E5008" s="663"/>
    </row>
    <row r="5009" spans="1:5" x14ac:dyDescent="0.2">
      <c r="A5009"/>
      <c r="B5009" s="663"/>
      <c r="C5009" s="663"/>
      <c r="D5009" s="663"/>
      <c r="E5009" s="663"/>
    </row>
    <row r="5010" spans="1:5" x14ac:dyDescent="0.2">
      <c r="A5010"/>
      <c r="B5010" s="663"/>
      <c r="C5010" s="663"/>
      <c r="D5010" s="663"/>
      <c r="E5010" s="663"/>
    </row>
    <row r="5011" spans="1:5" x14ac:dyDescent="0.2">
      <c r="A5011"/>
      <c r="B5011" s="663"/>
      <c r="C5011" s="663"/>
      <c r="D5011" s="663"/>
      <c r="E5011" s="663"/>
    </row>
    <row r="5012" spans="1:5" x14ac:dyDescent="0.2">
      <c r="A5012"/>
      <c r="B5012" s="663"/>
      <c r="C5012" s="663"/>
      <c r="D5012" s="663"/>
      <c r="E5012" s="663"/>
    </row>
    <row r="5013" spans="1:5" x14ac:dyDescent="0.2">
      <c r="A5013"/>
      <c r="B5013" s="663"/>
      <c r="C5013" s="663"/>
      <c r="D5013" s="663"/>
      <c r="E5013" s="663"/>
    </row>
    <row r="5014" spans="1:5" x14ac:dyDescent="0.2">
      <c r="A5014"/>
      <c r="B5014" s="663"/>
      <c r="C5014" s="663"/>
      <c r="D5014" s="663"/>
      <c r="E5014" s="663"/>
    </row>
    <row r="5015" spans="1:5" x14ac:dyDescent="0.2">
      <c r="A5015"/>
      <c r="B5015" s="663"/>
      <c r="C5015" s="663"/>
      <c r="D5015" s="663"/>
      <c r="E5015" s="663"/>
    </row>
    <row r="5016" spans="1:5" x14ac:dyDescent="0.2">
      <c r="A5016"/>
      <c r="B5016" s="663"/>
      <c r="C5016" s="663"/>
      <c r="D5016" s="663"/>
      <c r="E5016" s="663"/>
    </row>
    <row r="5017" spans="1:5" x14ac:dyDescent="0.2">
      <c r="A5017"/>
      <c r="B5017" s="663"/>
      <c r="C5017" s="663"/>
      <c r="D5017" s="663"/>
      <c r="E5017" s="663"/>
    </row>
    <row r="5018" spans="1:5" x14ac:dyDescent="0.2">
      <c r="A5018"/>
      <c r="B5018" s="663"/>
      <c r="C5018" s="663"/>
      <c r="D5018" s="663"/>
      <c r="E5018" s="663"/>
    </row>
    <row r="5019" spans="1:5" x14ac:dyDescent="0.2">
      <c r="A5019"/>
      <c r="B5019" s="663"/>
      <c r="C5019" s="663"/>
      <c r="D5019" s="663"/>
      <c r="E5019" s="663"/>
    </row>
    <row r="5020" spans="1:5" x14ac:dyDescent="0.2">
      <c r="A5020"/>
      <c r="B5020" s="663"/>
      <c r="C5020" s="663"/>
      <c r="D5020" s="663"/>
      <c r="E5020" s="663"/>
    </row>
    <row r="5021" spans="1:5" x14ac:dyDescent="0.2">
      <c r="A5021"/>
      <c r="B5021" s="663"/>
      <c r="C5021" s="663"/>
      <c r="D5021" s="663"/>
      <c r="E5021" s="663"/>
    </row>
    <row r="5022" spans="1:5" x14ac:dyDescent="0.2">
      <c r="A5022"/>
      <c r="B5022" s="663"/>
      <c r="C5022" s="663"/>
      <c r="D5022" s="663"/>
      <c r="E5022" s="663"/>
    </row>
    <row r="5023" spans="1:5" x14ac:dyDescent="0.2">
      <c r="A5023"/>
      <c r="B5023" s="663"/>
      <c r="C5023" s="663"/>
      <c r="D5023" s="663"/>
      <c r="E5023" s="663"/>
    </row>
    <row r="5024" spans="1:5" x14ac:dyDescent="0.2">
      <c r="A5024"/>
      <c r="B5024" s="663"/>
      <c r="C5024" s="663"/>
      <c r="D5024" s="663"/>
      <c r="E5024" s="663"/>
    </row>
    <row r="5025" spans="1:5" x14ac:dyDescent="0.2">
      <c r="A5025"/>
      <c r="B5025" s="663"/>
      <c r="C5025" s="663"/>
      <c r="D5025" s="663"/>
      <c r="E5025" s="663"/>
    </row>
    <row r="5026" spans="1:5" x14ac:dyDescent="0.2">
      <c r="A5026"/>
      <c r="B5026" s="663"/>
      <c r="C5026" s="663"/>
      <c r="D5026" s="663"/>
      <c r="E5026" s="663"/>
    </row>
    <row r="5027" spans="1:5" x14ac:dyDescent="0.2">
      <c r="A5027"/>
      <c r="B5027" s="663"/>
      <c r="C5027" s="663"/>
      <c r="D5027" s="663"/>
      <c r="E5027" s="663"/>
    </row>
    <row r="5028" spans="1:5" x14ac:dyDescent="0.2">
      <c r="A5028"/>
      <c r="B5028" s="663"/>
      <c r="C5028" s="663"/>
      <c r="D5028" s="663"/>
      <c r="E5028" s="663"/>
    </row>
    <row r="5029" spans="1:5" x14ac:dyDescent="0.2">
      <c r="A5029"/>
      <c r="B5029" s="663"/>
      <c r="C5029" s="663"/>
      <c r="D5029" s="663"/>
      <c r="E5029" s="663"/>
    </row>
    <row r="5030" spans="1:5" x14ac:dyDescent="0.2">
      <c r="A5030"/>
      <c r="B5030" s="663"/>
      <c r="C5030" s="663"/>
      <c r="D5030" s="663"/>
      <c r="E5030" s="663"/>
    </row>
    <row r="5031" spans="1:5" x14ac:dyDescent="0.2">
      <c r="A5031"/>
      <c r="B5031" s="663"/>
      <c r="C5031" s="663"/>
      <c r="D5031" s="663"/>
      <c r="E5031" s="663"/>
    </row>
    <row r="5032" spans="1:5" x14ac:dyDescent="0.2">
      <c r="A5032"/>
      <c r="B5032" s="663"/>
      <c r="C5032" s="663"/>
      <c r="D5032" s="663"/>
      <c r="E5032" s="663"/>
    </row>
    <row r="5033" spans="1:5" x14ac:dyDescent="0.2">
      <c r="A5033"/>
      <c r="B5033" s="663"/>
      <c r="C5033" s="663"/>
      <c r="D5033" s="663"/>
      <c r="E5033" s="663"/>
    </row>
    <row r="5034" spans="1:5" x14ac:dyDescent="0.2">
      <c r="A5034"/>
      <c r="B5034" s="663"/>
      <c r="C5034" s="663"/>
      <c r="D5034" s="663"/>
      <c r="E5034" s="663"/>
    </row>
    <row r="5035" spans="1:5" x14ac:dyDescent="0.2">
      <c r="A5035"/>
      <c r="B5035" s="663"/>
      <c r="C5035" s="663"/>
      <c r="D5035" s="663"/>
      <c r="E5035" s="663"/>
    </row>
    <row r="5036" spans="1:5" x14ac:dyDescent="0.2">
      <c r="A5036"/>
      <c r="B5036" s="663"/>
      <c r="C5036" s="663"/>
      <c r="D5036" s="663"/>
      <c r="E5036" s="663"/>
    </row>
    <row r="5037" spans="1:5" x14ac:dyDescent="0.2">
      <c r="A5037"/>
      <c r="B5037" s="663"/>
      <c r="C5037" s="663"/>
      <c r="D5037" s="663"/>
      <c r="E5037" s="663"/>
    </row>
    <row r="5038" spans="1:5" x14ac:dyDescent="0.2">
      <c r="A5038"/>
      <c r="B5038" s="663"/>
      <c r="C5038" s="663"/>
      <c r="D5038" s="663"/>
      <c r="E5038" s="663"/>
    </row>
    <row r="5039" spans="1:5" x14ac:dyDescent="0.2">
      <c r="A5039"/>
      <c r="B5039" s="663"/>
      <c r="C5039" s="663"/>
      <c r="D5039" s="663"/>
      <c r="E5039" s="663"/>
    </row>
    <row r="5040" spans="1:5" x14ac:dyDescent="0.2">
      <c r="A5040"/>
      <c r="B5040" s="663"/>
      <c r="C5040" s="663"/>
      <c r="D5040" s="663"/>
      <c r="E5040" s="663"/>
    </row>
    <row r="5041" spans="1:5" x14ac:dyDescent="0.2">
      <c r="A5041"/>
      <c r="B5041" s="663"/>
      <c r="C5041" s="663"/>
      <c r="D5041" s="663"/>
      <c r="E5041" s="663"/>
    </row>
    <row r="5042" spans="1:5" x14ac:dyDescent="0.2">
      <c r="A5042"/>
      <c r="B5042" s="663"/>
      <c r="C5042" s="663"/>
      <c r="D5042" s="663"/>
      <c r="E5042" s="663"/>
    </row>
    <row r="5043" spans="1:5" x14ac:dyDescent="0.2">
      <c r="A5043"/>
      <c r="B5043" s="663"/>
      <c r="C5043" s="663"/>
      <c r="D5043" s="663"/>
      <c r="E5043" s="663"/>
    </row>
    <row r="5044" spans="1:5" x14ac:dyDescent="0.2">
      <c r="A5044"/>
      <c r="B5044" s="663"/>
      <c r="C5044" s="663"/>
      <c r="D5044" s="663"/>
      <c r="E5044" s="663"/>
    </row>
    <row r="5045" spans="1:5" x14ac:dyDescent="0.2">
      <c r="A5045"/>
      <c r="B5045" s="663"/>
      <c r="C5045" s="663"/>
      <c r="D5045" s="663"/>
      <c r="E5045" s="663"/>
    </row>
    <row r="5046" spans="1:5" x14ac:dyDescent="0.2">
      <c r="A5046"/>
      <c r="B5046" s="663"/>
      <c r="C5046" s="663"/>
      <c r="D5046" s="663"/>
      <c r="E5046" s="663"/>
    </row>
    <row r="5047" spans="1:5" x14ac:dyDescent="0.2">
      <c r="A5047"/>
      <c r="B5047" s="663"/>
      <c r="C5047" s="663"/>
      <c r="D5047" s="663"/>
      <c r="E5047" s="663"/>
    </row>
    <row r="5048" spans="1:5" x14ac:dyDescent="0.2">
      <c r="A5048"/>
      <c r="B5048" s="663"/>
      <c r="C5048" s="663"/>
      <c r="D5048" s="663"/>
      <c r="E5048" s="663"/>
    </row>
    <row r="5049" spans="1:5" x14ac:dyDescent="0.2">
      <c r="A5049"/>
      <c r="B5049" s="663"/>
      <c r="C5049" s="663"/>
      <c r="D5049" s="663"/>
      <c r="E5049" s="663"/>
    </row>
    <row r="5050" spans="1:5" x14ac:dyDescent="0.2">
      <c r="A5050"/>
      <c r="B5050" s="663"/>
      <c r="C5050" s="663"/>
      <c r="D5050" s="663"/>
      <c r="E5050" s="663"/>
    </row>
    <row r="5051" spans="1:5" x14ac:dyDescent="0.2">
      <c r="A5051"/>
      <c r="B5051" s="663"/>
      <c r="C5051" s="663"/>
      <c r="D5051" s="663"/>
      <c r="E5051" s="663"/>
    </row>
    <row r="5052" spans="1:5" x14ac:dyDescent="0.2">
      <c r="A5052"/>
      <c r="B5052" s="663"/>
      <c r="C5052" s="663"/>
      <c r="D5052" s="663"/>
      <c r="E5052" s="663"/>
    </row>
    <row r="5053" spans="1:5" x14ac:dyDescent="0.2">
      <c r="A5053"/>
      <c r="B5053" s="663"/>
      <c r="C5053" s="663"/>
      <c r="D5053" s="663"/>
      <c r="E5053" s="663"/>
    </row>
    <row r="5054" spans="1:5" x14ac:dyDescent="0.2">
      <c r="A5054"/>
      <c r="B5054" s="663"/>
      <c r="C5054" s="663"/>
      <c r="D5054" s="663"/>
      <c r="E5054" s="663"/>
    </row>
    <row r="5055" spans="1:5" x14ac:dyDescent="0.2">
      <c r="A5055"/>
      <c r="B5055" s="663"/>
      <c r="C5055" s="663"/>
      <c r="D5055" s="663"/>
      <c r="E5055" s="663"/>
    </row>
    <row r="5056" spans="1:5" x14ac:dyDescent="0.2">
      <c r="A5056"/>
      <c r="B5056" s="663"/>
      <c r="C5056" s="663"/>
      <c r="D5056" s="663"/>
      <c r="E5056" s="663"/>
    </row>
    <row r="5057" spans="1:5" x14ac:dyDescent="0.2">
      <c r="A5057"/>
      <c r="B5057" s="663"/>
      <c r="C5057" s="663"/>
      <c r="D5057" s="663"/>
      <c r="E5057" s="663"/>
    </row>
    <row r="5058" spans="1:5" x14ac:dyDescent="0.2">
      <c r="A5058"/>
      <c r="B5058" s="663"/>
      <c r="C5058" s="663"/>
      <c r="D5058" s="663"/>
      <c r="E5058" s="663"/>
    </row>
    <row r="5059" spans="1:5" x14ac:dyDescent="0.2">
      <c r="A5059"/>
      <c r="B5059" s="663"/>
      <c r="C5059" s="663"/>
      <c r="D5059" s="663"/>
      <c r="E5059" s="663"/>
    </row>
    <row r="5060" spans="1:5" x14ac:dyDescent="0.2">
      <c r="A5060"/>
      <c r="B5060" s="663"/>
      <c r="C5060" s="663"/>
      <c r="D5060" s="663"/>
      <c r="E5060" s="663"/>
    </row>
    <row r="5061" spans="1:5" x14ac:dyDescent="0.2">
      <c r="A5061"/>
      <c r="B5061" s="663"/>
      <c r="C5061" s="663"/>
      <c r="D5061" s="663"/>
      <c r="E5061" s="663"/>
    </row>
    <row r="5062" spans="1:5" x14ac:dyDescent="0.2">
      <c r="A5062"/>
      <c r="B5062" s="663"/>
      <c r="C5062" s="663"/>
      <c r="D5062" s="663"/>
      <c r="E5062" s="663"/>
    </row>
    <row r="5063" spans="1:5" x14ac:dyDescent="0.2">
      <c r="A5063"/>
      <c r="B5063" s="663"/>
      <c r="C5063" s="663"/>
      <c r="D5063" s="663"/>
      <c r="E5063" s="663"/>
    </row>
    <row r="5064" spans="1:5" x14ac:dyDescent="0.2">
      <c r="A5064"/>
      <c r="B5064" s="663"/>
      <c r="C5064" s="663"/>
      <c r="D5064" s="663"/>
      <c r="E5064" s="663"/>
    </row>
    <row r="5065" spans="1:5" x14ac:dyDescent="0.2">
      <c r="A5065"/>
      <c r="B5065" s="663"/>
      <c r="C5065" s="663"/>
      <c r="D5065" s="663"/>
      <c r="E5065" s="663"/>
    </row>
    <row r="5066" spans="1:5" x14ac:dyDescent="0.2">
      <c r="A5066"/>
      <c r="B5066" s="663"/>
      <c r="C5066" s="663"/>
      <c r="D5066" s="663"/>
      <c r="E5066" s="663"/>
    </row>
    <row r="5067" spans="1:5" x14ac:dyDescent="0.2">
      <c r="A5067"/>
      <c r="B5067" s="663"/>
      <c r="C5067" s="663"/>
      <c r="D5067" s="663"/>
      <c r="E5067" s="663"/>
    </row>
    <row r="5068" spans="1:5" x14ac:dyDescent="0.2">
      <c r="A5068"/>
      <c r="B5068" s="663"/>
      <c r="C5068" s="663"/>
      <c r="D5068" s="663"/>
      <c r="E5068" s="663"/>
    </row>
    <row r="5069" spans="1:5" x14ac:dyDescent="0.2">
      <c r="A5069"/>
      <c r="B5069" s="663"/>
      <c r="C5069" s="663"/>
      <c r="D5069" s="663"/>
      <c r="E5069" s="663"/>
    </row>
    <row r="5070" spans="1:5" x14ac:dyDescent="0.2">
      <c r="A5070"/>
      <c r="B5070" s="663"/>
      <c r="C5070" s="663"/>
      <c r="D5070" s="663"/>
      <c r="E5070" s="663"/>
    </row>
    <row r="5071" spans="1:5" x14ac:dyDescent="0.2">
      <c r="A5071"/>
      <c r="B5071" s="663"/>
      <c r="C5071" s="663"/>
      <c r="D5071" s="663"/>
      <c r="E5071" s="663"/>
    </row>
    <row r="5072" spans="1:5" x14ac:dyDescent="0.2">
      <c r="A5072"/>
      <c r="B5072" s="663"/>
      <c r="C5072" s="663"/>
      <c r="D5072" s="663"/>
      <c r="E5072" s="663"/>
    </row>
    <row r="5073" spans="1:5" x14ac:dyDescent="0.2">
      <c r="A5073"/>
      <c r="B5073" s="663"/>
      <c r="C5073" s="663"/>
      <c r="D5073" s="663"/>
      <c r="E5073" s="663"/>
    </row>
    <row r="5074" spans="1:5" x14ac:dyDescent="0.2">
      <c r="A5074"/>
      <c r="B5074" s="663"/>
      <c r="C5074" s="663"/>
      <c r="D5074" s="663"/>
      <c r="E5074" s="663"/>
    </row>
    <row r="5075" spans="1:5" x14ac:dyDescent="0.2">
      <c r="A5075"/>
      <c r="B5075" s="663"/>
      <c r="C5075" s="663"/>
      <c r="D5075" s="663"/>
      <c r="E5075" s="663"/>
    </row>
    <row r="5076" spans="1:5" x14ac:dyDescent="0.2">
      <c r="A5076"/>
      <c r="B5076" s="663"/>
      <c r="C5076" s="663"/>
      <c r="D5076" s="663"/>
      <c r="E5076" s="663"/>
    </row>
    <row r="5077" spans="1:5" x14ac:dyDescent="0.2">
      <c r="A5077"/>
      <c r="B5077" s="663"/>
      <c r="C5077" s="663"/>
      <c r="D5077" s="663"/>
      <c r="E5077" s="663"/>
    </row>
    <row r="5078" spans="1:5" x14ac:dyDescent="0.2">
      <c r="A5078"/>
      <c r="B5078" s="663"/>
      <c r="C5078" s="663"/>
      <c r="D5078" s="663"/>
      <c r="E5078" s="663"/>
    </row>
    <row r="5079" spans="1:5" x14ac:dyDescent="0.2">
      <c r="A5079"/>
      <c r="B5079" s="663"/>
      <c r="C5079" s="663"/>
      <c r="D5079" s="663"/>
      <c r="E5079" s="663"/>
    </row>
    <row r="5080" spans="1:5" x14ac:dyDescent="0.2">
      <c r="A5080"/>
      <c r="B5080" s="663"/>
      <c r="C5080" s="663"/>
      <c r="D5080" s="663"/>
      <c r="E5080" s="663"/>
    </row>
    <row r="5081" spans="1:5" x14ac:dyDescent="0.2">
      <c r="A5081"/>
      <c r="B5081" s="663"/>
      <c r="C5081" s="663"/>
      <c r="D5081" s="663"/>
      <c r="E5081" s="663"/>
    </row>
    <row r="5082" spans="1:5" x14ac:dyDescent="0.2">
      <c r="A5082"/>
      <c r="B5082" s="663"/>
      <c r="C5082" s="663"/>
      <c r="D5082" s="663"/>
      <c r="E5082" s="663"/>
    </row>
    <row r="5083" spans="1:5" x14ac:dyDescent="0.2">
      <c r="A5083"/>
      <c r="B5083" s="663"/>
      <c r="C5083" s="663"/>
      <c r="D5083" s="663"/>
      <c r="E5083" s="663"/>
    </row>
    <row r="5084" spans="1:5" x14ac:dyDescent="0.2">
      <c r="A5084"/>
      <c r="B5084" s="663"/>
      <c r="C5084" s="663"/>
      <c r="D5084" s="663"/>
      <c r="E5084" s="663"/>
    </row>
    <row r="5085" spans="1:5" x14ac:dyDescent="0.2">
      <c r="A5085"/>
      <c r="B5085" s="663"/>
      <c r="C5085" s="663"/>
      <c r="D5085" s="663"/>
      <c r="E5085" s="663"/>
    </row>
    <row r="5086" spans="1:5" x14ac:dyDescent="0.2">
      <c r="A5086"/>
      <c r="B5086" s="663"/>
      <c r="C5086" s="663"/>
      <c r="D5086" s="663"/>
      <c r="E5086" s="663"/>
    </row>
    <row r="5087" spans="1:5" x14ac:dyDescent="0.2">
      <c r="A5087"/>
      <c r="B5087" s="663"/>
      <c r="C5087" s="663"/>
      <c r="D5087" s="663"/>
      <c r="E5087" s="663"/>
    </row>
    <row r="5088" spans="1:5" x14ac:dyDescent="0.2">
      <c r="A5088"/>
      <c r="B5088" s="663"/>
      <c r="C5088" s="663"/>
      <c r="D5088" s="663"/>
      <c r="E5088" s="663"/>
    </row>
    <row r="5089" spans="1:5" x14ac:dyDescent="0.2">
      <c r="A5089"/>
      <c r="B5089" s="663"/>
      <c r="C5089" s="663"/>
      <c r="D5089" s="663"/>
      <c r="E5089" s="663"/>
    </row>
    <row r="5090" spans="1:5" x14ac:dyDescent="0.2">
      <c r="A5090"/>
      <c r="B5090" s="663"/>
      <c r="C5090" s="663"/>
      <c r="D5090" s="663"/>
      <c r="E5090" s="663"/>
    </row>
    <row r="5091" spans="1:5" x14ac:dyDescent="0.2">
      <c r="A5091"/>
      <c r="B5091" s="663"/>
      <c r="C5091" s="663"/>
      <c r="D5091" s="663"/>
      <c r="E5091" s="663"/>
    </row>
    <row r="5092" spans="1:5" x14ac:dyDescent="0.2">
      <c r="A5092"/>
      <c r="B5092" s="663"/>
      <c r="C5092" s="663"/>
      <c r="D5092" s="663"/>
      <c r="E5092" s="663"/>
    </row>
    <row r="5093" spans="1:5" x14ac:dyDescent="0.2">
      <c r="A5093"/>
      <c r="B5093" s="663"/>
      <c r="C5093" s="663"/>
      <c r="D5093" s="663"/>
      <c r="E5093" s="663"/>
    </row>
    <row r="5094" spans="1:5" x14ac:dyDescent="0.2">
      <c r="A5094"/>
      <c r="B5094" s="663"/>
      <c r="C5094" s="663"/>
      <c r="D5094" s="663"/>
      <c r="E5094" s="663"/>
    </row>
    <row r="5095" spans="1:5" x14ac:dyDescent="0.2">
      <c r="A5095"/>
      <c r="B5095" s="663"/>
      <c r="C5095" s="663"/>
      <c r="D5095" s="663"/>
      <c r="E5095" s="663"/>
    </row>
    <row r="5096" spans="1:5" x14ac:dyDescent="0.2">
      <c r="A5096"/>
      <c r="B5096" s="663"/>
      <c r="C5096" s="663"/>
      <c r="D5096" s="663"/>
      <c r="E5096" s="663"/>
    </row>
    <row r="5097" spans="1:5" x14ac:dyDescent="0.2">
      <c r="A5097"/>
      <c r="B5097" s="663"/>
      <c r="C5097" s="663"/>
      <c r="D5097" s="663"/>
      <c r="E5097" s="663"/>
    </row>
    <row r="5098" spans="1:5" x14ac:dyDescent="0.2">
      <c r="A5098"/>
      <c r="B5098" s="663"/>
      <c r="C5098" s="663"/>
      <c r="D5098" s="663"/>
      <c r="E5098" s="663"/>
    </row>
    <row r="5099" spans="1:5" x14ac:dyDescent="0.2">
      <c r="A5099"/>
      <c r="B5099" s="663"/>
      <c r="C5099" s="663"/>
      <c r="D5099" s="663"/>
      <c r="E5099" s="663"/>
    </row>
    <row r="5100" spans="1:5" x14ac:dyDescent="0.2">
      <c r="A5100"/>
      <c r="B5100" s="663"/>
      <c r="C5100" s="663"/>
      <c r="D5100" s="663"/>
      <c r="E5100" s="663"/>
    </row>
    <row r="5101" spans="1:5" x14ac:dyDescent="0.2">
      <c r="A5101"/>
      <c r="B5101" s="663"/>
      <c r="C5101" s="663"/>
      <c r="D5101" s="663"/>
      <c r="E5101" s="663"/>
    </row>
    <row r="5102" spans="1:5" x14ac:dyDescent="0.2">
      <c r="A5102"/>
      <c r="B5102" s="663"/>
      <c r="C5102" s="663"/>
      <c r="D5102" s="663"/>
      <c r="E5102" s="663"/>
    </row>
    <row r="5103" spans="1:5" x14ac:dyDescent="0.2">
      <c r="A5103"/>
      <c r="B5103" s="663"/>
      <c r="C5103" s="663"/>
      <c r="D5103" s="663"/>
      <c r="E5103" s="663"/>
    </row>
    <row r="5104" spans="1:5" x14ac:dyDescent="0.2">
      <c r="A5104"/>
      <c r="B5104" s="663"/>
      <c r="C5104" s="663"/>
      <c r="D5104" s="663"/>
      <c r="E5104" s="663"/>
    </row>
    <row r="5105" spans="1:5" x14ac:dyDescent="0.2">
      <c r="A5105"/>
      <c r="B5105" s="663"/>
      <c r="C5105" s="663"/>
      <c r="D5105" s="663"/>
      <c r="E5105" s="663"/>
    </row>
    <row r="5106" spans="1:5" x14ac:dyDescent="0.2">
      <c r="A5106"/>
      <c r="B5106" s="663"/>
      <c r="C5106" s="663"/>
      <c r="D5106" s="663"/>
      <c r="E5106" s="663"/>
    </row>
    <row r="5107" spans="1:5" x14ac:dyDescent="0.2">
      <c r="A5107"/>
      <c r="B5107" s="663"/>
      <c r="C5107" s="663"/>
      <c r="D5107" s="663"/>
      <c r="E5107" s="663"/>
    </row>
    <row r="5108" spans="1:5" x14ac:dyDescent="0.2">
      <c r="A5108"/>
      <c r="B5108" s="663"/>
      <c r="C5108" s="663"/>
      <c r="D5108" s="663"/>
      <c r="E5108" s="663"/>
    </row>
    <row r="5109" spans="1:5" x14ac:dyDescent="0.2">
      <c r="A5109"/>
      <c r="B5109" s="663"/>
      <c r="C5109" s="663"/>
      <c r="D5109" s="663"/>
      <c r="E5109" s="663"/>
    </row>
    <row r="5110" spans="1:5" x14ac:dyDescent="0.2">
      <c r="A5110"/>
      <c r="B5110" s="663"/>
      <c r="C5110" s="663"/>
      <c r="D5110" s="663"/>
      <c r="E5110" s="663"/>
    </row>
    <row r="5111" spans="1:5" x14ac:dyDescent="0.2">
      <c r="A5111"/>
      <c r="B5111" s="663"/>
      <c r="C5111" s="663"/>
      <c r="D5111" s="663"/>
      <c r="E5111" s="663"/>
    </row>
    <row r="5112" spans="1:5" x14ac:dyDescent="0.2">
      <c r="A5112"/>
      <c r="B5112" s="663"/>
      <c r="C5112" s="663"/>
      <c r="D5112" s="663"/>
      <c r="E5112" s="663"/>
    </row>
    <row r="5113" spans="1:5" x14ac:dyDescent="0.2">
      <c r="A5113"/>
      <c r="B5113" s="663"/>
      <c r="C5113" s="663"/>
      <c r="D5113" s="663"/>
      <c r="E5113" s="663"/>
    </row>
    <row r="5114" spans="1:5" x14ac:dyDescent="0.2">
      <c r="A5114"/>
      <c r="B5114" s="663"/>
      <c r="C5114" s="663"/>
      <c r="D5114" s="663"/>
      <c r="E5114" s="663"/>
    </row>
    <row r="5115" spans="1:5" x14ac:dyDescent="0.2">
      <c r="A5115"/>
      <c r="B5115" s="663"/>
      <c r="C5115" s="663"/>
      <c r="D5115" s="663"/>
      <c r="E5115" s="663"/>
    </row>
    <row r="5116" spans="1:5" x14ac:dyDescent="0.2">
      <c r="A5116"/>
      <c r="B5116" s="663"/>
      <c r="C5116" s="663"/>
      <c r="D5116" s="663"/>
      <c r="E5116" s="663"/>
    </row>
    <row r="5117" spans="1:5" x14ac:dyDescent="0.2">
      <c r="A5117"/>
      <c r="B5117" s="663"/>
      <c r="C5117" s="663"/>
      <c r="D5117" s="663"/>
      <c r="E5117" s="663"/>
    </row>
    <row r="5118" spans="1:5" x14ac:dyDescent="0.2">
      <c r="A5118"/>
      <c r="B5118" s="663"/>
      <c r="C5118" s="663"/>
      <c r="D5118" s="663"/>
      <c r="E5118" s="663"/>
    </row>
    <row r="5119" spans="1:5" x14ac:dyDescent="0.2">
      <c r="A5119"/>
      <c r="B5119" s="663"/>
      <c r="C5119" s="663"/>
      <c r="D5119" s="663"/>
      <c r="E5119" s="663"/>
    </row>
    <row r="5120" spans="1:5" x14ac:dyDescent="0.2">
      <c r="A5120"/>
      <c r="B5120" s="663"/>
      <c r="C5120" s="663"/>
      <c r="D5120" s="663"/>
      <c r="E5120" s="663"/>
    </row>
    <row r="5121" spans="1:5" x14ac:dyDescent="0.2">
      <c r="A5121"/>
      <c r="B5121" s="663"/>
      <c r="C5121" s="663"/>
      <c r="D5121" s="663"/>
      <c r="E5121" s="663"/>
    </row>
    <row r="5122" spans="1:5" x14ac:dyDescent="0.2">
      <c r="A5122"/>
      <c r="B5122" s="663"/>
      <c r="C5122" s="663"/>
      <c r="D5122" s="663"/>
      <c r="E5122" s="663"/>
    </row>
    <row r="5123" spans="1:5" x14ac:dyDescent="0.2">
      <c r="A5123"/>
      <c r="B5123" s="663"/>
      <c r="C5123" s="663"/>
      <c r="D5123" s="663"/>
      <c r="E5123" s="663"/>
    </row>
    <row r="5124" spans="1:5" x14ac:dyDescent="0.2">
      <c r="A5124"/>
      <c r="B5124" s="663"/>
      <c r="C5124" s="663"/>
      <c r="D5124" s="663"/>
      <c r="E5124" s="663"/>
    </row>
    <row r="5125" spans="1:5" x14ac:dyDescent="0.2">
      <c r="A5125"/>
      <c r="B5125" s="663"/>
      <c r="C5125" s="663"/>
      <c r="D5125" s="663"/>
      <c r="E5125" s="663"/>
    </row>
    <row r="5126" spans="1:5" x14ac:dyDescent="0.2">
      <c r="A5126"/>
      <c r="B5126" s="663"/>
      <c r="C5126" s="663"/>
      <c r="D5126" s="663"/>
      <c r="E5126" s="663"/>
    </row>
    <row r="5127" spans="1:5" x14ac:dyDescent="0.2">
      <c r="A5127"/>
      <c r="B5127" s="663"/>
      <c r="C5127" s="663"/>
      <c r="D5127" s="663"/>
      <c r="E5127" s="663"/>
    </row>
    <row r="5128" spans="1:5" x14ac:dyDescent="0.2">
      <c r="A5128"/>
      <c r="B5128" s="663"/>
      <c r="C5128" s="663"/>
      <c r="D5128" s="663"/>
      <c r="E5128" s="663"/>
    </row>
    <row r="5129" spans="1:5" x14ac:dyDescent="0.2">
      <c r="A5129"/>
      <c r="B5129" s="663"/>
      <c r="C5129" s="663"/>
      <c r="D5129" s="663"/>
      <c r="E5129" s="663"/>
    </row>
    <row r="5130" spans="1:5" x14ac:dyDescent="0.2">
      <c r="A5130"/>
      <c r="B5130" s="663"/>
      <c r="C5130" s="663"/>
      <c r="D5130" s="663"/>
      <c r="E5130" s="663"/>
    </row>
    <row r="5131" spans="1:5" x14ac:dyDescent="0.2">
      <c r="A5131"/>
      <c r="B5131" s="663"/>
      <c r="C5131" s="663"/>
      <c r="D5131" s="663"/>
      <c r="E5131" s="663"/>
    </row>
    <row r="5132" spans="1:5" x14ac:dyDescent="0.2">
      <c r="A5132"/>
      <c r="B5132" s="663"/>
      <c r="C5132" s="663"/>
      <c r="D5132" s="663"/>
      <c r="E5132" s="663"/>
    </row>
    <row r="5133" spans="1:5" x14ac:dyDescent="0.2">
      <c r="A5133"/>
      <c r="B5133" s="663"/>
      <c r="C5133" s="663"/>
      <c r="D5133" s="663"/>
      <c r="E5133" s="663"/>
    </row>
    <row r="5134" spans="1:5" x14ac:dyDescent="0.2">
      <c r="A5134"/>
      <c r="B5134" s="663"/>
      <c r="C5134" s="663"/>
      <c r="D5134" s="663"/>
      <c r="E5134" s="663"/>
    </row>
    <row r="5135" spans="1:5" x14ac:dyDescent="0.2">
      <c r="A5135"/>
      <c r="B5135" s="663"/>
      <c r="C5135" s="663"/>
      <c r="D5135" s="663"/>
      <c r="E5135" s="663"/>
    </row>
    <row r="5136" spans="1:5" x14ac:dyDescent="0.2">
      <c r="A5136"/>
      <c r="B5136" s="663"/>
      <c r="C5136" s="663"/>
      <c r="D5136" s="663"/>
      <c r="E5136" s="663"/>
    </row>
    <row r="5137" spans="1:5" x14ac:dyDescent="0.2">
      <c r="A5137"/>
      <c r="B5137" s="663"/>
      <c r="C5137" s="663"/>
      <c r="D5137" s="663"/>
      <c r="E5137" s="663"/>
    </row>
    <row r="5138" spans="1:5" x14ac:dyDescent="0.2">
      <c r="A5138"/>
      <c r="B5138" s="663"/>
      <c r="C5138" s="663"/>
      <c r="D5138" s="663"/>
      <c r="E5138" s="663"/>
    </row>
    <row r="5139" spans="1:5" x14ac:dyDescent="0.2">
      <c r="A5139"/>
      <c r="B5139" s="663"/>
      <c r="C5139" s="663"/>
      <c r="D5139" s="663"/>
      <c r="E5139" s="663"/>
    </row>
    <row r="5140" spans="1:5" x14ac:dyDescent="0.2">
      <c r="A5140"/>
      <c r="B5140" s="663"/>
      <c r="C5140" s="663"/>
      <c r="D5140" s="663"/>
      <c r="E5140" s="663"/>
    </row>
    <row r="5141" spans="1:5" x14ac:dyDescent="0.2">
      <c r="A5141"/>
      <c r="B5141" s="663"/>
      <c r="C5141" s="663"/>
      <c r="D5141" s="663"/>
      <c r="E5141" s="663"/>
    </row>
    <row r="5142" spans="1:5" x14ac:dyDescent="0.2">
      <c r="A5142"/>
      <c r="B5142" s="663"/>
      <c r="C5142" s="663"/>
      <c r="D5142" s="663"/>
      <c r="E5142" s="663"/>
    </row>
    <row r="5143" spans="1:5" x14ac:dyDescent="0.2">
      <c r="A5143"/>
      <c r="B5143" s="663"/>
      <c r="C5143" s="663"/>
      <c r="D5143" s="663"/>
      <c r="E5143" s="663"/>
    </row>
    <row r="5144" spans="1:5" x14ac:dyDescent="0.2">
      <c r="A5144"/>
      <c r="B5144" s="663"/>
      <c r="C5144" s="663"/>
      <c r="D5144" s="663"/>
      <c r="E5144" s="663"/>
    </row>
    <row r="5145" spans="1:5" x14ac:dyDescent="0.2">
      <c r="A5145"/>
      <c r="B5145" s="663"/>
      <c r="C5145" s="663"/>
      <c r="D5145" s="663"/>
      <c r="E5145" s="663"/>
    </row>
    <row r="5146" spans="1:5" x14ac:dyDescent="0.2">
      <c r="A5146"/>
      <c r="B5146" s="663"/>
      <c r="C5146" s="663"/>
      <c r="D5146" s="663"/>
      <c r="E5146" s="663"/>
    </row>
    <row r="5147" spans="1:5" x14ac:dyDescent="0.2">
      <c r="A5147"/>
      <c r="B5147" s="663"/>
      <c r="C5147" s="663"/>
      <c r="D5147" s="663"/>
      <c r="E5147" s="663"/>
    </row>
    <row r="5148" spans="1:5" x14ac:dyDescent="0.2">
      <c r="A5148"/>
      <c r="B5148" s="663"/>
      <c r="C5148" s="663"/>
      <c r="D5148" s="663"/>
      <c r="E5148" s="663"/>
    </row>
    <row r="5149" spans="1:5" x14ac:dyDescent="0.2">
      <c r="A5149"/>
      <c r="B5149" s="663"/>
      <c r="C5149" s="663"/>
      <c r="D5149" s="663"/>
      <c r="E5149" s="663"/>
    </row>
    <row r="5150" spans="1:5" x14ac:dyDescent="0.2">
      <c r="A5150"/>
      <c r="B5150" s="663"/>
      <c r="C5150" s="663"/>
      <c r="D5150" s="663"/>
      <c r="E5150" s="663"/>
    </row>
    <row r="5151" spans="1:5" x14ac:dyDescent="0.2">
      <c r="A5151"/>
      <c r="B5151" s="663"/>
      <c r="C5151" s="663"/>
      <c r="D5151" s="663"/>
      <c r="E5151" s="663"/>
    </row>
    <row r="5152" spans="1:5" x14ac:dyDescent="0.2">
      <c r="A5152"/>
      <c r="B5152" s="663"/>
      <c r="C5152" s="663"/>
      <c r="D5152" s="663"/>
      <c r="E5152" s="663"/>
    </row>
    <row r="5153" spans="1:5" x14ac:dyDescent="0.2">
      <c r="A5153"/>
      <c r="B5153" s="663"/>
      <c r="C5153" s="663"/>
      <c r="D5153" s="663"/>
      <c r="E5153" s="663"/>
    </row>
    <row r="5154" spans="1:5" x14ac:dyDescent="0.2">
      <c r="A5154"/>
      <c r="B5154" s="663"/>
      <c r="C5154" s="663"/>
      <c r="D5154" s="663"/>
      <c r="E5154" s="663"/>
    </row>
    <row r="5155" spans="1:5" x14ac:dyDescent="0.2">
      <c r="A5155"/>
      <c r="B5155" s="663"/>
      <c r="C5155" s="663"/>
      <c r="D5155" s="663"/>
      <c r="E5155" s="663"/>
    </row>
    <row r="5156" spans="1:5" x14ac:dyDescent="0.2">
      <c r="A5156"/>
      <c r="B5156" s="663"/>
      <c r="C5156" s="663"/>
      <c r="D5156" s="663"/>
      <c r="E5156" s="663"/>
    </row>
    <row r="5157" spans="1:5" x14ac:dyDescent="0.2">
      <c r="A5157"/>
      <c r="B5157" s="663"/>
      <c r="C5157" s="663"/>
      <c r="D5157" s="663"/>
      <c r="E5157" s="663"/>
    </row>
    <row r="5158" spans="1:5" x14ac:dyDescent="0.2">
      <c r="A5158"/>
      <c r="B5158" s="663"/>
      <c r="C5158" s="663"/>
      <c r="D5158" s="663"/>
      <c r="E5158" s="663"/>
    </row>
    <row r="5159" spans="1:5" x14ac:dyDescent="0.2">
      <c r="A5159"/>
      <c r="B5159" s="663"/>
      <c r="C5159" s="663"/>
      <c r="D5159" s="663"/>
      <c r="E5159" s="663"/>
    </row>
    <row r="5160" spans="1:5" x14ac:dyDescent="0.2">
      <c r="A5160"/>
      <c r="B5160" s="663"/>
      <c r="C5160" s="663"/>
      <c r="D5160" s="663"/>
      <c r="E5160" s="663"/>
    </row>
    <row r="5161" spans="1:5" x14ac:dyDescent="0.2">
      <c r="A5161"/>
      <c r="B5161" s="663"/>
      <c r="C5161" s="663"/>
      <c r="D5161" s="663"/>
      <c r="E5161" s="663"/>
    </row>
    <row r="5162" spans="1:5" x14ac:dyDescent="0.2">
      <c r="A5162"/>
      <c r="B5162" s="663"/>
      <c r="C5162" s="663"/>
      <c r="D5162" s="663"/>
      <c r="E5162" s="663"/>
    </row>
    <row r="5163" spans="1:5" x14ac:dyDescent="0.2">
      <c r="A5163"/>
      <c r="B5163" s="663"/>
      <c r="C5163" s="663"/>
      <c r="D5163" s="663"/>
      <c r="E5163" s="663"/>
    </row>
    <row r="5164" spans="1:5" x14ac:dyDescent="0.2">
      <c r="A5164"/>
      <c r="B5164" s="663"/>
      <c r="C5164" s="663"/>
      <c r="D5164" s="663"/>
      <c r="E5164" s="663"/>
    </row>
    <row r="5165" spans="1:5" x14ac:dyDescent="0.2">
      <c r="A5165"/>
      <c r="B5165" s="663"/>
      <c r="C5165" s="663"/>
      <c r="D5165" s="663"/>
      <c r="E5165" s="663"/>
    </row>
    <row r="5166" spans="1:5" x14ac:dyDescent="0.2">
      <c r="A5166"/>
      <c r="B5166" s="663"/>
      <c r="C5166" s="663"/>
      <c r="D5166" s="663"/>
      <c r="E5166" s="663"/>
    </row>
    <row r="5167" spans="1:5" x14ac:dyDescent="0.2">
      <c r="A5167"/>
      <c r="B5167" s="663"/>
      <c r="C5167" s="663"/>
      <c r="D5167" s="663"/>
      <c r="E5167" s="663"/>
    </row>
    <row r="5168" spans="1:5" x14ac:dyDescent="0.2">
      <c r="A5168"/>
      <c r="B5168" s="663"/>
      <c r="C5168" s="663"/>
      <c r="D5168" s="663"/>
      <c r="E5168" s="663"/>
    </row>
    <row r="5169" spans="1:5" x14ac:dyDescent="0.2">
      <c r="A5169"/>
      <c r="B5169" s="663"/>
      <c r="C5169" s="663"/>
      <c r="D5169" s="663"/>
      <c r="E5169" s="663"/>
    </row>
    <row r="5170" spans="1:5" x14ac:dyDescent="0.2">
      <c r="A5170"/>
      <c r="B5170" s="663"/>
      <c r="C5170" s="663"/>
      <c r="D5170" s="663"/>
      <c r="E5170" s="663"/>
    </row>
    <row r="5171" spans="1:5" x14ac:dyDescent="0.2">
      <c r="A5171"/>
      <c r="B5171" s="663"/>
      <c r="C5171" s="663"/>
      <c r="D5171" s="663"/>
      <c r="E5171" s="663"/>
    </row>
    <row r="5172" spans="1:5" x14ac:dyDescent="0.2">
      <c r="A5172"/>
      <c r="B5172" s="663"/>
      <c r="C5172" s="663"/>
      <c r="D5172" s="663"/>
      <c r="E5172" s="663"/>
    </row>
    <row r="5173" spans="1:5" x14ac:dyDescent="0.2">
      <c r="A5173"/>
      <c r="B5173" s="663"/>
      <c r="C5173" s="663"/>
      <c r="D5173" s="663"/>
      <c r="E5173" s="663"/>
    </row>
    <row r="5174" spans="1:5" x14ac:dyDescent="0.2">
      <c r="A5174"/>
      <c r="B5174" s="663"/>
      <c r="C5174" s="663"/>
      <c r="D5174" s="663"/>
      <c r="E5174" s="663"/>
    </row>
    <row r="5175" spans="1:5" x14ac:dyDescent="0.2">
      <c r="A5175"/>
      <c r="B5175" s="663"/>
      <c r="C5175" s="663"/>
      <c r="D5175" s="663"/>
      <c r="E5175" s="663"/>
    </row>
    <row r="5176" spans="1:5" x14ac:dyDescent="0.2">
      <c r="A5176"/>
      <c r="B5176" s="663"/>
      <c r="C5176" s="663"/>
      <c r="D5176" s="663"/>
      <c r="E5176" s="663"/>
    </row>
    <row r="5177" spans="1:5" x14ac:dyDescent="0.2">
      <c r="A5177"/>
      <c r="B5177" s="663"/>
      <c r="C5177" s="663"/>
      <c r="D5177" s="663"/>
      <c r="E5177" s="663"/>
    </row>
    <row r="5178" spans="1:5" x14ac:dyDescent="0.2">
      <c r="A5178"/>
      <c r="B5178" s="663"/>
      <c r="C5178" s="663"/>
      <c r="D5178" s="663"/>
      <c r="E5178" s="663"/>
    </row>
    <row r="5179" spans="1:5" x14ac:dyDescent="0.2">
      <c r="A5179"/>
      <c r="B5179" s="663"/>
      <c r="C5179" s="663"/>
      <c r="D5179" s="663"/>
      <c r="E5179" s="663"/>
    </row>
    <row r="5180" spans="1:5" x14ac:dyDescent="0.2">
      <c r="A5180"/>
      <c r="B5180" s="663"/>
      <c r="C5180" s="663"/>
      <c r="D5180" s="663"/>
      <c r="E5180" s="663"/>
    </row>
    <row r="5181" spans="1:5" x14ac:dyDescent="0.2">
      <c r="A5181"/>
      <c r="B5181" s="663"/>
      <c r="C5181" s="663"/>
      <c r="D5181" s="663"/>
      <c r="E5181" s="663"/>
    </row>
    <row r="5182" spans="1:5" x14ac:dyDescent="0.2">
      <c r="A5182"/>
      <c r="B5182" s="663"/>
      <c r="C5182" s="663"/>
      <c r="D5182" s="663"/>
      <c r="E5182" s="663"/>
    </row>
    <row r="5183" spans="1:5" x14ac:dyDescent="0.2">
      <c r="A5183"/>
      <c r="B5183" s="663"/>
      <c r="C5183" s="663"/>
      <c r="D5183" s="663"/>
      <c r="E5183" s="663"/>
    </row>
    <row r="5184" spans="1:5" x14ac:dyDescent="0.2">
      <c r="A5184"/>
      <c r="B5184" s="663"/>
      <c r="C5184" s="663"/>
      <c r="D5184" s="663"/>
      <c r="E5184" s="663"/>
    </row>
    <row r="5185" spans="1:5" x14ac:dyDescent="0.2">
      <c r="A5185"/>
      <c r="B5185" s="663"/>
      <c r="C5185" s="663"/>
      <c r="D5185" s="663"/>
      <c r="E5185" s="663"/>
    </row>
    <row r="5186" spans="1:5" x14ac:dyDescent="0.2">
      <c r="A5186"/>
      <c r="B5186" s="663"/>
      <c r="C5186" s="663"/>
      <c r="D5186" s="663"/>
      <c r="E5186" s="663"/>
    </row>
    <row r="5187" spans="1:5" x14ac:dyDescent="0.2">
      <c r="A5187"/>
      <c r="B5187" s="663"/>
      <c r="C5187" s="663"/>
      <c r="D5187" s="663"/>
      <c r="E5187" s="663"/>
    </row>
    <row r="5188" spans="1:5" x14ac:dyDescent="0.2">
      <c r="A5188"/>
      <c r="B5188" s="663"/>
      <c r="C5188" s="663"/>
      <c r="D5188" s="663"/>
      <c r="E5188" s="663"/>
    </row>
    <row r="5189" spans="1:5" x14ac:dyDescent="0.2">
      <c r="A5189"/>
      <c r="B5189" s="663"/>
      <c r="C5189" s="663"/>
      <c r="D5189" s="663"/>
      <c r="E5189" s="663"/>
    </row>
    <row r="5190" spans="1:5" x14ac:dyDescent="0.2">
      <c r="A5190"/>
      <c r="B5190" s="663"/>
      <c r="C5190" s="663"/>
      <c r="D5190" s="663"/>
      <c r="E5190" s="663"/>
    </row>
    <row r="5191" spans="1:5" x14ac:dyDescent="0.2">
      <c r="A5191"/>
      <c r="B5191" s="663"/>
      <c r="C5191" s="663"/>
      <c r="D5191" s="663"/>
      <c r="E5191" s="663"/>
    </row>
    <row r="5192" spans="1:5" x14ac:dyDescent="0.2">
      <c r="A5192"/>
      <c r="B5192" s="663"/>
      <c r="C5192" s="663"/>
      <c r="D5192" s="663"/>
      <c r="E5192" s="663"/>
    </row>
    <row r="5193" spans="1:5" x14ac:dyDescent="0.2">
      <c r="A5193"/>
      <c r="B5193" s="663"/>
      <c r="C5193" s="663"/>
      <c r="D5193" s="663"/>
      <c r="E5193" s="663"/>
    </row>
    <row r="5194" spans="1:5" x14ac:dyDescent="0.2">
      <c r="A5194"/>
      <c r="B5194" s="663"/>
      <c r="C5194" s="663"/>
      <c r="D5194" s="663"/>
      <c r="E5194" s="663"/>
    </row>
    <row r="5195" spans="1:5" x14ac:dyDescent="0.2">
      <c r="A5195"/>
      <c r="B5195" s="663"/>
      <c r="C5195" s="663"/>
      <c r="D5195" s="663"/>
      <c r="E5195" s="663"/>
    </row>
    <row r="5196" spans="1:5" x14ac:dyDescent="0.2">
      <c r="A5196"/>
      <c r="B5196" s="663"/>
      <c r="C5196" s="663"/>
      <c r="D5196" s="663"/>
      <c r="E5196" s="663"/>
    </row>
    <row r="5197" spans="1:5" x14ac:dyDescent="0.2">
      <c r="A5197"/>
      <c r="B5197" s="663"/>
      <c r="C5197" s="663"/>
      <c r="D5197" s="663"/>
      <c r="E5197" s="663"/>
    </row>
    <row r="5198" spans="1:5" x14ac:dyDescent="0.2">
      <c r="A5198"/>
      <c r="B5198" s="663"/>
      <c r="C5198" s="663"/>
      <c r="D5198" s="663"/>
      <c r="E5198" s="663"/>
    </row>
    <row r="5199" spans="1:5" x14ac:dyDescent="0.2">
      <c r="A5199"/>
      <c r="B5199" s="663"/>
      <c r="C5199" s="663"/>
      <c r="D5199" s="663"/>
      <c r="E5199" s="663"/>
    </row>
    <row r="5200" spans="1:5" x14ac:dyDescent="0.2">
      <c r="A5200"/>
      <c r="B5200" s="663"/>
      <c r="C5200" s="663"/>
      <c r="D5200" s="663"/>
      <c r="E5200" s="663"/>
    </row>
    <row r="5201" spans="1:5" x14ac:dyDescent="0.2">
      <c r="A5201"/>
      <c r="B5201" s="663"/>
      <c r="C5201" s="663"/>
      <c r="D5201" s="663"/>
      <c r="E5201" s="663"/>
    </row>
    <row r="5202" spans="1:5" x14ac:dyDescent="0.2">
      <c r="A5202"/>
      <c r="B5202" s="663"/>
      <c r="C5202" s="663"/>
      <c r="D5202" s="663"/>
      <c r="E5202" s="663"/>
    </row>
    <row r="5203" spans="1:5" x14ac:dyDescent="0.2">
      <c r="A5203"/>
      <c r="B5203" s="663"/>
      <c r="C5203" s="663"/>
      <c r="D5203" s="663"/>
      <c r="E5203" s="663"/>
    </row>
    <row r="5204" spans="1:5" x14ac:dyDescent="0.2">
      <c r="A5204"/>
      <c r="B5204" s="663"/>
      <c r="C5204" s="663"/>
      <c r="D5204" s="663"/>
      <c r="E5204" s="663"/>
    </row>
    <row r="5205" spans="1:5" x14ac:dyDescent="0.2">
      <c r="A5205"/>
      <c r="B5205" s="663"/>
      <c r="C5205" s="663"/>
      <c r="D5205" s="663"/>
      <c r="E5205" s="663"/>
    </row>
    <row r="5206" spans="1:5" x14ac:dyDescent="0.2">
      <c r="A5206"/>
      <c r="B5206" s="663"/>
      <c r="C5206" s="663"/>
      <c r="D5206" s="663"/>
      <c r="E5206" s="663"/>
    </row>
    <row r="5207" spans="1:5" x14ac:dyDescent="0.2">
      <c r="A5207"/>
      <c r="B5207" s="663"/>
      <c r="C5207" s="663"/>
      <c r="D5207" s="663"/>
      <c r="E5207" s="663"/>
    </row>
    <row r="5208" spans="1:5" x14ac:dyDescent="0.2">
      <c r="A5208"/>
      <c r="B5208" s="663"/>
      <c r="C5208" s="663"/>
      <c r="D5208" s="663"/>
      <c r="E5208" s="663"/>
    </row>
    <row r="5209" spans="1:5" x14ac:dyDescent="0.2">
      <c r="A5209"/>
      <c r="B5209" s="663"/>
      <c r="C5209" s="663"/>
      <c r="D5209" s="663"/>
      <c r="E5209" s="663"/>
    </row>
    <row r="5210" spans="1:5" x14ac:dyDescent="0.2">
      <c r="A5210"/>
      <c r="B5210" s="663"/>
      <c r="C5210" s="663"/>
      <c r="D5210" s="663"/>
      <c r="E5210" s="663"/>
    </row>
    <row r="5211" spans="1:5" x14ac:dyDescent="0.2">
      <c r="A5211"/>
      <c r="B5211" s="663"/>
      <c r="C5211" s="663"/>
      <c r="D5211" s="663"/>
      <c r="E5211" s="663"/>
    </row>
    <row r="5212" spans="1:5" x14ac:dyDescent="0.2">
      <c r="A5212"/>
      <c r="B5212" s="663"/>
      <c r="C5212" s="663"/>
      <c r="D5212" s="663"/>
      <c r="E5212" s="663"/>
    </row>
    <row r="5213" spans="1:5" x14ac:dyDescent="0.2">
      <c r="A5213"/>
      <c r="B5213" s="663"/>
      <c r="C5213" s="663"/>
      <c r="D5213" s="663"/>
      <c r="E5213" s="663"/>
    </row>
    <row r="5214" spans="1:5" x14ac:dyDescent="0.2">
      <c r="A5214"/>
      <c r="B5214" s="663"/>
      <c r="C5214" s="663"/>
      <c r="D5214" s="663"/>
      <c r="E5214" s="663"/>
    </row>
    <row r="5215" spans="1:5" x14ac:dyDescent="0.2">
      <c r="A5215"/>
      <c r="B5215" s="663"/>
      <c r="C5215" s="663"/>
      <c r="D5215" s="663"/>
      <c r="E5215" s="663"/>
    </row>
    <row r="5216" spans="1:5" x14ac:dyDescent="0.2">
      <c r="A5216"/>
      <c r="B5216" s="663"/>
      <c r="C5216" s="663"/>
      <c r="D5216" s="663"/>
      <c r="E5216" s="663"/>
    </row>
    <row r="5217" spans="1:5" x14ac:dyDescent="0.2">
      <c r="A5217"/>
      <c r="B5217" s="663"/>
      <c r="C5217" s="663"/>
      <c r="D5217" s="663"/>
      <c r="E5217" s="663"/>
    </row>
    <row r="5218" spans="1:5" x14ac:dyDescent="0.2">
      <c r="A5218"/>
      <c r="B5218" s="663"/>
      <c r="C5218" s="663"/>
      <c r="D5218" s="663"/>
      <c r="E5218" s="663"/>
    </row>
    <row r="5219" spans="1:5" x14ac:dyDescent="0.2">
      <c r="A5219"/>
      <c r="B5219" s="663"/>
      <c r="C5219" s="663"/>
      <c r="D5219" s="663"/>
      <c r="E5219" s="663"/>
    </row>
    <row r="5220" spans="1:5" x14ac:dyDescent="0.2">
      <c r="A5220"/>
      <c r="B5220" s="663"/>
      <c r="C5220" s="663"/>
      <c r="D5220" s="663"/>
      <c r="E5220" s="663"/>
    </row>
    <row r="5221" spans="1:5" x14ac:dyDescent="0.2">
      <c r="A5221"/>
      <c r="B5221" s="663"/>
      <c r="C5221" s="663"/>
      <c r="D5221" s="663"/>
      <c r="E5221" s="663"/>
    </row>
    <row r="5222" spans="1:5" x14ac:dyDescent="0.2">
      <c r="A5222"/>
      <c r="B5222" s="663"/>
      <c r="C5222" s="663"/>
      <c r="D5222" s="663"/>
      <c r="E5222" s="663"/>
    </row>
    <row r="5223" spans="1:5" x14ac:dyDescent="0.2">
      <c r="A5223"/>
      <c r="B5223" s="663"/>
      <c r="C5223" s="663"/>
      <c r="D5223" s="663"/>
      <c r="E5223" s="663"/>
    </row>
    <row r="5224" spans="1:5" x14ac:dyDescent="0.2">
      <c r="A5224"/>
      <c r="B5224" s="663"/>
      <c r="C5224" s="663"/>
      <c r="D5224" s="663"/>
      <c r="E5224" s="663"/>
    </row>
    <row r="5225" spans="1:5" x14ac:dyDescent="0.2">
      <c r="A5225"/>
      <c r="B5225" s="663"/>
      <c r="C5225" s="663"/>
      <c r="D5225" s="663"/>
      <c r="E5225" s="663"/>
    </row>
    <row r="5226" spans="1:5" x14ac:dyDescent="0.2">
      <c r="A5226"/>
      <c r="B5226" s="663"/>
      <c r="C5226" s="663"/>
      <c r="D5226" s="663"/>
      <c r="E5226" s="663"/>
    </row>
    <row r="5227" spans="1:5" x14ac:dyDescent="0.2">
      <c r="A5227"/>
      <c r="B5227" s="663"/>
      <c r="C5227" s="663"/>
      <c r="D5227" s="663"/>
      <c r="E5227" s="663"/>
    </row>
    <row r="5228" spans="1:5" x14ac:dyDescent="0.2">
      <c r="A5228"/>
      <c r="B5228" s="663"/>
      <c r="C5228" s="663"/>
      <c r="D5228" s="663"/>
      <c r="E5228" s="663"/>
    </row>
    <row r="5229" spans="1:5" x14ac:dyDescent="0.2">
      <c r="A5229"/>
      <c r="B5229" s="663"/>
      <c r="C5229" s="663"/>
      <c r="D5229" s="663"/>
      <c r="E5229" s="663"/>
    </row>
    <row r="5230" spans="1:5" x14ac:dyDescent="0.2">
      <c r="A5230"/>
      <c r="B5230" s="663"/>
      <c r="C5230" s="663"/>
      <c r="D5230" s="663"/>
      <c r="E5230" s="663"/>
    </row>
    <row r="5231" spans="1:5" x14ac:dyDescent="0.2">
      <c r="A5231"/>
      <c r="B5231" s="663"/>
      <c r="C5231" s="663"/>
      <c r="D5231" s="663"/>
      <c r="E5231" s="663"/>
    </row>
    <row r="5232" spans="1:5" x14ac:dyDescent="0.2">
      <c r="A5232"/>
      <c r="B5232" s="663"/>
      <c r="C5232" s="663"/>
      <c r="D5232" s="663"/>
      <c r="E5232" s="663"/>
    </row>
    <row r="5233" spans="1:5" x14ac:dyDescent="0.2">
      <c r="A5233"/>
      <c r="B5233" s="663"/>
      <c r="C5233" s="663"/>
      <c r="D5233" s="663"/>
      <c r="E5233" s="663"/>
    </row>
    <row r="5234" spans="1:5" x14ac:dyDescent="0.2">
      <c r="A5234"/>
      <c r="B5234" s="663"/>
      <c r="C5234" s="663"/>
      <c r="D5234" s="663"/>
      <c r="E5234" s="663"/>
    </row>
    <row r="5235" spans="1:5" x14ac:dyDescent="0.2">
      <c r="A5235"/>
      <c r="B5235" s="663"/>
      <c r="C5235" s="663"/>
      <c r="D5235" s="663"/>
      <c r="E5235" s="663"/>
    </row>
    <row r="5236" spans="1:5" x14ac:dyDescent="0.2">
      <c r="A5236"/>
      <c r="B5236" s="663"/>
      <c r="C5236" s="663"/>
      <c r="D5236" s="663"/>
      <c r="E5236" s="663"/>
    </row>
    <row r="5237" spans="1:5" x14ac:dyDescent="0.2">
      <c r="A5237"/>
      <c r="B5237" s="663"/>
      <c r="C5237" s="663"/>
      <c r="D5237" s="663"/>
      <c r="E5237" s="663"/>
    </row>
    <row r="5238" spans="1:5" x14ac:dyDescent="0.2">
      <c r="A5238"/>
      <c r="B5238" s="663"/>
      <c r="C5238" s="663"/>
      <c r="D5238" s="663"/>
      <c r="E5238" s="663"/>
    </row>
    <row r="5239" spans="1:5" x14ac:dyDescent="0.2">
      <c r="A5239"/>
      <c r="B5239" s="663"/>
      <c r="C5239" s="663"/>
      <c r="D5239" s="663"/>
      <c r="E5239" s="663"/>
    </row>
    <row r="5240" spans="1:5" x14ac:dyDescent="0.2">
      <c r="A5240"/>
      <c r="B5240" s="663"/>
      <c r="C5240" s="663"/>
      <c r="D5240" s="663"/>
      <c r="E5240" s="663"/>
    </row>
    <row r="5241" spans="1:5" x14ac:dyDescent="0.2">
      <c r="A5241"/>
      <c r="B5241" s="663"/>
      <c r="C5241" s="663"/>
      <c r="D5241" s="663"/>
      <c r="E5241" s="663"/>
    </row>
    <row r="5242" spans="1:5" x14ac:dyDescent="0.2">
      <c r="A5242"/>
      <c r="B5242" s="663"/>
      <c r="C5242" s="663"/>
      <c r="D5242" s="663"/>
      <c r="E5242" s="663"/>
    </row>
    <row r="5243" spans="1:5" x14ac:dyDescent="0.2">
      <c r="A5243"/>
      <c r="B5243" s="663"/>
      <c r="C5243" s="663"/>
      <c r="D5243" s="663"/>
      <c r="E5243" s="663"/>
    </row>
    <row r="5244" spans="1:5" x14ac:dyDescent="0.2">
      <c r="A5244"/>
      <c r="B5244" s="663"/>
      <c r="C5244" s="663"/>
      <c r="D5244" s="663"/>
      <c r="E5244" s="663"/>
    </row>
    <row r="5245" spans="1:5" x14ac:dyDescent="0.2">
      <c r="A5245"/>
      <c r="B5245" s="663"/>
      <c r="C5245" s="663"/>
      <c r="D5245" s="663"/>
      <c r="E5245" s="663"/>
    </row>
    <row r="5246" spans="1:5" x14ac:dyDescent="0.2">
      <c r="A5246"/>
      <c r="B5246" s="663"/>
      <c r="C5246" s="663"/>
      <c r="D5246" s="663"/>
      <c r="E5246" s="663"/>
    </row>
    <row r="5247" spans="1:5" x14ac:dyDescent="0.2">
      <c r="A5247"/>
      <c r="B5247" s="663"/>
      <c r="C5247" s="663"/>
      <c r="D5247" s="663"/>
      <c r="E5247" s="663"/>
    </row>
    <row r="5248" spans="1:5" x14ac:dyDescent="0.2">
      <c r="A5248"/>
      <c r="B5248" s="663"/>
      <c r="C5248" s="663"/>
      <c r="D5248" s="663"/>
      <c r="E5248" s="663"/>
    </row>
    <row r="5249" spans="1:5" x14ac:dyDescent="0.2">
      <c r="A5249"/>
      <c r="B5249" s="663"/>
      <c r="C5249" s="663"/>
      <c r="D5249" s="663"/>
      <c r="E5249" s="663"/>
    </row>
    <row r="5250" spans="1:5" x14ac:dyDescent="0.2">
      <c r="A5250"/>
      <c r="B5250" s="663"/>
      <c r="C5250" s="663"/>
      <c r="D5250" s="663"/>
      <c r="E5250" s="663"/>
    </row>
    <row r="5251" spans="1:5" x14ac:dyDescent="0.2">
      <c r="A5251"/>
      <c r="B5251" s="663"/>
      <c r="C5251" s="663"/>
      <c r="D5251" s="663"/>
      <c r="E5251" s="663"/>
    </row>
    <row r="5252" spans="1:5" x14ac:dyDescent="0.2">
      <c r="A5252"/>
      <c r="B5252" s="663"/>
      <c r="C5252" s="663"/>
      <c r="D5252" s="663"/>
      <c r="E5252" s="663"/>
    </row>
    <row r="5253" spans="1:5" x14ac:dyDescent="0.2">
      <c r="A5253"/>
      <c r="B5253" s="663"/>
      <c r="C5253" s="663"/>
      <c r="D5253" s="663"/>
      <c r="E5253" s="663"/>
    </row>
    <row r="5254" spans="1:5" x14ac:dyDescent="0.2">
      <c r="A5254"/>
      <c r="B5254" s="663"/>
      <c r="C5254" s="663"/>
      <c r="D5254" s="663"/>
      <c r="E5254" s="663"/>
    </row>
    <row r="5255" spans="1:5" x14ac:dyDescent="0.2">
      <c r="A5255"/>
      <c r="B5255" s="663"/>
      <c r="C5255" s="663"/>
      <c r="D5255" s="663"/>
      <c r="E5255" s="663"/>
    </row>
    <row r="5256" spans="1:5" x14ac:dyDescent="0.2">
      <c r="A5256"/>
      <c r="B5256" s="663"/>
      <c r="C5256" s="663"/>
      <c r="D5256" s="663"/>
      <c r="E5256" s="663"/>
    </row>
    <row r="5257" spans="1:5" x14ac:dyDescent="0.2">
      <c r="A5257"/>
      <c r="B5257" s="663"/>
      <c r="C5257" s="663"/>
      <c r="D5257" s="663"/>
      <c r="E5257" s="663"/>
    </row>
    <row r="5258" spans="1:5" x14ac:dyDescent="0.2">
      <c r="A5258"/>
      <c r="B5258" s="663"/>
      <c r="C5258" s="663"/>
      <c r="D5258" s="663"/>
      <c r="E5258" s="663"/>
    </row>
    <row r="5259" spans="1:5" x14ac:dyDescent="0.2">
      <c r="A5259"/>
      <c r="B5259" s="663"/>
      <c r="C5259" s="663"/>
      <c r="D5259" s="663"/>
      <c r="E5259" s="663"/>
    </row>
    <row r="5260" spans="1:5" x14ac:dyDescent="0.2">
      <c r="A5260"/>
      <c r="B5260" s="663"/>
      <c r="C5260" s="663"/>
      <c r="D5260" s="663"/>
      <c r="E5260" s="663"/>
    </row>
    <row r="5261" spans="1:5" x14ac:dyDescent="0.2">
      <c r="A5261"/>
      <c r="B5261" s="663"/>
      <c r="C5261" s="663"/>
      <c r="D5261" s="663"/>
      <c r="E5261" s="663"/>
    </row>
    <row r="5262" spans="1:5" x14ac:dyDescent="0.2">
      <c r="A5262"/>
      <c r="B5262" s="663"/>
      <c r="C5262" s="663"/>
      <c r="D5262" s="663"/>
      <c r="E5262" s="663"/>
    </row>
    <row r="5263" spans="1:5" x14ac:dyDescent="0.2">
      <c r="A5263"/>
      <c r="B5263" s="663"/>
      <c r="C5263" s="663"/>
      <c r="D5263" s="663"/>
      <c r="E5263" s="663"/>
    </row>
    <row r="5264" spans="1:5" x14ac:dyDescent="0.2">
      <c r="A5264"/>
      <c r="B5264" s="663"/>
      <c r="C5264" s="663"/>
      <c r="D5264" s="663"/>
      <c r="E5264" s="663"/>
    </row>
    <row r="5265" spans="1:5" x14ac:dyDescent="0.2">
      <c r="A5265"/>
      <c r="B5265" s="663"/>
      <c r="C5265" s="663"/>
      <c r="D5265" s="663"/>
      <c r="E5265" s="663"/>
    </row>
    <row r="5266" spans="1:5" x14ac:dyDescent="0.2">
      <c r="A5266"/>
      <c r="B5266" s="663"/>
      <c r="C5266" s="663"/>
      <c r="D5266" s="663"/>
      <c r="E5266" s="663"/>
    </row>
    <row r="5267" spans="1:5" x14ac:dyDescent="0.2">
      <c r="A5267"/>
      <c r="B5267" s="663"/>
      <c r="C5267" s="663"/>
      <c r="D5267" s="663"/>
      <c r="E5267" s="663"/>
    </row>
    <row r="5268" spans="1:5" x14ac:dyDescent="0.2">
      <c r="A5268"/>
      <c r="B5268" s="663"/>
      <c r="C5268" s="663"/>
      <c r="D5268" s="663"/>
      <c r="E5268" s="663"/>
    </row>
    <row r="5269" spans="1:5" x14ac:dyDescent="0.2">
      <c r="A5269"/>
      <c r="B5269" s="663"/>
      <c r="C5269" s="663"/>
      <c r="D5269" s="663"/>
      <c r="E5269" s="663"/>
    </row>
    <row r="5270" spans="1:5" x14ac:dyDescent="0.2">
      <c r="A5270"/>
      <c r="B5270" s="663"/>
      <c r="C5270" s="663"/>
      <c r="D5270" s="663"/>
      <c r="E5270" s="663"/>
    </row>
    <row r="5271" spans="1:5" x14ac:dyDescent="0.2">
      <c r="A5271"/>
      <c r="B5271" s="663"/>
      <c r="C5271" s="663"/>
      <c r="D5271" s="663"/>
      <c r="E5271" s="663"/>
    </row>
    <row r="5272" spans="1:5" x14ac:dyDescent="0.2">
      <c r="A5272"/>
      <c r="B5272" s="663"/>
      <c r="C5272" s="663"/>
      <c r="D5272" s="663"/>
      <c r="E5272" s="663"/>
    </row>
    <row r="5273" spans="1:5" x14ac:dyDescent="0.2">
      <c r="A5273"/>
      <c r="B5273" s="663"/>
      <c r="C5273" s="663"/>
      <c r="D5273" s="663"/>
      <c r="E5273" s="663"/>
    </row>
    <row r="5274" spans="1:5" x14ac:dyDescent="0.2">
      <c r="A5274"/>
      <c r="B5274" s="663"/>
      <c r="C5274" s="663"/>
      <c r="D5274" s="663"/>
      <c r="E5274" s="663"/>
    </row>
    <row r="5275" spans="1:5" x14ac:dyDescent="0.2">
      <c r="A5275"/>
      <c r="B5275" s="663"/>
      <c r="C5275" s="663"/>
      <c r="D5275" s="663"/>
      <c r="E5275" s="663"/>
    </row>
    <row r="5276" spans="1:5" x14ac:dyDescent="0.2">
      <c r="A5276"/>
      <c r="B5276" s="663"/>
      <c r="C5276" s="663"/>
      <c r="D5276" s="663"/>
      <c r="E5276" s="663"/>
    </row>
    <row r="5277" spans="1:5" x14ac:dyDescent="0.2">
      <c r="A5277"/>
      <c r="B5277" s="663"/>
      <c r="C5277" s="663"/>
      <c r="D5277" s="663"/>
      <c r="E5277" s="663"/>
    </row>
    <row r="5278" spans="1:5" x14ac:dyDescent="0.2">
      <c r="A5278"/>
      <c r="B5278" s="663"/>
      <c r="C5278" s="663"/>
      <c r="D5278" s="663"/>
      <c r="E5278" s="663"/>
    </row>
    <row r="5279" spans="1:5" x14ac:dyDescent="0.2">
      <c r="A5279"/>
      <c r="B5279" s="663"/>
      <c r="C5279" s="663"/>
      <c r="D5279" s="663"/>
      <c r="E5279" s="663"/>
    </row>
    <row r="5280" spans="1:5" x14ac:dyDescent="0.2">
      <c r="A5280"/>
      <c r="B5280" s="663"/>
      <c r="C5280" s="663"/>
      <c r="D5280" s="663"/>
      <c r="E5280" s="663"/>
    </row>
    <row r="5281" spans="1:5" x14ac:dyDescent="0.2">
      <c r="A5281"/>
      <c r="B5281" s="663"/>
      <c r="C5281" s="663"/>
      <c r="D5281" s="663"/>
      <c r="E5281" s="663"/>
    </row>
    <row r="5282" spans="1:5" x14ac:dyDescent="0.2">
      <c r="A5282"/>
      <c r="B5282" s="663"/>
      <c r="C5282" s="663"/>
      <c r="D5282" s="663"/>
      <c r="E5282" s="663"/>
    </row>
    <row r="5283" spans="1:5" x14ac:dyDescent="0.2">
      <c r="A5283"/>
      <c r="B5283" s="663"/>
      <c r="C5283" s="663"/>
      <c r="D5283" s="663"/>
      <c r="E5283" s="663"/>
    </row>
    <row r="5284" spans="1:5" x14ac:dyDescent="0.2">
      <c r="A5284"/>
      <c r="B5284" s="663"/>
      <c r="C5284" s="663"/>
      <c r="D5284" s="663"/>
      <c r="E5284" s="663"/>
    </row>
    <row r="5285" spans="1:5" x14ac:dyDescent="0.2">
      <c r="A5285"/>
      <c r="B5285" s="663"/>
      <c r="C5285" s="663"/>
      <c r="D5285" s="663"/>
      <c r="E5285" s="663"/>
    </row>
    <row r="5286" spans="1:5" x14ac:dyDescent="0.2">
      <c r="A5286"/>
      <c r="B5286" s="663"/>
      <c r="C5286" s="663"/>
      <c r="D5286" s="663"/>
      <c r="E5286" s="663"/>
    </row>
    <row r="5287" spans="1:5" x14ac:dyDescent="0.2">
      <c r="A5287"/>
      <c r="B5287" s="663"/>
      <c r="C5287" s="663"/>
      <c r="D5287" s="663"/>
      <c r="E5287" s="663"/>
    </row>
    <row r="5288" spans="1:5" x14ac:dyDescent="0.2">
      <c r="A5288"/>
      <c r="B5288" s="663"/>
      <c r="C5288" s="663"/>
      <c r="D5288" s="663"/>
      <c r="E5288" s="663"/>
    </row>
    <row r="5289" spans="1:5" x14ac:dyDescent="0.2">
      <c r="A5289"/>
      <c r="B5289" s="663"/>
      <c r="C5289" s="663"/>
      <c r="D5289" s="663"/>
      <c r="E5289" s="663"/>
    </row>
    <row r="5290" spans="1:5" x14ac:dyDescent="0.2">
      <c r="A5290"/>
      <c r="B5290" s="663"/>
      <c r="C5290" s="663"/>
      <c r="D5290" s="663"/>
      <c r="E5290" s="663"/>
    </row>
    <row r="5291" spans="1:5" x14ac:dyDescent="0.2">
      <c r="A5291"/>
      <c r="B5291" s="663"/>
      <c r="C5291" s="663"/>
      <c r="D5291" s="663"/>
      <c r="E5291" s="663"/>
    </row>
    <row r="5292" spans="1:5" x14ac:dyDescent="0.2">
      <c r="A5292"/>
      <c r="B5292" s="663"/>
      <c r="C5292" s="663"/>
      <c r="D5292" s="663"/>
      <c r="E5292" s="663"/>
    </row>
    <row r="5293" spans="1:5" x14ac:dyDescent="0.2">
      <c r="A5293"/>
      <c r="B5293" s="663"/>
      <c r="C5293" s="663"/>
      <c r="D5293" s="663"/>
      <c r="E5293" s="663"/>
    </row>
    <row r="5294" spans="1:5" x14ac:dyDescent="0.2">
      <c r="A5294"/>
      <c r="B5294" s="663"/>
      <c r="C5294" s="663"/>
      <c r="D5294" s="663"/>
      <c r="E5294" s="663"/>
    </row>
    <row r="5295" spans="1:5" x14ac:dyDescent="0.2">
      <c r="A5295"/>
      <c r="B5295" s="663"/>
      <c r="C5295" s="663"/>
      <c r="D5295" s="663"/>
      <c r="E5295" s="663"/>
    </row>
    <row r="5296" spans="1:5" x14ac:dyDescent="0.2">
      <c r="A5296"/>
      <c r="B5296" s="663"/>
      <c r="C5296" s="663"/>
      <c r="D5296" s="663"/>
      <c r="E5296" s="663"/>
    </row>
    <row r="5297" spans="1:5" x14ac:dyDescent="0.2">
      <c r="A5297"/>
      <c r="B5297" s="663"/>
      <c r="C5297" s="663"/>
      <c r="D5297" s="663"/>
      <c r="E5297" s="663"/>
    </row>
    <row r="5298" spans="1:5" x14ac:dyDescent="0.2">
      <c r="A5298"/>
      <c r="B5298" s="663"/>
      <c r="C5298" s="663"/>
      <c r="D5298" s="663"/>
      <c r="E5298" s="663"/>
    </row>
    <row r="5299" spans="1:5" x14ac:dyDescent="0.2">
      <c r="A5299"/>
      <c r="B5299" s="663"/>
      <c r="C5299" s="663"/>
      <c r="D5299" s="663"/>
      <c r="E5299" s="663"/>
    </row>
    <row r="5300" spans="1:5" x14ac:dyDescent="0.2">
      <c r="A5300"/>
      <c r="B5300" s="663"/>
      <c r="C5300" s="663"/>
      <c r="D5300" s="663"/>
      <c r="E5300" s="663"/>
    </row>
    <row r="5301" spans="1:5" x14ac:dyDescent="0.2">
      <c r="A5301"/>
      <c r="B5301" s="663"/>
      <c r="C5301" s="663"/>
      <c r="D5301" s="663"/>
      <c r="E5301" s="663"/>
    </row>
    <row r="5302" spans="1:5" x14ac:dyDescent="0.2">
      <c r="A5302"/>
      <c r="B5302" s="663"/>
      <c r="C5302" s="663"/>
      <c r="D5302" s="663"/>
      <c r="E5302" s="663"/>
    </row>
    <row r="5303" spans="1:5" x14ac:dyDescent="0.2">
      <c r="A5303"/>
      <c r="B5303" s="663"/>
      <c r="C5303" s="663"/>
      <c r="D5303" s="663"/>
      <c r="E5303" s="663"/>
    </row>
    <row r="5304" spans="1:5" x14ac:dyDescent="0.2">
      <c r="A5304"/>
      <c r="B5304" s="663"/>
      <c r="C5304" s="663"/>
      <c r="D5304" s="663"/>
      <c r="E5304" s="663"/>
    </row>
    <row r="5305" spans="1:5" x14ac:dyDescent="0.2">
      <c r="A5305"/>
      <c r="B5305" s="663"/>
      <c r="C5305" s="663"/>
      <c r="D5305" s="663"/>
      <c r="E5305" s="663"/>
    </row>
    <row r="5306" spans="1:5" x14ac:dyDescent="0.2">
      <c r="A5306"/>
      <c r="B5306" s="663"/>
      <c r="C5306" s="663"/>
      <c r="D5306" s="663"/>
      <c r="E5306" s="663"/>
    </row>
    <row r="5307" spans="1:5" x14ac:dyDescent="0.2">
      <c r="A5307"/>
      <c r="B5307" s="663"/>
      <c r="C5307" s="663"/>
      <c r="D5307" s="663"/>
      <c r="E5307" s="663"/>
    </row>
    <row r="5308" spans="1:5" x14ac:dyDescent="0.2">
      <c r="A5308"/>
      <c r="B5308" s="663"/>
      <c r="C5308" s="663"/>
      <c r="D5308" s="663"/>
      <c r="E5308" s="663"/>
    </row>
    <row r="5309" spans="1:5" x14ac:dyDescent="0.2">
      <c r="A5309"/>
      <c r="B5309" s="663"/>
      <c r="C5309" s="663"/>
      <c r="D5309" s="663"/>
      <c r="E5309" s="663"/>
    </row>
    <row r="5310" spans="1:5" x14ac:dyDescent="0.2">
      <c r="A5310"/>
      <c r="B5310" s="663"/>
      <c r="C5310" s="663"/>
      <c r="D5310" s="663"/>
      <c r="E5310" s="663"/>
    </row>
    <row r="5311" spans="1:5" x14ac:dyDescent="0.2">
      <c r="A5311"/>
      <c r="B5311" s="663"/>
      <c r="C5311" s="663"/>
      <c r="D5311" s="663"/>
      <c r="E5311" s="663"/>
    </row>
    <row r="5312" spans="1:5" x14ac:dyDescent="0.2">
      <c r="A5312"/>
      <c r="B5312" s="663"/>
      <c r="C5312" s="663"/>
      <c r="D5312" s="663"/>
      <c r="E5312" s="663"/>
    </row>
    <row r="5313" spans="1:5" x14ac:dyDescent="0.2">
      <c r="A5313"/>
      <c r="B5313" s="663"/>
      <c r="C5313" s="663"/>
      <c r="D5313" s="663"/>
      <c r="E5313" s="663"/>
    </row>
    <row r="5314" spans="1:5" x14ac:dyDescent="0.2">
      <c r="A5314"/>
      <c r="B5314" s="663"/>
      <c r="C5314" s="663"/>
      <c r="D5314" s="663"/>
      <c r="E5314" s="663"/>
    </row>
    <row r="5315" spans="1:5" x14ac:dyDescent="0.2">
      <c r="A5315"/>
      <c r="B5315" s="663"/>
      <c r="C5315" s="663"/>
      <c r="D5315" s="663"/>
      <c r="E5315" s="663"/>
    </row>
    <row r="5316" spans="1:5" x14ac:dyDescent="0.2">
      <c r="A5316"/>
      <c r="B5316" s="663"/>
      <c r="C5316" s="663"/>
      <c r="D5316" s="663"/>
      <c r="E5316" s="663"/>
    </row>
    <row r="5317" spans="1:5" x14ac:dyDescent="0.2">
      <c r="A5317"/>
      <c r="B5317" s="663"/>
      <c r="C5317" s="663"/>
      <c r="D5317" s="663"/>
      <c r="E5317" s="663"/>
    </row>
    <row r="5318" spans="1:5" x14ac:dyDescent="0.2">
      <c r="A5318"/>
      <c r="B5318" s="663"/>
      <c r="C5318" s="663"/>
      <c r="D5318" s="663"/>
      <c r="E5318" s="663"/>
    </row>
    <row r="5319" spans="1:5" x14ac:dyDescent="0.2">
      <c r="A5319"/>
      <c r="B5319" s="663"/>
      <c r="C5319" s="663"/>
      <c r="D5319" s="663"/>
      <c r="E5319" s="663"/>
    </row>
    <row r="5320" spans="1:5" x14ac:dyDescent="0.2">
      <c r="A5320"/>
      <c r="B5320" s="663"/>
      <c r="C5320" s="663"/>
      <c r="D5320" s="663"/>
      <c r="E5320" s="663"/>
    </row>
    <row r="5321" spans="1:5" x14ac:dyDescent="0.2">
      <c r="A5321"/>
      <c r="B5321" s="663"/>
      <c r="C5321" s="663"/>
      <c r="D5321" s="663"/>
      <c r="E5321" s="663"/>
    </row>
    <row r="5322" spans="1:5" x14ac:dyDescent="0.2">
      <c r="A5322"/>
      <c r="B5322" s="663"/>
      <c r="C5322" s="663"/>
      <c r="D5322" s="663"/>
      <c r="E5322" s="663"/>
    </row>
    <row r="5323" spans="1:5" x14ac:dyDescent="0.2">
      <c r="A5323"/>
      <c r="B5323" s="663"/>
      <c r="C5323" s="663"/>
      <c r="D5323" s="663"/>
      <c r="E5323" s="663"/>
    </row>
    <row r="5324" spans="1:5" x14ac:dyDescent="0.2">
      <c r="A5324"/>
      <c r="B5324" s="663"/>
      <c r="C5324" s="663"/>
      <c r="D5324" s="663"/>
      <c r="E5324" s="663"/>
    </row>
    <row r="5325" spans="1:5" x14ac:dyDescent="0.2">
      <c r="A5325"/>
      <c r="B5325" s="663"/>
      <c r="C5325" s="663"/>
      <c r="D5325" s="663"/>
      <c r="E5325" s="663"/>
    </row>
    <row r="5326" spans="1:5" x14ac:dyDescent="0.2">
      <c r="A5326"/>
      <c r="B5326" s="663"/>
      <c r="C5326" s="663"/>
      <c r="D5326" s="663"/>
      <c r="E5326" s="663"/>
    </row>
    <row r="5327" spans="1:5" x14ac:dyDescent="0.2">
      <c r="A5327"/>
      <c r="B5327" s="663"/>
      <c r="C5327" s="663"/>
      <c r="D5327" s="663"/>
      <c r="E5327" s="663"/>
    </row>
    <row r="5328" spans="1:5" x14ac:dyDescent="0.2">
      <c r="A5328"/>
      <c r="B5328" s="663"/>
      <c r="C5328" s="663"/>
      <c r="D5328" s="663"/>
      <c r="E5328" s="663"/>
    </row>
    <row r="5329" spans="1:5" x14ac:dyDescent="0.2">
      <c r="A5329"/>
      <c r="B5329" s="663"/>
      <c r="C5329" s="663"/>
      <c r="D5329" s="663"/>
      <c r="E5329" s="663"/>
    </row>
    <row r="5330" spans="1:5" x14ac:dyDescent="0.2">
      <c r="A5330"/>
      <c r="B5330" s="663"/>
      <c r="C5330" s="663"/>
      <c r="D5330" s="663"/>
      <c r="E5330" s="663"/>
    </row>
    <row r="5331" spans="1:5" x14ac:dyDescent="0.2">
      <c r="A5331"/>
      <c r="B5331" s="663"/>
      <c r="C5331" s="663"/>
      <c r="D5331" s="663"/>
      <c r="E5331" s="663"/>
    </row>
    <row r="5332" spans="1:5" x14ac:dyDescent="0.2">
      <c r="A5332"/>
      <c r="B5332" s="663"/>
      <c r="C5332" s="663"/>
      <c r="D5332" s="663"/>
      <c r="E5332" s="663"/>
    </row>
    <row r="5333" spans="1:5" x14ac:dyDescent="0.2">
      <c r="A5333"/>
      <c r="B5333" s="663"/>
      <c r="C5333" s="663"/>
      <c r="D5333" s="663"/>
      <c r="E5333" s="663"/>
    </row>
    <row r="5334" spans="1:5" x14ac:dyDescent="0.2">
      <c r="A5334"/>
      <c r="B5334" s="663"/>
      <c r="C5334" s="663"/>
      <c r="D5334" s="663"/>
      <c r="E5334" s="663"/>
    </row>
    <row r="5335" spans="1:5" x14ac:dyDescent="0.2">
      <c r="A5335"/>
      <c r="B5335" s="663"/>
      <c r="C5335" s="663"/>
      <c r="D5335" s="663"/>
      <c r="E5335" s="663"/>
    </row>
    <row r="5336" spans="1:5" x14ac:dyDescent="0.2">
      <c r="A5336"/>
      <c r="B5336" s="663"/>
      <c r="C5336" s="663"/>
      <c r="D5336" s="663"/>
      <c r="E5336" s="663"/>
    </row>
    <row r="5337" spans="1:5" x14ac:dyDescent="0.2">
      <c r="A5337"/>
      <c r="B5337" s="663"/>
      <c r="C5337" s="663"/>
      <c r="D5337" s="663"/>
      <c r="E5337" s="663"/>
    </row>
    <row r="5338" spans="1:5" x14ac:dyDescent="0.2">
      <c r="A5338"/>
      <c r="B5338" s="663"/>
      <c r="C5338" s="663"/>
      <c r="D5338" s="663"/>
      <c r="E5338" s="663"/>
    </row>
    <row r="5339" spans="1:5" x14ac:dyDescent="0.2">
      <c r="A5339"/>
      <c r="B5339" s="663"/>
      <c r="C5339" s="663"/>
      <c r="D5339" s="663"/>
      <c r="E5339" s="663"/>
    </row>
    <row r="5340" spans="1:5" x14ac:dyDescent="0.2">
      <c r="A5340"/>
      <c r="B5340" s="663"/>
      <c r="C5340" s="663"/>
      <c r="D5340" s="663"/>
      <c r="E5340" s="663"/>
    </row>
    <row r="5341" spans="1:5" x14ac:dyDescent="0.2">
      <c r="A5341"/>
      <c r="B5341" s="663"/>
      <c r="C5341" s="663"/>
      <c r="D5341" s="663"/>
      <c r="E5341" s="663"/>
    </row>
    <row r="5342" spans="1:5" x14ac:dyDescent="0.2">
      <c r="A5342"/>
      <c r="B5342" s="663"/>
      <c r="C5342" s="663"/>
      <c r="D5342" s="663"/>
      <c r="E5342" s="663"/>
    </row>
    <row r="5343" spans="1:5" x14ac:dyDescent="0.2">
      <c r="A5343"/>
      <c r="B5343" s="663"/>
      <c r="C5343" s="663"/>
      <c r="D5343" s="663"/>
      <c r="E5343" s="663"/>
    </row>
    <row r="5344" spans="1:5" x14ac:dyDescent="0.2">
      <c r="A5344"/>
      <c r="B5344" s="663"/>
      <c r="C5344" s="663"/>
      <c r="D5344" s="663"/>
      <c r="E5344" s="663"/>
    </row>
    <row r="5345" spans="1:5" x14ac:dyDescent="0.2">
      <c r="A5345"/>
      <c r="B5345" s="663"/>
      <c r="C5345" s="663"/>
      <c r="D5345" s="663"/>
      <c r="E5345" s="663"/>
    </row>
    <row r="5346" spans="1:5" x14ac:dyDescent="0.2">
      <c r="A5346"/>
      <c r="B5346" s="663"/>
      <c r="C5346" s="663"/>
      <c r="D5346" s="663"/>
      <c r="E5346" s="663"/>
    </row>
    <row r="5347" spans="1:5" x14ac:dyDescent="0.2">
      <c r="A5347"/>
      <c r="B5347" s="663"/>
      <c r="C5347" s="663"/>
      <c r="D5347" s="663"/>
      <c r="E5347" s="663"/>
    </row>
    <row r="5348" spans="1:5" x14ac:dyDescent="0.2">
      <c r="A5348"/>
      <c r="B5348" s="663"/>
      <c r="C5348" s="663"/>
      <c r="D5348" s="663"/>
      <c r="E5348" s="663"/>
    </row>
    <row r="5349" spans="1:5" x14ac:dyDescent="0.2">
      <c r="A5349"/>
      <c r="B5349" s="663"/>
      <c r="C5349" s="663"/>
      <c r="D5349" s="663"/>
      <c r="E5349" s="663"/>
    </row>
    <row r="5350" spans="1:5" x14ac:dyDescent="0.2">
      <c r="A5350"/>
      <c r="B5350" s="663"/>
      <c r="C5350" s="663"/>
      <c r="D5350" s="663"/>
      <c r="E5350" s="663"/>
    </row>
    <row r="5351" spans="1:5" x14ac:dyDescent="0.2">
      <c r="A5351"/>
      <c r="B5351" s="663"/>
      <c r="C5351" s="663"/>
      <c r="D5351" s="663"/>
      <c r="E5351" s="663"/>
    </row>
    <row r="5352" spans="1:5" x14ac:dyDescent="0.2">
      <c r="A5352"/>
      <c r="B5352" s="663"/>
      <c r="C5352" s="663"/>
      <c r="D5352" s="663"/>
      <c r="E5352" s="663"/>
    </row>
    <row r="5353" spans="1:5" x14ac:dyDescent="0.2">
      <c r="A5353"/>
      <c r="B5353" s="663"/>
      <c r="C5353" s="663"/>
      <c r="D5353" s="663"/>
      <c r="E5353" s="663"/>
    </row>
    <row r="5354" spans="1:5" x14ac:dyDescent="0.2">
      <c r="A5354"/>
      <c r="B5354" s="663"/>
      <c r="C5354" s="663"/>
      <c r="D5354" s="663"/>
      <c r="E5354" s="663"/>
    </row>
    <row r="5355" spans="1:5" x14ac:dyDescent="0.2">
      <c r="A5355"/>
      <c r="B5355" s="663"/>
      <c r="C5355" s="663"/>
      <c r="D5355" s="663"/>
      <c r="E5355" s="663"/>
    </row>
    <row r="5356" spans="1:5" x14ac:dyDescent="0.2">
      <c r="A5356"/>
      <c r="B5356" s="663"/>
      <c r="C5356" s="663"/>
      <c r="D5356" s="663"/>
      <c r="E5356" s="663"/>
    </row>
    <row r="5357" spans="1:5" x14ac:dyDescent="0.2">
      <c r="A5357"/>
      <c r="B5357" s="663"/>
      <c r="C5357" s="663"/>
      <c r="D5357" s="663"/>
      <c r="E5357" s="663"/>
    </row>
    <row r="5358" spans="1:5" x14ac:dyDescent="0.2">
      <c r="A5358"/>
      <c r="B5358" s="663"/>
      <c r="C5358" s="663"/>
      <c r="D5358" s="663"/>
      <c r="E5358" s="663"/>
    </row>
    <row r="5359" spans="1:5" x14ac:dyDescent="0.2">
      <c r="A5359"/>
      <c r="B5359" s="663"/>
      <c r="C5359" s="663"/>
      <c r="D5359" s="663"/>
      <c r="E5359" s="663"/>
    </row>
    <row r="5360" spans="1:5" x14ac:dyDescent="0.2">
      <c r="A5360"/>
      <c r="B5360" s="663"/>
      <c r="C5360" s="663"/>
      <c r="D5360" s="663"/>
      <c r="E5360" s="663"/>
    </row>
    <row r="5361" spans="1:5" x14ac:dyDescent="0.2">
      <c r="A5361"/>
      <c r="B5361" s="663"/>
      <c r="C5361" s="663"/>
      <c r="D5361" s="663"/>
      <c r="E5361" s="663"/>
    </row>
    <row r="5362" spans="1:5" x14ac:dyDescent="0.2">
      <c r="A5362"/>
      <c r="B5362" s="663"/>
      <c r="C5362" s="663"/>
      <c r="D5362" s="663"/>
      <c r="E5362" s="663"/>
    </row>
    <row r="5363" spans="1:5" x14ac:dyDescent="0.2">
      <c r="A5363"/>
      <c r="B5363" s="663"/>
      <c r="C5363" s="663"/>
      <c r="D5363" s="663"/>
      <c r="E5363" s="663"/>
    </row>
    <row r="5364" spans="1:5" x14ac:dyDescent="0.2">
      <c r="A5364"/>
      <c r="B5364" s="663"/>
      <c r="C5364" s="663"/>
      <c r="D5364" s="663"/>
      <c r="E5364" s="663"/>
    </row>
    <row r="5365" spans="1:5" x14ac:dyDescent="0.2">
      <c r="A5365"/>
      <c r="B5365" s="663"/>
      <c r="C5365" s="663"/>
      <c r="D5365" s="663"/>
      <c r="E5365" s="663"/>
    </row>
    <row r="5366" spans="1:5" x14ac:dyDescent="0.2">
      <c r="A5366"/>
      <c r="B5366" s="663"/>
      <c r="C5366" s="663"/>
      <c r="D5366" s="663"/>
      <c r="E5366" s="663"/>
    </row>
    <row r="5367" spans="1:5" x14ac:dyDescent="0.2">
      <c r="A5367"/>
      <c r="B5367" s="663"/>
      <c r="C5367" s="663"/>
      <c r="D5367" s="663"/>
      <c r="E5367" s="663"/>
    </row>
    <row r="5368" spans="1:5" x14ac:dyDescent="0.2">
      <c r="A5368"/>
      <c r="B5368" s="663"/>
      <c r="C5368" s="663"/>
      <c r="D5368" s="663"/>
      <c r="E5368" s="663"/>
    </row>
    <row r="5369" spans="1:5" x14ac:dyDescent="0.2">
      <c r="A5369"/>
      <c r="B5369" s="663"/>
      <c r="C5369" s="663"/>
      <c r="D5369" s="663"/>
      <c r="E5369" s="663"/>
    </row>
    <row r="5370" spans="1:5" x14ac:dyDescent="0.2">
      <c r="A5370"/>
      <c r="B5370" s="663"/>
      <c r="C5370" s="663"/>
      <c r="D5370" s="663"/>
      <c r="E5370" s="663"/>
    </row>
    <row r="5371" spans="1:5" x14ac:dyDescent="0.2">
      <c r="A5371"/>
      <c r="B5371" s="663"/>
      <c r="C5371" s="663"/>
      <c r="D5371" s="663"/>
      <c r="E5371" s="663"/>
    </row>
    <row r="5372" spans="1:5" x14ac:dyDescent="0.2">
      <c r="A5372"/>
      <c r="B5372" s="663"/>
      <c r="C5372" s="663"/>
      <c r="D5372" s="663"/>
      <c r="E5372" s="663"/>
    </row>
    <row r="5373" spans="1:5" x14ac:dyDescent="0.2">
      <c r="A5373"/>
      <c r="B5373" s="663"/>
      <c r="C5373" s="663"/>
      <c r="D5373" s="663"/>
      <c r="E5373" s="663"/>
    </row>
    <row r="5374" spans="1:5" x14ac:dyDescent="0.2">
      <c r="A5374"/>
      <c r="B5374" s="663"/>
      <c r="C5374" s="663"/>
      <c r="D5374" s="663"/>
      <c r="E5374" s="663"/>
    </row>
    <row r="5375" spans="1:5" x14ac:dyDescent="0.2">
      <c r="A5375"/>
      <c r="B5375" s="663"/>
      <c r="C5375" s="663"/>
      <c r="D5375" s="663"/>
      <c r="E5375" s="663"/>
    </row>
    <row r="5376" spans="1:5" x14ac:dyDescent="0.2">
      <c r="A5376"/>
      <c r="B5376" s="663"/>
      <c r="C5376" s="663"/>
      <c r="D5376" s="663"/>
      <c r="E5376" s="663"/>
    </row>
    <row r="5377" spans="1:5" x14ac:dyDescent="0.2">
      <c r="A5377"/>
      <c r="B5377" s="663"/>
      <c r="C5377" s="663"/>
      <c r="D5377" s="663"/>
      <c r="E5377" s="663"/>
    </row>
    <row r="5378" spans="1:5" x14ac:dyDescent="0.2">
      <c r="A5378"/>
      <c r="B5378" s="663"/>
      <c r="C5378" s="663"/>
      <c r="D5378" s="663"/>
      <c r="E5378" s="663"/>
    </row>
    <row r="5379" spans="1:5" x14ac:dyDescent="0.2">
      <c r="A5379"/>
      <c r="B5379" s="663"/>
      <c r="C5379" s="663"/>
      <c r="D5379" s="663"/>
      <c r="E5379" s="663"/>
    </row>
    <row r="5380" spans="1:5" x14ac:dyDescent="0.2">
      <c r="A5380"/>
      <c r="B5380" s="663"/>
      <c r="C5380" s="663"/>
      <c r="D5380" s="663"/>
      <c r="E5380" s="663"/>
    </row>
    <row r="5381" spans="1:5" x14ac:dyDescent="0.2">
      <c r="A5381"/>
      <c r="B5381" s="663"/>
      <c r="C5381" s="663"/>
      <c r="D5381" s="663"/>
      <c r="E5381" s="663"/>
    </row>
    <row r="5382" spans="1:5" x14ac:dyDescent="0.2">
      <c r="A5382"/>
      <c r="B5382" s="663"/>
      <c r="C5382" s="663"/>
      <c r="D5382" s="663"/>
      <c r="E5382" s="663"/>
    </row>
    <row r="5383" spans="1:5" x14ac:dyDescent="0.2">
      <c r="A5383"/>
      <c r="B5383" s="663"/>
      <c r="C5383" s="663"/>
      <c r="D5383" s="663"/>
      <c r="E5383" s="663"/>
    </row>
    <row r="5384" spans="1:5" x14ac:dyDescent="0.2">
      <c r="A5384"/>
      <c r="B5384" s="663"/>
      <c r="C5384" s="663"/>
      <c r="D5384" s="663"/>
      <c r="E5384" s="663"/>
    </row>
    <row r="5385" spans="1:5" x14ac:dyDescent="0.2">
      <c r="A5385"/>
      <c r="B5385" s="663"/>
      <c r="C5385" s="663"/>
      <c r="D5385" s="663"/>
      <c r="E5385" s="663"/>
    </row>
    <row r="5386" spans="1:5" x14ac:dyDescent="0.2">
      <c r="A5386"/>
      <c r="B5386" s="663"/>
      <c r="C5386" s="663"/>
      <c r="D5386" s="663"/>
      <c r="E5386" s="663"/>
    </row>
    <row r="5387" spans="1:5" x14ac:dyDescent="0.2">
      <c r="A5387"/>
      <c r="B5387" s="663"/>
      <c r="C5387" s="663"/>
      <c r="D5387" s="663"/>
      <c r="E5387" s="663"/>
    </row>
    <row r="5388" spans="1:5" x14ac:dyDescent="0.2">
      <c r="A5388"/>
      <c r="B5388" s="663"/>
      <c r="C5388" s="663"/>
      <c r="D5388" s="663"/>
      <c r="E5388" s="663"/>
    </row>
    <row r="5389" spans="1:5" x14ac:dyDescent="0.2">
      <c r="A5389"/>
      <c r="B5389" s="663"/>
      <c r="C5389" s="663"/>
      <c r="D5389" s="663"/>
      <c r="E5389" s="663"/>
    </row>
    <row r="5390" spans="1:5" x14ac:dyDescent="0.2">
      <c r="A5390"/>
      <c r="B5390" s="663"/>
      <c r="C5390" s="663"/>
      <c r="D5390" s="663"/>
      <c r="E5390" s="663"/>
    </row>
    <row r="5391" spans="1:5" x14ac:dyDescent="0.2">
      <c r="A5391"/>
      <c r="B5391" s="663"/>
      <c r="C5391" s="663"/>
      <c r="D5391" s="663"/>
      <c r="E5391" s="663"/>
    </row>
    <row r="5392" spans="1:5" x14ac:dyDescent="0.2">
      <c r="A5392"/>
      <c r="B5392" s="663"/>
      <c r="C5392" s="663"/>
      <c r="D5392" s="663"/>
      <c r="E5392" s="663"/>
    </row>
    <row r="5393" spans="1:5" x14ac:dyDescent="0.2">
      <c r="A5393"/>
      <c r="B5393" s="663"/>
      <c r="C5393" s="663"/>
      <c r="D5393" s="663"/>
      <c r="E5393" s="663"/>
    </row>
    <row r="5394" spans="1:5" x14ac:dyDescent="0.2">
      <c r="A5394"/>
      <c r="B5394" s="663"/>
      <c r="C5394" s="663"/>
      <c r="D5394" s="663"/>
      <c r="E5394" s="663"/>
    </row>
    <row r="5395" spans="1:5" x14ac:dyDescent="0.2">
      <c r="A5395"/>
      <c r="B5395" s="663"/>
      <c r="C5395" s="663"/>
      <c r="D5395" s="663"/>
      <c r="E5395" s="663"/>
    </row>
    <row r="5396" spans="1:5" x14ac:dyDescent="0.2">
      <c r="A5396"/>
      <c r="B5396" s="663"/>
      <c r="C5396" s="663"/>
      <c r="D5396" s="663"/>
      <c r="E5396" s="663"/>
    </row>
    <row r="5397" spans="1:5" x14ac:dyDescent="0.2">
      <c r="A5397"/>
      <c r="B5397" s="663"/>
      <c r="C5397" s="663"/>
      <c r="D5397" s="663"/>
      <c r="E5397" s="663"/>
    </row>
    <row r="5398" spans="1:5" x14ac:dyDescent="0.2">
      <c r="A5398"/>
      <c r="B5398" s="663"/>
      <c r="C5398" s="663"/>
      <c r="D5398" s="663"/>
      <c r="E5398" s="663"/>
    </row>
    <row r="5399" spans="1:5" x14ac:dyDescent="0.2">
      <c r="A5399"/>
      <c r="B5399" s="663"/>
      <c r="C5399" s="663"/>
      <c r="D5399" s="663"/>
      <c r="E5399" s="663"/>
    </row>
    <row r="5400" spans="1:5" x14ac:dyDescent="0.2">
      <c r="A5400"/>
      <c r="B5400" s="663"/>
      <c r="C5400" s="663"/>
      <c r="D5400" s="663"/>
      <c r="E5400" s="663"/>
    </row>
    <row r="5401" spans="1:5" x14ac:dyDescent="0.2">
      <c r="A5401"/>
      <c r="B5401" s="663"/>
      <c r="C5401" s="663"/>
      <c r="D5401" s="663"/>
      <c r="E5401" s="663"/>
    </row>
    <row r="5402" spans="1:5" x14ac:dyDescent="0.2">
      <c r="A5402"/>
      <c r="B5402" s="663"/>
      <c r="C5402" s="663"/>
      <c r="D5402" s="663"/>
      <c r="E5402" s="663"/>
    </row>
    <row r="5403" spans="1:5" x14ac:dyDescent="0.2">
      <c r="A5403"/>
      <c r="B5403" s="663"/>
      <c r="C5403" s="663"/>
      <c r="D5403" s="663"/>
      <c r="E5403" s="663"/>
    </row>
    <row r="5404" spans="1:5" x14ac:dyDescent="0.2">
      <c r="A5404"/>
      <c r="B5404" s="663"/>
      <c r="C5404" s="663"/>
      <c r="D5404" s="663"/>
      <c r="E5404" s="663"/>
    </row>
    <row r="5405" spans="1:5" x14ac:dyDescent="0.2">
      <c r="A5405"/>
      <c r="B5405" s="663"/>
      <c r="C5405" s="663"/>
      <c r="D5405" s="663"/>
      <c r="E5405" s="663"/>
    </row>
    <row r="5406" spans="1:5" x14ac:dyDescent="0.2">
      <c r="A5406"/>
      <c r="B5406" s="663"/>
      <c r="C5406" s="663"/>
      <c r="D5406" s="663"/>
      <c r="E5406" s="663"/>
    </row>
    <row r="5407" spans="1:5" x14ac:dyDescent="0.2">
      <c r="A5407"/>
      <c r="B5407" s="663"/>
      <c r="C5407" s="663"/>
      <c r="D5407" s="663"/>
      <c r="E5407" s="663"/>
    </row>
    <row r="5408" spans="1:5" x14ac:dyDescent="0.2">
      <c r="A5408"/>
      <c r="B5408" s="663"/>
      <c r="C5408" s="663"/>
      <c r="D5408" s="663"/>
      <c r="E5408" s="663"/>
    </row>
    <row r="5409" spans="1:5" x14ac:dyDescent="0.2">
      <c r="A5409"/>
      <c r="B5409" s="663"/>
      <c r="C5409" s="663"/>
      <c r="D5409" s="663"/>
      <c r="E5409" s="663"/>
    </row>
    <row r="5410" spans="1:5" x14ac:dyDescent="0.2">
      <c r="A5410"/>
      <c r="B5410" s="663"/>
      <c r="C5410" s="663"/>
      <c r="D5410" s="663"/>
      <c r="E5410" s="663"/>
    </row>
    <row r="5411" spans="1:5" x14ac:dyDescent="0.2">
      <c r="A5411"/>
      <c r="B5411" s="663"/>
      <c r="C5411" s="663"/>
      <c r="D5411" s="663"/>
      <c r="E5411" s="663"/>
    </row>
    <row r="5412" spans="1:5" x14ac:dyDescent="0.2">
      <c r="A5412"/>
      <c r="B5412" s="663"/>
      <c r="C5412" s="663"/>
      <c r="D5412" s="663"/>
      <c r="E5412" s="663"/>
    </row>
    <row r="5413" spans="1:5" x14ac:dyDescent="0.2">
      <c r="A5413"/>
      <c r="B5413" s="663"/>
      <c r="C5413" s="663"/>
      <c r="D5413" s="663"/>
      <c r="E5413" s="663"/>
    </row>
    <row r="5414" spans="1:5" x14ac:dyDescent="0.2">
      <c r="A5414"/>
      <c r="B5414" s="663"/>
      <c r="C5414" s="663"/>
      <c r="D5414" s="663"/>
      <c r="E5414" s="663"/>
    </row>
    <row r="5415" spans="1:5" x14ac:dyDescent="0.2">
      <c r="A5415"/>
      <c r="B5415" s="663"/>
      <c r="C5415" s="663"/>
      <c r="D5415" s="663"/>
      <c r="E5415" s="663"/>
    </row>
    <row r="5416" spans="1:5" x14ac:dyDescent="0.2">
      <c r="A5416"/>
      <c r="B5416" s="663"/>
      <c r="C5416" s="663"/>
      <c r="D5416" s="663"/>
      <c r="E5416" s="663"/>
    </row>
    <row r="5417" spans="1:5" x14ac:dyDescent="0.2">
      <c r="A5417"/>
      <c r="B5417" s="663"/>
      <c r="C5417" s="663"/>
      <c r="D5417" s="663"/>
      <c r="E5417" s="663"/>
    </row>
    <row r="5418" spans="1:5" x14ac:dyDescent="0.2">
      <c r="A5418"/>
      <c r="B5418" s="663"/>
      <c r="C5418" s="663"/>
      <c r="D5418" s="663"/>
      <c r="E5418" s="663"/>
    </row>
    <row r="5419" spans="1:5" x14ac:dyDescent="0.2">
      <c r="A5419"/>
      <c r="B5419" s="663"/>
      <c r="C5419" s="663"/>
      <c r="D5419" s="663"/>
      <c r="E5419" s="663"/>
    </row>
    <row r="5420" spans="1:5" x14ac:dyDescent="0.2">
      <c r="A5420"/>
      <c r="B5420" s="663"/>
      <c r="C5420" s="663"/>
      <c r="D5420" s="663"/>
      <c r="E5420" s="663"/>
    </row>
    <row r="5421" spans="1:5" x14ac:dyDescent="0.2">
      <c r="A5421"/>
      <c r="B5421" s="663"/>
      <c r="C5421" s="663"/>
      <c r="D5421" s="663"/>
      <c r="E5421" s="663"/>
    </row>
    <row r="5422" spans="1:5" x14ac:dyDescent="0.2">
      <c r="A5422"/>
      <c r="B5422" s="663"/>
      <c r="C5422" s="663"/>
      <c r="D5422" s="663"/>
      <c r="E5422" s="663"/>
    </row>
    <row r="5423" spans="1:5" x14ac:dyDescent="0.2">
      <c r="A5423"/>
      <c r="B5423" s="663"/>
      <c r="C5423" s="663"/>
      <c r="D5423" s="663"/>
      <c r="E5423" s="663"/>
    </row>
    <row r="5424" spans="1:5" x14ac:dyDescent="0.2">
      <c r="A5424"/>
      <c r="B5424" s="663"/>
      <c r="C5424" s="663"/>
      <c r="D5424" s="663"/>
      <c r="E5424" s="663"/>
    </row>
    <row r="5425" spans="1:5" x14ac:dyDescent="0.2">
      <c r="A5425"/>
      <c r="B5425" s="663"/>
      <c r="C5425" s="663"/>
      <c r="D5425" s="663"/>
      <c r="E5425" s="663"/>
    </row>
    <row r="5426" spans="1:5" x14ac:dyDescent="0.2">
      <c r="A5426"/>
      <c r="B5426" s="663"/>
      <c r="C5426" s="663"/>
      <c r="D5426" s="663"/>
      <c r="E5426" s="663"/>
    </row>
    <row r="5427" spans="1:5" x14ac:dyDescent="0.2">
      <c r="A5427"/>
      <c r="B5427" s="663"/>
      <c r="C5427" s="663"/>
      <c r="D5427" s="663"/>
      <c r="E5427" s="663"/>
    </row>
    <row r="5428" spans="1:5" x14ac:dyDescent="0.2">
      <c r="A5428"/>
      <c r="B5428" s="663"/>
      <c r="C5428" s="663"/>
      <c r="D5428" s="663"/>
      <c r="E5428" s="663"/>
    </row>
    <row r="5429" spans="1:5" x14ac:dyDescent="0.2">
      <c r="A5429"/>
      <c r="B5429" s="663"/>
      <c r="C5429" s="663"/>
      <c r="D5429" s="663"/>
      <c r="E5429" s="663"/>
    </row>
    <row r="5430" spans="1:5" x14ac:dyDescent="0.2">
      <c r="A5430"/>
      <c r="B5430" s="663"/>
      <c r="C5430" s="663"/>
      <c r="D5430" s="663"/>
      <c r="E5430" s="663"/>
    </row>
    <row r="5431" spans="1:5" x14ac:dyDescent="0.2">
      <c r="A5431"/>
      <c r="B5431" s="663"/>
      <c r="C5431" s="663"/>
      <c r="D5431" s="663"/>
      <c r="E5431" s="663"/>
    </row>
    <row r="5432" spans="1:5" x14ac:dyDescent="0.2">
      <c r="A5432"/>
      <c r="B5432" s="663"/>
      <c r="C5432" s="663"/>
      <c r="D5432" s="663"/>
      <c r="E5432" s="663"/>
    </row>
    <row r="5433" spans="1:5" x14ac:dyDescent="0.2">
      <c r="A5433"/>
      <c r="B5433" s="663"/>
      <c r="C5433" s="663"/>
      <c r="D5433" s="663"/>
      <c r="E5433" s="663"/>
    </row>
    <row r="5434" spans="1:5" x14ac:dyDescent="0.2">
      <c r="A5434"/>
      <c r="B5434" s="663"/>
      <c r="C5434" s="663"/>
      <c r="D5434" s="663"/>
      <c r="E5434" s="663"/>
    </row>
    <row r="5435" spans="1:5" x14ac:dyDescent="0.2">
      <c r="A5435"/>
      <c r="B5435" s="663"/>
      <c r="C5435" s="663"/>
      <c r="D5435" s="663"/>
      <c r="E5435" s="663"/>
    </row>
    <row r="5436" spans="1:5" x14ac:dyDescent="0.2">
      <c r="A5436"/>
      <c r="B5436" s="663"/>
      <c r="C5436" s="663"/>
      <c r="D5436" s="663"/>
      <c r="E5436" s="663"/>
    </row>
    <row r="5437" spans="1:5" x14ac:dyDescent="0.2">
      <c r="A5437"/>
      <c r="B5437" s="663"/>
      <c r="C5437" s="663"/>
      <c r="D5437" s="663"/>
      <c r="E5437" s="663"/>
    </row>
    <row r="5438" spans="1:5" x14ac:dyDescent="0.2">
      <c r="A5438"/>
      <c r="B5438" s="663"/>
      <c r="C5438" s="663"/>
      <c r="D5438" s="663"/>
      <c r="E5438" s="663"/>
    </row>
    <row r="5439" spans="1:5" x14ac:dyDescent="0.2">
      <c r="A5439"/>
      <c r="B5439" s="663"/>
      <c r="C5439" s="663"/>
      <c r="D5439" s="663"/>
      <c r="E5439" s="663"/>
    </row>
    <row r="5440" spans="1:5" x14ac:dyDescent="0.2">
      <c r="A5440"/>
      <c r="B5440" s="663"/>
      <c r="C5440" s="663"/>
      <c r="D5440" s="663"/>
      <c r="E5440" s="663"/>
    </row>
    <row r="5441" spans="1:5" x14ac:dyDescent="0.2">
      <c r="A5441"/>
      <c r="B5441" s="663"/>
      <c r="C5441" s="663"/>
      <c r="D5441" s="663"/>
      <c r="E5441" s="663"/>
    </row>
    <row r="5442" spans="1:5" x14ac:dyDescent="0.2">
      <c r="A5442"/>
      <c r="B5442" s="663"/>
      <c r="C5442" s="663"/>
      <c r="D5442" s="663"/>
      <c r="E5442" s="663"/>
    </row>
    <row r="5443" spans="1:5" x14ac:dyDescent="0.2">
      <c r="A5443"/>
      <c r="B5443" s="663"/>
      <c r="C5443" s="663"/>
      <c r="D5443" s="663"/>
      <c r="E5443" s="663"/>
    </row>
    <row r="5444" spans="1:5" x14ac:dyDescent="0.2">
      <c r="A5444"/>
      <c r="B5444" s="663"/>
      <c r="C5444" s="663"/>
      <c r="D5444" s="663"/>
      <c r="E5444" s="663"/>
    </row>
    <row r="5445" spans="1:5" x14ac:dyDescent="0.2">
      <c r="A5445"/>
      <c r="B5445" s="663"/>
      <c r="C5445" s="663"/>
      <c r="D5445" s="663"/>
      <c r="E5445" s="663"/>
    </row>
    <row r="5446" spans="1:5" x14ac:dyDescent="0.2">
      <c r="A5446"/>
      <c r="B5446" s="663"/>
      <c r="C5446" s="663"/>
      <c r="D5446" s="663"/>
      <c r="E5446" s="663"/>
    </row>
    <row r="5447" spans="1:5" x14ac:dyDescent="0.2">
      <c r="A5447"/>
      <c r="B5447" s="663"/>
      <c r="C5447" s="663"/>
      <c r="D5447" s="663"/>
      <c r="E5447" s="663"/>
    </row>
    <row r="5448" spans="1:5" x14ac:dyDescent="0.2">
      <c r="A5448"/>
      <c r="B5448" s="663"/>
      <c r="C5448" s="663"/>
      <c r="D5448" s="663"/>
      <c r="E5448" s="663"/>
    </row>
    <row r="5449" spans="1:5" x14ac:dyDescent="0.2">
      <c r="A5449"/>
      <c r="B5449" s="663"/>
      <c r="C5449" s="663"/>
      <c r="D5449" s="663"/>
      <c r="E5449" s="663"/>
    </row>
    <row r="5450" spans="1:5" x14ac:dyDescent="0.2">
      <c r="A5450"/>
      <c r="B5450" s="663"/>
      <c r="C5450" s="663"/>
      <c r="D5450" s="663"/>
      <c r="E5450" s="663"/>
    </row>
    <row r="5451" spans="1:5" x14ac:dyDescent="0.2">
      <c r="A5451"/>
      <c r="B5451" s="663"/>
      <c r="C5451" s="663"/>
      <c r="D5451" s="663"/>
      <c r="E5451" s="663"/>
    </row>
    <row r="5452" spans="1:5" x14ac:dyDescent="0.2">
      <c r="A5452"/>
      <c r="B5452" s="663"/>
      <c r="C5452" s="663"/>
      <c r="D5452" s="663"/>
      <c r="E5452" s="663"/>
    </row>
    <row r="5453" spans="1:5" x14ac:dyDescent="0.2">
      <c r="A5453"/>
      <c r="B5453" s="663"/>
      <c r="C5453" s="663"/>
      <c r="D5453" s="663"/>
      <c r="E5453" s="663"/>
    </row>
    <row r="5454" spans="1:5" x14ac:dyDescent="0.2">
      <c r="A5454"/>
      <c r="B5454" s="663"/>
      <c r="C5454" s="663"/>
      <c r="D5454" s="663"/>
      <c r="E5454" s="663"/>
    </row>
    <row r="5455" spans="1:5" x14ac:dyDescent="0.2">
      <c r="A5455"/>
      <c r="B5455" s="663"/>
      <c r="C5455" s="663"/>
      <c r="D5455" s="663"/>
      <c r="E5455" s="663"/>
    </row>
    <row r="5456" spans="1:5" x14ac:dyDescent="0.2">
      <c r="A5456"/>
      <c r="B5456" s="663"/>
      <c r="C5456" s="663"/>
      <c r="D5456" s="663"/>
      <c r="E5456" s="663"/>
    </row>
    <row r="5457" spans="1:5" x14ac:dyDescent="0.2">
      <c r="A5457"/>
      <c r="B5457" s="663"/>
      <c r="C5457" s="663"/>
      <c r="D5457" s="663"/>
      <c r="E5457" s="663"/>
    </row>
    <row r="5458" spans="1:5" x14ac:dyDescent="0.2">
      <c r="A5458"/>
      <c r="B5458" s="663"/>
      <c r="C5458" s="663"/>
      <c r="D5458" s="663"/>
      <c r="E5458" s="663"/>
    </row>
    <row r="5459" spans="1:5" x14ac:dyDescent="0.2">
      <c r="A5459"/>
      <c r="B5459" s="663"/>
      <c r="C5459" s="663"/>
      <c r="D5459" s="663"/>
      <c r="E5459" s="663"/>
    </row>
    <row r="5460" spans="1:5" x14ac:dyDescent="0.2">
      <c r="A5460"/>
      <c r="B5460" s="663"/>
      <c r="C5460" s="663"/>
      <c r="D5460" s="663"/>
      <c r="E5460" s="663"/>
    </row>
    <row r="5461" spans="1:5" x14ac:dyDescent="0.2">
      <c r="A5461"/>
      <c r="B5461" s="663"/>
      <c r="C5461" s="663"/>
      <c r="D5461" s="663"/>
      <c r="E5461" s="663"/>
    </row>
    <row r="5462" spans="1:5" x14ac:dyDescent="0.2">
      <c r="A5462"/>
      <c r="B5462" s="663"/>
      <c r="C5462" s="663"/>
      <c r="D5462" s="663"/>
      <c r="E5462" s="663"/>
    </row>
    <row r="5463" spans="1:5" x14ac:dyDescent="0.2">
      <c r="A5463"/>
      <c r="B5463" s="663"/>
      <c r="C5463" s="663"/>
      <c r="D5463" s="663"/>
      <c r="E5463" s="663"/>
    </row>
    <row r="5464" spans="1:5" x14ac:dyDescent="0.2">
      <c r="A5464"/>
      <c r="B5464" s="663"/>
      <c r="C5464" s="663"/>
      <c r="D5464" s="663"/>
      <c r="E5464" s="663"/>
    </row>
    <row r="5465" spans="1:5" x14ac:dyDescent="0.2">
      <c r="A5465"/>
      <c r="B5465" s="663"/>
      <c r="C5465" s="663"/>
      <c r="D5465" s="663"/>
      <c r="E5465" s="663"/>
    </row>
    <row r="5466" spans="1:5" x14ac:dyDescent="0.2">
      <c r="A5466"/>
      <c r="B5466" s="663"/>
      <c r="C5466" s="663"/>
      <c r="D5466" s="663"/>
      <c r="E5466" s="663"/>
    </row>
    <row r="5467" spans="1:5" x14ac:dyDescent="0.2">
      <c r="A5467"/>
      <c r="B5467" s="663"/>
      <c r="C5467" s="663"/>
      <c r="D5467" s="663"/>
      <c r="E5467" s="663"/>
    </row>
    <row r="5468" spans="1:5" x14ac:dyDescent="0.2">
      <c r="A5468"/>
      <c r="B5468" s="663"/>
      <c r="C5468" s="663"/>
      <c r="D5468" s="663"/>
      <c r="E5468" s="663"/>
    </row>
    <row r="5469" spans="1:5" x14ac:dyDescent="0.2">
      <c r="A5469"/>
      <c r="B5469" s="663"/>
      <c r="C5469" s="663"/>
      <c r="D5469" s="663"/>
      <c r="E5469" s="663"/>
    </row>
    <row r="5470" spans="1:5" x14ac:dyDescent="0.2">
      <c r="A5470"/>
      <c r="B5470" s="663"/>
      <c r="C5470" s="663"/>
      <c r="D5470" s="663"/>
      <c r="E5470" s="663"/>
    </row>
    <row r="5471" spans="1:5" x14ac:dyDescent="0.2">
      <c r="A5471"/>
      <c r="B5471" s="663"/>
      <c r="C5471" s="663"/>
      <c r="D5471" s="663"/>
      <c r="E5471" s="663"/>
    </row>
    <row r="5472" spans="1:5" x14ac:dyDescent="0.2">
      <c r="A5472"/>
      <c r="B5472" s="663"/>
      <c r="C5472" s="663"/>
      <c r="D5472" s="663"/>
      <c r="E5472" s="663"/>
    </row>
    <row r="5473" spans="1:5" x14ac:dyDescent="0.2">
      <c r="A5473"/>
      <c r="B5473" s="663"/>
      <c r="C5473" s="663"/>
      <c r="D5473" s="663"/>
      <c r="E5473" s="663"/>
    </row>
    <row r="5474" spans="1:5" x14ac:dyDescent="0.2">
      <c r="A5474"/>
      <c r="B5474" s="663"/>
      <c r="C5474" s="663"/>
      <c r="D5474" s="663"/>
      <c r="E5474" s="663"/>
    </row>
    <row r="5475" spans="1:5" x14ac:dyDescent="0.2">
      <c r="A5475"/>
      <c r="B5475" s="663"/>
      <c r="C5475" s="663"/>
      <c r="D5475" s="663"/>
      <c r="E5475" s="663"/>
    </row>
    <row r="5476" spans="1:5" x14ac:dyDescent="0.2">
      <c r="A5476"/>
      <c r="B5476" s="663"/>
      <c r="C5476" s="663"/>
      <c r="D5476" s="663"/>
      <c r="E5476" s="663"/>
    </row>
    <row r="5477" spans="1:5" x14ac:dyDescent="0.2">
      <c r="A5477"/>
      <c r="B5477" s="663"/>
      <c r="C5477" s="663"/>
      <c r="D5477" s="663"/>
      <c r="E5477" s="663"/>
    </row>
    <row r="5478" spans="1:5" x14ac:dyDescent="0.2">
      <c r="A5478"/>
      <c r="B5478" s="663"/>
      <c r="C5478" s="663"/>
      <c r="D5478" s="663"/>
      <c r="E5478" s="663"/>
    </row>
    <row r="5479" spans="1:5" x14ac:dyDescent="0.2">
      <c r="A5479"/>
      <c r="B5479" s="663"/>
      <c r="C5479" s="663"/>
      <c r="D5479" s="663"/>
      <c r="E5479" s="663"/>
    </row>
    <row r="5480" spans="1:5" x14ac:dyDescent="0.2">
      <c r="A5480"/>
      <c r="B5480" s="663"/>
      <c r="C5480" s="663"/>
      <c r="D5480" s="663"/>
      <c r="E5480" s="663"/>
    </row>
    <row r="5481" spans="1:5" x14ac:dyDescent="0.2">
      <c r="A5481"/>
      <c r="B5481" s="663"/>
      <c r="C5481" s="663"/>
      <c r="D5481" s="663"/>
      <c r="E5481" s="663"/>
    </row>
    <row r="5482" spans="1:5" x14ac:dyDescent="0.2">
      <c r="A5482"/>
      <c r="B5482" s="663"/>
      <c r="C5482" s="663"/>
      <c r="D5482" s="663"/>
      <c r="E5482" s="663"/>
    </row>
    <row r="5483" spans="1:5" x14ac:dyDescent="0.2">
      <c r="A5483"/>
      <c r="B5483" s="663"/>
      <c r="C5483" s="663"/>
      <c r="D5483" s="663"/>
      <c r="E5483" s="663"/>
    </row>
    <row r="5484" spans="1:5" x14ac:dyDescent="0.2">
      <c r="A5484"/>
      <c r="B5484" s="663"/>
      <c r="C5484" s="663"/>
      <c r="D5484" s="663"/>
      <c r="E5484" s="663"/>
    </row>
    <row r="5485" spans="1:5" x14ac:dyDescent="0.2">
      <c r="A5485"/>
      <c r="B5485" s="663"/>
      <c r="C5485" s="663"/>
      <c r="D5485" s="663"/>
      <c r="E5485" s="663"/>
    </row>
    <row r="5486" spans="1:5" x14ac:dyDescent="0.2">
      <c r="A5486"/>
      <c r="B5486" s="663"/>
      <c r="C5486" s="663"/>
      <c r="D5486" s="663"/>
      <c r="E5486" s="663"/>
    </row>
    <row r="5487" spans="1:5" x14ac:dyDescent="0.2">
      <c r="A5487"/>
      <c r="B5487" s="663"/>
      <c r="C5487" s="663"/>
      <c r="D5487" s="663"/>
      <c r="E5487" s="663"/>
    </row>
    <row r="5488" spans="1:5" x14ac:dyDescent="0.2">
      <c r="A5488"/>
      <c r="B5488" s="663"/>
      <c r="C5488" s="663"/>
      <c r="D5488" s="663"/>
      <c r="E5488" s="663"/>
    </row>
    <row r="5489" spans="1:5" x14ac:dyDescent="0.2">
      <c r="A5489"/>
      <c r="B5489" s="663"/>
      <c r="C5489" s="663"/>
      <c r="D5489" s="663"/>
      <c r="E5489" s="663"/>
    </row>
    <row r="5490" spans="1:5" x14ac:dyDescent="0.2">
      <c r="A5490"/>
      <c r="B5490" s="663"/>
      <c r="C5490" s="663"/>
      <c r="D5490" s="663"/>
      <c r="E5490" s="663"/>
    </row>
    <row r="5491" spans="1:5" x14ac:dyDescent="0.2">
      <c r="A5491"/>
      <c r="B5491" s="663"/>
      <c r="C5491" s="663"/>
      <c r="D5491" s="663"/>
      <c r="E5491" s="663"/>
    </row>
    <row r="5492" spans="1:5" x14ac:dyDescent="0.2">
      <c r="A5492"/>
      <c r="B5492" s="663"/>
      <c r="C5492" s="663"/>
      <c r="D5492" s="663"/>
      <c r="E5492" s="663"/>
    </row>
    <row r="5493" spans="1:5" x14ac:dyDescent="0.2">
      <c r="A5493"/>
      <c r="B5493" s="663"/>
      <c r="C5493" s="663"/>
      <c r="D5493" s="663"/>
      <c r="E5493" s="663"/>
    </row>
    <row r="5494" spans="1:5" x14ac:dyDescent="0.2">
      <c r="A5494"/>
      <c r="B5494" s="663"/>
      <c r="C5494" s="663"/>
      <c r="D5494" s="663"/>
      <c r="E5494" s="663"/>
    </row>
    <row r="5495" spans="1:5" x14ac:dyDescent="0.2">
      <c r="A5495"/>
      <c r="B5495" s="663"/>
      <c r="C5495" s="663"/>
      <c r="D5495" s="663"/>
      <c r="E5495" s="663"/>
    </row>
    <row r="5496" spans="1:5" x14ac:dyDescent="0.2">
      <c r="A5496"/>
      <c r="B5496" s="663"/>
      <c r="C5496" s="663"/>
      <c r="D5496" s="663"/>
      <c r="E5496" s="663"/>
    </row>
    <row r="5497" spans="1:5" x14ac:dyDescent="0.2">
      <c r="A5497"/>
      <c r="B5497" s="663"/>
      <c r="C5497" s="663"/>
      <c r="D5497" s="663"/>
      <c r="E5497" s="663"/>
    </row>
    <row r="5498" spans="1:5" x14ac:dyDescent="0.2">
      <c r="A5498"/>
      <c r="B5498" s="663"/>
      <c r="C5498" s="663"/>
      <c r="D5498" s="663"/>
      <c r="E5498" s="663"/>
    </row>
    <row r="5499" spans="1:5" x14ac:dyDescent="0.2">
      <c r="A5499"/>
      <c r="B5499" s="663"/>
      <c r="C5499" s="663"/>
      <c r="D5499" s="663"/>
      <c r="E5499" s="663"/>
    </row>
    <row r="5500" spans="1:5" x14ac:dyDescent="0.2">
      <c r="A5500"/>
      <c r="B5500" s="663"/>
      <c r="C5500" s="663"/>
      <c r="D5500" s="663"/>
      <c r="E5500" s="663"/>
    </row>
    <row r="5501" spans="1:5" x14ac:dyDescent="0.2">
      <c r="A5501"/>
      <c r="B5501" s="663"/>
      <c r="C5501" s="663"/>
      <c r="D5501" s="663"/>
      <c r="E5501" s="663"/>
    </row>
    <row r="5502" spans="1:5" x14ac:dyDescent="0.2">
      <c r="A5502"/>
      <c r="B5502" s="663"/>
      <c r="C5502" s="663"/>
      <c r="D5502" s="663"/>
      <c r="E5502" s="663"/>
    </row>
    <row r="5503" spans="1:5" x14ac:dyDescent="0.2">
      <c r="A5503"/>
      <c r="B5503" s="663"/>
      <c r="C5503" s="663"/>
      <c r="D5503" s="663"/>
      <c r="E5503" s="663"/>
    </row>
    <row r="5504" spans="1:5" x14ac:dyDescent="0.2">
      <c r="A5504"/>
      <c r="B5504" s="663"/>
      <c r="C5504" s="663"/>
      <c r="D5504" s="663"/>
      <c r="E5504" s="663"/>
    </row>
    <row r="5505" spans="1:5" x14ac:dyDescent="0.2">
      <c r="A5505"/>
      <c r="B5505" s="663"/>
      <c r="C5505" s="663"/>
      <c r="D5505" s="663"/>
      <c r="E5505" s="663"/>
    </row>
    <row r="5506" spans="1:5" x14ac:dyDescent="0.2">
      <c r="A5506"/>
      <c r="B5506" s="663"/>
      <c r="C5506" s="663"/>
      <c r="D5506" s="663"/>
      <c r="E5506" s="663"/>
    </row>
    <row r="5507" spans="1:5" x14ac:dyDescent="0.2">
      <c r="A5507"/>
      <c r="B5507" s="663"/>
      <c r="C5507" s="663"/>
      <c r="D5507" s="663"/>
      <c r="E5507" s="663"/>
    </row>
    <row r="5508" spans="1:5" x14ac:dyDescent="0.2">
      <c r="A5508"/>
      <c r="B5508" s="663"/>
      <c r="C5508" s="663"/>
      <c r="D5508" s="663"/>
      <c r="E5508" s="663"/>
    </row>
    <row r="5509" spans="1:5" x14ac:dyDescent="0.2">
      <c r="A5509"/>
      <c r="B5509" s="663"/>
      <c r="C5509" s="663"/>
      <c r="D5509" s="663"/>
      <c r="E5509" s="663"/>
    </row>
    <row r="5510" spans="1:5" x14ac:dyDescent="0.2">
      <c r="A5510"/>
      <c r="B5510" s="663"/>
      <c r="C5510" s="663"/>
      <c r="D5510" s="663"/>
      <c r="E5510" s="663"/>
    </row>
    <row r="5511" spans="1:5" x14ac:dyDescent="0.2">
      <c r="A5511"/>
      <c r="B5511" s="663"/>
      <c r="C5511" s="663"/>
      <c r="D5511" s="663"/>
      <c r="E5511" s="663"/>
    </row>
    <row r="5512" spans="1:5" x14ac:dyDescent="0.2">
      <c r="A5512"/>
      <c r="B5512" s="663"/>
      <c r="C5512" s="663"/>
      <c r="D5512" s="663"/>
      <c r="E5512" s="663"/>
    </row>
    <row r="5513" spans="1:5" x14ac:dyDescent="0.2">
      <c r="A5513"/>
      <c r="B5513" s="663"/>
      <c r="C5513" s="663"/>
      <c r="D5513" s="663"/>
      <c r="E5513" s="663"/>
    </row>
    <row r="5514" spans="1:5" x14ac:dyDescent="0.2">
      <c r="A5514"/>
      <c r="B5514" s="663"/>
      <c r="C5514" s="663"/>
      <c r="D5514" s="663"/>
      <c r="E5514" s="663"/>
    </row>
    <row r="5515" spans="1:5" x14ac:dyDescent="0.2">
      <c r="A5515"/>
      <c r="B5515" s="663"/>
      <c r="C5515" s="663"/>
      <c r="D5515" s="663"/>
      <c r="E5515" s="663"/>
    </row>
    <row r="5516" spans="1:5" x14ac:dyDescent="0.2">
      <c r="A5516"/>
      <c r="B5516" s="663"/>
      <c r="C5516" s="663"/>
      <c r="D5516" s="663"/>
      <c r="E5516" s="663"/>
    </row>
    <row r="5517" spans="1:5" x14ac:dyDescent="0.2">
      <c r="A5517"/>
      <c r="B5517" s="663"/>
      <c r="C5517" s="663"/>
      <c r="D5517" s="663"/>
      <c r="E5517" s="663"/>
    </row>
    <row r="5518" spans="1:5" x14ac:dyDescent="0.2">
      <c r="A5518"/>
      <c r="B5518" s="663"/>
      <c r="C5518" s="663"/>
      <c r="D5518" s="663"/>
      <c r="E5518" s="663"/>
    </row>
    <row r="5519" spans="1:5" x14ac:dyDescent="0.2">
      <c r="A5519"/>
      <c r="B5519" s="663"/>
      <c r="C5519" s="663"/>
      <c r="D5519" s="663"/>
      <c r="E5519" s="663"/>
    </row>
    <row r="5520" spans="1:5" x14ac:dyDescent="0.2">
      <c r="A5520"/>
      <c r="B5520" s="663"/>
      <c r="C5520" s="663"/>
      <c r="D5520" s="663"/>
      <c r="E5520" s="663"/>
    </row>
    <row r="5521" spans="1:5" x14ac:dyDescent="0.2">
      <c r="A5521"/>
      <c r="B5521" s="663"/>
      <c r="C5521" s="663"/>
      <c r="D5521" s="663"/>
      <c r="E5521" s="663"/>
    </row>
    <row r="5522" spans="1:5" x14ac:dyDescent="0.2">
      <c r="A5522"/>
      <c r="B5522" s="663"/>
      <c r="C5522" s="663"/>
      <c r="D5522" s="663"/>
      <c r="E5522" s="663"/>
    </row>
    <row r="5523" spans="1:5" x14ac:dyDescent="0.2">
      <c r="A5523"/>
      <c r="B5523" s="663"/>
      <c r="C5523" s="663"/>
      <c r="D5523" s="663"/>
      <c r="E5523" s="663"/>
    </row>
    <row r="5524" spans="1:5" x14ac:dyDescent="0.2">
      <c r="A5524"/>
      <c r="B5524" s="663"/>
      <c r="C5524" s="663"/>
      <c r="D5524" s="663"/>
      <c r="E5524" s="663"/>
    </row>
    <row r="5525" spans="1:5" x14ac:dyDescent="0.2">
      <c r="A5525"/>
      <c r="B5525" s="663"/>
      <c r="C5525" s="663"/>
      <c r="D5525" s="663"/>
      <c r="E5525" s="663"/>
    </row>
    <row r="5526" spans="1:5" x14ac:dyDescent="0.2">
      <c r="A5526"/>
      <c r="B5526" s="663"/>
      <c r="C5526" s="663"/>
      <c r="D5526" s="663"/>
      <c r="E5526" s="663"/>
    </row>
    <row r="5527" spans="1:5" x14ac:dyDescent="0.2">
      <c r="A5527"/>
      <c r="B5527" s="663"/>
      <c r="C5527" s="663"/>
      <c r="D5527" s="663"/>
      <c r="E5527" s="663"/>
    </row>
    <row r="5528" spans="1:5" x14ac:dyDescent="0.2">
      <c r="A5528"/>
      <c r="B5528" s="663"/>
      <c r="C5528" s="663"/>
      <c r="D5528" s="663"/>
      <c r="E5528" s="663"/>
    </row>
    <row r="5529" spans="1:5" x14ac:dyDescent="0.2">
      <c r="A5529"/>
      <c r="B5529" s="663"/>
      <c r="C5529" s="663"/>
      <c r="D5529" s="663"/>
      <c r="E5529" s="663"/>
    </row>
    <row r="5530" spans="1:5" x14ac:dyDescent="0.2">
      <c r="A5530"/>
      <c r="B5530" s="663"/>
      <c r="C5530" s="663"/>
      <c r="D5530" s="663"/>
      <c r="E5530" s="663"/>
    </row>
    <row r="5531" spans="1:5" x14ac:dyDescent="0.2">
      <c r="A5531"/>
      <c r="B5531" s="663"/>
      <c r="C5531" s="663"/>
      <c r="D5531" s="663"/>
      <c r="E5531" s="663"/>
    </row>
    <row r="5532" spans="1:5" x14ac:dyDescent="0.2">
      <c r="A5532"/>
      <c r="B5532" s="663"/>
      <c r="C5532" s="663"/>
      <c r="D5532" s="663"/>
      <c r="E5532" s="663"/>
    </row>
    <row r="5533" spans="1:5" x14ac:dyDescent="0.2">
      <c r="A5533"/>
      <c r="B5533" s="663"/>
      <c r="C5533" s="663"/>
      <c r="D5533" s="663"/>
      <c r="E5533" s="663"/>
    </row>
    <row r="5534" spans="1:5" x14ac:dyDescent="0.2">
      <c r="A5534"/>
      <c r="B5534" s="663"/>
      <c r="C5534" s="663"/>
      <c r="D5534" s="663"/>
      <c r="E5534" s="663"/>
    </row>
    <row r="5535" spans="1:5" x14ac:dyDescent="0.2">
      <c r="A5535"/>
      <c r="B5535" s="663"/>
      <c r="C5535" s="663"/>
      <c r="D5535" s="663"/>
      <c r="E5535" s="663"/>
    </row>
    <row r="5536" spans="1:5" x14ac:dyDescent="0.2">
      <c r="A5536"/>
      <c r="B5536" s="663"/>
      <c r="C5536" s="663"/>
      <c r="D5536" s="663"/>
      <c r="E5536" s="663"/>
    </row>
    <row r="5537" spans="1:5" x14ac:dyDescent="0.2">
      <c r="A5537"/>
      <c r="B5537" s="663"/>
      <c r="C5537" s="663"/>
      <c r="D5537" s="663"/>
      <c r="E5537" s="663"/>
    </row>
    <row r="5538" spans="1:5" x14ac:dyDescent="0.2">
      <c r="A5538"/>
      <c r="B5538" s="663"/>
      <c r="C5538" s="663"/>
      <c r="D5538" s="663"/>
      <c r="E5538" s="663"/>
    </row>
    <row r="5539" spans="1:5" x14ac:dyDescent="0.2">
      <c r="A5539"/>
      <c r="B5539" s="663"/>
      <c r="C5539" s="663"/>
      <c r="D5539" s="663"/>
      <c r="E5539" s="663"/>
    </row>
    <row r="5540" spans="1:5" x14ac:dyDescent="0.2">
      <c r="A5540"/>
      <c r="B5540" s="663"/>
      <c r="C5540" s="663"/>
      <c r="D5540" s="663"/>
      <c r="E5540" s="663"/>
    </row>
    <row r="5541" spans="1:5" x14ac:dyDescent="0.2">
      <c r="A5541"/>
      <c r="B5541" s="663"/>
      <c r="C5541" s="663"/>
      <c r="D5541" s="663"/>
      <c r="E5541" s="663"/>
    </row>
    <row r="5542" spans="1:5" x14ac:dyDescent="0.2">
      <c r="A5542"/>
      <c r="B5542" s="663"/>
      <c r="C5542" s="663"/>
      <c r="D5542" s="663"/>
      <c r="E5542" s="663"/>
    </row>
    <row r="5543" spans="1:5" x14ac:dyDescent="0.2">
      <c r="A5543"/>
      <c r="B5543" s="663"/>
      <c r="C5543" s="663"/>
      <c r="D5543" s="663"/>
      <c r="E5543" s="663"/>
    </row>
    <row r="5544" spans="1:5" x14ac:dyDescent="0.2">
      <c r="A5544"/>
      <c r="B5544" s="663"/>
      <c r="C5544" s="663"/>
      <c r="D5544" s="663"/>
      <c r="E5544" s="663"/>
    </row>
    <row r="5545" spans="1:5" x14ac:dyDescent="0.2">
      <c r="A5545"/>
      <c r="B5545" s="663"/>
      <c r="C5545" s="663"/>
      <c r="D5545" s="663"/>
      <c r="E5545" s="663"/>
    </row>
    <row r="5546" spans="1:5" x14ac:dyDescent="0.2">
      <c r="A5546"/>
      <c r="B5546" s="663"/>
      <c r="C5546" s="663"/>
      <c r="D5546" s="663"/>
      <c r="E5546" s="663"/>
    </row>
    <row r="5547" spans="1:5" x14ac:dyDescent="0.2">
      <c r="A5547"/>
      <c r="B5547" s="663"/>
      <c r="C5547" s="663"/>
      <c r="D5547" s="663"/>
      <c r="E5547" s="663"/>
    </row>
    <row r="5548" spans="1:5" x14ac:dyDescent="0.2">
      <c r="A5548"/>
      <c r="B5548" s="663"/>
      <c r="C5548" s="663"/>
      <c r="D5548" s="663"/>
      <c r="E5548" s="663"/>
    </row>
    <row r="5549" spans="1:5" x14ac:dyDescent="0.2">
      <c r="A5549"/>
      <c r="B5549" s="663"/>
      <c r="C5549" s="663"/>
      <c r="D5549" s="663"/>
      <c r="E5549" s="663"/>
    </row>
    <row r="5550" spans="1:5" x14ac:dyDescent="0.2">
      <c r="A5550"/>
      <c r="B5550" s="663"/>
      <c r="C5550" s="663"/>
      <c r="D5550" s="663"/>
      <c r="E5550" s="663"/>
    </row>
    <row r="5551" spans="1:5" x14ac:dyDescent="0.2">
      <c r="A5551"/>
      <c r="B5551" s="663"/>
      <c r="C5551" s="663"/>
      <c r="D5551" s="663"/>
      <c r="E5551" s="663"/>
    </row>
    <row r="5552" spans="1:5" x14ac:dyDescent="0.2">
      <c r="A5552"/>
      <c r="B5552" s="663"/>
      <c r="C5552" s="663"/>
      <c r="D5552" s="663"/>
      <c r="E5552" s="663"/>
    </row>
    <row r="5553" spans="1:5" x14ac:dyDescent="0.2">
      <c r="A5553"/>
      <c r="B5553" s="663"/>
      <c r="C5553" s="663"/>
      <c r="D5553" s="663"/>
      <c r="E5553" s="663"/>
    </row>
    <row r="5554" spans="1:5" x14ac:dyDescent="0.2">
      <c r="A5554"/>
      <c r="B5554" s="663"/>
      <c r="C5554" s="663"/>
      <c r="D5554" s="663"/>
      <c r="E5554" s="663"/>
    </row>
    <row r="5555" spans="1:5" x14ac:dyDescent="0.2">
      <c r="A5555"/>
      <c r="B5555" s="663"/>
      <c r="C5555" s="663"/>
      <c r="D5555" s="663"/>
      <c r="E5555" s="663"/>
    </row>
    <row r="5556" spans="1:5" x14ac:dyDescent="0.2">
      <c r="A5556"/>
      <c r="B5556" s="663"/>
      <c r="C5556" s="663"/>
      <c r="D5556" s="663"/>
      <c r="E5556" s="663"/>
    </row>
    <row r="5557" spans="1:5" x14ac:dyDescent="0.2">
      <c r="A5557"/>
      <c r="B5557" s="663"/>
      <c r="C5557" s="663"/>
      <c r="D5557" s="663"/>
      <c r="E5557" s="663"/>
    </row>
    <row r="5558" spans="1:5" x14ac:dyDescent="0.2">
      <c r="A5558"/>
      <c r="B5558" s="663"/>
      <c r="C5558" s="663"/>
      <c r="D5558" s="663"/>
      <c r="E5558" s="663"/>
    </row>
    <row r="5559" spans="1:5" x14ac:dyDescent="0.2">
      <c r="A5559"/>
      <c r="B5559" s="663"/>
      <c r="C5559" s="663"/>
      <c r="D5559" s="663"/>
      <c r="E5559" s="663"/>
    </row>
    <row r="5560" spans="1:5" x14ac:dyDescent="0.2">
      <c r="A5560"/>
      <c r="B5560" s="663"/>
      <c r="C5560" s="663"/>
      <c r="D5560" s="663"/>
      <c r="E5560" s="663"/>
    </row>
    <row r="5561" spans="1:5" x14ac:dyDescent="0.2">
      <c r="A5561"/>
      <c r="B5561" s="663"/>
      <c r="C5561" s="663"/>
      <c r="D5561" s="663"/>
      <c r="E5561" s="663"/>
    </row>
    <row r="5562" spans="1:5" x14ac:dyDescent="0.2">
      <c r="A5562"/>
      <c r="B5562" s="663"/>
      <c r="C5562" s="663"/>
      <c r="D5562" s="663"/>
      <c r="E5562" s="663"/>
    </row>
    <row r="5563" spans="1:5" x14ac:dyDescent="0.2">
      <c r="A5563"/>
      <c r="B5563" s="663"/>
      <c r="C5563" s="663"/>
      <c r="D5563" s="663"/>
      <c r="E5563" s="663"/>
    </row>
    <row r="5564" spans="1:5" x14ac:dyDescent="0.2">
      <c r="A5564"/>
      <c r="B5564" s="663"/>
      <c r="C5564" s="663"/>
      <c r="D5564" s="663"/>
      <c r="E5564" s="663"/>
    </row>
    <row r="5565" spans="1:5" x14ac:dyDescent="0.2">
      <c r="A5565"/>
      <c r="B5565" s="663"/>
      <c r="C5565" s="663"/>
      <c r="D5565" s="663"/>
      <c r="E5565" s="663"/>
    </row>
    <row r="5566" spans="1:5" x14ac:dyDescent="0.2">
      <c r="A5566"/>
      <c r="B5566" s="663"/>
      <c r="C5566" s="663"/>
      <c r="D5566" s="663"/>
      <c r="E5566" s="663"/>
    </row>
    <row r="5567" spans="1:5" x14ac:dyDescent="0.2">
      <c r="A5567"/>
      <c r="B5567" s="663"/>
      <c r="C5567" s="663"/>
      <c r="D5567" s="663"/>
      <c r="E5567" s="663"/>
    </row>
    <row r="5568" spans="1:5" x14ac:dyDescent="0.2">
      <c r="A5568"/>
      <c r="B5568" s="663"/>
      <c r="C5568" s="663"/>
      <c r="D5568" s="663"/>
      <c r="E5568" s="663"/>
    </row>
    <row r="5569" spans="1:5" x14ac:dyDescent="0.2">
      <c r="A5569"/>
      <c r="B5569" s="663"/>
      <c r="C5569" s="663"/>
      <c r="D5569" s="663"/>
      <c r="E5569" s="663"/>
    </row>
    <row r="5570" spans="1:5" x14ac:dyDescent="0.2">
      <c r="A5570"/>
      <c r="B5570" s="663"/>
      <c r="C5570" s="663"/>
      <c r="D5570" s="663"/>
      <c r="E5570" s="663"/>
    </row>
    <row r="5571" spans="1:5" x14ac:dyDescent="0.2">
      <c r="A5571"/>
      <c r="B5571" s="663"/>
      <c r="C5571" s="663"/>
      <c r="D5571" s="663"/>
      <c r="E5571" s="663"/>
    </row>
    <row r="5572" spans="1:5" x14ac:dyDescent="0.2">
      <c r="A5572"/>
      <c r="B5572" s="663"/>
      <c r="C5572" s="663"/>
      <c r="D5572" s="663"/>
      <c r="E5572" s="663"/>
    </row>
    <row r="5573" spans="1:5" x14ac:dyDescent="0.2">
      <c r="A5573"/>
      <c r="B5573" s="663"/>
      <c r="C5573" s="663"/>
      <c r="D5573" s="663"/>
      <c r="E5573" s="663"/>
    </row>
    <row r="5574" spans="1:5" x14ac:dyDescent="0.2">
      <c r="A5574"/>
      <c r="B5574" s="663"/>
      <c r="C5574" s="663"/>
      <c r="D5574" s="663"/>
      <c r="E5574" s="663"/>
    </row>
    <row r="5575" spans="1:5" x14ac:dyDescent="0.2">
      <c r="A5575"/>
      <c r="B5575" s="663"/>
      <c r="C5575" s="663"/>
      <c r="D5575" s="663"/>
      <c r="E5575" s="663"/>
    </row>
    <row r="5576" spans="1:5" x14ac:dyDescent="0.2">
      <c r="A5576"/>
      <c r="B5576" s="663"/>
      <c r="C5576" s="663"/>
      <c r="D5576" s="663"/>
      <c r="E5576" s="663"/>
    </row>
    <row r="5577" spans="1:5" x14ac:dyDescent="0.2">
      <c r="A5577"/>
      <c r="B5577" s="663"/>
      <c r="C5577" s="663"/>
      <c r="D5577" s="663"/>
      <c r="E5577" s="663"/>
    </row>
    <row r="5578" spans="1:5" x14ac:dyDescent="0.2">
      <c r="A5578"/>
      <c r="B5578" s="663"/>
      <c r="C5578" s="663"/>
      <c r="D5578" s="663"/>
      <c r="E5578" s="663"/>
    </row>
    <row r="5579" spans="1:5" x14ac:dyDescent="0.2">
      <c r="A5579"/>
      <c r="B5579" s="663"/>
      <c r="C5579" s="663"/>
      <c r="D5579" s="663"/>
      <c r="E5579" s="663"/>
    </row>
    <row r="5580" spans="1:5" x14ac:dyDescent="0.2">
      <c r="A5580"/>
      <c r="B5580" s="663"/>
      <c r="C5580" s="663"/>
      <c r="D5580" s="663"/>
      <c r="E5580" s="663"/>
    </row>
    <row r="5581" spans="1:5" x14ac:dyDescent="0.2">
      <c r="A5581"/>
      <c r="B5581" s="663"/>
      <c r="C5581" s="663"/>
      <c r="D5581" s="663"/>
      <c r="E5581" s="663"/>
    </row>
    <row r="5582" spans="1:5" x14ac:dyDescent="0.2">
      <c r="A5582"/>
      <c r="B5582" s="663"/>
      <c r="C5582" s="663"/>
      <c r="D5582" s="663"/>
      <c r="E5582" s="663"/>
    </row>
    <row r="5583" spans="1:5" x14ac:dyDescent="0.2">
      <c r="A5583"/>
      <c r="B5583" s="663"/>
      <c r="C5583" s="663"/>
      <c r="D5583" s="663"/>
      <c r="E5583" s="663"/>
    </row>
    <row r="5584" spans="1:5" x14ac:dyDescent="0.2">
      <c r="A5584"/>
      <c r="B5584" s="663"/>
      <c r="C5584" s="663"/>
      <c r="D5584" s="663"/>
      <c r="E5584" s="663"/>
    </row>
    <row r="5585" spans="1:5" x14ac:dyDescent="0.2">
      <c r="A5585"/>
      <c r="B5585" s="663"/>
      <c r="C5585" s="663"/>
      <c r="D5585" s="663"/>
      <c r="E5585" s="663"/>
    </row>
    <row r="5586" spans="1:5" x14ac:dyDescent="0.2">
      <c r="A5586"/>
      <c r="B5586" s="663"/>
      <c r="C5586" s="663"/>
      <c r="D5586" s="663"/>
      <c r="E5586" s="663"/>
    </row>
    <row r="5587" spans="1:5" x14ac:dyDescent="0.2">
      <c r="A5587"/>
      <c r="B5587" s="663"/>
      <c r="C5587" s="663"/>
      <c r="D5587" s="663"/>
      <c r="E5587" s="663"/>
    </row>
    <row r="5588" spans="1:5" x14ac:dyDescent="0.2">
      <c r="A5588"/>
      <c r="B5588" s="663"/>
      <c r="C5588" s="663"/>
      <c r="D5588" s="663"/>
      <c r="E5588" s="663"/>
    </row>
    <row r="5589" spans="1:5" x14ac:dyDescent="0.2">
      <c r="A5589"/>
      <c r="B5589" s="663"/>
      <c r="C5589" s="663"/>
      <c r="D5589" s="663"/>
      <c r="E5589" s="663"/>
    </row>
    <row r="5590" spans="1:5" x14ac:dyDescent="0.2">
      <c r="A5590"/>
      <c r="B5590" s="663"/>
      <c r="C5590" s="663"/>
      <c r="D5590" s="663"/>
      <c r="E5590" s="663"/>
    </row>
    <row r="5591" spans="1:5" x14ac:dyDescent="0.2">
      <c r="A5591"/>
      <c r="B5591" s="663"/>
      <c r="C5591" s="663"/>
      <c r="D5591" s="663"/>
      <c r="E5591" s="663"/>
    </row>
    <row r="5592" spans="1:5" x14ac:dyDescent="0.2">
      <c r="A5592"/>
      <c r="B5592" s="663"/>
      <c r="C5592" s="663"/>
      <c r="D5592" s="663"/>
      <c r="E5592" s="663"/>
    </row>
    <row r="5593" spans="1:5" x14ac:dyDescent="0.2">
      <c r="A5593"/>
      <c r="B5593" s="663"/>
      <c r="C5593" s="663"/>
      <c r="D5593" s="663"/>
      <c r="E5593" s="663"/>
    </row>
    <row r="5594" spans="1:5" x14ac:dyDescent="0.2">
      <c r="A5594"/>
      <c r="B5594" s="663"/>
      <c r="C5594" s="663"/>
      <c r="D5594" s="663"/>
      <c r="E5594" s="663"/>
    </row>
    <row r="5595" spans="1:5" x14ac:dyDescent="0.2">
      <c r="A5595"/>
      <c r="B5595" s="663"/>
      <c r="C5595" s="663"/>
      <c r="D5595" s="663"/>
      <c r="E5595" s="663"/>
    </row>
    <row r="5596" spans="1:5" x14ac:dyDescent="0.2">
      <c r="A5596"/>
      <c r="B5596" s="663"/>
      <c r="C5596" s="663"/>
      <c r="D5596" s="663"/>
      <c r="E5596" s="663"/>
    </row>
    <row r="5597" spans="1:5" x14ac:dyDescent="0.2">
      <c r="A5597"/>
      <c r="B5597" s="663"/>
      <c r="C5597" s="663"/>
      <c r="D5597" s="663"/>
      <c r="E5597" s="663"/>
    </row>
    <row r="5598" spans="1:5" x14ac:dyDescent="0.2">
      <c r="A5598"/>
      <c r="B5598" s="663"/>
      <c r="C5598" s="663"/>
      <c r="D5598" s="663"/>
      <c r="E5598" s="663"/>
    </row>
    <row r="5599" spans="1:5" x14ac:dyDescent="0.2">
      <c r="A5599"/>
      <c r="B5599" s="663"/>
      <c r="C5599" s="663"/>
      <c r="D5599" s="663"/>
      <c r="E5599" s="663"/>
    </row>
    <row r="5600" spans="1:5" x14ac:dyDescent="0.2">
      <c r="A5600"/>
      <c r="B5600" s="663"/>
      <c r="C5600" s="663"/>
      <c r="D5600" s="663"/>
      <c r="E5600" s="663"/>
    </row>
    <row r="5601" spans="1:5" x14ac:dyDescent="0.2">
      <c r="A5601"/>
      <c r="B5601" s="663"/>
      <c r="C5601" s="663"/>
      <c r="D5601" s="663"/>
      <c r="E5601" s="663"/>
    </row>
    <row r="5602" spans="1:5" x14ac:dyDescent="0.2">
      <c r="A5602"/>
      <c r="B5602" s="663"/>
      <c r="C5602" s="663"/>
      <c r="D5602" s="663"/>
      <c r="E5602" s="663"/>
    </row>
    <row r="5603" spans="1:5" x14ac:dyDescent="0.2">
      <c r="A5603"/>
      <c r="B5603" s="663"/>
      <c r="C5603" s="663"/>
      <c r="D5603" s="663"/>
      <c r="E5603" s="663"/>
    </row>
    <row r="5604" spans="1:5" x14ac:dyDescent="0.2">
      <c r="A5604"/>
      <c r="B5604" s="663"/>
      <c r="C5604" s="663"/>
      <c r="D5604" s="663"/>
      <c r="E5604" s="663"/>
    </row>
    <row r="5605" spans="1:5" x14ac:dyDescent="0.2">
      <c r="A5605"/>
      <c r="B5605" s="663"/>
      <c r="C5605" s="663"/>
      <c r="D5605" s="663"/>
      <c r="E5605" s="663"/>
    </row>
    <row r="5606" spans="1:5" x14ac:dyDescent="0.2">
      <c r="A5606"/>
      <c r="B5606" s="663"/>
      <c r="C5606" s="663"/>
      <c r="D5606" s="663"/>
      <c r="E5606" s="663"/>
    </row>
    <row r="5607" spans="1:5" x14ac:dyDescent="0.2">
      <c r="A5607"/>
      <c r="B5607" s="663"/>
      <c r="C5607" s="663"/>
      <c r="D5607" s="663"/>
      <c r="E5607" s="663"/>
    </row>
    <row r="5608" spans="1:5" x14ac:dyDescent="0.2">
      <c r="A5608"/>
      <c r="B5608" s="663"/>
      <c r="C5608" s="663"/>
      <c r="D5608" s="663"/>
      <c r="E5608" s="663"/>
    </row>
    <row r="5609" spans="1:5" x14ac:dyDescent="0.2">
      <c r="A5609"/>
      <c r="B5609" s="663"/>
      <c r="C5609" s="663"/>
      <c r="D5609" s="663"/>
      <c r="E5609" s="663"/>
    </row>
    <row r="5610" spans="1:5" x14ac:dyDescent="0.2">
      <c r="A5610"/>
      <c r="B5610" s="663"/>
      <c r="C5610" s="663"/>
      <c r="D5610" s="663"/>
      <c r="E5610" s="663"/>
    </row>
    <row r="5611" spans="1:5" x14ac:dyDescent="0.2">
      <c r="A5611"/>
      <c r="B5611" s="663"/>
      <c r="C5611" s="663"/>
      <c r="D5611" s="663"/>
      <c r="E5611" s="663"/>
    </row>
    <row r="5612" spans="1:5" x14ac:dyDescent="0.2">
      <c r="A5612"/>
      <c r="B5612" s="663"/>
      <c r="C5612" s="663"/>
      <c r="D5612" s="663"/>
      <c r="E5612" s="663"/>
    </row>
    <row r="5613" spans="1:5" x14ac:dyDescent="0.2">
      <c r="A5613"/>
      <c r="B5613" s="663"/>
      <c r="C5613" s="663"/>
      <c r="D5613" s="663"/>
      <c r="E5613" s="663"/>
    </row>
    <row r="5614" spans="1:5" x14ac:dyDescent="0.2">
      <c r="A5614"/>
      <c r="B5614" s="663"/>
      <c r="C5614" s="663"/>
      <c r="D5614" s="663"/>
      <c r="E5614" s="663"/>
    </row>
    <row r="5615" spans="1:5" x14ac:dyDescent="0.2">
      <c r="A5615"/>
      <c r="B5615" s="663"/>
      <c r="C5615" s="663"/>
      <c r="D5615" s="663"/>
      <c r="E5615" s="663"/>
    </row>
    <row r="5616" spans="1:5" x14ac:dyDescent="0.2">
      <c r="A5616"/>
      <c r="B5616" s="663"/>
      <c r="C5616" s="663"/>
      <c r="D5616" s="663"/>
      <c r="E5616" s="663"/>
    </row>
    <row r="5617" spans="1:5" x14ac:dyDescent="0.2">
      <c r="A5617"/>
      <c r="B5617" s="663"/>
      <c r="C5617" s="663"/>
      <c r="D5617" s="663"/>
      <c r="E5617" s="663"/>
    </row>
    <row r="5618" spans="1:5" x14ac:dyDescent="0.2">
      <c r="A5618"/>
      <c r="B5618" s="663"/>
      <c r="C5618" s="663"/>
      <c r="D5618" s="663"/>
      <c r="E5618" s="663"/>
    </row>
    <row r="5619" spans="1:5" x14ac:dyDescent="0.2">
      <c r="A5619"/>
      <c r="B5619" s="663"/>
      <c r="C5619" s="663"/>
      <c r="D5619" s="663"/>
      <c r="E5619" s="663"/>
    </row>
    <row r="5620" spans="1:5" x14ac:dyDescent="0.2">
      <c r="A5620"/>
      <c r="B5620" s="663"/>
      <c r="C5620" s="663"/>
      <c r="D5620" s="663"/>
      <c r="E5620" s="663"/>
    </row>
    <row r="5621" spans="1:5" x14ac:dyDescent="0.2">
      <c r="A5621"/>
      <c r="B5621" s="663"/>
      <c r="C5621" s="663"/>
      <c r="D5621" s="663"/>
      <c r="E5621" s="663"/>
    </row>
    <row r="5622" spans="1:5" x14ac:dyDescent="0.2">
      <c r="A5622"/>
      <c r="B5622" s="663"/>
      <c r="C5622" s="663"/>
      <c r="D5622" s="663"/>
      <c r="E5622" s="663"/>
    </row>
    <row r="5623" spans="1:5" x14ac:dyDescent="0.2">
      <c r="A5623"/>
      <c r="B5623" s="663"/>
      <c r="C5623" s="663"/>
      <c r="D5623" s="663"/>
      <c r="E5623" s="663"/>
    </row>
    <row r="5624" spans="1:5" x14ac:dyDescent="0.2">
      <c r="A5624"/>
      <c r="B5624" s="663"/>
      <c r="C5624" s="663"/>
      <c r="D5624" s="663"/>
      <c r="E5624" s="663"/>
    </row>
    <row r="5625" spans="1:5" x14ac:dyDescent="0.2">
      <c r="A5625"/>
      <c r="B5625" s="663"/>
      <c r="C5625" s="663"/>
      <c r="D5625" s="663"/>
      <c r="E5625" s="663"/>
    </row>
    <row r="5626" spans="1:5" x14ac:dyDescent="0.2">
      <c r="A5626"/>
      <c r="B5626" s="663"/>
      <c r="C5626" s="663"/>
      <c r="D5626" s="663"/>
      <c r="E5626" s="663"/>
    </row>
    <row r="5627" spans="1:5" x14ac:dyDescent="0.2">
      <c r="A5627"/>
      <c r="B5627" s="663"/>
      <c r="C5627" s="663"/>
      <c r="D5627" s="663"/>
      <c r="E5627" s="663"/>
    </row>
    <row r="5628" spans="1:5" x14ac:dyDescent="0.2">
      <c r="A5628"/>
      <c r="B5628" s="663"/>
      <c r="C5628" s="663"/>
      <c r="D5628" s="663"/>
      <c r="E5628" s="663"/>
    </row>
    <row r="5629" spans="1:5" x14ac:dyDescent="0.2">
      <c r="A5629"/>
      <c r="B5629" s="663"/>
      <c r="C5629" s="663"/>
      <c r="D5629" s="663"/>
      <c r="E5629" s="663"/>
    </row>
    <row r="5630" spans="1:5" x14ac:dyDescent="0.2">
      <c r="A5630"/>
      <c r="B5630" s="663"/>
      <c r="C5630" s="663"/>
      <c r="D5630" s="663"/>
      <c r="E5630" s="663"/>
    </row>
    <row r="5631" spans="1:5" x14ac:dyDescent="0.2">
      <c r="A5631"/>
      <c r="B5631" s="663"/>
      <c r="C5631" s="663"/>
      <c r="D5631" s="663"/>
      <c r="E5631" s="663"/>
    </row>
    <row r="5632" spans="1:5" x14ac:dyDescent="0.2">
      <c r="A5632"/>
      <c r="B5632" s="663"/>
      <c r="C5632" s="663"/>
      <c r="D5632" s="663"/>
      <c r="E5632" s="663"/>
    </row>
    <row r="5633" spans="1:5" x14ac:dyDescent="0.2">
      <c r="A5633"/>
      <c r="B5633" s="663"/>
      <c r="C5633" s="663"/>
      <c r="D5633" s="663"/>
      <c r="E5633" s="663"/>
    </row>
    <row r="5634" spans="1:5" x14ac:dyDescent="0.2">
      <c r="A5634"/>
      <c r="B5634" s="663"/>
      <c r="C5634" s="663"/>
      <c r="D5634" s="663"/>
      <c r="E5634" s="663"/>
    </row>
    <row r="5635" spans="1:5" x14ac:dyDescent="0.2">
      <c r="A5635"/>
      <c r="B5635" s="663"/>
      <c r="C5635" s="663"/>
      <c r="D5635" s="663"/>
      <c r="E5635" s="663"/>
    </row>
    <row r="5636" spans="1:5" x14ac:dyDescent="0.2">
      <c r="A5636"/>
      <c r="B5636" s="663"/>
      <c r="C5636" s="663"/>
      <c r="D5636" s="663"/>
      <c r="E5636" s="663"/>
    </row>
    <row r="5637" spans="1:5" x14ac:dyDescent="0.2">
      <c r="A5637"/>
      <c r="B5637" s="663"/>
      <c r="C5637" s="663"/>
      <c r="D5637" s="663"/>
      <c r="E5637" s="663"/>
    </row>
    <row r="5638" spans="1:5" x14ac:dyDescent="0.2">
      <c r="A5638"/>
      <c r="B5638" s="663"/>
      <c r="C5638" s="663"/>
      <c r="D5638" s="663"/>
      <c r="E5638" s="663"/>
    </row>
    <row r="5639" spans="1:5" x14ac:dyDescent="0.2">
      <c r="A5639"/>
      <c r="B5639" s="663"/>
      <c r="C5639" s="663"/>
      <c r="D5639" s="663"/>
      <c r="E5639" s="663"/>
    </row>
    <row r="5640" spans="1:5" x14ac:dyDescent="0.2">
      <c r="A5640"/>
      <c r="B5640" s="663"/>
      <c r="C5640" s="663"/>
      <c r="D5640" s="663"/>
      <c r="E5640" s="663"/>
    </row>
    <row r="5641" spans="1:5" x14ac:dyDescent="0.2">
      <c r="A5641"/>
      <c r="B5641" s="663"/>
      <c r="C5641" s="663"/>
      <c r="D5641" s="663"/>
      <c r="E5641" s="663"/>
    </row>
    <row r="5642" spans="1:5" x14ac:dyDescent="0.2">
      <c r="A5642"/>
      <c r="B5642" s="663"/>
      <c r="C5642" s="663"/>
      <c r="D5642" s="663"/>
      <c r="E5642" s="663"/>
    </row>
    <row r="5643" spans="1:5" x14ac:dyDescent="0.2">
      <c r="A5643"/>
      <c r="B5643" s="663"/>
      <c r="C5643" s="663"/>
      <c r="D5643" s="663"/>
      <c r="E5643" s="663"/>
    </row>
    <row r="5644" spans="1:5" x14ac:dyDescent="0.2">
      <c r="A5644"/>
      <c r="B5644" s="663"/>
      <c r="C5644" s="663"/>
      <c r="D5644" s="663"/>
      <c r="E5644" s="663"/>
    </row>
    <row r="5645" spans="1:5" x14ac:dyDescent="0.2">
      <c r="A5645"/>
      <c r="B5645" s="663"/>
      <c r="C5645" s="663"/>
      <c r="D5645" s="663"/>
      <c r="E5645" s="663"/>
    </row>
    <row r="5646" spans="1:5" x14ac:dyDescent="0.2">
      <c r="A5646"/>
      <c r="B5646" s="663"/>
      <c r="C5646" s="663"/>
      <c r="D5646" s="663"/>
      <c r="E5646" s="663"/>
    </row>
    <row r="5647" spans="1:5" x14ac:dyDescent="0.2">
      <c r="A5647"/>
      <c r="B5647" s="663"/>
      <c r="C5647" s="663"/>
      <c r="D5647" s="663"/>
      <c r="E5647" s="663"/>
    </row>
    <row r="5648" spans="1:5" x14ac:dyDescent="0.2">
      <c r="A5648"/>
      <c r="B5648" s="663"/>
      <c r="C5648" s="663"/>
      <c r="D5648" s="663"/>
      <c r="E5648" s="663"/>
    </row>
    <row r="5649" spans="1:5" x14ac:dyDescent="0.2">
      <c r="A5649"/>
      <c r="B5649" s="663"/>
      <c r="C5649" s="663"/>
      <c r="D5649" s="663"/>
      <c r="E5649" s="663"/>
    </row>
    <row r="5650" spans="1:5" x14ac:dyDescent="0.2">
      <c r="A5650"/>
      <c r="B5650" s="663"/>
      <c r="C5650" s="663"/>
      <c r="D5650" s="663"/>
      <c r="E5650" s="663"/>
    </row>
    <row r="5651" spans="1:5" x14ac:dyDescent="0.2">
      <c r="A5651"/>
      <c r="B5651" s="663"/>
      <c r="C5651" s="663"/>
      <c r="D5651" s="663"/>
      <c r="E5651" s="663"/>
    </row>
    <row r="5652" spans="1:5" x14ac:dyDescent="0.2">
      <c r="A5652"/>
      <c r="B5652" s="663"/>
      <c r="C5652" s="663"/>
      <c r="D5652" s="663"/>
      <c r="E5652" s="663"/>
    </row>
    <row r="5653" spans="1:5" x14ac:dyDescent="0.2">
      <c r="A5653"/>
      <c r="B5653" s="663"/>
      <c r="C5653" s="663"/>
      <c r="D5653" s="663"/>
      <c r="E5653" s="663"/>
    </row>
    <row r="5654" spans="1:5" x14ac:dyDescent="0.2">
      <c r="A5654"/>
      <c r="B5654" s="663"/>
      <c r="C5654" s="663"/>
      <c r="D5654" s="663"/>
      <c r="E5654" s="663"/>
    </row>
    <row r="5655" spans="1:5" x14ac:dyDescent="0.2">
      <c r="A5655"/>
      <c r="B5655" s="663"/>
      <c r="C5655" s="663"/>
      <c r="D5655" s="663"/>
      <c r="E5655" s="663"/>
    </row>
    <row r="5656" spans="1:5" x14ac:dyDescent="0.2">
      <c r="A5656"/>
      <c r="B5656" s="663"/>
      <c r="C5656" s="663"/>
      <c r="D5656" s="663"/>
      <c r="E5656" s="663"/>
    </row>
    <row r="5657" spans="1:5" x14ac:dyDescent="0.2">
      <c r="A5657"/>
      <c r="B5657" s="663"/>
      <c r="C5657" s="663"/>
      <c r="D5657" s="663"/>
      <c r="E5657" s="663"/>
    </row>
    <row r="5658" spans="1:5" x14ac:dyDescent="0.2">
      <c r="A5658"/>
      <c r="B5658" s="663"/>
      <c r="C5658" s="663"/>
      <c r="D5658" s="663"/>
      <c r="E5658" s="663"/>
    </row>
    <row r="5659" spans="1:5" x14ac:dyDescent="0.2">
      <c r="A5659"/>
      <c r="B5659" s="663"/>
      <c r="C5659" s="663"/>
      <c r="D5659" s="663"/>
      <c r="E5659" s="663"/>
    </row>
    <row r="5660" spans="1:5" x14ac:dyDescent="0.2">
      <c r="A5660"/>
      <c r="B5660" s="663"/>
      <c r="C5660" s="663"/>
      <c r="D5660" s="663"/>
      <c r="E5660" s="663"/>
    </row>
    <row r="5661" spans="1:5" x14ac:dyDescent="0.2">
      <c r="A5661"/>
      <c r="B5661" s="663"/>
      <c r="C5661" s="663"/>
      <c r="D5661" s="663"/>
      <c r="E5661" s="663"/>
    </row>
    <row r="5662" spans="1:5" x14ac:dyDescent="0.2">
      <c r="A5662"/>
      <c r="B5662" s="663"/>
      <c r="C5662" s="663"/>
      <c r="D5662" s="663"/>
      <c r="E5662" s="663"/>
    </row>
    <row r="5663" spans="1:5" x14ac:dyDescent="0.2">
      <c r="A5663"/>
      <c r="B5663" s="663"/>
      <c r="C5663" s="663"/>
      <c r="D5663" s="663"/>
      <c r="E5663" s="663"/>
    </row>
    <row r="5664" spans="1:5" x14ac:dyDescent="0.2">
      <c r="A5664"/>
      <c r="B5664" s="663"/>
      <c r="C5664" s="663"/>
      <c r="D5664" s="663"/>
      <c r="E5664" s="663"/>
    </row>
    <row r="5665" spans="1:5" x14ac:dyDescent="0.2">
      <c r="A5665"/>
      <c r="B5665" s="663"/>
      <c r="C5665" s="663"/>
      <c r="D5665" s="663"/>
      <c r="E5665" s="663"/>
    </row>
    <row r="5666" spans="1:5" x14ac:dyDescent="0.2">
      <c r="A5666"/>
      <c r="B5666" s="663"/>
      <c r="C5666" s="663"/>
      <c r="D5666" s="663"/>
      <c r="E5666" s="663"/>
    </row>
    <row r="5667" spans="1:5" x14ac:dyDescent="0.2">
      <c r="A5667"/>
      <c r="B5667" s="663"/>
      <c r="C5667" s="663"/>
      <c r="D5667" s="663"/>
      <c r="E5667" s="663"/>
    </row>
    <row r="5668" spans="1:5" x14ac:dyDescent="0.2">
      <c r="A5668"/>
      <c r="B5668" s="663"/>
      <c r="C5668" s="663"/>
      <c r="D5668" s="663"/>
      <c r="E5668" s="663"/>
    </row>
    <row r="5669" spans="1:5" x14ac:dyDescent="0.2">
      <c r="A5669"/>
      <c r="B5669" s="663"/>
      <c r="C5669" s="663"/>
      <c r="D5669" s="663"/>
      <c r="E5669" s="663"/>
    </row>
    <row r="5670" spans="1:5" x14ac:dyDescent="0.2">
      <c r="A5670"/>
      <c r="B5670" s="663"/>
      <c r="C5670" s="663"/>
      <c r="D5670" s="663"/>
      <c r="E5670" s="663"/>
    </row>
    <row r="5671" spans="1:5" x14ac:dyDescent="0.2">
      <c r="A5671"/>
      <c r="B5671" s="663"/>
      <c r="C5671" s="663"/>
      <c r="D5671" s="663"/>
      <c r="E5671" s="663"/>
    </row>
    <row r="5672" spans="1:5" x14ac:dyDescent="0.2">
      <c r="A5672"/>
      <c r="B5672" s="663"/>
      <c r="C5672" s="663"/>
      <c r="D5672" s="663"/>
      <c r="E5672" s="663"/>
    </row>
    <row r="5673" spans="1:5" x14ac:dyDescent="0.2">
      <c r="A5673"/>
      <c r="B5673" s="663"/>
      <c r="C5673" s="663"/>
      <c r="D5673" s="663"/>
      <c r="E5673" s="663"/>
    </row>
    <row r="5674" spans="1:5" x14ac:dyDescent="0.2">
      <c r="A5674"/>
      <c r="B5674" s="663"/>
      <c r="C5674" s="663"/>
      <c r="D5674" s="663"/>
      <c r="E5674" s="663"/>
    </row>
    <row r="5675" spans="1:5" x14ac:dyDescent="0.2">
      <c r="A5675"/>
      <c r="B5675" s="663"/>
      <c r="C5675" s="663"/>
      <c r="D5675" s="663"/>
      <c r="E5675" s="663"/>
    </row>
    <row r="5676" spans="1:5" x14ac:dyDescent="0.2">
      <c r="A5676"/>
      <c r="B5676" s="663"/>
      <c r="C5676" s="663"/>
      <c r="D5676" s="663"/>
      <c r="E5676" s="663"/>
    </row>
    <row r="5677" spans="1:5" x14ac:dyDescent="0.2">
      <c r="A5677"/>
      <c r="B5677" s="663"/>
      <c r="C5677" s="663"/>
      <c r="D5677" s="663"/>
      <c r="E5677" s="663"/>
    </row>
    <row r="5678" spans="1:5" x14ac:dyDescent="0.2">
      <c r="A5678"/>
      <c r="B5678" s="663"/>
      <c r="C5678" s="663"/>
      <c r="D5678" s="663"/>
      <c r="E5678" s="663"/>
    </row>
    <row r="5679" spans="1:5" x14ac:dyDescent="0.2">
      <c r="A5679"/>
      <c r="B5679" s="663"/>
      <c r="C5679" s="663"/>
      <c r="D5679" s="663"/>
      <c r="E5679" s="663"/>
    </row>
    <row r="5680" spans="1:5" x14ac:dyDescent="0.2">
      <c r="A5680"/>
      <c r="B5680" s="663"/>
      <c r="C5680" s="663"/>
      <c r="D5680" s="663"/>
      <c r="E5680" s="663"/>
    </row>
    <row r="5681" spans="1:5" x14ac:dyDescent="0.2">
      <c r="A5681"/>
      <c r="B5681" s="663"/>
      <c r="C5681" s="663"/>
      <c r="D5681" s="663"/>
      <c r="E5681" s="663"/>
    </row>
    <row r="5682" spans="1:5" x14ac:dyDescent="0.2">
      <c r="A5682"/>
      <c r="B5682" s="663"/>
      <c r="C5682" s="663"/>
      <c r="D5682" s="663"/>
      <c r="E5682" s="663"/>
    </row>
    <row r="5683" spans="1:5" x14ac:dyDescent="0.2">
      <c r="A5683"/>
      <c r="B5683" s="663"/>
      <c r="C5683" s="663"/>
      <c r="D5683" s="663"/>
      <c r="E5683" s="663"/>
    </row>
    <row r="5684" spans="1:5" x14ac:dyDescent="0.2">
      <c r="A5684"/>
      <c r="B5684" s="663"/>
      <c r="C5684" s="663"/>
      <c r="D5684" s="663"/>
      <c r="E5684" s="663"/>
    </row>
    <row r="5685" spans="1:5" x14ac:dyDescent="0.2">
      <c r="A5685"/>
      <c r="B5685" s="663"/>
      <c r="C5685" s="663"/>
      <c r="D5685" s="663"/>
      <c r="E5685" s="663"/>
    </row>
    <row r="5686" spans="1:5" x14ac:dyDescent="0.2">
      <c r="A5686"/>
      <c r="B5686" s="663"/>
      <c r="C5686" s="663"/>
      <c r="D5686" s="663"/>
      <c r="E5686" s="663"/>
    </row>
    <row r="5687" spans="1:5" x14ac:dyDescent="0.2">
      <c r="A5687"/>
      <c r="B5687" s="663"/>
      <c r="C5687" s="663"/>
      <c r="D5687" s="663"/>
      <c r="E5687" s="663"/>
    </row>
    <row r="5688" spans="1:5" x14ac:dyDescent="0.2">
      <c r="A5688"/>
      <c r="B5688" s="663"/>
      <c r="C5688" s="663"/>
      <c r="D5688" s="663"/>
      <c r="E5688" s="663"/>
    </row>
    <row r="5689" spans="1:5" x14ac:dyDescent="0.2">
      <c r="A5689"/>
      <c r="B5689" s="663"/>
      <c r="C5689" s="663"/>
      <c r="D5689" s="663"/>
      <c r="E5689" s="663"/>
    </row>
    <row r="5690" spans="1:5" x14ac:dyDescent="0.2">
      <c r="A5690"/>
      <c r="B5690" s="663"/>
      <c r="C5690" s="663"/>
      <c r="D5690" s="663"/>
      <c r="E5690" s="663"/>
    </row>
    <row r="5691" spans="1:5" x14ac:dyDescent="0.2">
      <c r="A5691"/>
      <c r="B5691" s="663"/>
      <c r="C5691" s="663"/>
      <c r="D5691" s="663"/>
      <c r="E5691" s="663"/>
    </row>
    <row r="5692" spans="1:5" x14ac:dyDescent="0.2">
      <c r="A5692"/>
      <c r="B5692" s="663"/>
      <c r="C5692" s="663"/>
      <c r="D5692" s="663"/>
      <c r="E5692" s="663"/>
    </row>
    <row r="5693" spans="1:5" x14ac:dyDescent="0.2">
      <c r="A5693"/>
      <c r="B5693" s="663"/>
      <c r="C5693" s="663"/>
      <c r="D5693" s="663"/>
      <c r="E5693" s="663"/>
    </row>
    <row r="5694" spans="1:5" x14ac:dyDescent="0.2">
      <c r="A5694"/>
      <c r="B5694" s="663"/>
      <c r="C5694" s="663"/>
      <c r="D5694" s="663"/>
      <c r="E5694" s="663"/>
    </row>
    <row r="5695" spans="1:5" x14ac:dyDescent="0.2">
      <c r="A5695"/>
      <c r="B5695" s="663"/>
      <c r="C5695" s="663"/>
      <c r="D5695" s="663"/>
      <c r="E5695" s="663"/>
    </row>
    <row r="5696" spans="1:5" x14ac:dyDescent="0.2">
      <c r="A5696"/>
      <c r="B5696" s="663"/>
      <c r="C5696" s="663"/>
      <c r="D5696" s="663"/>
      <c r="E5696" s="663"/>
    </row>
    <row r="5697" spans="1:5" x14ac:dyDescent="0.2">
      <c r="A5697"/>
      <c r="B5697" s="663"/>
      <c r="C5697" s="663"/>
      <c r="D5697" s="663"/>
      <c r="E5697" s="663"/>
    </row>
    <row r="5698" spans="1:5" x14ac:dyDescent="0.2">
      <c r="A5698"/>
      <c r="B5698" s="663"/>
      <c r="C5698" s="663"/>
      <c r="D5698" s="663"/>
      <c r="E5698" s="663"/>
    </row>
    <row r="5699" spans="1:5" x14ac:dyDescent="0.2">
      <c r="A5699"/>
      <c r="B5699" s="663"/>
      <c r="C5699" s="663"/>
      <c r="D5699" s="663"/>
      <c r="E5699" s="663"/>
    </row>
    <row r="5700" spans="1:5" x14ac:dyDescent="0.2">
      <c r="A5700"/>
      <c r="B5700" s="663"/>
      <c r="C5700" s="663"/>
      <c r="D5700" s="663"/>
      <c r="E5700" s="663"/>
    </row>
    <row r="5701" spans="1:5" x14ac:dyDescent="0.2">
      <c r="A5701"/>
      <c r="B5701" s="663"/>
      <c r="C5701" s="663"/>
      <c r="D5701" s="663"/>
      <c r="E5701" s="663"/>
    </row>
    <row r="5702" spans="1:5" x14ac:dyDescent="0.2">
      <c r="A5702"/>
      <c r="B5702" s="663"/>
      <c r="C5702" s="663"/>
      <c r="D5702" s="663"/>
      <c r="E5702" s="663"/>
    </row>
    <row r="5703" spans="1:5" x14ac:dyDescent="0.2">
      <c r="A5703"/>
      <c r="B5703" s="663"/>
      <c r="C5703" s="663"/>
      <c r="D5703" s="663"/>
      <c r="E5703" s="663"/>
    </row>
    <row r="5704" spans="1:5" x14ac:dyDescent="0.2">
      <c r="A5704"/>
      <c r="B5704" s="663"/>
      <c r="C5704" s="663"/>
      <c r="D5704" s="663"/>
      <c r="E5704" s="663"/>
    </row>
    <row r="5705" spans="1:5" x14ac:dyDescent="0.2">
      <c r="A5705"/>
      <c r="B5705" s="663"/>
      <c r="C5705" s="663"/>
      <c r="D5705" s="663"/>
      <c r="E5705" s="663"/>
    </row>
    <row r="5706" spans="1:5" x14ac:dyDescent="0.2">
      <c r="A5706"/>
      <c r="B5706" s="663"/>
      <c r="C5706" s="663"/>
      <c r="D5706" s="663"/>
      <c r="E5706" s="663"/>
    </row>
    <row r="5707" spans="1:5" x14ac:dyDescent="0.2">
      <c r="A5707"/>
      <c r="B5707" s="663"/>
      <c r="C5707" s="663"/>
      <c r="D5707" s="663"/>
      <c r="E5707" s="663"/>
    </row>
    <row r="5708" spans="1:5" x14ac:dyDescent="0.2">
      <c r="A5708"/>
      <c r="B5708" s="663"/>
      <c r="C5708" s="663"/>
      <c r="D5708" s="663"/>
      <c r="E5708" s="663"/>
    </row>
    <row r="5709" spans="1:5" x14ac:dyDescent="0.2">
      <c r="A5709"/>
      <c r="B5709" s="663"/>
      <c r="C5709" s="663"/>
      <c r="D5709" s="663"/>
      <c r="E5709" s="663"/>
    </row>
    <row r="5710" spans="1:5" x14ac:dyDescent="0.2">
      <c r="A5710"/>
      <c r="B5710" s="663"/>
      <c r="C5710" s="663"/>
      <c r="D5710" s="663"/>
      <c r="E5710" s="663"/>
    </row>
    <row r="5711" spans="1:5" x14ac:dyDescent="0.2">
      <c r="A5711"/>
      <c r="B5711" s="663"/>
      <c r="C5711" s="663"/>
      <c r="D5711" s="663"/>
      <c r="E5711" s="663"/>
    </row>
    <row r="5712" spans="1:5" x14ac:dyDescent="0.2">
      <c r="A5712"/>
      <c r="B5712" s="663"/>
      <c r="C5712" s="663"/>
      <c r="D5712" s="663"/>
      <c r="E5712" s="663"/>
    </row>
    <row r="5713" spans="1:5" x14ac:dyDescent="0.2">
      <c r="A5713"/>
      <c r="B5713" s="663"/>
      <c r="C5713" s="663"/>
      <c r="D5713" s="663"/>
      <c r="E5713" s="663"/>
    </row>
    <row r="5714" spans="1:5" x14ac:dyDescent="0.2">
      <c r="A5714"/>
      <c r="B5714" s="663"/>
      <c r="C5714" s="663"/>
      <c r="D5714" s="663"/>
      <c r="E5714" s="663"/>
    </row>
    <row r="5715" spans="1:5" x14ac:dyDescent="0.2">
      <c r="A5715"/>
      <c r="B5715" s="663"/>
      <c r="C5715" s="663"/>
      <c r="D5715" s="663"/>
      <c r="E5715" s="663"/>
    </row>
    <row r="5716" spans="1:5" x14ac:dyDescent="0.2">
      <c r="A5716"/>
      <c r="B5716" s="663"/>
      <c r="C5716" s="663"/>
      <c r="D5716" s="663"/>
      <c r="E5716" s="663"/>
    </row>
    <row r="5717" spans="1:5" x14ac:dyDescent="0.2">
      <c r="A5717"/>
      <c r="B5717" s="663"/>
      <c r="C5717" s="663"/>
      <c r="D5717" s="663"/>
      <c r="E5717" s="663"/>
    </row>
    <row r="5718" spans="1:5" x14ac:dyDescent="0.2">
      <c r="A5718"/>
      <c r="B5718" s="663"/>
      <c r="C5718" s="663"/>
      <c r="D5718" s="663"/>
      <c r="E5718" s="663"/>
    </row>
    <row r="5719" spans="1:5" x14ac:dyDescent="0.2">
      <c r="A5719"/>
      <c r="B5719" s="663"/>
      <c r="C5719" s="663"/>
      <c r="D5719" s="663"/>
      <c r="E5719" s="663"/>
    </row>
    <row r="5720" spans="1:5" x14ac:dyDescent="0.2">
      <c r="A5720"/>
      <c r="B5720" s="663"/>
      <c r="C5720" s="663"/>
      <c r="D5720" s="663"/>
      <c r="E5720" s="663"/>
    </row>
    <row r="5721" spans="1:5" x14ac:dyDescent="0.2">
      <c r="A5721"/>
      <c r="B5721" s="663"/>
      <c r="C5721" s="663"/>
      <c r="D5721" s="663"/>
      <c r="E5721" s="663"/>
    </row>
    <row r="5722" spans="1:5" x14ac:dyDescent="0.2">
      <c r="A5722"/>
      <c r="B5722" s="663"/>
      <c r="C5722" s="663"/>
      <c r="D5722" s="663"/>
      <c r="E5722" s="663"/>
    </row>
    <row r="5723" spans="1:5" x14ac:dyDescent="0.2">
      <c r="A5723"/>
      <c r="B5723" s="663"/>
      <c r="C5723" s="663"/>
      <c r="D5723" s="663"/>
      <c r="E5723" s="663"/>
    </row>
    <row r="5724" spans="1:5" x14ac:dyDescent="0.2">
      <c r="A5724"/>
      <c r="B5724" s="663"/>
      <c r="C5724" s="663"/>
      <c r="D5724" s="663"/>
      <c r="E5724" s="663"/>
    </row>
    <row r="5725" spans="1:5" x14ac:dyDescent="0.2">
      <c r="A5725"/>
      <c r="B5725" s="663"/>
      <c r="C5725" s="663"/>
      <c r="D5725" s="663"/>
      <c r="E5725" s="663"/>
    </row>
    <row r="5726" spans="1:5" x14ac:dyDescent="0.2">
      <c r="A5726"/>
      <c r="B5726" s="663"/>
      <c r="C5726" s="663"/>
      <c r="D5726" s="663"/>
      <c r="E5726" s="663"/>
    </row>
    <row r="5727" spans="1:5" x14ac:dyDescent="0.2">
      <c r="A5727"/>
      <c r="B5727" s="663"/>
      <c r="C5727" s="663"/>
      <c r="D5727" s="663"/>
      <c r="E5727" s="663"/>
    </row>
    <row r="5728" spans="1:5" x14ac:dyDescent="0.2">
      <c r="A5728"/>
      <c r="B5728" s="663"/>
      <c r="C5728" s="663"/>
      <c r="D5728" s="663"/>
      <c r="E5728" s="663"/>
    </row>
    <row r="5729" spans="1:5" x14ac:dyDescent="0.2">
      <c r="A5729"/>
      <c r="B5729" s="663"/>
      <c r="C5729" s="663"/>
      <c r="D5729" s="663"/>
      <c r="E5729" s="663"/>
    </row>
    <row r="5730" spans="1:5" x14ac:dyDescent="0.2">
      <c r="A5730"/>
      <c r="B5730" s="663"/>
      <c r="C5730" s="663"/>
      <c r="D5730" s="663"/>
      <c r="E5730" s="663"/>
    </row>
    <row r="5731" spans="1:5" x14ac:dyDescent="0.2">
      <c r="A5731"/>
      <c r="B5731" s="663"/>
      <c r="C5731" s="663"/>
      <c r="D5731" s="663"/>
      <c r="E5731" s="663"/>
    </row>
    <row r="5732" spans="1:5" x14ac:dyDescent="0.2">
      <c r="A5732"/>
      <c r="B5732" s="663"/>
      <c r="C5732" s="663"/>
      <c r="D5732" s="663"/>
      <c r="E5732" s="663"/>
    </row>
    <row r="5733" spans="1:5" x14ac:dyDescent="0.2">
      <c r="A5733"/>
      <c r="B5733" s="663"/>
      <c r="C5733" s="663"/>
      <c r="D5733" s="663"/>
      <c r="E5733" s="663"/>
    </row>
    <row r="5734" spans="1:5" x14ac:dyDescent="0.2">
      <c r="A5734"/>
      <c r="B5734" s="663"/>
      <c r="C5734" s="663"/>
      <c r="D5734" s="663"/>
      <c r="E5734" s="663"/>
    </row>
    <row r="5735" spans="1:5" x14ac:dyDescent="0.2">
      <c r="A5735"/>
      <c r="B5735" s="663"/>
      <c r="C5735" s="663"/>
      <c r="D5735" s="663"/>
      <c r="E5735" s="663"/>
    </row>
    <row r="5736" spans="1:5" x14ac:dyDescent="0.2">
      <c r="A5736"/>
      <c r="B5736" s="663"/>
      <c r="C5736" s="663"/>
      <c r="D5736" s="663"/>
      <c r="E5736" s="663"/>
    </row>
    <row r="5737" spans="1:5" x14ac:dyDescent="0.2">
      <c r="A5737"/>
      <c r="B5737" s="663"/>
      <c r="C5737" s="663"/>
      <c r="D5737" s="663"/>
      <c r="E5737" s="663"/>
    </row>
    <row r="5738" spans="1:5" x14ac:dyDescent="0.2">
      <c r="A5738"/>
      <c r="B5738" s="663"/>
      <c r="C5738" s="663"/>
      <c r="D5738" s="663"/>
      <c r="E5738" s="663"/>
    </row>
    <row r="5739" spans="1:5" x14ac:dyDescent="0.2">
      <c r="A5739"/>
      <c r="B5739" s="663"/>
      <c r="C5739" s="663"/>
      <c r="D5739" s="663"/>
      <c r="E5739" s="663"/>
    </row>
    <row r="5740" spans="1:5" x14ac:dyDescent="0.2">
      <c r="A5740"/>
      <c r="B5740" s="663"/>
      <c r="C5740" s="663"/>
      <c r="D5740" s="663"/>
      <c r="E5740" s="663"/>
    </row>
    <row r="5741" spans="1:5" x14ac:dyDescent="0.2">
      <c r="A5741"/>
      <c r="B5741" s="663"/>
      <c r="C5741" s="663"/>
      <c r="D5741" s="663"/>
      <c r="E5741" s="663"/>
    </row>
    <row r="5742" spans="1:5" x14ac:dyDescent="0.2">
      <c r="A5742"/>
      <c r="B5742" s="663"/>
      <c r="C5742" s="663"/>
      <c r="D5742" s="663"/>
      <c r="E5742" s="663"/>
    </row>
    <row r="5743" spans="1:5" x14ac:dyDescent="0.2">
      <c r="A5743"/>
      <c r="B5743" s="663"/>
      <c r="C5743" s="663"/>
      <c r="D5743" s="663"/>
      <c r="E5743" s="663"/>
    </row>
    <row r="5744" spans="1:5" x14ac:dyDescent="0.2">
      <c r="A5744"/>
      <c r="B5744" s="663"/>
      <c r="C5744" s="663"/>
      <c r="D5744" s="663"/>
      <c r="E5744" s="663"/>
    </row>
    <row r="5745" spans="1:5" x14ac:dyDescent="0.2">
      <c r="A5745"/>
      <c r="B5745" s="663"/>
      <c r="C5745" s="663"/>
      <c r="D5745" s="663"/>
      <c r="E5745" s="663"/>
    </row>
    <row r="5746" spans="1:5" x14ac:dyDescent="0.2">
      <c r="A5746"/>
      <c r="B5746" s="663"/>
      <c r="C5746" s="663"/>
      <c r="D5746" s="663"/>
      <c r="E5746" s="663"/>
    </row>
    <row r="5747" spans="1:5" x14ac:dyDescent="0.2">
      <c r="A5747"/>
      <c r="B5747" s="663"/>
      <c r="C5747" s="663"/>
      <c r="D5747" s="663"/>
      <c r="E5747" s="663"/>
    </row>
    <row r="5748" spans="1:5" x14ac:dyDescent="0.2">
      <c r="A5748"/>
      <c r="B5748" s="663"/>
      <c r="C5748" s="663"/>
      <c r="D5748" s="663"/>
      <c r="E5748" s="663"/>
    </row>
    <row r="5749" spans="1:5" x14ac:dyDescent="0.2">
      <c r="A5749"/>
      <c r="B5749" s="663"/>
      <c r="C5749" s="663"/>
      <c r="D5749" s="663"/>
      <c r="E5749" s="663"/>
    </row>
    <row r="5750" spans="1:5" x14ac:dyDescent="0.2">
      <c r="A5750"/>
      <c r="B5750" s="663"/>
      <c r="C5750" s="663"/>
      <c r="D5750" s="663"/>
      <c r="E5750" s="663"/>
    </row>
    <row r="5751" spans="1:5" x14ac:dyDescent="0.2">
      <c r="A5751"/>
      <c r="B5751" s="663"/>
      <c r="C5751" s="663"/>
      <c r="D5751" s="663"/>
      <c r="E5751" s="663"/>
    </row>
    <row r="5752" spans="1:5" x14ac:dyDescent="0.2">
      <c r="A5752"/>
      <c r="B5752" s="663"/>
      <c r="C5752" s="663"/>
      <c r="D5752" s="663"/>
      <c r="E5752" s="663"/>
    </row>
    <row r="5753" spans="1:5" x14ac:dyDescent="0.2">
      <c r="A5753"/>
      <c r="B5753" s="663"/>
      <c r="C5753" s="663"/>
      <c r="D5753" s="663"/>
      <c r="E5753" s="663"/>
    </row>
    <row r="5754" spans="1:5" x14ac:dyDescent="0.2">
      <c r="A5754"/>
      <c r="B5754" s="663"/>
      <c r="C5754" s="663"/>
      <c r="D5754" s="663"/>
      <c r="E5754" s="663"/>
    </row>
    <row r="5755" spans="1:5" x14ac:dyDescent="0.2">
      <c r="A5755"/>
      <c r="B5755" s="663"/>
      <c r="C5755" s="663"/>
      <c r="D5755" s="663"/>
      <c r="E5755" s="663"/>
    </row>
    <row r="5756" spans="1:5" x14ac:dyDescent="0.2">
      <c r="A5756"/>
      <c r="B5756" s="663"/>
      <c r="C5756" s="663"/>
      <c r="D5756" s="663"/>
      <c r="E5756" s="663"/>
    </row>
    <row r="5757" spans="1:5" x14ac:dyDescent="0.2">
      <c r="A5757"/>
      <c r="B5757" s="663"/>
      <c r="C5757" s="663"/>
      <c r="D5757" s="663"/>
      <c r="E5757" s="663"/>
    </row>
    <row r="5758" spans="1:5" x14ac:dyDescent="0.2">
      <c r="A5758"/>
      <c r="B5758" s="663"/>
      <c r="C5758" s="663"/>
      <c r="D5758" s="663"/>
      <c r="E5758" s="663"/>
    </row>
    <row r="5759" spans="1:5" x14ac:dyDescent="0.2">
      <c r="A5759"/>
      <c r="B5759" s="663"/>
      <c r="C5759" s="663"/>
      <c r="D5759" s="663"/>
      <c r="E5759" s="663"/>
    </row>
    <row r="5760" spans="1:5" x14ac:dyDescent="0.2">
      <c r="A5760"/>
      <c r="B5760" s="663"/>
      <c r="C5760" s="663"/>
      <c r="D5760" s="663"/>
      <c r="E5760" s="663"/>
    </row>
    <row r="5761" spans="1:5" x14ac:dyDescent="0.2">
      <c r="A5761"/>
      <c r="B5761" s="663"/>
      <c r="C5761" s="663"/>
      <c r="D5761" s="663"/>
      <c r="E5761" s="663"/>
    </row>
    <row r="5762" spans="1:5" x14ac:dyDescent="0.2">
      <c r="A5762"/>
      <c r="B5762" s="663"/>
      <c r="C5762" s="663"/>
      <c r="D5762" s="663"/>
      <c r="E5762" s="663"/>
    </row>
    <row r="5763" spans="1:5" x14ac:dyDescent="0.2">
      <c r="A5763"/>
      <c r="B5763" s="663"/>
      <c r="C5763" s="663"/>
      <c r="D5763" s="663"/>
      <c r="E5763" s="663"/>
    </row>
    <row r="5764" spans="1:5" x14ac:dyDescent="0.2">
      <c r="A5764"/>
      <c r="B5764" s="663"/>
      <c r="C5764" s="663"/>
      <c r="D5764" s="663"/>
      <c r="E5764" s="663"/>
    </row>
    <row r="5765" spans="1:5" x14ac:dyDescent="0.2">
      <c r="A5765"/>
      <c r="B5765" s="663"/>
      <c r="C5765" s="663"/>
      <c r="D5765" s="663"/>
      <c r="E5765" s="663"/>
    </row>
    <row r="5766" spans="1:5" x14ac:dyDescent="0.2">
      <c r="A5766"/>
      <c r="B5766" s="663"/>
      <c r="C5766" s="663"/>
      <c r="D5766" s="663"/>
      <c r="E5766" s="663"/>
    </row>
    <row r="5767" spans="1:5" x14ac:dyDescent="0.2">
      <c r="A5767"/>
      <c r="B5767" s="663"/>
      <c r="C5767" s="663"/>
      <c r="D5767" s="663"/>
      <c r="E5767" s="663"/>
    </row>
    <row r="5768" spans="1:5" x14ac:dyDescent="0.2">
      <c r="A5768"/>
      <c r="B5768" s="663"/>
      <c r="C5768" s="663"/>
      <c r="D5768" s="663"/>
      <c r="E5768" s="663"/>
    </row>
    <row r="5769" spans="1:5" x14ac:dyDescent="0.2">
      <c r="A5769"/>
      <c r="B5769" s="663"/>
      <c r="C5769" s="663"/>
      <c r="D5769" s="663"/>
      <c r="E5769" s="663"/>
    </row>
    <row r="5770" spans="1:5" x14ac:dyDescent="0.2">
      <c r="A5770"/>
      <c r="B5770" s="663"/>
      <c r="C5770" s="663"/>
      <c r="D5770" s="663"/>
      <c r="E5770" s="663"/>
    </row>
    <row r="5771" spans="1:5" x14ac:dyDescent="0.2">
      <c r="A5771"/>
      <c r="B5771" s="663"/>
      <c r="C5771" s="663"/>
      <c r="D5771" s="663"/>
      <c r="E5771" s="663"/>
    </row>
    <row r="5772" spans="1:5" x14ac:dyDescent="0.2">
      <c r="A5772"/>
      <c r="B5772" s="663"/>
      <c r="C5772" s="663"/>
      <c r="D5772" s="663"/>
      <c r="E5772" s="663"/>
    </row>
    <row r="5773" spans="1:5" x14ac:dyDescent="0.2">
      <c r="A5773"/>
      <c r="B5773" s="663"/>
      <c r="C5773" s="663"/>
      <c r="D5773" s="663"/>
      <c r="E5773" s="663"/>
    </row>
    <row r="5774" spans="1:5" x14ac:dyDescent="0.2">
      <c r="A5774"/>
      <c r="B5774" s="663"/>
      <c r="C5774" s="663"/>
      <c r="D5774" s="663"/>
      <c r="E5774" s="663"/>
    </row>
    <row r="5775" spans="1:5" x14ac:dyDescent="0.2">
      <c r="A5775"/>
      <c r="B5775" s="663"/>
      <c r="C5775" s="663"/>
      <c r="D5775" s="663"/>
      <c r="E5775" s="663"/>
    </row>
    <row r="5776" spans="1:5" x14ac:dyDescent="0.2">
      <c r="A5776"/>
      <c r="B5776" s="663"/>
      <c r="C5776" s="663"/>
      <c r="D5776" s="663"/>
      <c r="E5776" s="663"/>
    </row>
    <row r="5777" spans="1:5" x14ac:dyDescent="0.2">
      <c r="A5777"/>
      <c r="B5777" s="663"/>
      <c r="C5777" s="663"/>
      <c r="D5777" s="663"/>
      <c r="E5777" s="663"/>
    </row>
    <row r="5778" spans="1:5" x14ac:dyDescent="0.2">
      <c r="A5778"/>
      <c r="B5778" s="663"/>
      <c r="C5778" s="663"/>
      <c r="D5778" s="663"/>
      <c r="E5778" s="663"/>
    </row>
    <row r="5779" spans="1:5" x14ac:dyDescent="0.2">
      <c r="A5779"/>
      <c r="B5779" s="663"/>
      <c r="C5779" s="663"/>
      <c r="D5779" s="663"/>
      <c r="E5779" s="663"/>
    </row>
    <row r="5780" spans="1:5" x14ac:dyDescent="0.2">
      <c r="A5780"/>
      <c r="B5780" s="663"/>
      <c r="C5780" s="663"/>
      <c r="D5780" s="663"/>
      <c r="E5780" s="663"/>
    </row>
    <row r="5781" spans="1:5" x14ac:dyDescent="0.2">
      <c r="A5781"/>
      <c r="B5781" s="663"/>
      <c r="C5781" s="663"/>
      <c r="D5781" s="663"/>
      <c r="E5781" s="663"/>
    </row>
    <row r="5782" spans="1:5" x14ac:dyDescent="0.2">
      <c r="A5782"/>
      <c r="B5782" s="663"/>
      <c r="C5782" s="663"/>
      <c r="D5782" s="663"/>
      <c r="E5782" s="663"/>
    </row>
    <row r="5783" spans="1:5" x14ac:dyDescent="0.2">
      <c r="A5783"/>
      <c r="B5783" s="663"/>
      <c r="C5783" s="663"/>
      <c r="D5783" s="663"/>
      <c r="E5783" s="663"/>
    </row>
    <row r="5784" spans="1:5" x14ac:dyDescent="0.2">
      <c r="A5784"/>
      <c r="B5784" s="663"/>
      <c r="C5784" s="663"/>
      <c r="D5784" s="663"/>
      <c r="E5784" s="663"/>
    </row>
    <row r="5785" spans="1:5" x14ac:dyDescent="0.2">
      <c r="A5785"/>
      <c r="B5785" s="663"/>
      <c r="C5785" s="663"/>
      <c r="D5785" s="663"/>
      <c r="E5785" s="663"/>
    </row>
    <row r="5786" spans="1:5" x14ac:dyDescent="0.2">
      <c r="A5786"/>
      <c r="B5786" s="663"/>
      <c r="C5786" s="663"/>
      <c r="D5786" s="663"/>
      <c r="E5786" s="663"/>
    </row>
    <row r="5787" spans="1:5" x14ac:dyDescent="0.2">
      <c r="A5787"/>
      <c r="B5787" s="663"/>
      <c r="C5787" s="663"/>
      <c r="D5787" s="663"/>
      <c r="E5787" s="663"/>
    </row>
    <row r="5788" spans="1:5" x14ac:dyDescent="0.2">
      <c r="A5788"/>
      <c r="B5788" s="663"/>
      <c r="C5788" s="663"/>
      <c r="D5788" s="663"/>
      <c r="E5788" s="663"/>
    </row>
    <row r="5789" spans="1:5" x14ac:dyDescent="0.2">
      <c r="A5789"/>
      <c r="B5789" s="663"/>
      <c r="C5789" s="663"/>
      <c r="D5789" s="663"/>
      <c r="E5789" s="663"/>
    </row>
    <row r="5790" spans="1:5" x14ac:dyDescent="0.2">
      <c r="A5790"/>
      <c r="B5790" s="663"/>
      <c r="C5790" s="663"/>
      <c r="D5790" s="663"/>
      <c r="E5790" s="663"/>
    </row>
    <row r="5791" spans="1:5" x14ac:dyDescent="0.2">
      <c r="A5791"/>
      <c r="B5791" s="663"/>
      <c r="C5791" s="663"/>
      <c r="D5791" s="663"/>
      <c r="E5791" s="663"/>
    </row>
    <row r="5792" spans="1:5" x14ac:dyDescent="0.2">
      <c r="A5792"/>
      <c r="B5792" s="663"/>
      <c r="C5792" s="663"/>
      <c r="D5792" s="663"/>
      <c r="E5792" s="663"/>
    </row>
    <row r="5793" spans="1:5" x14ac:dyDescent="0.2">
      <c r="A5793"/>
      <c r="B5793" s="663"/>
      <c r="C5793" s="663"/>
      <c r="D5793" s="663"/>
      <c r="E5793" s="663"/>
    </row>
    <row r="5794" spans="1:5" x14ac:dyDescent="0.2">
      <c r="A5794"/>
      <c r="B5794" s="663"/>
      <c r="C5794" s="663"/>
      <c r="D5794" s="663"/>
      <c r="E5794" s="663"/>
    </row>
    <row r="5795" spans="1:5" x14ac:dyDescent="0.2">
      <c r="A5795"/>
      <c r="B5795" s="663"/>
      <c r="C5795" s="663"/>
      <c r="D5795" s="663"/>
      <c r="E5795" s="663"/>
    </row>
    <row r="5796" spans="1:5" x14ac:dyDescent="0.2">
      <c r="A5796"/>
      <c r="B5796" s="663"/>
      <c r="C5796" s="663"/>
      <c r="D5796" s="663"/>
      <c r="E5796" s="663"/>
    </row>
    <row r="5797" spans="1:5" x14ac:dyDescent="0.2">
      <c r="A5797"/>
      <c r="B5797" s="663"/>
      <c r="C5797" s="663"/>
      <c r="D5797" s="663"/>
      <c r="E5797" s="663"/>
    </row>
    <row r="5798" spans="1:5" x14ac:dyDescent="0.2">
      <c r="A5798"/>
      <c r="B5798" s="663"/>
      <c r="C5798" s="663"/>
      <c r="D5798" s="663"/>
      <c r="E5798" s="663"/>
    </row>
    <row r="5799" spans="1:5" x14ac:dyDescent="0.2">
      <c r="A5799"/>
      <c r="B5799" s="663"/>
      <c r="C5799" s="663"/>
      <c r="D5799" s="663"/>
      <c r="E5799" s="663"/>
    </row>
    <row r="5800" spans="1:5" x14ac:dyDescent="0.2">
      <c r="A5800"/>
      <c r="B5800" s="663"/>
      <c r="C5800" s="663"/>
      <c r="D5800" s="663"/>
      <c r="E5800" s="663"/>
    </row>
    <row r="5801" spans="1:5" x14ac:dyDescent="0.2">
      <c r="A5801"/>
      <c r="B5801" s="663"/>
      <c r="C5801" s="663"/>
      <c r="D5801" s="663"/>
      <c r="E5801" s="663"/>
    </row>
    <row r="5802" spans="1:5" x14ac:dyDescent="0.2">
      <c r="A5802"/>
      <c r="B5802" s="663"/>
      <c r="C5802" s="663"/>
      <c r="D5802" s="663"/>
      <c r="E5802" s="663"/>
    </row>
    <row r="5803" spans="1:5" x14ac:dyDescent="0.2">
      <c r="A5803"/>
      <c r="B5803" s="663"/>
      <c r="C5803" s="663"/>
      <c r="D5803" s="663"/>
      <c r="E5803" s="663"/>
    </row>
    <row r="5804" spans="1:5" x14ac:dyDescent="0.2">
      <c r="A5804"/>
      <c r="B5804" s="663"/>
      <c r="C5804" s="663"/>
      <c r="D5804" s="663"/>
      <c r="E5804" s="663"/>
    </row>
    <row r="5805" spans="1:5" x14ac:dyDescent="0.2">
      <c r="A5805"/>
      <c r="B5805" s="663"/>
      <c r="C5805" s="663"/>
      <c r="D5805" s="663"/>
      <c r="E5805" s="663"/>
    </row>
    <row r="5806" spans="1:5" x14ac:dyDescent="0.2">
      <c r="A5806"/>
      <c r="B5806" s="663"/>
      <c r="C5806" s="663"/>
      <c r="D5806" s="663"/>
      <c r="E5806" s="663"/>
    </row>
    <row r="5807" spans="1:5" x14ac:dyDescent="0.2">
      <c r="A5807"/>
      <c r="B5807" s="663"/>
      <c r="C5807" s="663"/>
      <c r="D5807" s="663"/>
      <c r="E5807" s="663"/>
    </row>
    <row r="5808" spans="1:5" x14ac:dyDescent="0.2">
      <c r="A5808"/>
      <c r="B5808" s="663"/>
      <c r="C5808" s="663"/>
      <c r="D5808" s="663"/>
      <c r="E5808" s="663"/>
    </row>
    <row r="5809" spans="1:5" x14ac:dyDescent="0.2">
      <c r="A5809"/>
      <c r="B5809" s="663"/>
      <c r="C5809" s="663"/>
      <c r="D5809" s="663"/>
      <c r="E5809" s="663"/>
    </row>
    <row r="5810" spans="1:5" x14ac:dyDescent="0.2">
      <c r="A5810"/>
      <c r="B5810" s="663"/>
      <c r="C5810" s="663"/>
      <c r="D5810" s="663"/>
      <c r="E5810" s="663"/>
    </row>
    <row r="5811" spans="1:5" x14ac:dyDescent="0.2">
      <c r="A5811"/>
      <c r="B5811" s="663"/>
      <c r="C5811" s="663"/>
      <c r="D5811" s="663"/>
      <c r="E5811" s="663"/>
    </row>
    <row r="5812" spans="1:5" x14ac:dyDescent="0.2">
      <c r="A5812"/>
      <c r="B5812" s="663"/>
      <c r="C5812" s="663"/>
      <c r="D5812" s="663"/>
      <c r="E5812" s="663"/>
    </row>
    <row r="5813" spans="1:5" x14ac:dyDescent="0.2">
      <c r="A5813"/>
      <c r="B5813" s="663"/>
      <c r="C5813" s="663"/>
      <c r="D5813" s="663"/>
      <c r="E5813" s="663"/>
    </row>
    <row r="5814" spans="1:5" x14ac:dyDescent="0.2">
      <c r="A5814"/>
      <c r="B5814" s="663"/>
      <c r="C5814" s="663"/>
      <c r="D5814" s="663"/>
      <c r="E5814" s="663"/>
    </row>
    <row r="5815" spans="1:5" x14ac:dyDescent="0.2">
      <c r="A5815"/>
      <c r="B5815" s="663"/>
      <c r="C5815" s="663"/>
      <c r="D5815" s="663"/>
      <c r="E5815" s="663"/>
    </row>
    <row r="5816" spans="1:5" x14ac:dyDescent="0.2">
      <c r="A5816"/>
      <c r="B5816" s="663"/>
      <c r="C5816" s="663"/>
      <c r="D5816" s="663"/>
      <c r="E5816" s="663"/>
    </row>
    <row r="5817" spans="1:5" x14ac:dyDescent="0.2">
      <c r="A5817"/>
      <c r="B5817" s="663"/>
      <c r="C5817" s="663"/>
      <c r="D5817" s="663"/>
      <c r="E5817" s="663"/>
    </row>
    <row r="5818" spans="1:5" x14ac:dyDescent="0.2">
      <c r="A5818"/>
      <c r="B5818" s="663"/>
      <c r="C5818" s="663"/>
      <c r="D5818" s="663"/>
      <c r="E5818" s="663"/>
    </row>
    <row r="5819" spans="1:5" x14ac:dyDescent="0.2">
      <c r="A5819"/>
      <c r="B5819" s="663"/>
      <c r="C5819" s="663"/>
      <c r="D5819" s="663"/>
      <c r="E5819" s="663"/>
    </row>
    <row r="5820" spans="1:5" x14ac:dyDescent="0.2">
      <c r="A5820"/>
      <c r="B5820" s="663"/>
      <c r="C5820" s="663"/>
      <c r="D5820" s="663"/>
      <c r="E5820" s="663"/>
    </row>
    <row r="5821" spans="1:5" x14ac:dyDescent="0.2">
      <c r="A5821"/>
      <c r="B5821" s="663"/>
      <c r="C5821" s="663"/>
      <c r="D5821" s="663"/>
      <c r="E5821" s="663"/>
    </row>
    <row r="5822" spans="1:5" x14ac:dyDescent="0.2">
      <c r="A5822"/>
      <c r="B5822" s="663"/>
      <c r="C5822" s="663"/>
      <c r="D5822" s="663"/>
      <c r="E5822" s="663"/>
    </row>
    <row r="5823" spans="1:5" x14ac:dyDescent="0.2">
      <c r="A5823"/>
      <c r="B5823" s="663"/>
      <c r="C5823" s="663"/>
      <c r="D5823" s="663"/>
      <c r="E5823" s="663"/>
    </row>
    <row r="5824" spans="1:5" x14ac:dyDescent="0.2">
      <c r="A5824"/>
      <c r="B5824" s="663"/>
      <c r="C5824" s="663"/>
      <c r="D5824" s="663"/>
      <c r="E5824" s="663"/>
    </row>
    <row r="5825" spans="1:5" x14ac:dyDescent="0.2">
      <c r="A5825"/>
      <c r="B5825" s="663"/>
      <c r="C5825" s="663"/>
      <c r="D5825" s="663"/>
      <c r="E5825" s="663"/>
    </row>
    <row r="5826" spans="1:5" x14ac:dyDescent="0.2">
      <c r="A5826"/>
      <c r="B5826" s="663"/>
      <c r="C5826" s="663"/>
      <c r="D5826" s="663"/>
      <c r="E5826" s="663"/>
    </row>
    <row r="5827" spans="1:5" x14ac:dyDescent="0.2">
      <c r="A5827"/>
      <c r="B5827" s="663"/>
      <c r="C5827" s="663"/>
      <c r="D5827" s="663"/>
      <c r="E5827" s="663"/>
    </row>
    <row r="5828" spans="1:5" x14ac:dyDescent="0.2">
      <c r="A5828"/>
      <c r="B5828" s="663"/>
      <c r="C5828" s="663"/>
      <c r="D5828" s="663"/>
      <c r="E5828" s="663"/>
    </row>
    <row r="5829" spans="1:5" x14ac:dyDescent="0.2">
      <c r="A5829"/>
      <c r="B5829" s="663"/>
      <c r="C5829" s="663"/>
      <c r="D5829" s="663"/>
      <c r="E5829" s="663"/>
    </row>
    <row r="5830" spans="1:5" x14ac:dyDescent="0.2">
      <c r="A5830"/>
      <c r="B5830" s="663"/>
      <c r="C5830" s="663"/>
      <c r="D5830" s="663"/>
      <c r="E5830" s="663"/>
    </row>
    <row r="5831" spans="1:5" x14ac:dyDescent="0.2">
      <c r="A5831"/>
      <c r="B5831" s="663"/>
      <c r="C5831" s="663"/>
      <c r="D5831" s="663"/>
      <c r="E5831" s="663"/>
    </row>
    <row r="5832" spans="1:5" x14ac:dyDescent="0.2">
      <c r="A5832"/>
      <c r="B5832" s="663"/>
      <c r="C5832" s="663"/>
      <c r="D5832" s="663"/>
      <c r="E5832" s="663"/>
    </row>
    <row r="5833" spans="1:5" x14ac:dyDescent="0.2">
      <c r="A5833"/>
      <c r="B5833" s="663"/>
      <c r="C5833" s="663"/>
      <c r="D5833" s="663"/>
      <c r="E5833" s="663"/>
    </row>
    <row r="5834" spans="1:5" x14ac:dyDescent="0.2">
      <c r="A5834"/>
      <c r="B5834" s="663"/>
      <c r="C5834" s="663"/>
      <c r="D5834" s="663"/>
      <c r="E5834" s="663"/>
    </row>
    <row r="5835" spans="1:5" x14ac:dyDescent="0.2">
      <c r="A5835"/>
      <c r="B5835" s="663"/>
      <c r="C5835" s="663"/>
      <c r="D5835" s="663"/>
      <c r="E5835" s="663"/>
    </row>
    <row r="5836" spans="1:5" x14ac:dyDescent="0.2">
      <c r="A5836"/>
      <c r="B5836" s="663"/>
      <c r="C5836" s="663"/>
      <c r="D5836" s="663"/>
      <c r="E5836" s="663"/>
    </row>
    <row r="5837" spans="1:5" x14ac:dyDescent="0.2">
      <c r="A5837"/>
      <c r="B5837" s="663"/>
      <c r="C5837" s="663"/>
      <c r="D5837" s="663"/>
      <c r="E5837" s="663"/>
    </row>
    <row r="5838" spans="1:5" x14ac:dyDescent="0.2">
      <c r="A5838"/>
      <c r="B5838" s="663"/>
      <c r="C5838" s="663"/>
      <c r="D5838" s="663"/>
      <c r="E5838" s="663"/>
    </row>
    <row r="5839" spans="1:5" x14ac:dyDescent="0.2">
      <c r="A5839"/>
      <c r="B5839" s="663"/>
      <c r="C5839" s="663"/>
      <c r="D5839" s="663"/>
      <c r="E5839" s="663"/>
    </row>
    <row r="5840" spans="1:5" x14ac:dyDescent="0.2">
      <c r="A5840"/>
      <c r="B5840" s="663"/>
      <c r="C5840" s="663"/>
      <c r="D5840" s="663"/>
      <c r="E5840" s="663"/>
    </row>
    <row r="5841" spans="1:5" x14ac:dyDescent="0.2">
      <c r="A5841"/>
      <c r="B5841" s="663"/>
      <c r="C5841" s="663"/>
      <c r="D5841" s="663"/>
      <c r="E5841" s="663"/>
    </row>
    <row r="5842" spans="1:5" x14ac:dyDescent="0.2">
      <c r="A5842"/>
      <c r="B5842" s="663"/>
      <c r="C5842" s="663"/>
      <c r="D5842" s="663"/>
      <c r="E5842" s="663"/>
    </row>
    <row r="5843" spans="1:5" x14ac:dyDescent="0.2">
      <c r="A5843"/>
      <c r="B5843" s="663"/>
      <c r="C5843" s="663"/>
      <c r="D5843" s="663"/>
      <c r="E5843" s="663"/>
    </row>
    <row r="5844" spans="1:5" x14ac:dyDescent="0.2">
      <c r="A5844"/>
      <c r="B5844" s="663"/>
      <c r="C5844" s="663"/>
      <c r="D5844" s="663"/>
      <c r="E5844" s="663"/>
    </row>
    <row r="5845" spans="1:5" x14ac:dyDescent="0.2">
      <c r="A5845"/>
      <c r="B5845" s="663"/>
      <c r="C5845" s="663"/>
      <c r="D5845" s="663"/>
      <c r="E5845" s="663"/>
    </row>
    <row r="5846" spans="1:5" x14ac:dyDescent="0.2">
      <c r="A5846"/>
      <c r="B5846" s="663"/>
      <c r="C5846" s="663"/>
      <c r="D5846" s="663"/>
      <c r="E5846" s="663"/>
    </row>
    <row r="5847" spans="1:5" x14ac:dyDescent="0.2">
      <c r="A5847"/>
      <c r="B5847" s="663"/>
      <c r="C5847" s="663"/>
      <c r="D5847" s="663"/>
      <c r="E5847" s="663"/>
    </row>
    <row r="5848" spans="1:5" x14ac:dyDescent="0.2">
      <c r="A5848"/>
      <c r="B5848" s="663"/>
      <c r="C5848" s="663"/>
      <c r="D5848" s="663"/>
      <c r="E5848" s="663"/>
    </row>
    <row r="5849" spans="1:5" x14ac:dyDescent="0.2">
      <c r="A5849"/>
      <c r="B5849" s="663"/>
      <c r="C5849" s="663"/>
      <c r="D5849" s="663"/>
      <c r="E5849" s="663"/>
    </row>
    <row r="5850" spans="1:5" x14ac:dyDescent="0.2">
      <c r="A5850"/>
      <c r="B5850" s="663"/>
      <c r="C5850" s="663"/>
      <c r="D5850" s="663"/>
      <c r="E5850" s="663"/>
    </row>
    <row r="5851" spans="1:5" x14ac:dyDescent="0.2">
      <c r="A5851"/>
      <c r="B5851" s="663"/>
      <c r="C5851" s="663"/>
      <c r="D5851" s="663"/>
      <c r="E5851" s="663"/>
    </row>
    <row r="5852" spans="1:5" x14ac:dyDescent="0.2">
      <c r="A5852"/>
      <c r="B5852" s="663"/>
      <c r="C5852" s="663"/>
      <c r="D5852" s="663"/>
      <c r="E5852" s="663"/>
    </row>
    <row r="5853" spans="1:5" x14ac:dyDescent="0.2">
      <c r="A5853"/>
      <c r="B5853" s="663"/>
      <c r="C5853" s="663"/>
      <c r="D5853" s="663"/>
      <c r="E5853" s="663"/>
    </row>
    <row r="5854" spans="1:5" x14ac:dyDescent="0.2">
      <c r="A5854"/>
      <c r="B5854" s="663"/>
      <c r="C5854" s="663"/>
      <c r="D5854" s="663"/>
      <c r="E5854" s="663"/>
    </row>
    <row r="5855" spans="1:5" x14ac:dyDescent="0.2">
      <c r="A5855"/>
      <c r="B5855" s="663"/>
      <c r="C5855" s="663"/>
      <c r="D5855" s="663"/>
      <c r="E5855" s="663"/>
    </row>
    <row r="5856" spans="1:5" x14ac:dyDescent="0.2">
      <c r="A5856"/>
      <c r="B5856" s="663"/>
      <c r="C5856" s="663"/>
      <c r="D5856" s="663"/>
      <c r="E5856" s="663"/>
    </row>
    <row r="5857" spans="1:5" x14ac:dyDescent="0.2">
      <c r="A5857"/>
      <c r="B5857" s="663"/>
      <c r="C5857" s="663"/>
      <c r="D5857" s="663"/>
      <c r="E5857" s="663"/>
    </row>
    <row r="5858" spans="1:5" x14ac:dyDescent="0.2">
      <c r="A5858"/>
      <c r="B5858" s="663"/>
      <c r="C5858" s="663"/>
      <c r="D5858" s="663"/>
      <c r="E5858" s="663"/>
    </row>
    <row r="5859" spans="1:5" x14ac:dyDescent="0.2">
      <c r="A5859"/>
      <c r="B5859" s="663"/>
      <c r="C5859" s="663"/>
      <c r="D5859" s="663"/>
      <c r="E5859" s="663"/>
    </row>
    <row r="5860" spans="1:5" x14ac:dyDescent="0.2">
      <c r="A5860"/>
      <c r="B5860" s="663"/>
      <c r="C5860" s="663"/>
      <c r="D5860" s="663"/>
      <c r="E5860" s="663"/>
    </row>
    <row r="5861" spans="1:5" x14ac:dyDescent="0.2">
      <c r="A5861"/>
      <c r="B5861" s="663"/>
      <c r="C5861" s="663"/>
      <c r="D5861" s="663"/>
      <c r="E5861" s="663"/>
    </row>
    <row r="5862" spans="1:5" x14ac:dyDescent="0.2">
      <c r="A5862"/>
      <c r="B5862" s="663"/>
      <c r="C5862" s="663"/>
      <c r="D5862" s="663"/>
      <c r="E5862" s="663"/>
    </row>
    <row r="5863" spans="1:5" x14ac:dyDescent="0.2">
      <c r="A5863"/>
      <c r="B5863" s="663"/>
      <c r="C5863" s="663"/>
      <c r="D5863" s="663"/>
      <c r="E5863" s="663"/>
    </row>
    <row r="5864" spans="1:5" x14ac:dyDescent="0.2">
      <c r="A5864"/>
      <c r="B5864" s="663"/>
      <c r="C5864" s="663"/>
      <c r="D5864" s="663"/>
      <c r="E5864" s="663"/>
    </row>
    <row r="5865" spans="1:5" x14ac:dyDescent="0.2">
      <c r="A5865"/>
      <c r="B5865" s="663"/>
      <c r="C5865" s="663"/>
      <c r="D5865" s="663"/>
      <c r="E5865" s="663"/>
    </row>
    <row r="5866" spans="1:5" x14ac:dyDescent="0.2">
      <c r="A5866"/>
      <c r="B5866" s="663"/>
      <c r="C5866" s="663"/>
      <c r="D5866" s="663"/>
      <c r="E5866" s="663"/>
    </row>
    <row r="5867" spans="1:5" x14ac:dyDescent="0.2">
      <c r="A5867"/>
      <c r="B5867" s="663"/>
      <c r="C5867" s="663"/>
      <c r="D5867" s="663"/>
      <c r="E5867" s="663"/>
    </row>
    <row r="5868" spans="1:5" x14ac:dyDescent="0.2">
      <c r="A5868"/>
      <c r="B5868" s="663"/>
      <c r="C5868" s="663"/>
      <c r="D5868" s="663"/>
      <c r="E5868" s="663"/>
    </row>
    <row r="5869" spans="1:5" x14ac:dyDescent="0.2">
      <c r="A5869"/>
      <c r="B5869" s="663"/>
      <c r="C5869" s="663"/>
      <c r="D5869" s="663"/>
      <c r="E5869" s="663"/>
    </row>
    <row r="5870" spans="1:5" x14ac:dyDescent="0.2">
      <c r="A5870"/>
      <c r="B5870" s="663"/>
      <c r="C5870" s="663"/>
      <c r="D5870" s="663"/>
      <c r="E5870" s="663"/>
    </row>
    <row r="5871" spans="1:5" x14ac:dyDescent="0.2">
      <c r="A5871"/>
      <c r="B5871" s="663"/>
      <c r="C5871" s="663"/>
      <c r="D5871" s="663"/>
      <c r="E5871" s="663"/>
    </row>
    <row r="5872" spans="1:5" x14ac:dyDescent="0.2">
      <c r="A5872"/>
      <c r="B5872" s="663"/>
      <c r="C5872" s="663"/>
      <c r="D5872" s="663"/>
      <c r="E5872" s="663"/>
    </row>
    <row r="5873" spans="1:5" x14ac:dyDescent="0.2">
      <c r="A5873"/>
      <c r="B5873" s="663"/>
      <c r="C5873" s="663"/>
      <c r="D5873" s="663"/>
      <c r="E5873" s="663"/>
    </row>
    <row r="5874" spans="1:5" x14ac:dyDescent="0.2">
      <c r="A5874"/>
      <c r="B5874" s="663"/>
      <c r="C5874" s="663"/>
      <c r="D5874" s="663"/>
      <c r="E5874" s="663"/>
    </row>
    <row r="5875" spans="1:5" x14ac:dyDescent="0.2">
      <c r="A5875"/>
      <c r="B5875" s="663"/>
      <c r="C5875" s="663"/>
      <c r="D5875" s="663"/>
      <c r="E5875" s="663"/>
    </row>
    <row r="5876" spans="1:5" x14ac:dyDescent="0.2">
      <c r="A5876"/>
      <c r="B5876" s="663"/>
      <c r="C5876" s="663"/>
      <c r="D5876" s="663"/>
      <c r="E5876" s="663"/>
    </row>
    <row r="5877" spans="1:5" x14ac:dyDescent="0.2">
      <c r="A5877"/>
      <c r="B5877" s="663"/>
      <c r="C5877" s="663"/>
      <c r="D5877" s="663"/>
      <c r="E5877" s="663"/>
    </row>
    <row r="5878" spans="1:5" x14ac:dyDescent="0.2">
      <c r="A5878"/>
      <c r="B5878" s="663"/>
      <c r="C5878" s="663"/>
      <c r="D5878" s="663"/>
      <c r="E5878" s="663"/>
    </row>
    <row r="5879" spans="1:5" x14ac:dyDescent="0.2">
      <c r="A5879"/>
      <c r="B5879" s="663"/>
      <c r="C5879" s="663"/>
      <c r="D5879" s="663"/>
      <c r="E5879" s="663"/>
    </row>
    <row r="5880" spans="1:5" x14ac:dyDescent="0.2">
      <c r="A5880"/>
      <c r="B5880" s="663"/>
      <c r="C5880" s="663"/>
      <c r="D5880" s="663"/>
      <c r="E5880" s="663"/>
    </row>
    <row r="5881" spans="1:5" x14ac:dyDescent="0.2">
      <c r="A5881"/>
      <c r="B5881" s="663"/>
      <c r="C5881" s="663"/>
      <c r="D5881" s="663"/>
      <c r="E5881" s="663"/>
    </row>
    <row r="5882" spans="1:5" x14ac:dyDescent="0.2">
      <c r="A5882"/>
      <c r="B5882" s="663"/>
      <c r="C5882" s="663"/>
      <c r="D5882" s="663"/>
      <c r="E5882" s="663"/>
    </row>
    <row r="5883" spans="1:5" x14ac:dyDescent="0.2">
      <c r="A5883"/>
      <c r="B5883" s="663"/>
      <c r="C5883" s="663"/>
      <c r="D5883" s="663"/>
      <c r="E5883" s="663"/>
    </row>
    <row r="5884" spans="1:5" x14ac:dyDescent="0.2">
      <c r="A5884"/>
      <c r="B5884" s="663"/>
      <c r="C5884" s="663"/>
      <c r="D5884" s="663"/>
      <c r="E5884" s="663"/>
    </row>
    <row r="5885" spans="1:5" x14ac:dyDescent="0.2">
      <c r="A5885"/>
      <c r="B5885" s="663"/>
      <c r="C5885" s="663"/>
      <c r="D5885" s="663"/>
      <c r="E5885" s="663"/>
    </row>
    <row r="5886" spans="1:5" x14ac:dyDescent="0.2">
      <c r="A5886"/>
      <c r="B5886" s="663"/>
      <c r="C5886" s="663"/>
      <c r="D5886" s="663"/>
      <c r="E5886" s="663"/>
    </row>
    <row r="5887" spans="1:5" x14ac:dyDescent="0.2">
      <c r="A5887"/>
      <c r="B5887" s="663"/>
      <c r="C5887" s="663"/>
      <c r="D5887" s="663"/>
      <c r="E5887" s="663"/>
    </row>
    <row r="5888" spans="1:5" x14ac:dyDescent="0.2">
      <c r="A5888"/>
      <c r="B5888" s="663"/>
      <c r="C5888" s="663"/>
      <c r="D5888" s="663"/>
      <c r="E5888" s="663"/>
    </row>
    <row r="5889" spans="1:5" x14ac:dyDescent="0.2">
      <c r="A5889"/>
      <c r="B5889" s="663"/>
      <c r="C5889" s="663"/>
      <c r="D5889" s="663"/>
      <c r="E5889" s="663"/>
    </row>
    <row r="5890" spans="1:5" x14ac:dyDescent="0.2">
      <c r="A5890"/>
      <c r="B5890" s="663"/>
      <c r="C5890" s="663"/>
      <c r="D5890" s="663"/>
      <c r="E5890" s="663"/>
    </row>
    <row r="5891" spans="1:5" x14ac:dyDescent="0.2">
      <c r="A5891"/>
      <c r="B5891" s="663"/>
      <c r="C5891" s="663"/>
      <c r="D5891" s="663"/>
      <c r="E5891" s="663"/>
    </row>
    <row r="5892" spans="1:5" x14ac:dyDescent="0.2">
      <c r="A5892"/>
      <c r="B5892" s="663"/>
      <c r="C5892" s="663"/>
      <c r="D5892" s="663"/>
      <c r="E5892" s="663"/>
    </row>
    <row r="5893" spans="1:5" x14ac:dyDescent="0.2">
      <c r="A5893"/>
      <c r="B5893" s="663"/>
      <c r="C5893" s="663"/>
      <c r="D5893" s="663"/>
      <c r="E5893" s="663"/>
    </row>
    <row r="5894" spans="1:5" x14ac:dyDescent="0.2">
      <c r="A5894"/>
      <c r="B5894" s="663"/>
      <c r="C5894" s="663"/>
      <c r="D5894" s="663"/>
      <c r="E5894" s="663"/>
    </row>
    <row r="5895" spans="1:5" x14ac:dyDescent="0.2">
      <c r="A5895"/>
      <c r="B5895" s="663"/>
      <c r="C5895" s="663"/>
      <c r="D5895" s="663"/>
      <c r="E5895" s="663"/>
    </row>
    <row r="5896" spans="1:5" x14ac:dyDescent="0.2">
      <c r="A5896"/>
      <c r="B5896" s="663"/>
      <c r="C5896" s="663"/>
      <c r="D5896" s="663"/>
      <c r="E5896" s="663"/>
    </row>
    <row r="5897" spans="1:5" x14ac:dyDescent="0.2">
      <c r="A5897"/>
      <c r="B5897" s="663"/>
      <c r="C5897" s="663"/>
      <c r="D5897" s="663"/>
      <c r="E5897" s="663"/>
    </row>
    <row r="5898" spans="1:5" x14ac:dyDescent="0.2">
      <c r="A5898"/>
      <c r="B5898" s="663"/>
      <c r="C5898" s="663"/>
      <c r="D5898" s="663"/>
      <c r="E5898" s="663"/>
    </row>
    <row r="5899" spans="1:5" x14ac:dyDescent="0.2">
      <c r="A5899"/>
      <c r="B5899" s="663"/>
      <c r="C5899" s="663"/>
      <c r="D5899" s="663"/>
      <c r="E5899" s="663"/>
    </row>
    <row r="5900" spans="1:5" x14ac:dyDescent="0.2">
      <c r="A5900"/>
      <c r="B5900" s="663"/>
      <c r="C5900" s="663"/>
      <c r="D5900" s="663"/>
      <c r="E5900" s="663"/>
    </row>
    <row r="5901" spans="1:5" x14ac:dyDescent="0.2">
      <c r="A5901"/>
      <c r="B5901" s="663"/>
      <c r="C5901" s="663"/>
      <c r="D5901" s="663"/>
      <c r="E5901" s="663"/>
    </row>
    <row r="5902" spans="1:5" x14ac:dyDescent="0.2">
      <c r="A5902"/>
      <c r="B5902" s="663"/>
      <c r="C5902" s="663"/>
      <c r="D5902" s="663"/>
      <c r="E5902" s="663"/>
    </row>
    <row r="5903" spans="1:5" x14ac:dyDescent="0.2">
      <c r="A5903"/>
      <c r="B5903" s="663"/>
      <c r="C5903" s="663"/>
      <c r="D5903" s="663"/>
      <c r="E5903" s="663"/>
    </row>
    <row r="5904" spans="1:5" x14ac:dyDescent="0.2">
      <c r="A5904"/>
      <c r="B5904" s="663"/>
      <c r="C5904" s="663"/>
      <c r="D5904" s="663"/>
      <c r="E5904" s="663"/>
    </row>
    <row r="5905" spans="1:5" x14ac:dyDescent="0.2">
      <c r="A5905"/>
      <c r="B5905" s="663"/>
      <c r="C5905" s="663"/>
      <c r="D5905" s="663"/>
      <c r="E5905" s="663"/>
    </row>
    <row r="5906" spans="1:5" x14ac:dyDescent="0.2">
      <c r="A5906"/>
      <c r="B5906" s="663"/>
      <c r="C5906" s="663"/>
      <c r="D5906" s="663"/>
      <c r="E5906" s="663"/>
    </row>
    <row r="5907" spans="1:5" x14ac:dyDescent="0.2">
      <c r="A5907"/>
      <c r="B5907" s="663"/>
      <c r="C5907" s="663"/>
      <c r="D5907" s="663"/>
      <c r="E5907" s="663"/>
    </row>
    <row r="5908" spans="1:5" x14ac:dyDescent="0.2">
      <c r="A5908"/>
      <c r="B5908" s="663"/>
      <c r="C5908" s="663"/>
      <c r="D5908" s="663"/>
      <c r="E5908" s="663"/>
    </row>
    <row r="5909" spans="1:5" x14ac:dyDescent="0.2">
      <c r="A5909"/>
      <c r="B5909" s="663"/>
      <c r="C5909" s="663"/>
      <c r="D5909" s="663"/>
      <c r="E5909" s="663"/>
    </row>
    <row r="5910" spans="1:5" x14ac:dyDescent="0.2">
      <c r="A5910"/>
      <c r="B5910" s="663"/>
      <c r="C5910" s="663"/>
      <c r="D5910" s="663"/>
      <c r="E5910" s="663"/>
    </row>
    <row r="5911" spans="1:5" x14ac:dyDescent="0.2">
      <c r="A5911"/>
      <c r="B5911" s="663"/>
      <c r="C5911" s="663"/>
      <c r="D5911" s="663"/>
      <c r="E5911" s="663"/>
    </row>
    <row r="5912" spans="1:5" x14ac:dyDescent="0.2">
      <c r="A5912"/>
      <c r="B5912" s="663"/>
      <c r="C5912" s="663"/>
      <c r="D5912" s="663"/>
      <c r="E5912" s="663"/>
    </row>
    <row r="5913" spans="1:5" x14ac:dyDescent="0.2">
      <c r="A5913"/>
      <c r="B5913" s="663"/>
      <c r="C5913" s="663"/>
      <c r="D5913" s="663"/>
      <c r="E5913" s="663"/>
    </row>
    <row r="5914" spans="1:5" x14ac:dyDescent="0.2">
      <c r="A5914"/>
      <c r="B5914" s="663"/>
      <c r="C5914" s="663"/>
      <c r="D5914" s="663"/>
      <c r="E5914" s="663"/>
    </row>
    <row r="5915" spans="1:5" x14ac:dyDescent="0.2">
      <c r="A5915"/>
      <c r="B5915" s="663"/>
      <c r="C5915" s="663"/>
      <c r="D5915" s="663"/>
      <c r="E5915" s="663"/>
    </row>
    <row r="5916" spans="1:5" x14ac:dyDescent="0.2">
      <c r="A5916"/>
      <c r="B5916" s="663"/>
      <c r="C5916" s="663"/>
      <c r="D5916" s="663"/>
      <c r="E5916" s="663"/>
    </row>
    <row r="5917" spans="1:5" x14ac:dyDescent="0.2">
      <c r="A5917"/>
      <c r="B5917" s="663"/>
      <c r="C5917" s="663"/>
      <c r="D5917" s="663"/>
      <c r="E5917" s="663"/>
    </row>
    <row r="5918" spans="1:5" x14ac:dyDescent="0.2">
      <c r="A5918"/>
      <c r="B5918" s="663"/>
      <c r="C5918" s="663"/>
      <c r="D5918" s="663"/>
      <c r="E5918" s="663"/>
    </row>
    <row r="5919" spans="1:5" x14ac:dyDescent="0.2">
      <c r="A5919"/>
      <c r="B5919" s="663"/>
      <c r="C5919" s="663"/>
      <c r="D5919" s="663"/>
      <c r="E5919" s="663"/>
    </row>
    <row r="5920" spans="1:5" x14ac:dyDescent="0.2">
      <c r="A5920"/>
      <c r="B5920" s="663"/>
      <c r="C5920" s="663"/>
      <c r="D5920" s="663"/>
      <c r="E5920" s="663"/>
    </row>
    <row r="5921" spans="1:5" x14ac:dyDescent="0.2">
      <c r="A5921"/>
      <c r="B5921" s="663"/>
      <c r="C5921" s="663"/>
      <c r="D5921" s="663"/>
      <c r="E5921" s="663"/>
    </row>
    <row r="5922" spans="1:5" x14ac:dyDescent="0.2">
      <c r="A5922"/>
      <c r="B5922" s="663"/>
      <c r="C5922" s="663"/>
      <c r="D5922" s="663"/>
      <c r="E5922" s="663"/>
    </row>
    <row r="5923" spans="1:5" x14ac:dyDescent="0.2">
      <c r="A5923"/>
      <c r="B5923" s="663"/>
      <c r="C5923" s="663"/>
      <c r="D5923" s="663"/>
      <c r="E5923" s="663"/>
    </row>
    <row r="5924" spans="1:5" x14ac:dyDescent="0.2">
      <c r="A5924"/>
      <c r="B5924" s="663"/>
      <c r="C5924" s="663"/>
      <c r="D5924" s="663"/>
      <c r="E5924" s="663"/>
    </row>
    <row r="5925" spans="1:5" x14ac:dyDescent="0.2">
      <c r="A5925"/>
      <c r="B5925" s="663"/>
      <c r="C5925" s="663"/>
      <c r="D5925" s="663"/>
      <c r="E5925" s="663"/>
    </row>
    <row r="5926" spans="1:5" x14ac:dyDescent="0.2">
      <c r="A5926"/>
      <c r="B5926" s="663"/>
      <c r="C5926" s="663"/>
      <c r="D5926" s="663"/>
      <c r="E5926" s="663"/>
    </row>
    <row r="5927" spans="1:5" x14ac:dyDescent="0.2">
      <c r="A5927"/>
      <c r="B5927" s="663"/>
      <c r="C5927" s="663"/>
      <c r="D5927" s="663"/>
      <c r="E5927" s="663"/>
    </row>
    <row r="5928" spans="1:5" x14ac:dyDescent="0.2">
      <c r="A5928"/>
      <c r="B5928" s="663"/>
      <c r="C5928" s="663"/>
      <c r="D5928" s="663"/>
      <c r="E5928" s="663"/>
    </row>
    <row r="5929" spans="1:5" x14ac:dyDescent="0.2">
      <c r="A5929"/>
      <c r="B5929" s="663"/>
      <c r="C5929" s="663"/>
      <c r="D5929" s="663"/>
      <c r="E5929" s="663"/>
    </row>
    <row r="5930" spans="1:5" x14ac:dyDescent="0.2">
      <c r="A5930"/>
      <c r="B5930" s="663"/>
      <c r="C5930" s="663"/>
      <c r="D5930" s="663"/>
      <c r="E5930" s="663"/>
    </row>
    <row r="5931" spans="1:5" x14ac:dyDescent="0.2">
      <c r="A5931"/>
      <c r="B5931" s="663"/>
      <c r="C5931" s="663"/>
      <c r="D5931" s="663"/>
      <c r="E5931" s="663"/>
    </row>
    <row r="5932" spans="1:5" x14ac:dyDescent="0.2">
      <c r="A5932"/>
      <c r="B5932" s="663"/>
      <c r="C5932" s="663"/>
      <c r="D5932" s="663"/>
      <c r="E5932" s="663"/>
    </row>
    <row r="5933" spans="1:5" x14ac:dyDescent="0.2">
      <c r="A5933"/>
      <c r="B5933" s="663"/>
      <c r="C5933" s="663"/>
      <c r="D5933" s="663"/>
      <c r="E5933" s="663"/>
    </row>
    <row r="5934" spans="1:5" x14ac:dyDescent="0.2">
      <c r="A5934"/>
      <c r="B5934" s="663"/>
      <c r="C5934" s="663"/>
      <c r="D5934" s="663"/>
      <c r="E5934" s="663"/>
    </row>
    <row r="5935" spans="1:5" x14ac:dyDescent="0.2">
      <c r="A5935"/>
      <c r="B5935" s="663"/>
      <c r="C5935" s="663"/>
      <c r="D5935" s="663"/>
      <c r="E5935" s="663"/>
    </row>
    <row r="5936" spans="1:5" x14ac:dyDescent="0.2">
      <c r="A5936"/>
      <c r="B5936" s="663"/>
      <c r="C5936" s="663"/>
      <c r="D5936" s="663"/>
      <c r="E5936" s="663"/>
    </row>
    <row r="5937" spans="1:5" x14ac:dyDescent="0.2">
      <c r="A5937"/>
      <c r="B5937" s="663"/>
      <c r="C5937" s="663"/>
      <c r="D5937" s="663"/>
      <c r="E5937" s="663"/>
    </row>
    <row r="5938" spans="1:5" x14ac:dyDescent="0.2">
      <c r="A5938"/>
      <c r="B5938" s="663"/>
      <c r="C5938" s="663"/>
      <c r="D5938" s="663"/>
      <c r="E5938" s="663"/>
    </row>
    <row r="5939" spans="1:5" x14ac:dyDescent="0.2">
      <c r="A5939"/>
      <c r="B5939" s="663"/>
      <c r="C5939" s="663"/>
      <c r="D5939" s="663"/>
      <c r="E5939" s="663"/>
    </row>
    <row r="5940" spans="1:5" x14ac:dyDescent="0.2">
      <c r="A5940"/>
      <c r="B5940" s="663"/>
      <c r="C5940" s="663"/>
      <c r="D5940" s="663"/>
      <c r="E5940" s="663"/>
    </row>
    <row r="5941" spans="1:5" x14ac:dyDescent="0.2">
      <c r="A5941"/>
      <c r="B5941" s="663"/>
      <c r="C5941" s="663"/>
      <c r="D5941" s="663"/>
      <c r="E5941" s="663"/>
    </row>
    <row r="5942" spans="1:5" x14ac:dyDescent="0.2">
      <c r="A5942"/>
      <c r="B5942" s="663"/>
      <c r="C5942" s="663"/>
      <c r="D5942" s="663"/>
      <c r="E5942" s="663"/>
    </row>
    <row r="5943" spans="1:5" x14ac:dyDescent="0.2">
      <c r="A5943"/>
      <c r="B5943" s="663"/>
      <c r="C5943" s="663"/>
      <c r="D5943" s="663"/>
      <c r="E5943" s="663"/>
    </row>
    <row r="5944" spans="1:5" x14ac:dyDescent="0.2">
      <c r="A5944"/>
      <c r="B5944" s="663"/>
      <c r="C5944" s="663"/>
      <c r="D5944" s="663"/>
      <c r="E5944" s="663"/>
    </row>
    <row r="5945" spans="1:5" x14ac:dyDescent="0.2">
      <c r="A5945"/>
      <c r="B5945" s="663"/>
      <c r="C5945" s="663"/>
      <c r="D5945" s="663"/>
      <c r="E5945" s="663"/>
    </row>
    <row r="5946" spans="1:5" x14ac:dyDescent="0.2">
      <c r="A5946"/>
      <c r="B5946" s="663"/>
      <c r="C5946" s="663"/>
      <c r="D5946" s="663"/>
      <c r="E5946" s="663"/>
    </row>
    <row r="5947" spans="1:5" x14ac:dyDescent="0.2">
      <c r="A5947"/>
      <c r="B5947" s="663"/>
      <c r="C5947" s="663"/>
      <c r="D5947" s="663"/>
      <c r="E5947" s="663"/>
    </row>
    <row r="5948" spans="1:5" x14ac:dyDescent="0.2">
      <c r="A5948"/>
      <c r="B5948" s="663"/>
      <c r="C5948" s="663"/>
      <c r="D5948" s="663"/>
      <c r="E5948" s="663"/>
    </row>
    <row r="5949" spans="1:5" x14ac:dyDescent="0.2">
      <c r="A5949"/>
      <c r="B5949" s="663"/>
      <c r="C5949" s="663"/>
      <c r="D5949" s="663"/>
      <c r="E5949" s="663"/>
    </row>
    <row r="5950" spans="1:5" x14ac:dyDescent="0.2">
      <c r="A5950"/>
      <c r="B5950" s="663"/>
      <c r="C5950" s="663"/>
      <c r="D5950" s="663"/>
      <c r="E5950" s="663"/>
    </row>
    <row r="5951" spans="1:5" x14ac:dyDescent="0.2">
      <c r="A5951"/>
      <c r="B5951" s="663"/>
      <c r="C5951" s="663"/>
      <c r="D5951" s="663"/>
      <c r="E5951" s="663"/>
    </row>
    <row r="5952" spans="1:5" x14ac:dyDescent="0.2">
      <c r="A5952"/>
      <c r="B5952" s="663"/>
      <c r="C5952" s="663"/>
      <c r="D5952" s="663"/>
      <c r="E5952" s="663"/>
    </row>
    <row r="5953" spans="1:5" x14ac:dyDescent="0.2">
      <c r="A5953"/>
      <c r="B5953" s="663"/>
      <c r="C5953" s="663"/>
      <c r="D5953" s="663"/>
      <c r="E5953" s="663"/>
    </row>
    <row r="5954" spans="1:5" x14ac:dyDescent="0.2">
      <c r="A5954"/>
      <c r="B5954" s="663"/>
      <c r="C5954" s="663"/>
      <c r="D5954" s="663"/>
      <c r="E5954" s="663"/>
    </row>
    <row r="5955" spans="1:5" x14ac:dyDescent="0.2">
      <c r="A5955"/>
      <c r="B5955" s="663"/>
      <c r="C5955" s="663"/>
      <c r="D5955" s="663"/>
      <c r="E5955" s="663"/>
    </row>
    <row r="5956" spans="1:5" x14ac:dyDescent="0.2">
      <c r="A5956"/>
      <c r="B5956" s="663"/>
      <c r="C5956" s="663"/>
      <c r="D5956" s="663"/>
      <c r="E5956" s="663"/>
    </row>
    <row r="5957" spans="1:5" x14ac:dyDescent="0.2">
      <c r="A5957"/>
      <c r="B5957" s="663"/>
      <c r="C5957" s="663"/>
      <c r="D5957" s="663"/>
      <c r="E5957" s="663"/>
    </row>
    <row r="5958" spans="1:5" x14ac:dyDescent="0.2">
      <c r="A5958"/>
      <c r="B5958" s="663"/>
      <c r="C5958" s="663"/>
      <c r="D5958" s="663"/>
      <c r="E5958" s="663"/>
    </row>
    <row r="5959" spans="1:5" x14ac:dyDescent="0.2">
      <c r="A5959"/>
      <c r="B5959" s="663"/>
      <c r="C5959" s="663"/>
      <c r="D5959" s="663"/>
      <c r="E5959" s="663"/>
    </row>
    <row r="5960" spans="1:5" x14ac:dyDescent="0.2">
      <c r="A5960"/>
      <c r="B5960" s="663"/>
      <c r="C5960" s="663"/>
      <c r="D5960" s="663"/>
      <c r="E5960" s="663"/>
    </row>
    <row r="5961" spans="1:5" x14ac:dyDescent="0.2">
      <c r="A5961"/>
      <c r="B5961" s="663"/>
      <c r="C5961" s="663"/>
      <c r="D5961" s="663"/>
      <c r="E5961" s="663"/>
    </row>
    <row r="5962" spans="1:5" x14ac:dyDescent="0.2">
      <c r="A5962"/>
      <c r="B5962" s="663"/>
      <c r="C5962" s="663"/>
      <c r="D5962" s="663"/>
      <c r="E5962" s="663"/>
    </row>
    <row r="5963" spans="1:5" x14ac:dyDescent="0.2">
      <c r="A5963"/>
      <c r="B5963" s="663"/>
      <c r="C5963" s="663"/>
      <c r="D5963" s="663"/>
      <c r="E5963" s="663"/>
    </row>
    <row r="5964" spans="1:5" x14ac:dyDescent="0.2">
      <c r="A5964"/>
      <c r="B5964" s="663"/>
      <c r="C5964" s="663"/>
      <c r="D5964" s="663"/>
      <c r="E5964" s="663"/>
    </row>
    <row r="5965" spans="1:5" x14ac:dyDescent="0.2">
      <c r="A5965"/>
      <c r="B5965" s="663"/>
      <c r="C5965" s="663"/>
      <c r="D5965" s="663"/>
      <c r="E5965" s="663"/>
    </row>
    <row r="5966" spans="1:5" x14ac:dyDescent="0.2">
      <c r="A5966"/>
      <c r="B5966" s="663"/>
      <c r="C5966" s="663"/>
      <c r="D5966" s="663"/>
      <c r="E5966" s="663"/>
    </row>
    <row r="5967" spans="1:5" x14ac:dyDescent="0.2">
      <c r="A5967"/>
      <c r="B5967" s="663"/>
      <c r="C5967" s="663"/>
      <c r="D5967" s="663"/>
      <c r="E5967" s="663"/>
    </row>
    <row r="5968" spans="1:5" x14ac:dyDescent="0.2">
      <c r="A5968"/>
      <c r="B5968" s="663"/>
      <c r="C5968" s="663"/>
      <c r="D5968" s="663"/>
      <c r="E5968" s="663"/>
    </row>
    <row r="5969" spans="1:5" x14ac:dyDescent="0.2">
      <c r="A5969"/>
      <c r="B5969" s="663"/>
      <c r="C5969" s="663"/>
      <c r="D5969" s="663"/>
      <c r="E5969" s="663"/>
    </row>
    <row r="5970" spans="1:5" x14ac:dyDescent="0.2">
      <c r="A5970"/>
      <c r="B5970" s="663"/>
      <c r="C5970" s="663"/>
      <c r="D5970" s="663"/>
      <c r="E5970" s="663"/>
    </row>
    <row r="5971" spans="1:5" x14ac:dyDescent="0.2">
      <c r="A5971"/>
      <c r="B5971" s="663"/>
      <c r="C5971" s="663"/>
      <c r="D5971" s="663"/>
      <c r="E5971" s="663"/>
    </row>
    <row r="5972" spans="1:5" x14ac:dyDescent="0.2">
      <c r="A5972"/>
      <c r="B5972" s="663"/>
      <c r="C5972" s="663"/>
      <c r="D5972" s="663"/>
      <c r="E5972" s="663"/>
    </row>
    <row r="5973" spans="1:5" x14ac:dyDescent="0.2">
      <c r="A5973"/>
      <c r="B5973" s="663"/>
      <c r="C5973" s="663"/>
      <c r="D5973" s="663"/>
      <c r="E5973" s="663"/>
    </row>
    <row r="5974" spans="1:5" x14ac:dyDescent="0.2">
      <c r="A5974"/>
      <c r="B5974" s="663"/>
      <c r="C5974" s="663"/>
      <c r="D5974" s="663"/>
      <c r="E5974" s="663"/>
    </row>
    <row r="5975" spans="1:5" x14ac:dyDescent="0.2">
      <c r="A5975"/>
      <c r="B5975" s="663"/>
      <c r="C5975" s="663"/>
      <c r="D5975" s="663"/>
      <c r="E5975" s="663"/>
    </row>
    <row r="5976" spans="1:5" x14ac:dyDescent="0.2">
      <c r="A5976"/>
      <c r="B5976" s="663"/>
      <c r="C5976" s="663"/>
      <c r="D5976" s="663"/>
      <c r="E5976" s="663"/>
    </row>
    <row r="5977" spans="1:5" x14ac:dyDescent="0.2">
      <c r="A5977"/>
      <c r="B5977" s="663"/>
      <c r="C5977" s="663"/>
      <c r="D5977" s="663"/>
      <c r="E5977" s="663"/>
    </row>
    <row r="5978" spans="1:5" x14ac:dyDescent="0.2">
      <c r="A5978"/>
      <c r="B5978" s="663"/>
      <c r="C5978" s="663"/>
      <c r="D5978" s="663"/>
      <c r="E5978" s="663"/>
    </row>
    <row r="5979" spans="1:5" x14ac:dyDescent="0.2">
      <c r="A5979"/>
      <c r="B5979" s="663"/>
      <c r="C5979" s="663"/>
      <c r="D5979" s="663"/>
      <c r="E5979" s="663"/>
    </row>
    <row r="5980" spans="1:5" x14ac:dyDescent="0.2">
      <c r="A5980"/>
      <c r="B5980" s="663"/>
      <c r="C5980" s="663"/>
      <c r="D5980" s="663"/>
      <c r="E5980" s="663"/>
    </row>
    <row r="5981" spans="1:5" x14ac:dyDescent="0.2">
      <c r="A5981"/>
      <c r="B5981" s="663"/>
      <c r="C5981" s="663"/>
      <c r="D5981" s="663"/>
      <c r="E5981" s="663"/>
    </row>
    <row r="5982" spans="1:5" x14ac:dyDescent="0.2">
      <c r="A5982"/>
      <c r="B5982" s="663"/>
      <c r="C5982" s="663"/>
      <c r="D5982" s="663"/>
      <c r="E5982" s="663"/>
    </row>
    <row r="5983" spans="1:5" x14ac:dyDescent="0.2">
      <c r="A5983"/>
      <c r="B5983" s="663"/>
      <c r="C5983" s="663"/>
      <c r="D5983" s="663"/>
      <c r="E5983" s="663"/>
    </row>
    <row r="5984" spans="1:5" x14ac:dyDescent="0.2">
      <c r="A5984"/>
      <c r="B5984" s="663"/>
      <c r="C5984" s="663"/>
      <c r="D5984" s="663"/>
      <c r="E5984" s="663"/>
    </row>
    <row r="5985" spans="1:5" x14ac:dyDescent="0.2">
      <c r="A5985"/>
      <c r="B5985" s="663"/>
      <c r="C5985" s="663"/>
      <c r="D5985" s="663"/>
      <c r="E5985" s="663"/>
    </row>
    <row r="5986" spans="1:5" x14ac:dyDescent="0.2">
      <c r="A5986"/>
      <c r="B5986" s="663"/>
      <c r="C5986" s="663"/>
      <c r="D5986" s="663"/>
      <c r="E5986" s="663"/>
    </row>
    <row r="5987" spans="1:5" x14ac:dyDescent="0.2">
      <c r="A5987"/>
      <c r="B5987" s="663"/>
      <c r="C5987" s="663"/>
      <c r="D5987" s="663"/>
      <c r="E5987" s="663"/>
    </row>
    <row r="5988" spans="1:5" x14ac:dyDescent="0.2">
      <c r="A5988"/>
      <c r="B5988" s="663"/>
      <c r="C5988" s="663"/>
      <c r="D5988" s="663"/>
      <c r="E5988" s="663"/>
    </row>
    <row r="5989" spans="1:5" x14ac:dyDescent="0.2">
      <c r="A5989"/>
      <c r="B5989" s="663"/>
      <c r="C5989" s="663"/>
      <c r="D5989" s="663"/>
      <c r="E5989" s="663"/>
    </row>
    <row r="5990" spans="1:5" x14ac:dyDescent="0.2">
      <c r="A5990"/>
      <c r="B5990" s="663"/>
      <c r="C5990" s="663"/>
      <c r="D5990" s="663"/>
      <c r="E5990" s="663"/>
    </row>
    <row r="5991" spans="1:5" x14ac:dyDescent="0.2">
      <c r="A5991"/>
      <c r="B5991" s="663"/>
      <c r="C5991" s="663"/>
      <c r="D5991" s="663"/>
      <c r="E5991" s="663"/>
    </row>
    <row r="5992" spans="1:5" x14ac:dyDescent="0.2">
      <c r="A5992"/>
      <c r="B5992" s="663"/>
      <c r="C5992" s="663"/>
      <c r="D5992" s="663"/>
      <c r="E5992" s="663"/>
    </row>
    <row r="5993" spans="1:5" x14ac:dyDescent="0.2">
      <c r="A5993"/>
      <c r="B5993" s="663"/>
      <c r="C5993" s="663"/>
      <c r="D5993" s="663"/>
      <c r="E5993" s="663"/>
    </row>
    <row r="5994" spans="1:5" x14ac:dyDescent="0.2">
      <c r="A5994"/>
      <c r="B5994" s="663"/>
      <c r="C5994" s="663"/>
      <c r="D5994" s="663"/>
      <c r="E5994" s="663"/>
    </row>
    <row r="5995" spans="1:5" x14ac:dyDescent="0.2">
      <c r="A5995"/>
      <c r="B5995" s="663"/>
      <c r="C5995" s="663"/>
      <c r="D5995" s="663"/>
      <c r="E5995" s="663"/>
    </row>
    <row r="5996" spans="1:5" x14ac:dyDescent="0.2">
      <c r="A5996"/>
      <c r="B5996" s="663"/>
      <c r="C5996" s="663"/>
      <c r="D5996" s="663"/>
      <c r="E5996" s="663"/>
    </row>
    <row r="5997" spans="1:5" x14ac:dyDescent="0.2">
      <c r="A5997"/>
      <c r="B5997" s="663"/>
      <c r="C5997" s="663"/>
      <c r="D5997" s="663"/>
      <c r="E5997" s="663"/>
    </row>
    <row r="5998" spans="1:5" x14ac:dyDescent="0.2">
      <c r="A5998"/>
      <c r="B5998" s="663"/>
      <c r="C5998" s="663"/>
      <c r="D5998" s="663"/>
      <c r="E5998" s="663"/>
    </row>
    <row r="5999" spans="1:5" x14ac:dyDescent="0.2">
      <c r="A5999"/>
      <c r="B5999" s="663"/>
      <c r="C5999" s="663"/>
      <c r="D5999" s="663"/>
      <c r="E5999" s="663"/>
    </row>
    <row r="6000" spans="1:5" x14ac:dyDescent="0.2">
      <c r="A6000"/>
      <c r="B6000" s="663"/>
      <c r="C6000" s="663"/>
      <c r="D6000" s="663"/>
      <c r="E6000" s="663"/>
    </row>
    <row r="6001" spans="1:5" x14ac:dyDescent="0.2">
      <c r="A6001"/>
      <c r="B6001" s="663"/>
      <c r="C6001" s="663"/>
      <c r="D6001" s="663"/>
      <c r="E6001" s="663"/>
    </row>
    <row r="6002" spans="1:5" x14ac:dyDescent="0.2">
      <c r="A6002"/>
      <c r="B6002" s="663"/>
      <c r="C6002" s="663"/>
      <c r="D6002" s="663"/>
      <c r="E6002" s="663"/>
    </row>
    <row r="6003" spans="1:5" x14ac:dyDescent="0.2">
      <c r="A6003"/>
      <c r="B6003" s="663"/>
      <c r="C6003" s="663"/>
      <c r="D6003" s="663"/>
      <c r="E6003" s="663"/>
    </row>
    <row r="6004" spans="1:5" x14ac:dyDescent="0.2">
      <c r="A6004"/>
      <c r="B6004" s="663"/>
      <c r="C6004" s="663"/>
      <c r="D6004" s="663"/>
      <c r="E6004" s="663"/>
    </row>
    <row r="6005" spans="1:5" x14ac:dyDescent="0.2">
      <c r="A6005"/>
      <c r="B6005" s="663"/>
      <c r="C6005" s="663"/>
      <c r="D6005" s="663"/>
      <c r="E6005" s="663"/>
    </row>
    <row r="6006" spans="1:5" x14ac:dyDescent="0.2">
      <c r="A6006"/>
      <c r="B6006" s="663"/>
      <c r="C6006" s="663"/>
      <c r="D6006" s="663"/>
      <c r="E6006" s="663"/>
    </row>
    <row r="6007" spans="1:5" x14ac:dyDescent="0.2">
      <c r="A6007"/>
      <c r="B6007" s="663"/>
      <c r="C6007" s="663"/>
      <c r="D6007" s="663"/>
      <c r="E6007" s="663"/>
    </row>
    <row r="6008" spans="1:5" x14ac:dyDescent="0.2">
      <c r="A6008"/>
      <c r="B6008" s="663"/>
      <c r="C6008" s="663"/>
      <c r="D6008" s="663"/>
      <c r="E6008" s="663"/>
    </row>
    <row r="6009" spans="1:5" x14ac:dyDescent="0.2">
      <c r="A6009"/>
      <c r="B6009" s="663"/>
      <c r="C6009" s="663"/>
      <c r="D6009" s="663"/>
      <c r="E6009" s="663"/>
    </row>
    <row r="6010" spans="1:5" x14ac:dyDescent="0.2">
      <c r="A6010"/>
      <c r="B6010" s="663"/>
      <c r="C6010" s="663"/>
      <c r="D6010" s="663"/>
      <c r="E6010" s="663"/>
    </row>
    <row r="6011" spans="1:5" x14ac:dyDescent="0.2">
      <c r="A6011"/>
      <c r="B6011" s="663"/>
      <c r="C6011" s="663"/>
      <c r="D6011" s="663"/>
      <c r="E6011" s="663"/>
    </row>
    <row r="6012" spans="1:5" x14ac:dyDescent="0.2">
      <c r="A6012"/>
      <c r="B6012" s="663"/>
      <c r="C6012" s="663"/>
      <c r="D6012" s="663"/>
      <c r="E6012" s="663"/>
    </row>
    <row r="6013" spans="1:5" x14ac:dyDescent="0.2">
      <c r="A6013"/>
      <c r="B6013" s="663"/>
      <c r="C6013" s="663"/>
      <c r="D6013" s="663"/>
      <c r="E6013" s="663"/>
    </row>
    <row r="6014" spans="1:5" x14ac:dyDescent="0.2">
      <c r="A6014"/>
      <c r="B6014" s="663"/>
      <c r="C6014" s="663"/>
      <c r="D6014" s="663"/>
      <c r="E6014" s="663"/>
    </row>
    <row r="6015" spans="1:5" x14ac:dyDescent="0.2">
      <c r="A6015"/>
      <c r="B6015" s="663"/>
      <c r="C6015" s="663"/>
      <c r="D6015" s="663"/>
      <c r="E6015" s="663"/>
    </row>
    <row r="6016" spans="1:5" x14ac:dyDescent="0.2">
      <c r="A6016"/>
      <c r="B6016" s="663"/>
      <c r="C6016" s="663"/>
      <c r="D6016" s="663"/>
      <c r="E6016" s="663"/>
    </row>
    <row r="6017" spans="1:5" x14ac:dyDescent="0.2">
      <c r="A6017"/>
      <c r="B6017" s="663"/>
      <c r="C6017" s="663"/>
      <c r="D6017" s="663"/>
      <c r="E6017" s="663"/>
    </row>
    <row r="6018" spans="1:5" x14ac:dyDescent="0.2">
      <c r="A6018"/>
      <c r="B6018" s="663"/>
      <c r="C6018" s="663"/>
      <c r="D6018" s="663"/>
      <c r="E6018" s="663"/>
    </row>
    <row r="6019" spans="1:5" x14ac:dyDescent="0.2">
      <c r="A6019"/>
      <c r="B6019" s="663"/>
      <c r="C6019" s="663"/>
      <c r="D6019" s="663"/>
      <c r="E6019" s="663"/>
    </row>
    <row r="6020" spans="1:5" x14ac:dyDescent="0.2">
      <c r="A6020"/>
      <c r="B6020" s="663"/>
      <c r="C6020" s="663"/>
      <c r="D6020" s="663"/>
      <c r="E6020" s="663"/>
    </row>
    <row r="6021" spans="1:5" x14ac:dyDescent="0.2">
      <c r="A6021"/>
      <c r="B6021" s="663"/>
      <c r="C6021" s="663"/>
      <c r="D6021" s="663"/>
      <c r="E6021" s="663"/>
    </row>
    <row r="6022" spans="1:5" x14ac:dyDescent="0.2">
      <c r="A6022"/>
      <c r="B6022" s="663"/>
      <c r="C6022" s="663"/>
      <c r="D6022" s="663"/>
      <c r="E6022" s="663"/>
    </row>
    <row r="6023" spans="1:5" x14ac:dyDescent="0.2">
      <c r="A6023"/>
      <c r="B6023" s="663"/>
      <c r="C6023" s="663"/>
      <c r="D6023" s="663"/>
      <c r="E6023" s="663"/>
    </row>
    <row r="6024" spans="1:5" x14ac:dyDescent="0.2">
      <c r="A6024"/>
      <c r="B6024" s="663"/>
      <c r="C6024" s="663"/>
      <c r="D6024" s="663"/>
      <c r="E6024" s="663"/>
    </row>
    <row r="6025" spans="1:5" x14ac:dyDescent="0.2">
      <c r="A6025"/>
      <c r="B6025" s="663"/>
      <c r="C6025" s="663"/>
      <c r="D6025" s="663"/>
      <c r="E6025" s="663"/>
    </row>
    <row r="6026" spans="1:5" x14ac:dyDescent="0.2">
      <c r="A6026"/>
      <c r="B6026" s="663"/>
      <c r="C6026" s="663"/>
      <c r="D6026" s="663"/>
      <c r="E6026" s="663"/>
    </row>
    <row r="6027" spans="1:5" x14ac:dyDescent="0.2">
      <c r="A6027"/>
      <c r="B6027" s="663"/>
      <c r="C6027" s="663"/>
      <c r="D6027" s="663"/>
      <c r="E6027" s="663"/>
    </row>
    <row r="6028" spans="1:5" x14ac:dyDescent="0.2">
      <c r="A6028"/>
      <c r="B6028" s="663"/>
      <c r="C6028" s="663"/>
      <c r="D6028" s="663"/>
      <c r="E6028" s="663"/>
    </row>
    <row r="6029" spans="1:5" x14ac:dyDescent="0.2">
      <c r="A6029"/>
      <c r="B6029" s="663"/>
      <c r="C6029" s="663"/>
      <c r="D6029" s="663"/>
      <c r="E6029" s="663"/>
    </row>
    <row r="6030" spans="1:5" x14ac:dyDescent="0.2">
      <c r="A6030"/>
      <c r="B6030" s="663"/>
      <c r="C6030" s="663"/>
      <c r="D6030" s="663"/>
      <c r="E6030" s="663"/>
    </row>
    <row r="6031" spans="1:5" x14ac:dyDescent="0.2">
      <c r="A6031"/>
      <c r="B6031" s="663"/>
      <c r="C6031" s="663"/>
      <c r="D6031" s="663"/>
      <c r="E6031" s="663"/>
    </row>
    <row r="6032" spans="1:5" x14ac:dyDescent="0.2">
      <c r="A6032"/>
      <c r="B6032" s="663"/>
      <c r="C6032" s="663"/>
      <c r="D6032" s="663"/>
      <c r="E6032" s="663"/>
    </row>
    <row r="6033" spans="1:5" x14ac:dyDescent="0.2">
      <c r="A6033"/>
      <c r="B6033" s="663"/>
      <c r="C6033" s="663"/>
      <c r="D6033" s="663"/>
      <c r="E6033" s="663"/>
    </row>
    <row r="6034" spans="1:5" x14ac:dyDescent="0.2">
      <c r="A6034"/>
      <c r="B6034" s="663"/>
      <c r="C6034" s="663"/>
      <c r="D6034" s="663"/>
      <c r="E6034" s="663"/>
    </row>
    <row r="6035" spans="1:5" x14ac:dyDescent="0.2">
      <c r="A6035"/>
      <c r="B6035" s="663"/>
      <c r="C6035" s="663"/>
      <c r="D6035" s="663"/>
      <c r="E6035" s="663"/>
    </row>
    <row r="6036" spans="1:5" x14ac:dyDescent="0.2">
      <c r="A6036"/>
      <c r="B6036" s="663"/>
      <c r="C6036" s="663"/>
      <c r="D6036" s="663"/>
      <c r="E6036" s="663"/>
    </row>
    <row r="6037" spans="1:5" x14ac:dyDescent="0.2">
      <c r="A6037"/>
      <c r="B6037" s="663"/>
      <c r="C6037" s="663"/>
      <c r="D6037" s="663"/>
      <c r="E6037" s="663"/>
    </row>
    <row r="6038" spans="1:5" x14ac:dyDescent="0.2">
      <c r="A6038"/>
      <c r="B6038" s="663"/>
      <c r="C6038" s="663"/>
      <c r="D6038" s="663"/>
      <c r="E6038" s="663"/>
    </row>
    <row r="6039" spans="1:5" x14ac:dyDescent="0.2">
      <c r="A6039"/>
      <c r="B6039" s="663"/>
      <c r="C6039" s="663"/>
      <c r="D6039" s="663"/>
      <c r="E6039" s="663"/>
    </row>
    <row r="6040" spans="1:5" x14ac:dyDescent="0.2">
      <c r="A6040"/>
      <c r="B6040" s="663"/>
      <c r="C6040" s="663"/>
      <c r="D6040" s="663"/>
      <c r="E6040" s="663"/>
    </row>
    <row r="6041" spans="1:5" x14ac:dyDescent="0.2">
      <c r="A6041"/>
      <c r="B6041" s="663"/>
      <c r="C6041" s="663"/>
      <c r="D6041" s="663"/>
      <c r="E6041" s="663"/>
    </row>
    <row r="6042" spans="1:5" x14ac:dyDescent="0.2">
      <c r="A6042"/>
      <c r="B6042" s="663"/>
      <c r="C6042" s="663"/>
      <c r="D6042" s="663"/>
      <c r="E6042" s="663"/>
    </row>
    <row r="6043" spans="1:5" x14ac:dyDescent="0.2">
      <c r="A6043"/>
      <c r="B6043" s="663"/>
      <c r="C6043" s="663"/>
      <c r="D6043" s="663"/>
      <c r="E6043" s="663"/>
    </row>
    <row r="6044" spans="1:5" x14ac:dyDescent="0.2">
      <c r="A6044"/>
      <c r="B6044" s="663"/>
      <c r="C6044" s="663"/>
      <c r="D6044" s="663"/>
      <c r="E6044" s="663"/>
    </row>
    <row r="6045" spans="1:5" x14ac:dyDescent="0.2">
      <c r="A6045"/>
      <c r="B6045" s="663"/>
      <c r="C6045" s="663"/>
      <c r="D6045" s="663"/>
      <c r="E6045" s="663"/>
    </row>
    <row r="6046" spans="1:5" x14ac:dyDescent="0.2">
      <c r="A6046"/>
      <c r="B6046" s="663"/>
      <c r="C6046" s="663"/>
      <c r="D6046" s="663"/>
      <c r="E6046" s="663"/>
    </row>
    <row r="6047" spans="1:5" x14ac:dyDescent="0.2">
      <c r="A6047"/>
      <c r="B6047" s="663"/>
      <c r="C6047" s="663"/>
      <c r="D6047" s="663"/>
      <c r="E6047" s="663"/>
    </row>
    <row r="6048" spans="1:5" x14ac:dyDescent="0.2">
      <c r="A6048"/>
      <c r="B6048" s="663"/>
      <c r="C6048" s="663"/>
      <c r="D6048" s="663"/>
      <c r="E6048" s="663"/>
    </row>
    <row r="6049" spans="1:5" x14ac:dyDescent="0.2">
      <c r="A6049"/>
      <c r="B6049" s="663"/>
      <c r="C6049" s="663"/>
      <c r="D6049" s="663"/>
      <c r="E6049" s="663"/>
    </row>
    <row r="6050" spans="1:5" x14ac:dyDescent="0.2">
      <c r="A6050"/>
      <c r="B6050" s="663"/>
      <c r="C6050" s="663"/>
      <c r="D6050" s="663"/>
      <c r="E6050" s="663"/>
    </row>
    <row r="6051" spans="1:5" x14ac:dyDescent="0.2">
      <c r="A6051"/>
      <c r="B6051" s="663"/>
      <c r="C6051" s="663"/>
      <c r="D6051" s="663"/>
      <c r="E6051" s="663"/>
    </row>
    <row r="6052" spans="1:5" x14ac:dyDescent="0.2">
      <c r="A6052"/>
      <c r="B6052" s="663"/>
      <c r="C6052" s="663"/>
      <c r="D6052" s="663"/>
      <c r="E6052" s="663"/>
    </row>
    <row r="6053" spans="1:5" x14ac:dyDescent="0.2">
      <c r="A6053"/>
      <c r="B6053" s="663"/>
      <c r="C6053" s="663"/>
      <c r="D6053" s="663"/>
      <c r="E6053" s="663"/>
    </row>
    <row r="6054" spans="1:5" x14ac:dyDescent="0.2">
      <c r="A6054"/>
      <c r="B6054" s="663"/>
      <c r="C6054" s="663"/>
      <c r="D6054" s="663"/>
      <c r="E6054" s="663"/>
    </row>
    <row r="6055" spans="1:5" x14ac:dyDescent="0.2">
      <c r="A6055"/>
      <c r="B6055" s="663"/>
      <c r="C6055" s="663"/>
      <c r="D6055" s="663"/>
      <c r="E6055" s="663"/>
    </row>
    <row r="6056" spans="1:5" x14ac:dyDescent="0.2">
      <c r="A6056"/>
      <c r="B6056" s="663"/>
      <c r="C6056" s="663"/>
      <c r="D6056" s="663"/>
      <c r="E6056" s="663"/>
    </row>
    <row r="6057" spans="1:5" x14ac:dyDescent="0.2">
      <c r="A6057"/>
      <c r="B6057" s="663"/>
      <c r="C6057" s="663"/>
      <c r="D6057" s="663"/>
      <c r="E6057" s="663"/>
    </row>
    <row r="6058" spans="1:5" x14ac:dyDescent="0.2">
      <c r="A6058"/>
      <c r="B6058" s="663"/>
      <c r="C6058" s="663"/>
      <c r="D6058" s="663"/>
      <c r="E6058" s="663"/>
    </row>
    <row r="6059" spans="1:5" x14ac:dyDescent="0.2">
      <c r="A6059"/>
      <c r="B6059" s="663"/>
      <c r="C6059" s="663"/>
      <c r="D6059" s="663"/>
      <c r="E6059" s="663"/>
    </row>
    <row r="6060" spans="1:5" x14ac:dyDescent="0.2">
      <c r="A6060"/>
      <c r="B6060" s="663"/>
      <c r="C6060" s="663"/>
      <c r="D6060" s="663"/>
      <c r="E6060" s="663"/>
    </row>
    <row r="6061" spans="1:5" x14ac:dyDescent="0.2">
      <c r="A6061"/>
      <c r="B6061" s="663"/>
      <c r="C6061" s="663"/>
      <c r="D6061" s="663"/>
      <c r="E6061" s="663"/>
    </row>
    <row r="6062" spans="1:5" x14ac:dyDescent="0.2">
      <c r="A6062"/>
      <c r="B6062" s="663"/>
      <c r="C6062" s="663"/>
      <c r="D6062" s="663"/>
      <c r="E6062" s="663"/>
    </row>
    <row r="6063" spans="1:5" x14ac:dyDescent="0.2">
      <c r="A6063"/>
      <c r="B6063" s="663"/>
      <c r="C6063" s="663"/>
      <c r="D6063" s="663"/>
      <c r="E6063" s="663"/>
    </row>
    <row r="6064" spans="1:5" x14ac:dyDescent="0.2">
      <c r="A6064"/>
      <c r="B6064" s="663"/>
      <c r="C6064" s="663"/>
      <c r="D6064" s="663"/>
      <c r="E6064" s="663"/>
    </row>
    <row r="6065" spans="1:5" x14ac:dyDescent="0.2">
      <c r="A6065"/>
      <c r="B6065" s="663"/>
      <c r="C6065" s="663"/>
      <c r="D6065" s="663"/>
      <c r="E6065" s="663"/>
    </row>
    <row r="6066" spans="1:5" x14ac:dyDescent="0.2">
      <c r="A6066"/>
      <c r="B6066" s="663"/>
      <c r="C6066" s="663"/>
      <c r="D6066" s="663"/>
      <c r="E6066" s="663"/>
    </row>
    <row r="6067" spans="1:5" x14ac:dyDescent="0.2">
      <c r="A6067"/>
      <c r="B6067" s="663"/>
      <c r="C6067" s="663"/>
      <c r="D6067" s="663"/>
      <c r="E6067" s="663"/>
    </row>
    <row r="6068" spans="1:5" x14ac:dyDescent="0.2">
      <c r="A6068"/>
      <c r="B6068" s="663"/>
      <c r="C6068" s="663"/>
      <c r="D6068" s="663"/>
      <c r="E6068" s="663"/>
    </row>
    <row r="6069" spans="1:5" x14ac:dyDescent="0.2">
      <c r="A6069"/>
      <c r="B6069" s="663"/>
      <c r="C6069" s="663"/>
      <c r="D6069" s="663"/>
      <c r="E6069" s="663"/>
    </row>
    <row r="6070" spans="1:5" x14ac:dyDescent="0.2">
      <c r="A6070"/>
      <c r="B6070" s="663"/>
      <c r="C6070" s="663"/>
      <c r="D6070" s="663"/>
      <c r="E6070" s="663"/>
    </row>
    <row r="6071" spans="1:5" x14ac:dyDescent="0.2">
      <c r="A6071"/>
      <c r="B6071" s="663"/>
      <c r="C6071" s="663"/>
      <c r="D6071" s="663"/>
      <c r="E6071" s="663"/>
    </row>
    <row r="6072" spans="1:5" x14ac:dyDescent="0.2">
      <c r="A6072"/>
      <c r="B6072" s="663"/>
      <c r="C6072" s="663"/>
      <c r="D6072" s="663"/>
      <c r="E6072" s="663"/>
    </row>
    <row r="6073" spans="1:5" x14ac:dyDescent="0.2">
      <c r="A6073"/>
      <c r="B6073" s="663"/>
      <c r="C6073" s="663"/>
      <c r="D6073" s="663"/>
      <c r="E6073" s="663"/>
    </row>
    <row r="6074" spans="1:5" x14ac:dyDescent="0.2">
      <c r="A6074"/>
      <c r="B6074" s="663"/>
      <c r="C6074" s="663"/>
      <c r="D6074" s="663"/>
      <c r="E6074" s="663"/>
    </row>
    <row r="6075" spans="1:5" x14ac:dyDescent="0.2">
      <c r="A6075"/>
      <c r="B6075" s="663"/>
      <c r="C6075" s="663"/>
      <c r="D6075" s="663"/>
      <c r="E6075" s="663"/>
    </row>
    <row r="6076" spans="1:5" x14ac:dyDescent="0.2">
      <c r="A6076"/>
      <c r="B6076" s="663"/>
      <c r="C6076" s="663"/>
      <c r="D6076" s="663"/>
      <c r="E6076" s="663"/>
    </row>
    <row r="6077" spans="1:5" x14ac:dyDescent="0.2">
      <c r="A6077"/>
      <c r="B6077" s="663"/>
      <c r="C6077" s="663"/>
      <c r="D6077" s="663"/>
      <c r="E6077" s="663"/>
    </row>
    <row r="6078" spans="1:5" x14ac:dyDescent="0.2">
      <c r="A6078"/>
      <c r="B6078" s="663"/>
      <c r="C6078" s="663"/>
      <c r="D6078" s="663"/>
      <c r="E6078" s="663"/>
    </row>
    <row r="6079" spans="1:5" x14ac:dyDescent="0.2">
      <c r="A6079"/>
      <c r="B6079" s="663"/>
      <c r="C6079" s="663"/>
      <c r="D6079" s="663"/>
      <c r="E6079" s="663"/>
    </row>
    <row r="6080" spans="1:5" x14ac:dyDescent="0.2">
      <c r="A6080"/>
      <c r="B6080" s="663"/>
      <c r="C6080" s="663"/>
      <c r="D6080" s="663"/>
      <c r="E6080" s="663"/>
    </row>
    <row r="6081" spans="1:5" x14ac:dyDescent="0.2">
      <c r="A6081"/>
      <c r="B6081" s="663"/>
      <c r="C6081" s="663"/>
      <c r="D6081" s="663"/>
      <c r="E6081" s="663"/>
    </row>
    <row r="6082" spans="1:5" x14ac:dyDescent="0.2">
      <c r="A6082"/>
      <c r="B6082" s="663"/>
      <c r="C6082" s="663"/>
      <c r="D6082" s="663"/>
      <c r="E6082" s="663"/>
    </row>
    <row r="6083" spans="1:5" x14ac:dyDescent="0.2">
      <c r="A6083"/>
      <c r="B6083" s="663"/>
      <c r="C6083" s="663"/>
      <c r="D6083" s="663"/>
      <c r="E6083" s="663"/>
    </row>
    <row r="6084" spans="1:5" x14ac:dyDescent="0.2">
      <c r="A6084"/>
      <c r="B6084" s="663"/>
      <c r="C6084" s="663"/>
      <c r="D6084" s="663"/>
      <c r="E6084" s="663"/>
    </row>
    <row r="6085" spans="1:5" x14ac:dyDescent="0.2">
      <c r="A6085"/>
      <c r="B6085" s="663"/>
      <c r="C6085" s="663"/>
      <c r="D6085" s="663"/>
      <c r="E6085" s="663"/>
    </row>
    <row r="6086" spans="1:5" x14ac:dyDescent="0.2">
      <c r="A6086"/>
      <c r="B6086" s="663"/>
      <c r="C6086" s="663"/>
      <c r="D6086" s="663"/>
      <c r="E6086" s="663"/>
    </row>
    <row r="6087" spans="1:5" x14ac:dyDescent="0.2">
      <c r="A6087"/>
      <c r="B6087" s="663"/>
      <c r="C6087" s="663"/>
      <c r="D6087" s="663"/>
      <c r="E6087" s="663"/>
    </row>
    <row r="6088" spans="1:5" x14ac:dyDescent="0.2">
      <c r="A6088"/>
      <c r="B6088" s="663"/>
      <c r="C6088" s="663"/>
      <c r="D6088" s="663"/>
      <c r="E6088" s="663"/>
    </row>
    <row r="6089" spans="1:5" x14ac:dyDescent="0.2">
      <c r="A6089"/>
      <c r="B6089" s="663"/>
      <c r="C6089" s="663"/>
      <c r="D6089" s="663"/>
      <c r="E6089" s="663"/>
    </row>
    <row r="6090" spans="1:5" x14ac:dyDescent="0.2">
      <c r="A6090"/>
      <c r="B6090" s="663"/>
      <c r="C6090" s="663"/>
      <c r="D6090" s="663"/>
      <c r="E6090" s="663"/>
    </row>
    <row r="6091" spans="1:5" x14ac:dyDescent="0.2">
      <c r="A6091"/>
      <c r="B6091" s="663"/>
      <c r="C6091" s="663"/>
      <c r="D6091" s="663"/>
      <c r="E6091" s="663"/>
    </row>
    <row r="6092" spans="1:5" x14ac:dyDescent="0.2">
      <c r="A6092"/>
      <c r="B6092" s="663"/>
      <c r="C6092" s="663"/>
      <c r="D6092" s="663"/>
      <c r="E6092" s="663"/>
    </row>
    <row r="6093" spans="1:5" x14ac:dyDescent="0.2">
      <c r="A6093"/>
      <c r="B6093" s="663"/>
      <c r="C6093" s="663"/>
      <c r="D6093" s="663"/>
      <c r="E6093" s="663"/>
    </row>
    <row r="6094" spans="1:5" x14ac:dyDescent="0.2">
      <c r="A6094"/>
      <c r="B6094" s="663"/>
      <c r="C6094" s="663"/>
      <c r="D6094" s="663"/>
      <c r="E6094" s="663"/>
    </row>
    <row r="6095" spans="1:5" x14ac:dyDescent="0.2">
      <c r="A6095"/>
      <c r="B6095" s="663"/>
      <c r="C6095" s="663"/>
      <c r="D6095" s="663"/>
      <c r="E6095" s="663"/>
    </row>
    <row r="6096" spans="1:5" x14ac:dyDescent="0.2">
      <c r="A6096"/>
      <c r="B6096" s="663"/>
      <c r="C6096" s="663"/>
      <c r="D6096" s="663"/>
      <c r="E6096" s="663"/>
    </row>
    <row r="6097" spans="1:5" x14ac:dyDescent="0.2">
      <c r="A6097"/>
      <c r="B6097" s="663"/>
      <c r="C6097" s="663"/>
      <c r="D6097" s="663"/>
      <c r="E6097" s="663"/>
    </row>
    <row r="6098" spans="1:5" x14ac:dyDescent="0.2">
      <c r="A6098"/>
      <c r="B6098" s="663"/>
      <c r="C6098" s="663"/>
      <c r="D6098" s="663"/>
      <c r="E6098" s="663"/>
    </row>
    <row r="6099" spans="1:5" x14ac:dyDescent="0.2">
      <c r="A6099"/>
      <c r="B6099" s="663"/>
      <c r="C6099" s="663"/>
      <c r="D6099" s="663"/>
      <c r="E6099" s="663"/>
    </row>
    <row r="6100" spans="1:5" x14ac:dyDescent="0.2">
      <c r="A6100"/>
      <c r="B6100" s="663"/>
      <c r="C6100" s="663"/>
      <c r="D6100" s="663"/>
      <c r="E6100" s="663"/>
    </row>
    <row r="6101" spans="1:5" x14ac:dyDescent="0.2">
      <c r="A6101"/>
      <c r="B6101" s="663"/>
      <c r="C6101" s="663"/>
      <c r="D6101" s="663"/>
      <c r="E6101" s="663"/>
    </row>
    <row r="6102" spans="1:5" x14ac:dyDescent="0.2">
      <c r="A6102"/>
      <c r="B6102" s="663"/>
      <c r="C6102" s="663"/>
      <c r="D6102" s="663"/>
      <c r="E6102" s="663"/>
    </row>
    <row r="6103" spans="1:5" x14ac:dyDescent="0.2">
      <c r="A6103"/>
      <c r="B6103" s="663"/>
      <c r="C6103" s="663"/>
      <c r="D6103" s="663"/>
      <c r="E6103" s="663"/>
    </row>
    <row r="6104" spans="1:5" x14ac:dyDescent="0.2">
      <c r="A6104"/>
      <c r="B6104" s="663"/>
      <c r="C6104" s="663"/>
      <c r="D6104" s="663"/>
      <c r="E6104" s="663"/>
    </row>
    <row r="6105" spans="1:5" x14ac:dyDescent="0.2">
      <c r="A6105"/>
      <c r="B6105" s="663"/>
      <c r="C6105" s="663"/>
      <c r="D6105" s="663"/>
      <c r="E6105" s="663"/>
    </row>
    <row r="6106" spans="1:5" x14ac:dyDescent="0.2">
      <c r="A6106"/>
      <c r="B6106" s="663"/>
      <c r="C6106" s="663"/>
      <c r="D6106" s="663"/>
      <c r="E6106" s="663"/>
    </row>
    <row r="6107" spans="1:5" x14ac:dyDescent="0.2">
      <c r="A6107"/>
      <c r="B6107" s="663"/>
      <c r="C6107" s="663"/>
      <c r="D6107" s="663"/>
      <c r="E6107" s="663"/>
    </row>
    <row r="6108" spans="1:5" x14ac:dyDescent="0.2">
      <c r="A6108"/>
      <c r="B6108" s="663"/>
      <c r="C6108" s="663"/>
      <c r="D6108" s="663"/>
      <c r="E6108" s="663"/>
    </row>
    <row r="6109" spans="1:5" x14ac:dyDescent="0.2">
      <c r="A6109"/>
      <c r="B6109" s="663"/>
      <c r="C6109" s="663"/>
      <c r="D6109" s="663"/>
      <c r="E6109" s="663"/>
    </row>
    <row r="6110" spans="1:5" x14ac:dyDescent="0.2">
      <c r="A6110"/>
      <c r="B6110" s="663"/>
      <c r="C6110" s="663"/>
      <c r="D6110" s="663"/>
      <c r="E6110" s="663"/>
    </row>
    <row r="6111" spans="1:5" x14ac:dyDescent="0.2">
      <c r="A6111"/>
      <c r="B6111" s="663"/>
      <c r="C6111" s="663"/>
      <c r="D6111" s="663"/>
      <c r="E6111" s="663"/>
    </row>
    <row r="6112" spans="1:5" x14ac:dyDescent="0.2">
      <c r="A6112"/>
      <c r="B6112" s="663"/>
      <c r="C6112" s="663"/>
      <c r="D6112" s="663"/>
      <c r="E6112" s="663"/>
    </row>
    <row r="6113" spans="1:5" x14ac:dyDescent="0.2">
      <c r="A6113"/>
      <c r="B6113" s="663"/>
      <c r="C6113" s="663"/>
      <c r="D6113" s="663"/>
      <c r="E6113" s="663"/>
    </row>
    <row r="6114" spans="1:5" x14ac:dyDescent="0.2">
      <c r="A6114"/>
      <c r="B6114" s="663"/>
      <c r="C6114" s="663"/>
      <c r="D6114" s="663"/>
      <c r="E6114" s="663"/>
    </row>
    <row r="6115" spans="1:5" x14ac:dyDescent="0.2">
      <c r="A6115"/>
      <c r="B6115" s="663"/>
      <c r="C6115" s="663"/>
      <c r="D6115" s="663"/>
      <c r="E6115" s="663"/>
    </row>
    <row r="6116" spans="1:5" x14ac:dyDescent="0.2">
      <c r="A6116"/>
      <c r="B6116" s="663"/>
      <c r="C6116" s="663"/>
      <c r="D6116" s="663"/>
      <c r="E6116" s="663"/>
    </row>
    <row r="6117" spans="1:5" x14ac:dyDescent="0.2">
      <c r="A6117"/>
      <c r="B6117" s="663"/>
      <c r="C6117" s="663"/>
      <c r="D6117" s="663"/>
      <c r="E6117" s="663"/>
    </row>
    <row r="6118" spans="1:5" x14ac:dyDescent="0.2">
      <c r="A6118"/>
      <c r="B6118" s="663"/>
      <c r="C6118" s="663"/>
      <c r="D6118" s="663"/>
      <c r="E6118" s="663"/>
    </row>
    <row r="6119" spans="1:5" x14ac:dyDescent="0.2">
      <c r="A6119"/>
      <c r="B6119" s="663"/>
      <c r="C6119" s="663"/>
      <c r="D6119" s="663"/>
      <c r="E6119" s="663"/>
    </row>
    <row r="6120" spans="1:5" x14ac:dyDescent="0.2">
      <c r="A6120"/>
      <c r="B6120" s="663"/>
      <c r="C6120" s="663"/>
      <c r="D6120" s="663"/>
      <c r="E6120" s="663"/>
    </row>
    <row r="6121" spans="1:5" x14ac:dyDescent="0.2">
      <c r="A6121"/>
      <c r="B6121" s="663"/>
      <c r="C6121" s="663"/>
      <c r="D6121" s="663"/>
      <c r="E6121" s="663"/>
    </row>
    <row r="6122" spans="1:5" x14ac:dyDescent="0.2">
      <c r="A6122"/>
      <c r="B6122" s="663"/>
      <c r="C6122" s="663"/>
      <c r="D6122" s="663"/>
      <c r="E6122" s="663"/>
    </row>
    <row r="6123" spans="1:5" x14ac:dyDescent="0.2">
      <c r="A6123"/>
      <c r="B6123" s="663"/>
      <c r="C6123" s="663"/>
      <c r="D6123" s="663"/>
      <c r="E6123" s="663"/>
    </row>
    <row r="6124" spans="1:5" x14ac:dyDescent="0.2">
      <c r="A6124"/>
      <c r="B6124" s="663"/>
      <c r="C6124" s="663"/>
      <c r="D6124" s="663"/>
      <c r="E6124" s="663"/>
    </row>
    <row r="6125" spans="1:5" x14ac:dyDescent="0.2">
      <c r="A6125"/>
      <c r="B6125" s="663"/>
      <c r="C6125" s="663"/>
      <c r="D6125" s="663"/>
      <c r="E6125" s="663"/>
    </row>
    <row r="6126" spans="1:5" x14ac:dyDescent="0.2">
      <c r="A6126"/>
      <c r="B6126" s="663"/>
      <c r="C6126" s="663"/>
      <c r="D6126" s="663"/>
      <c r="E6126" s="663"/>
    </row>
    <row r="6127" spans="1:5" x14ac:dyDescent="0.2">
      <c r="A6127"/>
      <c r="B6127" s="663"/>
      <c r="C6127" s="663"/>
      <c r="D6127" s="663"/>
      <c r="E6127" s="663"/>
    </row>
    <row r="6128" spans="1:5" x14ac:dyDescent="0.2">
      <c r="A6128"/>
      <c r="B6128" s="663"/>
      <c r="C6128" s="663"/>
      <c r="D6128" s="663"/>
      <c r="E6128" s="663"/>
    </row>
    <row r="6129" spans="1:5" x14ac:dyDescent="0.2">
      <c r="A6129"/>
      <c r="B6129" s="663"/>
      <c r="C6129" s="663"/>
      <c r="D6129" s="663"/>
      <c r="E6129" s="663"/>
    </row>
    <row r="6130" spans="1:5" x14ac:dyDescent="0.2">
      <c r="A6130"/>
      <c r="B6130" s="663"/>
      <c r="C6130" s="663"/>
      <c r="D6130" s="663"/>
      <c r="E6130" s="663"/>
    </row>
    <row r="6131" spans="1:5" x14ac:dyDescent="0.2">
      <c r="A6131"/>
      <c r="B6131" s="663"/>
      <c r="C6131" s="663"/>
      <c r="D6131" s="663"/>
      <c r="E6131" s="663"/>
    </row>
    <row r="6132" spans="1:5" x14ac:dyDescent="0.2">
      <c r="A6132"/>
      <c r="B6132" s="663"/>
      <c r="C6132" s="663"/>
      <c r="D6132" s="663"/>
      <c r="E6132" s="663"/>
    </row>
    <row r="6133" spans="1:5" x14ac:dyDescent="0.2">
      <c r="A6133"/>
      <c r="B6133" s="663"/>
      <c r="C6133" s="663"/>
      <c r="D6133" s="663"/>
      <c r="E6133" s="663"/>
    </row>
    <row r="6134" spans="1:5" x14ac:dyDescent="0.2">
      <c r="A6134"/>
      <c r="B6134" s="663"/>
      <c r="C6134" s="663"/>
      <c r="D6134" s="663"/>
      <c r="E6134" s="663"/>
    </row>
    <row r="6135" spans="1:5" x14ac:dyDescent="0.2">
      <c r="A6135"/>
      <c r="B6135" s="663"/>
      <c r="C6135" s="663"/>
      <c r="D6135" s="663"/>
      <c r="E6135" s="663"/>
    </row>
    <row r="6136" spans="1:5" x14ac:dyDescent="0.2">
      <c r="A6136"/>
      <c r="B6136" s="663"/>
      <c r="C6136" s="663"/>
      <c r="D6136" s="663"/>
      <c r="E6136" s="663"/>
    </row>
    <row r="6137" spans="1:5" x14ac:dyDescent="0.2">
      <c r="A6137"/>
      <c r="B6137" s="663"/>
      <c r="C6137" s="663"/>
      <c r="D6137" s="663"/>
      <c r="E6137" s="663"/>
    </row>
    <row r="6138" spans="1:5" x14ac:dyDescent="0.2">
      <c r="A6138"/>
      <c r="B6138" s="663"/>
      <c r="C6138" s="663"/>
      <c r="D6138" s="663"/>
      <c r="E6138" s="663"/>
    </row>
    <row r="6139" spans="1:5" x14ac:dyDescent="0.2">
      <c r="A6139"/>
      <c r="B6139" s="663"/>
      <c r="C6139" s="663"/>
      <c r="D6139" s="663"/>
      <c r="E6139" s="663"/>
    </row>
    <row r="6140" spans="1:5" x14ac:dyDescent="0.2">
      <c r="A6140"/>
      <c r="B6140" s="663"/>
      <c r="C6140" s="663"/>
      <c r="D6140" s="663"/>
      <c r="E6140" s="663"/>
    </row>
    <row r="6141" spans="1:5" x14ac:dyDescent="0.2">
      <c r="A6141"/>
      <c r="B6141" s="663"/>
      <c r="C6141" s="663"/>
      <c r="D6141" s="663"/>
      <c r="E6141" s="663"/>
    </row>
    <row r="6142" spans="1:5" x14ac:dyDescent="0.2">
      <c r="A6142"/>
      <c r="B6142" s="663"/>
      <c r="C6142" s="663"/>
      <c r="D6142" s="663"/>
      <c r="E6142" s="663"/>
    </row>
    <row r="6143" spans="1:5" x14ac:dyDescent="0.2">
      <c r="A6143"/>
      <c r="B6143" s="663"/>
      <c r="C6143" s="663"/>
      <c r="D6143" s="663"/>
      <c r="E6143" s="663"/>
    </row>
    <row r="6144" spans="1:5" x14ac:dyDescent="0.2">
      <c r="A6144"/>
      <c r="B6144" s="663"/>
      <c r="C6144" s="663"/>
      <c r="D6144" s="663"/>
      <c r="E6144" s="663"/>
    </row>
    <row r="6145" spans="1:5" x14ac:dyDescent="0.2">
      <c r="A6145"/>
      <c r="B6145" s="663"/>
      <c r="C6145" s="663"/>
      <c r="D6145" s="663"/>
      <c r="E6145" s="663"/>
    </row>
    <row r="6146" spans="1:5" x14ac:dyDescent="0.2">
      <c r="A6146"/>
      <c r="B6146" s="663"/>
      <c r="C6146" s="663"/>
      <c r="D6146" s="663"/>
      <c r="E6146" s="663"/>
    </row>
    <row r="6147" spans="1:5" x14ac:dyDescent="0.2">
      <c r="A6147"/>
      <c r="B6147" s="663"/>
      <c r="C6147" s="663"/>
      <c r="D6147" s="663"/>
      <c r="E6147" s="663"/>
    </row>
    <row r="6148" spans="1:5" x14ac:dyDescent="0.2">
      <c r="A6148"/>
      <c r="B6148" s="663"/>
      <c r="C6148" s="663"/>
      <c r="D6148" s="663"/>
      <c r="E6148" s="663"/>
    </row>
    <row r="6149" spans="1:5" x14ac:dyDescent="0.2">
      <c r="A6149"/>
      <c r="B6149" s="663"/>
      <c r="C6149" s="663"/>
      <c r="D6149" s="663"/>
      <c r="E6149" s="663"/>
    </row>
    <row r="6150" spans="1:5" x14ac:dyDescent="0.2">
      <c r="A6150"/>
      <c r="B6150" s="663"/>
      <c r="C6150" s="663"/>
      <c r="D6150" s="663"/>
      <c r="E6150" s="663"/>
    </row>
    <row r="6151" spans="1:5" x14ac:dyDescent="0.2">
      <c r="A6151"/>
      <c r="B6151" s="663"/>
      <c r="C6151" s="663"/>
      <c r="D6151" s="663"/>
      <c r="E6151" s="663"/>
    </row>
    <row r="6152" spans="1:5" x14ac:dyDescent="0.2">
      <c r="A6152"/>
      <c r="B6152" s="663"/>
      <c r="C6152" s="663"/>
      <c r="D6152" s="663"/>
      <c r="E6152" s="663"/>
    </row>
    <row r="6153" spans="1:5" x14ac:dyDescent="0.2">
      <c r="A6153"/>
      <c r="B6153" s="663"/>
      <c r="C6153" s="663"/>
      <c r="D6153" s="663"/>
      <c r="E6153" s="663"/>
    </row>
    <row r="6154" spans="1:5" x14ac:dyDescent="0.2">
      <c r="A6154"/>
      <c r="B6154" s="663"/>
      <c r="C6154" s="663"/>
      <c r="D6154" s="663"/>
      <c r="E6154" s="663"/>
    </row>
    <row r="6155" spans="1:5" x14ac:dyDescent="0.2">
      <c r="A6155"/>
      <c r="B6155" s="663"/>
      <c r="C6155" s="663"/>
      <c r="D6155" s="663"/>
      <c r="E6155" s="663"/>
    </row>
    <row r="6156" spans="1:5" x14ac:dyDescent="0.2">
      <c r="A6156"/>
      <c r="B6156" s="663"/>
      <c r="C6156" s="663"/>
      <c r="D6156" s="663"/>
      <c r="E6156" s="663"/>
    </row>
    <row r="6157" spans="1:5" x14ac:dyDescent="0.2">
      <c r="A6157"/>
      <c r="B6157" s="663"/>
      <c r="C6157" s="663"/>
      <c r="D6157" s="663"/>
      <c r="E6157" s="663"/>
    </row>
    <row r="6158" spans="1:5" x14ac:dyDescent="0.2">
      <c r="A6158"/>
      <c r="B6158" s="663"/>
      <c r="C6158" s="663"/>
      <c r="D6158" s="663"/>
      <c r="E6158" s="663"/>
    </row>
    <row r="6159" spans="1:5" x14ac:dyDescent="0.2">
      <c r="A6159"/>
      <c r="B6159" s="663"/>
      <c r="C6159" s="663"/>
      <c r="D6159" s="663"/>
      <c r="E6159" s="663"/>
    </row>
    <row r="6160" spans="1:5" x14ac:dyDescent="0.2">
      <c r="A6160"/>
      <c r="B6160" s="663"/>
      <c r="C6160" s="663"/>
      <c r="D6160" s="663"/>
      <c r="E6160" s="663"/>
    </row>
    <row r="6161" spans="1:5" x14ac:dyDescent="0.2">
      <c r="A6161"/>
      <c r="B6161" s="663"/>
      <c r="C6161" s="663"/>
      <c r="D6161" s="663"/>
      <c r="E6161" s="663"/>
    </row>
    <row r="6162" spans="1:5" x14ac:dyDescent="0.2">
      <c r="A6162"/>
      <c r="B6162" s="663"/>
      <c r="C6162" s="663"/>
      <c r="D6162" s="663"/>
      <c r="E6162" s="663"/>
    </row>
    <row r="6163" spans="1:5" x14ac:dyDescent="0.2">
      <c r="A6163"/>
      <c r="B6163" s="663"/>
      <c r="C6163" s="663"/>
      <c r="D6163" s="663"/>
      <c r="E6163" s="663"/>
    </row>
    <row r="6164" spans="1:5" x14ac:dyDescent="0.2">
      <c r="A6164"/>
      <c r="B6164" s="663"/>
      <c r="C6164" s="663"/>
      <c r="D6164" s="663"/>
      <c r="E6164" s="663"/>
    </row>
    <row r="6165" spans="1:5" x14ac:dyDescent="0.2">
      <c r="A6165"/>
      <c r="B6165" s="663"/>
      <c r="C6165" s="663"/>
      <c r="D6165" s="663"/>
      <c r="E6165" s="663"/>
    </row>
    <row r="6166" spans="1:5" x14ac:dyDescent="0.2">
      <c r="A6166"/>
      <c r="B6166" s="663"/>
      <c r="C6166" s="663"/>
      <c r="D6166" s="663"/>
      <c r="E6166" s="663"/>
    </row>
    <row r="6167" spans="1:5" x14ac:dyDescent="0.2">
      <c r="A6167"/>
      <c r="B6167" s="663"/>
      <c r="C6167" s="663"/>
      <c r="D6167" s="663"/>
      <c r="E6167" s="663"/>
    </row>
    <row r="6168" spans="1:5" x14ac:dyDescent="0.2">
      <c r="A6168"/>
      <c r="B6168" s="663"/>
      <c r="C6168" s="663"/>
      <c r="D6168" s="663"/>
      <c r="E6168" s="663"/>
    </row>
    <row r="6169" spans="1:5" x14ac:dyDescent="0.2">
      <c r="A6169"/>
      <c r="B6169" s="663"/>
      <c r="C6169" s="663"/>
      <c r="D6169" s="663"/>
      <c r="E6169" s="663"/>
    </row>
    <row r="6170" spans="1:5" x14ac:dyDescent="0.2">
      <c r="A6170"/>
      <c r="B6170" s="663"/>
      <c r="C6170" s="663"/>
      <c r="D6170" s="663"/>
      <c r="E6170" s="663"/>
    </row>
    <row r="6171" spans="1:5" x14ac:dyDescent="0.2">
      <c r="A6171"/>
      <c r="B6171" s="663"/>
      <c r="C6171" s="663"/>
      <c r="D6171" s="663"/>
      <c r="E6171" s="663"/>
    </row>
    <row r="6172" spans="1:5" x14ac:dyDescent="0.2">
      <c r="A6172"/>
      <c r="B6172" s="663"/>
      <c r="C6172" s="663"/>
      <c r="D6172" s="663"/>
      <c r="E6172" s="663"/>
    </row>
    <row r="6173" spans="1:5" x14ac:dyDescent="0.2">
      <c r="A6173"/>
      <c r="B6173" s="663"/>
      <c r="C6173" s="663"/>
      <c r="D6173" s="663"/>
      <c r="E6173" s="663"/>
    </row>
    <row r="6174" spans="1:5" x14ac:dyDescent="0.2">
      <c r="A6174"/>
      <c r="B6174" s="663"/>
      <c r="C6174" s="663"/>
      <c r="D6174" s="663"/>
      <c r="E6174" s="663"/>
    </row>
    <row r="6175" spans="1:5" x14ac:dyDescent="0.2">
      <c r="A6175"/>
      <c r="B6175" s="663"/>
      <c r="C6175" s="663"/>
      <c r="D6175" s="663"/>
      <c r="E6175" s="663"/>
    </row>
    <row r="6176" spans="1:5" x14ac:dyDescent="0.2">
      <c r="A6176"/>
      <c r="B6176" s="663"/>
      <c r="C6176" s="663"/>
      <c r="D6176" s="663"/>
      <c r="E6176" s="663"/>
    </row>
    <row r="6177" spans="1:5" x14ac:dyDescent="0.2">
      <c r="A6177"/>
      <c r="B6177" s="663"/>
      <c r="C6177" s="663"/>
      <c r="D6177" s="663"/>
      <c r="E6177" s="663"/>
    </row>
    <row r="6178" spans="1:5" x14ac:dyDescent="0.2">
      <c r="A6178"/>
      <c r="B6178" s="663"/>
      <c r="C6178" s="663"/>
      <c r="D6178" s="663"/>
      <c r="E6178" s="663"/>
    </row>
    <row r="6179" spans="1:5" x14ac:dyDescent="0.2">
      <c r="A6179"/>
      <c r="B6179" s="663"/>
      <c r="C6179" s="663"/>
      <c r="D6179" s="663"/>
      <c r="E6179" s="663"/>
    </row>
    <row r="6180" spans="1:5" x14ac:dyDescent="0.2">
      <c r="A6180"/>
      <c r="B6180" s="663"/>
      <c r="C6180" s="663"/>
      <c r="D6180" s="663"/>
      <c r="E6180" s="663"/>
    </row>
    <row r="6181" spans="1:5" x14ac:dyDescent="0.2">
      <c r="A6181"/>
      <c r="B6181" s="663"/>
      <c r="C6181" s="663"/>
      <c r="D6181" s="663"/>
      <c r="E6181" s="663"/>
    </row>
    <row r="6182" spans="1:5" x14ac:dyDescent="0.2">
      <c r="A6182"/>
      <c r="B6182" s="663"/>
      <c r="C6182" s="663"/>
      <c r="D6182" s="663"/>
      <c r="E6182" s="663"/>
    </row>
    <row r="6183" spans="1:5" x14ac:dyDescent="0.2">
      <c r="A6183"/>
      <c r="B6183" s="663"/>
      <c r="C6183" s="663"/>
      <c r="D6183" s="663"/>
      <c r="E6183" s="663"/>
    </row>
    <row r="6184" spans="1:5" x14ac:dyDescent="0.2">
      <c r="A6184"/>
      <c r="B6184" s="663"/>
      <c r="C6184" s="663"/>
      <c r="D6184" s="663"/>
      <c r="E6184" s="663"/>
    </row>
    <row r="6185" spans="1:5" x14ac:dyDescent="0.2">
      <c r="A6185"/>
      <c r="B6185" s="663"/>
      <c r="C6185" s="663"/>
      <c r="D6185" s="663"/>
      <c r="E6185" s="663"/>
    </row>
    <row r="6186" spans="1:5" x14ac:dyDescent="0.2">
      <c r="A6186"/>
      <c r="B6186" s="663"/>
      <c r="C6186" s="663"/>
      <c r="D6186" s="663"/>
      <c r="E6186" s="663"/>
    </row>
    <row r="6187" spans="1:5" x14ac:dyDescent="0.2">
      <c r="A6187"/>
      <c r="B6187" s="663"/>
      <c r="C6187" s="663"/>
      <c r="D6187" s="663"/>
      <c r="E6187" s="663"/>
    </row>
    <row r="6188" spans="1:5" x14ac:dyDescent="0.2">
      <c r="A6188"/>
      <c r="B6188" s="663"/>
      <c r="C6188" s="663"/>
      <c r="D6188" s="663"/>
      <c r="E6188" s="663"/>
    </row>
    <row r="6189" spans="1:5" x14ac:dyDescent="0.2">
      <c r="A6189"/>
      <c r="B6189" s="663"/>
      <c r="C6189" s="663"/>
      <c r="D6189" s="663"/>
      <c r="E6189" s="663"/>
    </row>
    <row r="6190" spans="1:5" x14ac:dyDescent="0.2">
      <c r="A6190"/>
      <c r="B6190" s="663"/>
      <c r="C6190" s="663"/>
      <c r="D6190" s="663"/>
      <c r="E6190" s="663"/>
    </row>
    <row r="6191" spans="1:5" x14ac:dyDescent="0.2">
      <c r="A6191"/>
      <c r="B6191" s="663"/>
      <c r="C6191" s="663"/>
      <c r="D6191" s="663"/>
      <c r="E6191" s="663"/>
    </row>
    <row r="6192" spans="1:5" x14ac:dyDescent="0.2">
      <c r="A6192"/>
      <c r="B6192" s="663"/>
      <c r="C6192" s="663"/>
      <c r="D6192" s="663"/>
      <c r="E6192" s="663"/>
    </row>
    <row r="6193" spans="1:5" x14ac:dyDescent="0.2">
      <c r="A6193"/>
      <c r="B6193" s="663"/>
      <c r="C6193" s="663"/>
      <c r="D6193" s="663"/>
      <c r="E6193" s="663"/>
    </row>
    <row r="6194" spans="1:5" x14ac:dyDescent="0.2">
      <c r="A6194"/>
      <c r="B6194" s="663"/>
      <c r="C6194" s="663"/>
      <c r="D6194" s="663"/>
      <c r="E6194" s="663"/>
    </row>
    <row r="6195" spans="1:5" x14ac:dyDescent="0.2">
      <c r="A6195"/>
      <c r="B6195" s="663"/>
      <c r="C6195" s="663"/>
      <c r="D6195" s="663"/>
      <c r="E6195" s="663"/>
    </row>
    <row r="6196" spans="1:5" x14ac:dyDescent="0.2">
      <c r="A6196"/>
      <c r="B6196" s="663"/>
      <c r="C6196" s="663"/>
      <c r="D6196" s="663"/>
      <c r="E6196" s="663"/>
    </row>
    <row r="6197" spans="1:5" x14ac:dyDescent="0.2">
      <c r="A6197"/>
      <c r="B6197" s="663"/>
      <c r="C6197" s="663"/>
      <c r="D6197" s="663"/>
      <c r="E6197" s="663"/>
    </row>
    <row r="6198" spans="1:5" x14ac:dyDescent="0.2">
      <c r="A6198"/>
      <c r="B6198" s="663"/>
      <c r="C6198" s="663"/>
      <c r="D6198" s="663"/>
      <c r="E6198" s="663"/>
    </row>
    <row r="6199" spans="1:5" x14ac:dyDescent="0.2">
      <c r="A6199"/>
      <c r="B6199" s="663"/>
      <c r="C6199" s="663"/>
      <c r="D6199" s="663"/>
      <c r="E6199" s="663"/>
    </row>
    <row r="6200" spans="1:5" x14ac:dyDescent="0.2">
      <c r="A6200"/>
      <c r="B6200" s="663"/>
      <c r="C6200" s="663"/>
      <c r="D6200" s="663"/>
      <c r="E6200" s="663"/>
    </row>
    <row r="6201" spans="1:5" x14ac:dyDescent="0.2">
      <c r="A6201"/>
      <c r="B6201" s="663"/>
      <c r="C6201" s="663"/>
      <c r="D6201" s="663"/>
      <c r="E6201" s="663"/>
    </row>
    <row r="6202" spans="1:5" x14ac:dyDescent="0.2">
      <c r="A6202"/>
      <c r="B6202" s="663"/>
      <c r="C6202" s="663"/>
      <c r="D6202" s="663"/>
      <c r="E6202" s="663"/>
    </row>
    <row r="6203" spans="1:5" x14ac:dyDescent="0.2">
      <c r="A6203"/>
      <c r="B6203" s="663"/>
      <c r="C6203" s="663"/>
      <c r="D6203" s="663"/>
      <c r="E6203" s="663"/>
    </row>
    <row r="6204" spans="1:5" x14ac:dyDescent="0.2">
      <c r="A6204"/>
      <c r="B6204" s="663"/>
      <c r="C6204" s="663"/>
      <c r="D6204" s="663"/>
      <c r="E6204" s="663"/>
    </row>
    <row r="6205" spans="1:5" x14ac:dyDescent="0.2">
      <c r="A6205"/>
      <c r="B6205" s="663"/>
      <c r="C6205" s="663"/>
      <c r="D6205" s="663"/>
      <c r="E6205" s="663"/>
    </row>
    <row r="6206" spans="1:5" x14ac:dyDescent="0.2">
      <c r="A6206"/>
      <c r="B6206" s="663"/>
      <c r="C6206" s="663"/>
      <c r="D6206" s="663"/>
      <c r="E6206" s="663"/>
    </row>
    <row r="6207" spans="1:5" x14ac:dyDescent="0.2">
      <c r="A6207"/>
      <c r="B6207" s="663"/>
      <c r="C6207" s="663"/>
      <c r="D6207" s="663"/>
      <c r="E6207" s="663"/>
    </row>
    <row r="6208" spans="1:5" x14ac:dyDescent="0.2">
      <c r="A6208"/>
      <c r="B6208" s="663"/>
      <c r="C6208" s="663"/>
      <c r="D6208" s="663"/>
      <c r="E6208" s="663"/>
    </row>
    <row r="6209" spans="1:5" x14ac:dyDescent="0.2">
      <c r="A6209"/>
      <c r="B6209" s="663"/>
      <c r="C6209" s="663"/>
      <c r="D6209" s="663"/>
      <c r="E6209" s="663"/>
    </row>
    <row r="6210" spans="1:5" x14ac:dyDescent="0.2">
      <c r="A6210"/>
      <c r="B6210" s="663"/>
      <c r="C6210" s="663"/>
      <c r="D6210" s="663"/>
      <c r="E6210" s="663"/>
    </row>
    <row r="6211" spans="1:5" x14ac:dyDescent="0.2">
      <c r="A6211"/>
      <c r="B6211" s="663"/>
      <c r="C6211" s="663"/>
      <c r="D6211" s="663"/>
      <c r="E6211" s="663"/>
    </row>
    <row r="6212" spans="1:5" x14ac:dyDescent="0.2">
      <c r="A6212"/>
      <c r="B6212" s="663"/>
      <c r="C6212" s="663"/>
      <c r="D6212" s="663"/>
      <c r="E6212" s="663"/>
    </row>
    <row r="6213" spans="1:5" x14ac:dyDescent="0.2">
      <c r="A6213"/>
      <c r="B6213" s="663"/>
      <c r="C6213" s="663"/>
      <c r="D6213" s="663"/>
      <c r="E6213" s="663"/>
    </row>
    <row r="6214" spans="1:5" x14ac:dyDescent="0.2">
      <c r="A6214"/>
      <c r="B6214" s="663"/>
      <c r="C6214" s="663"/>
      <c r="D6214" s="663"/>
      <c r="E6214" s="663"/>
    </row>
    <row r="6215" spans="1:5" x14ac:dyDescent="0.2">
      <c r="A6215"/>
      <c r="B6215" s="663"/>
      <c r="C6215" s="663"/>
      <c r="D6215" s="663"/>
      <c r="E6215" s="663"/>
    </row>
    <row r="6216" spans="1:5" x14ac:dyDescent="0.2">
      <c r="A6216"/>
      <c r="B6216" s="663"/>
      <c r="C6216" s="663"/>
      <c r="D6216" s="663"/>
      <c r="E6216" s="663"/>
    </row>
    <row r="6217" spans="1:5" x14ac:dyDescent="0.2">
      <c r="A6217"/>
      <c r="B6217" s="663"/>
      <c r="C6217" s="663"/>
      <c r="D6217" s="663"/>
      <c r="E6217" s="663"/>
    </row>
    <row r="6218" spans="1:5" x14ac:dyDescent="0.2">
      <c r="A6218"/>
      <c r="B6218" s="663"/>
      <c r="C6218" s="663"/>
      <c r="D6218" s="663"/>
      <c r="E6218" s="663"/>
    </row>
    <row r="6219" spans="1:5" x14ac:dyDescent="0.2">
      <c r="A6219"/>
      <c r="B6219" s="663"/>
      <c r="C6219" s="663"/>
      <c r="D6219" s="663"/>
      <c r="E6219" s="663"/>
    </row>
    <row r="6220" spans="1:5" x14ac:dyDescent="0.2">
      <c r="A6220"/>
      <c r="B6220" s="663"/>
      <c r="C6220" s="663"/>
      <c r="D6220" s="663"/>
      <c r="E6220" s="663"/>
    </row>
    <row r="6221" spans="1:5" x14ac:dyDescent="0.2">
      <c r="A6221"/>
      <c r="B6221" s="663"/>
      <c r="C6221" s="663"/>
      <c r="D6221" s="663"/>
      <c r="E6221" s="663"/>
    </row>
    <row r="6222" spans="1:5" x14ac:dyDescent="0.2">
      <c r="A6222"/>
      <c r="B6222" s="663"/>
      <c r="C6222" s="663"/>
      <c r="D6222" s="663"/>
      <c r="E6222" s="663"/>
    </row>
    <row r="6223" spans="1:5" x14ac:dyDescent="0.2">
      <c r="A6223"/>
      <c r="B6223" s="663"/>
      <c r="C6223" s="663"/>
      <c r="D6223" s="663"/>
      <c r="E6223" s="663"/>
    </row>
    <row r="6224" spans="1:5" x14ac:dyDescent="0.2">
      <c r="A6224"/>
      <c r="B6224" s="663"/>
      <c r="C6224" s="663"/>
      <c r="D6224" s="663"/>
      <c r="E6224" s="663"/>
    </row>
    <row r="6225" spans="1:5" x14ac:dyDescent="0.2">
      <c r="A6225"/>
      <c r="B6225" s="663"/>
      <c r="C6225" s="663"/>
      <c r="D6225" s="663"/>
      <c r="E6225" s="663"/>
    </row>
    <row r="6226" spans="1:5" x14ac:dyDescent="0.2">
      <c r="A6226"/>
      <c r="B6226" s="663"/>
      <c r="C6226" s="663"/>
      <c r="D6226" s="663"/>
      <c r="E6226" s="663"/>
    </row>
    <row r="6227" spans="1:5" x14ac:dyDescent="0.2">
      <c r="A6227"/>
      <c r="B6227" s="663"/>
      <c r="C6227" s="663"/>
      <c r="D6227" s="663"/>
      <c r="E6227" s="663"/>
    </row>
    <row r="6228" spans="1:5" x14ac:dyDescent="0.2">
      <c r="A6228"/>
      <c r="B6228" s="663"/>
      <c r="C6228" s="663"/>
      <c r="D6228" s="663"/>
      <c r="E6228" s="663"/>
    </row>
    <row r="6229" spans="1:5" x14ac:dyDescent="0.2">
      <c r="A6229"/>
      <c r="B6229" s="663"/>
      <c r="C6229" s="663"/>
      <c r="D6229" s="663"/>
      <c r="E6229" s="663"/>
    </row>
    <row r="6230" spans="1:5" x14ac:dyDescent="0.2">
      <c r="A6230"/>
      <c r="B6230" s="663"/>
      <c r="C6230" s="663"/>
      <c r="D6230" s="663"/>
      <c r="E6230" s="663"/>
    </row>
    <row r="6231" spans="1:5" x14ac:dyDescent="0.2">
      <c r="A6231"/>
      <c r="B6231" s="663"/>
      <c r="C6231" s="663"/>
      <c r="D6231" s="663"/>
      <c r="E6231" s="663"/>
    </row>
    <row r="6232" spans="1:5" x14ac:dyDescent="0.2">
      <c r="A6232"/>
      <c r="B6232" s="663"/>
      <c r="C6232" s="663"/>
      <c r="D6232" s="663"/>
      <c r="E6232" s="663"/>
    </row>
    <row r="6233" spans="1:5" x14ac:dyDescent="0.2">
      <c r="A6233"/>
      <c r="B6233" s="663"/>
      <c r="C6233" s="663"/>
      <c r="D6233" s="663"/>
      <c r="E6233" s="663"/>
    </row>
    <row r="6234" spans="1:5" x14ac:dyDescent="0.2">
      <c r="A6234"/>
      <c r="B6234" s="663"/>
      <c r="C6234" s="663"/>
      <c r="D6234" s="663"/>
      <c r="E6234" s="663"/>
    </row>
    <row r="6235" spans="1:5" x14ac:dyDescent="0.2">
      <c r="A6235"/>
      <c r="B6235" s="663"/>
      <c r="C6235" s="663"/>
      <c r="D6235" s="663"/>
      <c r="E6235" s="663"/>
    </row>
    <row r="6236" spans="1:5" x14ac:dyDescent="0.2">
      <c r="A6236"/>
      <c r="B6236" s="663"/>
      <c r="C6236" s="663"/>
      <c r="D6236" s="663"/>
      <c r="E6236" s="663"/>
    </row>
    <row r="6237" spans="1:5" x14ac:dyDescent="0.2">
      <c r="A6237"/>
      <c r="B6237" s="663"/>
      <c r="C6237" s="663"/>
      <c r="D6237" s="663"/>
      <c r="E6237" s="663"/>
    </row>
    <row r="6238" spans="1:5" x14ac:dyDescent="0.2">
      <c r="A6238"/>
      <c r="B6238" s="663"/>
      <c r="C6238" s="663"/>
      <c r="D6238" s="663"/>
      <c r="E6238" s="663"/>
    </row>
    <row r="6239" spans="1:5" x14ac:dyDescent="0.2">
      <c r="A6239"/>
      <c r="B6239" s="663"/>
      <c r="C6239" s="663"/>
      <c r="D6239" s="663"/>
      <c r="E6239" s="663"/>
    </row>
    <row r="6240" spans="1:5" x14ac:dyDescent="0.2">
      <c r="A6240"/>
      <c r="B6240" s="663"/>
      <c r="C6240" s="663"/>
      <c r="D6240" s="663"/>
      <c r="E6240" s="663"/>
    </row>
    <row r="6241" spans="1:5" x14ac:dyDescent="0.2">
      <c r="A6241"/>
      <c r="B6241" s="663"/>
      <c r="C6241" s="663"/>
      <c r="D6241" s="663"/>
      <c r="E6241" s="663"/>
    </row>
    <row r="6242" spans="1:5" x14ac:dyDescent="0.2">
      <c r="A6242"/>
      <c r="B6242" s="663"/>
      <c r="C6242" s="663"/>
      <c r="D6242" s="663"/>
      <c r="E6242" s="663"/>
    </row>
    <row r="6243" spans="1:5" x14ac:dyDescent="0.2">
      <c r="A6243"/>
      <c r="B6243" s="663"/>
      <c r="C6243" s="663"/>
      <c r="D6243" s="663"/>
      <c r="E6243" s="663"/>
    </row>
    <row r="6244" spans="1:5" x14ac:dyDescent="0.2">
      <c r="A6244"/>
      <c r="B6244" s="663"/>
      <c r="C6244" s="663"/>
      <c r="D6244" s="663"/>
      <c r="E6244" s="663"/>
    </row>
    <row r="6245" spans="1:5" x14ac:dyDescent="0.2">
      <c r="A6245"/>
      <c r="B6245" s="663"/>
      <c r="C6245" s="663"/>
      <c r="D6245" s="663"/>
      <c r="E6245" s="663"/>
    </row>
    <row r="6246" spans="1:5" x14ac:dyDescent="0.2">
      <c r="A6246"/>
      <c r="B6246" s="663"/>
      <c r="C6246" s="663"/>
      <c r="D6246" s="663"/>
      <c r="E6246" s="663"/>
    </row>
    <row r="6247" spans="1:5" x14ac:dyDescent="0.2">
      <c r="A6247"/>
      <c r="B6247" s="663"/>
      <c r="C6247" s="663"/>
      <c r="D6247" s="663"/>
      <c r="E6247" s="663"/>
    </row>
    <row r="6248" spans="1:5" x14ac:dyDescent="0.2">
      <c r="A6248"/>
      <c r="B6248" s="663"/>
      <c r="C6248" s="663"/>
      <c r="D6248" s="663"/>
      <c r="E6248" s="663"/>
    </row>
    <row r="6249" spans="1:5" x14ac:dyDescent="0.2">
      <c r="A6249"/>
      <c r="B6249" s="663"/>
      <c r="C6249" s="663"/>
      <c r="D6249" s="663"/>
      <c r="E6249" s="663"/>
    </row>
    <row r="6250" spans="1:5" x14ac:dyDescent="0.2">
      <c r="A6250"/>
      <c r="B6250" s="663"/>
      <c r="C6250" s="663"/>
      <c r="D6250" s="663"/>
      <c r="E6250" s="663"/>
    </row>
    <row r="6251" spans="1:5" x14ac:dyDescent="0.2">
      <c r="A6251"/>
      <c r="B6251" s="663"/>
      <c r="C6251" s="663"/>
      <c r="D6251" s="663"/>
      <c r="E6251" s="663"/>
    </row>
    <row r="6252" spans="1:5" x14ac:dyDescent="0.2">
      <c r="A6252"/>
      <c r="B6252" s="663"/>
      <c r="C6252" s="663"/>
      <c r="D6252" s="663"/>
      <c r="E6252" s="663"/>
    </row>
    <row r="6253" spans="1:5" x14ac:dyDescent="0.2">
      <c r="A6253"/>
      <c r="B6253" s="663"/>
      <c r="C6253" s="663"/>
      <c r="D6253" s="663"/>
      <c r="E6253" s="663"/>
    </row>
    <row r="6254" spans="1:5" x14ac:dyDescent="0.2">
      <c r="A6254"/>
      <c r="B6254" s="663"/>
      <c r="C6254" s="663"/>
      <c r="D6254" s="663"/>
      <c r="E6254" s="663"/>
    </row>
    <row r="6255" spans="1:5" x14ac:dyDescent="0.2">
      <c r="A6255"/>
      <c r="B6255" s="663"/>
      <c r="C6255" s="663"/>
      <c r="D6255" s="663"/>
      <c r="E6255" s="663"/>
    </row>
    <row r="6256" spans="1:5" x14ac:dyDescent="0.2">
      <c r="A6256"/>
      <c r="B6256" s="663"/>
      <c r="C6256" s="663"/>
      <c r="D6256" s="663"/>
      <c r="E6256" s="663"/>
    </row>
    <row r="6257" spans="1:5" x14ac:dyDescent="0.2">
      <c r="A6257"/>
      <c r="B6257" s="663"/>
      <c r="C6257" s="663"/>
      <c r="D6257" s="663"/>
      <c r="E6257" s="663"/>
    </row>
    <row r="6258" spans="1:5" x14ac:dyDescent="0.2">
      <c r="A6258"/>
      <c r="B6258" s="663"/>
      <c r="C6258" s="663"/>
      <c r="D6258" s="663"/>
      <c r="E6258" s="663"/>
    </row>
    <row r="6259" spans="1:5" x14ac:dyDescent="0.2">
      <c r="A6259"/>
      <c r="B6259" s="663"/>
      <c r="C6259" s="663"/>
      <c r="D6259" s="663"/>
      <c r="E6259" s="663"/>
    </row>
    <row r="6260" spans="1:5" x14ac:dyDescent="0.2">
      <c r="A6260"/>
      <c r="B6260" s="663"/>
      <c r="C6260" s="663"/>
      <c r="D6260" s="663"/>
      <c r="E6260" s="663"/>
    </row>
    <row r="6261" spans="1:5" x14ac:dyDescent="0.2">
      <c r="A6261"/>
      <c r="B6261" s="663"/>
      <c r="C6261" s="663"/>
      <c r="D6261" s="663"/>
      <c r="E6261" s="663"/>
    </row>
    <row r="6262" spans="1:5" x14ac:dyDescent="0.2">
      <c r="A6262"/>
      <c r="B6262" s="663"/>
      <c r="C6262" s="663"/>
      <c r="D6262" s="663"/>
      <c r="E6262" s="663"/>
    </row>
    <row r="6263" spans="1:5" x14ac:dyDescent="0.2">
      <c r="A6263"/>
      <c r="B6263" s="663"/>
      <c r="C6263" s="663"/>
      <c r="D6263" s="663"/>
      <c r="E6263" s="663"/>
    </row>
    <row r="6264" spans="1:5" x14ac:dyDescent="0.2">
      <c r="A6264"/>
      <c r="B6264" s="663"/>
      <c r="C6264" s="663"/>
      <c r="D6264" s="663"/>
      <c r="E6264" s="663"/>
    </row>
    <row r="6265" spans="1:5" x14ac:dyDescent="0.2">
      <c r="A6265"/>
      <c r="B6265" s="663"/>
      <c r="C6265" s="663"/>
      <c r="D6265" s="663"/>
      <c r="E6265" s="663"/>
    </row>
    <row r="6266" spans="1:5" x14ac:dyDescent="0.2">
      <c r="A6266"/>
      <c r="B6266" s="663"/>
      <c r="C6266" s="663"/>
      <c r="D6266" s="663"/>
      <c r="E6266" s="663"/>
    </row>
    <row r="6267" spans="1:5" x14ac:dyDescent="0.2">
      <c r="A6267"/>
      <c r="B6267" s="663"/>
      <c r="C6267" s="663"/>
      <c r="D6267" s="663"/>
      <c r="E6267" s="663"/>
    </row>
    <row r="6268" spans="1:5" x14ac:dyDescent="0.2">
      <c r="A6268"/>
      <c r="B6268" s="663"/>
      <c r="C6268" s="663"/>
      <c r="D6268" s="663"/>
      <c r="E6268" s="663"/>
    </row>
    <row r="6269" spans="1:5" x14ac:dyDescent="0.2">
      <c r="A6269"/>
      <c r="B6269" s="663"/>
      <c r="C6269" s="663"/>
      <c r="D6269" s="663"/>
      <c r="E6269" s="663"/>
    </row>
    <row r="6270" spans="1:5" x14ac:dyDescent="0.2">
      <c r="A6270"/>
      <c r="B6270" s="663"/>
      <c r="C6270" s="663"/>
      <c r="D6270" s="663"/>
      <c r="E6270" s="663"/>
    </row>
    <row r="6271" spans="1:5" x14ac:dyDescent="0.2">
      <c r="A6271"/>
      <c r="B6271" s="663"/>
      <c r="C6271" s="663"/>
      <c r="D6271" s="663"/>
      <c r="E6271" s="663"/>
    </row>
    <row r="6272" spans="1:5" x14ac:dyDescent="0.2">
      <c r="A6272"/>
      <c r="B6272" s="663"/>
      <c r="C6272" s="663"/>
      <c r="D6272" s="663"/>
      <c r="E6272" s="663"/>
    </row>
    <row r="6273" spans="1:5" x14ac:dyDescent="0.2">
      <c r="A6273"/>
      <c r="B6273" s="663"/>
      <c r="C6273" s="663"/>
      <c r="D6273" s="663"/>
      <c r="E6273" s="663"/>
    </row>
    <row r="6274" spans="1:5" x14ac:dyDescent="0.2">
      <c r="A6274"/>
      <c r="B6274" s="663"/>
      <c r="C6274" s="663"/>
      <c r="D6274" s="663"/>
      <c r="E6274" s="663"/>
    </row>
    <row r="6275" spans="1:5" x14ac:dyDescent="0.2">
      <c r="A6275"/>
      <c r="B6275" s="663"/>
      <c r="C6275" s="663"/>
      <c r="D6275" s="663"/>
      <c r="E6275" s="663"/>
    </row>
    <row r="6276" spans="1:5" x14ac:dyDescent="0.2">
      <c r="A6276"/>
      <c r="B6276" s="663"/>
      <c r="C6276" s="663"/>
      <c r="D6276" s="663"/>
      <c r="E6276" s="663"/>
    </row>
    <row r="6277" spans="1:5" x14ac:dyDescent="0.2">
      <c r="A6277"/>
      <c r="B6277" s="663"/>
      <c r="C6277" s="663"/>
      <c r="D6277" s="663"/>
      <c r="E6277" s="663"/>
    </row>
    <row r="6278" spans="1:5" x14ac:dyDescent="0.2">
      <c r="A6278"/>
      <c r="B6278" s="663"/>
      <c r="C6278" s="663"/>
      <c r="D6278" s="663"/>
      <c r="E6278" s="663"/>
    </row>
    <row r="6279" spans="1:5" x14ac:dyDescent="0.2">
      <c r="A6279"/>
      <c r="B6279" s="663"/>
      <c r="C6279" s="663"/>
      <c r="D6279" s="663"/>
      <c r="E6279" s="663"/>
    </row>
    <row r="6280" spans="1:5" x14ac:dyDescent="0.2">
      <c r="A6280"/>
      <c r="B6280" s="663"/>
      <c r="C6280" s="663"/>
      <c r="D6280" s="663"/>
      <c r="E6280" s="663"/>
    </row>
    <row r="6281" spans="1:5" x14ac:dyDescent="0.2">
      <c r="A6281"/>
      <c r="B6281" s="663"/>
      <c r="C6281" s="663"/>
      <c r="D6281" s="663"/>
      <c r="E6281" s="663"/>
    </row>
    <row r="6282" spans="1:5" x14ac:dyDescent="0.2">
      <c r="A6282"/>
      <c r="B6282" s="663"/>
      <c r="C6282" s="663"/>
      <c r="D6282" s="663"/>
      <c r="E6282" s="663"/>
    </row>
    <row r="6283" spans="1:5" x14ac:dyDescent="0.2">
      <c r="A6283"/>
      <c r="B6283" s="663"/>
      <c r="C6283" s="663"/>
      <c r="D6283" s="663"/>
      <c r="E6283" s="663"/>
    </row>
    <row r="6284" spans="1:5" x14ac:dyDescent="0.2">
      <c r="A6284"/>
      <c r="B6284" s="663"/>
      <c r="C6284" s="663"/>
      <c r="D6284" s="663"/>
      <c r="E6284" s="663"/>
    </row>
    <row r="6285" spans="1:5" x14ac:dyDescent="0.2">
      <c r="A6285"/>
      <c r="B6285" s="663"/>
      <c r="C6285" s="663"/>
      <c r="D6285" s="663"/>
      <c r="E6285" s="663"/>
    </row>
    <row r="6286" spans="1:5" x14ac:dyDescent="0.2">
      <c r="A6286"/>
      <c r="B6286" s="663"/>
      <c r="C6286" s="663"/>
      <c r="D6286" s="663"/>
      <c r="E6286" s="663"/>
    </row>
    <row r="6287" spans="1:5" x14ac:dyDescent="0.2">
      <c r="A6287"/>
      <c r="B6287" s="663"/>
      <c r="C6287" s="663"/>
      <c r="D6287" s="663"/>
      <c r="E6287" s="663"/>
    </row>
    <row r="6288" spans="1:5" x14ac:dyDescent="0.2">
      <c r="A6288"/>
      <c r="B6288" s="663"/>
      <c r="C6288" s="663"/>
      <c r="D6288" s="663"/>
      <c r="E6288" s="663"/>
    </row>
    <row r="6289" spans="1:5" x14ac:dyDescent="0.2">
      <c r="A6289"/>
      <c r="B6289" s="663"/>
      <c r="C6289" s="663"/>
      <c r="D6289" s="663"/>
      <c r="E6289" s="663"/>
    </row>
    <row r="6290" spans="1:5" x14ac:dyDescent="0.2">
      <c r="A6290"/>
      <c r="B6290" s="663"/>
      <c r="C6290" s="663"/>
      <c r="D6290" s="663"/>
      <c r="E6290" s="663"/>
    </row>
    <row r="6291" spans="1:5" x14ac:dyDescent="0.2">
      <c r="A6291"/>
      <c r="B6291" s="663"/>
      <c r="C6291" s="663"/>
      <c r="D6291" s="663"/>
      <c r="E6291" s="663"/>
    </row>
    <row r="6292" spans="1:5" x14ac:dyDescent="0.2">
      <c r="A6292"/>
      <c r="B6292" s="663"/>
      <c r="C6292" s="663"/>
      <c r="D6292" s="663"/>
      <c r="E6292" s="663"/>
    </row>
    <row r="6293" spans="1:5" x14ac:dyDescent="0.2">
      <c r="A6293"/>
      <c r="B6293" s="663"/>
      <c r="C6293" s="663"/>
      <c r="D6293" s="663"/>
      <c r="E6293" s="663"/>
    </row>
    <row r="6294" spans="1:5" x14ac:dyDescent="0.2">
      <c r="A6294"/>
      <c r="B6294" s="663"/>
      <c r="C6294" s="663"/>
      <c r="D6294" s="663"/>
      <c r="E6294" s="663"/>
    </row>
    <row r="6295" spans="1:5" x14ac:dyDescent="0.2">
      <c r="A6295"/>
      <c r="B6295" s="663"/>
      <c r="C6295" s="663"/>
      <c r="D6295" s="663"/>
      <c r="E6295" s="663"/>
    </row>
    <row r="6296" spans="1:5" x14ac:dyDescent="0.2">
      <c r="A6296"/>
      <c r="B6296" s="663"/>
      <c r="C6296" s="663"/>
      <c r="D6296" s="663"/>
      <c r="E6296" s="663"/>
    </row>
    <row r="6297" spans="1:5" x14ac:dyDescent="0.2">
      <c r="A6297"/>
      <c r="B6297" s="663"/>
      <c r="C6297" s="663"/>
      <c r="D6297" s="663"/>
      <c r="E6297" s="663"/>
    </row>
    <row r="6298" spans="1:5" x14ac:dyDescent="0.2">
      <c r="A6298"/>
      <c r="B6298" s="663"/>
      <c r="C6298" s="663"/>
      <c r="D6298" s="663"/>
      <c r="E6298" s="663"/>
    </row>
    <row r="6299" spans="1:5" x14ac:dyDescent="0.2">
      <c r="A6299"/>
      <c r="B6299" s="663"/>
      <c r="C6299" s="663"/>
      <c r="D6299" s="663"/>
      <c r="E6299" s="663"/>
    </row>
    <row r="6300" spans="1:5" x14ac:dyDescent="0.2">
      <c r="A6300"/>
      <c r="B6300" s="663"/>
      <c r="C6300" s="663"/>
      <c r="D6300" s="663"/>
      <c r="E6300" s="663"/>
    </row>
    <row r="6301" spans="1:5" x14ac:dyDescent="0.2">
      <c r="A6301"/>
      <c r="B6301" s="663"/>
      <c r="C6301" s="663"/>
      <c r="D6301" s="663"/>
      <c r="E6301" s="663"/>
    </row>
    <row r="6302" spans="1:5" x14ac:dyDescent="0.2">
      <c r="A6302"/>
      <c r="B6302" s="663"/>
      <c r="C6302" s="663"/>
      <c r="D6302" s="663"/>
      <c r="E6302" s="663"/>
    </row>
    <row r="6303" spans="1:5" x14ac:dyDescent="0.2">
      <c r="A6303"/>
      <c r="B6303" s="663"/>
      <c r="C6303" s="663"/>
      <c r="D6303" s="663"/>
      <c r="E6303" s="663"/>
    </row>
    <row r="6304" spans="1:5" x14ac:dyDescent="0.2">
      <c r="A6304"/>
      <c r="B6304" s="663"/>
      <c r="C6304" s="663"/>
      <c r="D6304" s="663"/>
      <c r="E6304" s="663"/>
    </row>
    <row r="6305" spans="1:5" x14ac:dyDescent="0.2">
      <c r="A6305"/>
      <c r="B6305" s="663"/>
      <c r="C6305" s="663"/>
      <c r="D6305" s="663"/>
      <c r="E6305" s="663"/>
    </row>
    <row r="6306" spans="1:5" x14ac:dyDescent="0.2">
      <c r="A6306"/>
      <c r="B6306" s="663"/>
      <c r="C6306" s="663"/>
      <c r="D6306" s="663"/>
      <c r="E6306" s="663"/>
    </row>
    <row r="6307" spans="1:5" x14ac:dyDescent="0.2">
      <c r="A6307"/>
      <c r="B6307" s="663"/>
      <c r="C6307" s="663"/>
      <c r="D6307" s="663"/>
      <c r="E6307" s="663"/>
    </row>
    <row r="6308" spans="1:5" x14ac:dyDescent="0.2">
      <c r="A6308"/>
      <c r="B6308" s="663"/>
      <c r="C6308" s="663"/>
      <c r="D6308" s="663"/>
      <c r="E6308" s="663"/>
    </row>
    <row r="6309" spans="1:5" x14ac:dyDescent="0.2">
      <c r="A6309"/>
      <c r="B6309" s="663"/>
      <c r="C6309" s="663"/>
      <c r="D6309" s="663"/>
      <c r="E6309" s="663"/>
    </row>
    <row r="6310" spans="1:5" x14ac:dyDescent="0.2">
      <c r="A6310"/>
      <c r="B6310" s="663"/>
      <c r="C6310" s="663"/>
      <c r="D6310" s="663"/>
      <c r="E6310" s="663"/>
    </row>
    <row r="6311" spans="1:5" x14ac:dyDescent="0.2">
      <c r="A6311"/>
      <c r="B6311" s="663"/>
      <c r="C6311" s="663"/>
      <c r="D6311" s="663"/>
      <c r="E6311" s="663"/>
    </row>
    <row r="6312" spans="1:5" x14ac:dyDescent="0.2">
      <c r="A6312"/>
      <c r="B6312" s="663"/>
      <c r="C6312" s="663"/>
      <c r="D6312" s="663"/>
      <c r="E6312" s="663"/>
    </row>
    <row r="6313" spans="1:5" x14ac:dyDescent="0.2">
      <c r="A6313"/>
      <c r="B6313" s="663"/>
      <c r="C6313" s="663"/>
      <c r="D6313" s="663"/>
      <c r="E6313" s="663"/>
    </row>
    <row r="6314" spans="1:5" x14ac:dyDescent="0.2">
      <c r="A6314"/>
      <c r="B6314" s="663"/>
      <c r="C6314" s="663"/>
      <c r="D6314" s="663"/>
      <c r="E6314" s="663"/>
    </row>
    <row r="6315" spans="1:5" x14ac:dyDescent="0.2">
      <c r="A6315"/>
      <c r="B6315" s="663"/>
      <c r="C6315" s="663"/>
      <c r="D6315" s="663"/>
      <c r="E6315" s="663"/>
    </row>
    <row r="6316" spans="1:5" x14ac:dyDescent="0.2">
      <c r="A6316"/>
      <c r="B6316" s="663"/>
      <c r="C6316" s="663"/>
      <c r="D6316" s="663"/>
      <c r="E6316" s="663"/>
    </row>
    <row r="6317" spans="1:5" x14ac:dyDescent="0.2">
      <c r="A6317"/>
      <c r="B6317" s="663"/>
      <c r="C6317" s="663"/>
      <c r="D6317" s="663"/>
      <c r="E6317" s="663"/>
    </row>
    <row r="6318" spans="1:5" x14ac:dyDescent="0.2">
      <c r="A6318"/>
      <c r="B6318" s="663"/>
      <c r="C6318" s="663"/>
      <c r="D6318" s="663"/>
      <c r="E6318" s="663"/>
    </row>
    <row r="6319" spans="1:5" x14ac:dyDescent="0.2">
      <c r="A6319"/>
      <c r="B6319" s="663"/>
      <c r="C6319" s="663"/>
      <c r="D6319" s="663"/>
      <c r="E6319" s="663"/>
    </row>
    <row r="6320" spans="1:5" x14ac:dyDescent="0.2">
      <c r="A6320"/>
      <c r="B6320" s="663"/>
      <c r="C6320" s="663"/>
      <c r="D6320" s="663"/>
      <c r="E6320" s="663"/>
    </row>
    <row r="6321" spans="1:5" x14ac:dyDescent="0.2">
      <c r="A6321"/>
      <c r="B6321" s="663"/>
      <c r="C6321" s="663"/>
      <c r="D6321" s="663"/>
      <c r="E6321" s="663"/>
    </row>
    <row r="6322" spans="1:5" x14ac:dyDescent="0.2">
      <c r="A6322"/>
      <c r="B6322" s="663"/>
      <c r="C6322" s="663"/>
      <c r="D6322" s="663"/>
      <c r="E6322" s="663"/>
    </row>
    <row r="6323" spans="1:5" x14ac:dyDescent="0.2">
      <c r="A6323"/>
      <c r="B6323" s="663"/>
      <c r="C6323" s="663"/>
      <c r="D6323" s="663"/>
      <c r="E6323" s="663"/>
    </row>
    <row r="6324" spans="1:5" x14ac:dyDescent="0.2">
      <c r="A6324"/>
      <c r="B6324" s="663"/>
      <c r="C6324" s="663"/>
      <c r="D6324" s="663"/>
      <c r="E6324" s="663"/>
    </row>
    <row r="6325" spans="1:5" x14ac:dyDescent="0.2">
      <c r="A6325"/>
      <c r="B6325" s="663"/>
      <c r="C6325" s="663"/>
      <c r="D6325" s="663"/>
      <c r="E6325" s="663"/>
    </row>
    <row r="6326" spans="1:5" x14ac:dyDescent="0.2">
      <c r="A6326"/>
      <c r="B6326" s="663"/>
      <c r="C6326" s="663"/>
      <c r="D6326" s="663"/>
      <c r="E6326" s="663"/>
    </row>
    <row r="6327" spans="1:5" x14ac:dyDescent="0.2">
      <c r="A6327"/>
      <c r="B6327" s="663"/>
      <c r="C6327" s="663"/>
      <c r="D6327" s="663"/>
      <c r="E6327" s="663"/>
    </row>
    <row r="6328" spans="1:5" x14ac:dyDescent="0.2">
      <c r="A6328"/>
      <c r="B6328" s="663"/>
      <c r="C6328" s="663"/>
      <c r="D6328" s="663"/>
      <c r="E6328" s="663"/>
    </row>
    <row r="6329" spans="1:5" x14ac:dyDescent="0.2">
      <c r="A6329"/>
      <c r="B6329" s="663"/>
      <c r="C6329" s="663"/>
      <c r="D6329" s="663"/>
      <c r="E6329" s="663"/>
    </row>
    <row r="6330" spans="1:5" x14ac:dyDescent="0.2">
      <c r="A6330"/>
      <c r="B6330" s="663"/>
      <c r="C6330" s="663"/>
      <c r="D6330" s="663"/>
      <c r="E6330" s="663"/>
    </row>
    <row r="6331" spans="1:5" x14ac:dyDescent="0.2">
      <c r="A6331"/>
      <c r="B6331" s="663"/>
      <c r="C6331" s="663"/>
      <c r="D6331" s="663"/>
      <c r="E6331" s="663"/>
    </row>
    <row r="6332" spans="1:5" x14ac:dyDescent="0.2">
      <c r="A6332"/>
      <c r="B6332" s="663"/>
      <c r="C6332" s="663"/>
      <c r="D6332" s="663"/>
      <c r="E6332" s="663"/>
    </row>
    <row r="6333" spans="1:5" x14ac:dyDescent="0.2">
      <c r="A6333"/>
      <c r="B6333" s="663"/>
      <c r="C6333" s="663"/>
      <c r="D6333" s="663"/>
      <c r="E6333" s="663"/>
    </row>
    <row r="6334" spans="1:5" x14ac:dyDescent="0.2">
      <c r="A6334"/>
      <c r="B6334" s="663"/>
      <c r="C6334" s="663"/>
      <c r="D6334" s="663"/>
      <c r="E6334" s="663"/>
    </row>
    <row r="6335" spans="1:5" x14ac:dyDescent="0.2">
      <c r="A6335"/>
      <c r="B6335" s="663"/>
      <c r="C6335" s="663"/>
      <c r="D6335" s="663"/>
      <c r="E6335" s="663"/>
    </row>
    <row r="6336" spans="1:5" x14ac:dyDescent="0.2">
      <c r="A6336"/>
      <c r="B6336" s="663"/>
      <c r="C6336" s="663"/>
      <c r="D6336" s="663"/>
      <c r="E6336" s="663"/>
    </row>
    <row r="6337" spans="1:5" x14ac:dyDescent="0.2">
      <c r="A6337"/>
      <c r="B6337" s="663"/>
      <c r="C6337" s="663"/>
      <c r="D6337" s="663"/>
      <c r="E6337" s="663"/>
    </row>
    <row r="6338" spans="1:5" x14ac:dyDescent="0.2">
      <c r="A6338"/>
      <c r="B6338" s="663"/>
      <c r="C6338" s="663"/>
      <c r="D6338" s="663"/>
      <c r="E6338" s="663"/>
    </row>
    <row r="6339" spans="1:5" x14ac:dyDescent="0.2">
      <c r="A6339"/>
      <c r="B6339" s="663"/>
      <c r="C6339" s="663"/>
      <c r="D6339" s="663"/>
      <c r="E6339" s="663"/>
    </row>
    <row r="6340" spans="1:5" x14ac:dyDescent="0.2">
      <c r="A6340"/>
      <c r="B6340" s="663"/>
      <c r="C6340" s="663"/>
      <c r="D6340" s="663"/>
      <c r="E6340" s="663"/>
    </row>
    <row r="6341" spans="1:5" x14ac:dyDescent="0.2">
      <c r="A6341"/>
      <c r="B6341" s="663"/>
      <c r="C6341" s="663"/>
      <c r="D6341" s="663"/>
      <c r="E6341" s="663"/>
    </row>
    <row r="6342" spans="1:5" x14ac:dyDescent="0.2">
      <c r="A6342"/>
      <c r="B6342" s="663"/>
      <c r="C6342" s="663"/>
      <c r="D6342" s="663"/>
      <c r="E6342" s="663"/>
    </row>
    <row r="6343" spans="1:5" x14ac:dyDescent="0.2">
      <c r="A6343"/>
      <c r="B6343" s="663"/>
      <c r="C6343" s="663"/>
      <c r="D6343" s="663"/>
      <c r="E6343" s="663"/>
    </row>
    <row r="6344" spans="1:5" x14ac:dyDescent="0.2">
      <c r="A6344"/>
      <c r="B6344" s="663"/>
      <c r="C6344" s="663"/>
      <c r="D6344" s="663"/>
      <c r="E6344" s="663"/>
    </row>
    <row r="6345" spans="1:5" x14ac:dyDescent="0.2">
      <c r="A6345"/>
      <c r="B6345" s="663"/>
      <c r="C6345" s="663"/>
      <c r="D6345" s="663"/>
      <c r="E6345" s="663"/>
    </row>
    <row r="6346" spans="1:5" x14ac:dyDescent="0.2">
      <c r="A6346"/>
      <c r="B6346" s="663"/>
      <c r="C6346" s="663"/>
      <c r="D6346" s="663"/>
      <c r="E6346" s="663"/>
    </row>
    <row r="6347" spans="1:5" x14ac:dyDescent="0.2">
      <c r="A6347"/>
      <c r="B6347" s="663"/>
      <c r="C6347" s="663"/>
      <c r="D6347" s="663"/>
      <c r="E6347" s="663"/>
    </row>
    <row r="6348" spans="1:5" x14ac:dyDescent="0.2">
      <c r="A6348"/>
      <c r="B6348" s="663"/>
      <c r="C6348" s="663"/>
      <c r="D6348" s="663"/>
      <c r="E6348" s="663"/>
    </row>
    <row r="6349" spans="1:5" x14ac:dyDescent="0.2">
      <c r="A6349"/>
      <c r="B6349" s="663"/>
      <c r="C6349" s="663"/>
      <c r="D6349" s="663"/>
      <c r="E6349" s="663"/>
    </row>
    <row r="6350" spans="1:5" x14ac:dyDescent="0.2">
      <c r="A6350"/>
      <c r="B6350" s="663"/>
      <c r="C6350" s="663"/>
      <c r="D6350" s="663"/>
      <c r="E6350" s="663"/>
    </row>
    <row r="6351" spans="1:5" x14ac:dyDescent="0.2">
      <c r="A6351"/>
      <c r="B6351" s="663"/>
      <c r="C6351" s="663"/>
      <c r="D6351" s="663"/>
      <c r="E6351" s="663"/>
    </row>
    <row r="6352" spans="1:5" x14ac:dyDescent="0.2">
      <c r="A6352"/>
      <c r="B6352" s="663"/>
      <c r="C6352" s="663"/>
      <c r="D6352" s="663"/>
      <c r="E6352" s="663"/>
    </row>
    <row r="6353" spans="1:5" x14ac:dyDescent="0.2">
      <c r="A6353"/>
      <c r="B6353" s="663"/>
      <c r="C6353" s="663"/>
      <c r="D6353" s="663"/>
      <c r="E6353" s="663"/>
    </row>
    <row r="6354" spans="1:5" x14ac:dyDescent="0.2">
      <c r="A6354"/>
      <c r="B6354" s="663"/>
      <c r="C6354" s="663"/>
      <c r="D6354" s="663"/>
      <c r="E6354" s="663"/>
    </row>
    <row r="6355" spans="1:5" x14ac:dyDescent="0.2">
      <c r="A6355"/>
      <c r="B6355" s="663"/>
      <c r="C6355" s="663"/>
      <c r="D6355" s="663"/>
      <c r="E6355" s="663"/>
    </row>
    <row r="6356" spans="1:5" x14ac:dyDescent="0.2">
      <c r="A6356"/>
      <c r="B6356" s="663"/>
      <c r="C6356" s="663"/>
      <c r="D6356" s="663"/>
      <c r="E6356" s="663"/>
    </row>
    <row r="6357" spans="1:5" x14ac:dyDescent="0.2">
      <c r="A6357"/>
      <c r="B6357" s="663"/>
      <c r="C6357" s="663"/>
      <c r="D6357" s="663"/>
      <c r="E6357" s="663"/>
    </row>
    <row r="6358" spans="1:5" x14ac:dyDescent="0.2">
      <c r="A6358"/>
      <c r="B6358" s="663"/>
      <c r="C6358" s="663"/>
      <c r="D6358" s="663"/>
      <c r="E6358" s="663"/>
    </row>
    <row r="6359" spans="1:5" x14ac:dyDescent="0.2">
      <c r="A6359"/>
      <c r="B6359" s="663"/>
      <c r="C6359" s="663"/>
      <c r="D6359" s="663"/>
      <c r="E6359" s="663"/>
    </row>
    <row r="6360" spans="1:5" x14ac:dyDescent="0.2">
      <c r="A6360"/>
      <c r="B6360" s="663"/>
      <c r="C6360" s="663"/>
      <c r="D6360" s="663"/>
      <c r="E6360" s="663"/>
    </row>
    <row r="6361" spans="1:5" x14ac:dyDescent="0.2">
      <c r="A6361"/>
      <c r="B6361" s="663"/>
      <c r="C6361" s="663"/>
      <c r="D6361" s="663"/>
      <c r="E6361" s="663"/>
    </row>
    <row r="6362" spans="1:5" x14ac:dyDescent="0.2">
      <c r="A6362"/>
      <c r="B6362" s="663"/>
      <c r="C6362" s="663"/>
      <c r="D6362" s="663"/>
      <c r="E6362" s="663"/>
    </row>
    <row r="6363" spans="1:5" x14ac:dyDescent="0.2">
      <c r="A6363"/>
      <c r="B6363" s="663"/>
      <c r="C6363" s="663"/>
      <c r="D6363" s="663"/>
      <c r="E6363" s="663"/>
    </row>
    <row r="6364" spans="1:5" x14ac:dyDescent="0.2">
      <c r="A6364"/>
      <c r="B6364" s="663"/>
      <c r="C6364" s="663"/>
      <c r="D6364" s="663"/>
      <c r="E6364" s="663"/>
    </row>
    <row r="6365" spans="1:5" x14ac:dyDescent="0.2">
      <c r="A6365"/>
      <c r="B6365" s="663"/>
      <c r="C6365" s="663"/>
      <c r="D6365" s="663"/>
      <c r="E6365" s="663"/>
    </row>
    <row r="6366" spans="1:5" x14ac:dyDescent="0.2">
      <c r="A6366"/>
      <c r="B6366" s="663"/>
      <c r="C6366" s="663"/>
      <c r="D6366" s="663"/>
      <c r="E6366" s="663"/>
    </row>
    <row r="6367" spans="1:5" x14ac:dyDescent="0.2">
      <c r="A6367"/>
      <c r="B6367" s="663"/>
      <c r="C6367" s="663"/>
      <c r="D6367" s="663"/>
      <c r="E6367" s="663"/>
    </row>
    <row r="6368" spans="1:5" x14ac:dyDescent="0.2">
      <c r="A6368"/>
      <c r="B6368" s="663"/>
      <c r="C6368" s="663"/>
      <c r="D6368" s="663"/>
      <c r="E6368" s="663"/>
    </row>
    <row r="6369" spans="1:5" x14ac:dyDescent="0.2">
      <c r="A6369"/>
      <c r="B6369" s="663"/>
      <c r="C6369" s="663"/>
      <c r="D6369" s="663"/>
      <c r="E6369" s="663"/>
    </row>
    <row r="6370" spans="1:5" x14ac:dyDescent="0.2">
      <c r="A6370"/>
      <c r="B6370" s="663"/>
      <c r="C6370" s="663"/>
      <c r="D6370" s="663"/>
      <c r="E6370" s="663"/>
    </row>
    <row r="6371" spans="1:5" x14ac:dyDescent="0.2">
      <c r="A6371"/>
      <c r="B6371" s="663"/>
      <c r="C6371" s="663"/>
      <c r="D6371" s="663"/>
      <c r="E6371" s="663"/>
    </row>
    <row r="6372" spans="1:5" x14ac:dyDescent="0.2">
      <c r="A6372"/>
      <c r="B6372" s="663"/>
      <c r="C6372" s="663"/>
      <c r="D6372" s="663"/>
      <c r="E6372" s="663"/>
    </row>
    <row r="6373" spans="1:5" x14ac:dyDescent="0.2">
      <c r="A6373"/>
      <c r="B6373" s="663"/>
      <c r="C6373" s="663"/>
      <c r="D6373" s="663"/>
      <c r="E6373" s="663"/>
    </row>
    <row r="6374" spans="1:5" x14ac:dyDescent="0.2">
      <c r="A6374"/>
      <c r="B6374" s="663"/>
      <c r="C6374" s="663"/>
      <c r="D6374" s="663"/>
      <c r="E6374" s="663"/>
    </row>
    <row r="6375" spans="1:5" x14ac:dyDescent="0.2">
      <c r="A6375"/>
      <c r="B6375" s="663"/>
      <c r="C6375" s="663"/>
      <c r="D6375" s="663"/>
      <c r="E6375" s="663"/>
    </row>
    <row r="6376" spans="1:5" x14ac:dyDescent="0.2">
      <c r="A6376"/>
      <c r="B6376" s="663"/>
      <c r="C6376" s="663"/>
      <c r="D6376" s="663"/>
      <c r="E6376" s="663"/>
    </row>
    <row r="6377" spans="1:5" x14ac:dyDescent="0.2">
      <c r="A6377"/>
      <c r="B6377" s="663"/>
      <c r="C6377" s="663"/>
      <c r="D6377" s="663"/>
      <c r="E6377" s="663"/>
    </row>
    <row r="6378" spans="1:5" x14ac:dyDescent="0.2">
      <c r="A6378"/>
      <c r="B6378" s="663"/>
      <c r="C6378" s="663"/>
      <c r="D6378" s="663"/>
      <c r="E6378" s="663"/>
    </row>
    <row r="6379" spans="1:5" x14ac:dyDescent="0.2">
      <c r="A6379"/>
      <c r="B6379" s="663"/>
      <c r="C6379" s="663"/>
      <c r="D6379" s="663"/>
      <c r="E6379" s="663"/>
    </row>
    <row r="6380" spans="1:5" x14ac:dyDescent="0.2">
      <c r="A6380"/>
      <c r="B6380" s="663"/>
      <c r="C6380" s="663"/>
      <c r="D6380" s="663"/>
      <c r="E6380" s="663"/>
    </row>
    <row r="6381" spans="1:5" x14ac:dyDescent="0.2">
      <c r="A6381"/>
      <c r="B6381" s="663"/>
      <c r="C6381" s="663"/>
      <c r="D6381" s="663"/>
      <c r="E6381" s="663"/>
    </row>
    <row r="6382" spans="1:5" x14ac:dyDescent="0.2">
      <c r="A6382"/>
      <c r="B6382" s="663"/>
      <c r="C6382" s="663"/>
      <c r="D6382" s="663"/>
      <c r="E6382" s="663"/>
    </row>
    <row r="6383" spans="1:5" x14ac:dyDescent="0.2">
      <c r="A6383"/>
      <c r="B6383" s="663"/>
      <c r="C6383" s="663"/>
      <c r="D6383" s="663"/>
      <c r="E6383" s="663"/>
    </row>
    <row r="6384" spans="1:5" x14ac:dyDescent="0.2">
      <c r="A6384"/>
      <c r="B6384" s="663"/>
      <c r="C6384" s="663"/>
      <c r="D6384" s="663"/>
      <c r="E6384" s="663"/>
    </row>
    <row r="6385" spans="1:5" x14ac:dyDescent="0.2">
      <c r="A6385"/>
      <c r="B6385" s="663"/>
      <c r="C6385" s="663"/>
      <c r="D6385" s="663"/>
      <c r="E6385" s="663"/>
    </row>
    <row r="6386" spans="1:5" x14ac:dyDescent="0.2">
      <c r="A6386"/>
      <c r="B6386" s="663"/>
      <c r="C6386" s="663"/>
      <c r="D6386" s="663"/>
      <c r="E6386" s="663"/>
    </row>
    <row r="6387" spans="1:5" x14ac:dyDescent="0.2">
      <c r="A6387"/>
      <c r="B6387" s="663"/>
      <c r="C6387" s="663"/>
      <c r="D6387" s="663"/>
      <c r="E6387" s="663"/>
    </row>
    <row r="6388" spans="1:5" x14ac:dyDescent="0.2">
      <c r="A6388"/>
      <c r="B6388" s="663"/>
      <c r="C6388" s="663"/>
      <c r="D6388" s="663"/>
      <c r="E6388" s="663"/>
    </row>
    <row r="6389" spans="1:5" x14ac:dyDescent="0.2">
      <c r="A6389"/>
      <c r="B6389" s="663"/>
      <c r="C6389" s="663"/>
      <c r="D6389" s="663"/>
      <c r="E6389" s="663"/>
    </row>
    <row r="6390" spans="1:5" x14ac:dyDescent="0.2">
      <c r="A6390"/>
      <c r="B6390" s="663"/>
      <c r="C6390" s="663"/>
      <c r="D6390" s="663"/>
      <c r="E6390" s="663"/>
    </row>
    <row r="6391" spans="1:5" x14ac:dyDescent="0.2">
      <c r="A6391"/>
      <c r="B6391" s="663"/>
      <c r="C6391" s="663"/>
      <c r="D6391" s="663"/>
      <c r="E6391" s="663"/>
    </row>
    <row r="6392" spans="1:5" x14ac:dyDescent="0.2">
      <c r="A6392"/>
      <c r="B6392" s="663"/>
      <c r="C6392" s="663"/>
      <c r="D6392" s="663"/>
      <c r="E6392" s="663"/>
    </row>
    <row r="6393" spans="1:5" x14ac:dyDescent="0.2">
      <c r="A6393"/>
      <c r="B6393" s="663"/>
      <c r="C6393" s="663"/>
      <c r="D6393" s="663"/>
      <c r="E6393" s="663"/>
    </row>
    <row r="6394" spans="1:5" x14ac:dyDescent="0.2">
      <c r="A6394"/>
      <c r="B6394" s="663"/>
      <c r="C6394" s="663"/>
      <c r="D6394" s="663"/>
      <c r="E6394" s="663"/>
    </row>
    <row r="6395" spans="1:5" x14ac:dyDescent="0.2">
      <c r="A6395"/>
      <c r="B6395" s="663"/>
      <c r="C6395" s="663"/>
      <c r="D6395" s="663"/>
      <c r="E6395" s="663"/>
    </row>
    <row r="6396" spans="1:5" x14ac:dyDescent="0.2">
      <c r="A6396"/>
      <c r="B6396" s="663"/>
      <c r="C6396" s="663"/>
      <c r="D6396" s="663"/>
      <c r="E6396" s="663"/>
    </row>
    <row r="6397" spans="1:5" x14ac:dyDescent="0.2">
      <c r="A6397"/>
      <c r="B6397" s="663"/>
      <c r="C6397" s="663"/>
      <c r="D6397" s="663"/>
      <c r="E6397" s="663"/>
    </row>
    <row r="6398" spans="1:5" x14ac:dyDescent="0.2">
      <c r="A6398"/>
      <c r="B6398" s="663"/>
      <c r="C6398" s="663"/>
      <c r="D6398" s="663"/>
      <c r="E6398" s="663"/>
    </row>
    <row r="6399" spans="1:5" x14ac:dyDescent="0.2">
      <c r="A6399"/>
      <c r="B6399" s="663"/>
      <c r="C6399" s="663"/>
      <c r="D6399" s="663"/>
      <c r="E6399" s="663"/>
    </row>
    <row r="6400" spans="1:5" x14ac:dyDescent="0.2">
      <c r="A6400"/>
      <c r="B6400" s="663"/>
      <c r="C6400" s="663"/>
      <c r="D6400" s="663"/>
      <c r="E6400" s="663"/>
    </row>
    <row r="6401" spans="1:5" x14ac:dyDescent="0.2">
      <c r="A6401"/>
      <c r="B6401" s="663"/>
      <c r="C6401" s="663"/>
      <c r="D6401" s="663"/>
      <c r="E6401" s="663"/>
    </row>
    <row r="6402" spans="1:5" x14ac:dyDescent="0.2">
      <c r="A6402"/>
      <c r="B6402" s="663"/>
      <c r="C6402" s="663"/>
      <c r="D6402" s="663"/>
      <c r="E6402" s="663"/>
    </row>
    <row r="6403" spans="1:5" x14ac:dyDescent="0.2">
      <c r="A6403"/>
      <c r="B6403" s="663"/>
      <c r="C6403" s="663"/>
      <c r="D6403" s="663"/>
      <c r="E6403" s="663"/>
    </row>
    <row r="6404" spans="1:5" x14ac:dyDescent="0.2">
      <c r="A6404"/>
      <c r="B6404" s="663"/>
      <c r="C6404" s="663"/>
      <c r="D6404" s="663"/>
      <c r="E6404" s="663"/>
    </row>
    <row r="6405" spans="1:5" x14ac:dyDescent="0.2">
      <c r="A6405"/>
      <c r="B6405" s="663"/>
      <c r="C6405" s="663"/>
      <c r="D6405" s="663"/>
      <c r="E6405" s="663"/>
    </row>
    <row r="6406" spans="1:5" x14ac:dyDescent="0.2">
      <c r="A6406"/>
      <c r="B6406" s="663"/>
      <c r="C6406" s="663"/>
      <c r="D6406" s="663"/>
      <c r="E6406" s="663"/>
    </row>
    <row r="6407" spans="1:5" x14ac:dyDescent="0.2">
      <c r="A6407"/>
      <c r="B6407" s="663"/>
      <c r="C6407" s="663"/>
      <c r="D6407" s="663"/>
      <c r="E6407" s="663"/>
    </row>
    <row r="6408" spans="1:5" x14ac:dyDescent="0.2">
      <c r="A6408"/>
      <c r="B6408" s="663"/>
      <c r="C6408" s="663"/>
      <c r="D6408" s="663"/>
      <c r="E6408" s="663"/>
    </row>
    <row r="6409" spans="1:5" x14ac:dyDescent="0.2">
      <c r="A6409"/>
      <c r="B6409" s="663"/>
      <c r="C6409" s="663"/>
      <c r="D6409" s="663"/>
      <c r="E6409" s="663"/>
    </row>
    <row r="6410" spans="1:5" x14ac:dyDescent="0.2">
      <c r="A6410"/>
      <c r="B6410" s="663"/>
      <c r="C6410" s="663"/>
      <c r="D6410" s="663"/>
      <c r="E6410" s="663"/>
    </row>
    <row r="6411" spans="1:5" x14ac:dyDescent="0.2">
      <c r="A6411"/>
      <c r="B6411" s="663"/>
      <c r="C6411" s="663"/>
      <c r="D6411" s="663"/>
      <c r="E6411" s="663"/>
    </row>
    <row r="6412" spans="1:5" x14ac:dyDescent="0.2">
      <c r="A6412"/>
      <c r="B6412" s="663"/>
      <c r="C6412" s="663"/>
      <c r="D6412" s="663"/>
      <c r="E6412" s="663"/>
    </row>
    <row r="6413" spans="1:5" x14ac:dyDescent="0.2">
      <c r="A6413"/>
      <c r="B6413" s="663"/>
      <c r="C6413" s="663"/>
      <c r="D6413" s="663"/>
      <c r="E6413" s="663"/>
    </row>
    <row r="6414" spans="1:5" x14ac:dyDescent="0.2">
      <c r="A6414"/>
      <c r="B6414" s="663"/>
      <c r="C6414" s="663"/>
      <c r="D6414" s="663"/>
      <c r="E6414" s="663"/>
    </row>
    <row r="6415" spans="1:5" x14ac:dyDescent="0.2">
      <c r="A6415"/>
      <c r="B6415" s="663"/>
      <c r="C6415" s="663"/>
      <c r="D6415" s="663"/>
      <c r="E6415" s="663"/>
    </row>
    <row r="6416" spans="1:5" x14ac:dyDescent="0.2">
      <c r="A6416"/>
      <c r="B6416" s="663"/>
      <c r="C6416" s="663"/>
      <c r="D6416" s="663"/>
      <c r="E6416" s="663"/>
    </row>
    <row r="6417" spans="1:5" x14ac:dyDescent="0.2">
      <c r="A6417"/>
      <c r="B6417" s="663"/>
      <c r="C6417" s="663"/>
      <c r="D6417" s="663"/>
      <c r="E6417" s="663"/>
    </row>
    <row r="6418" spans="1:5" x14ac:dyDescent="0.2">
      <c r="A6418"/>
      <c r="B6418" s="663"/>
      <c r="C6418" s="663"/>
      <c r="D6418" s="663"/>
      <c r="E6418" s="663"/>
    </row>
    <row r="6419" spans="1:5" x14ac:dyDescent="0.2">
      <c r="A6419"/>
      <c r="B6419" s="663"/>
      <c r="C6419" s="663"/>
      <c r="D6419" s="663"/>
      <c r="E6419" s="663"/>
    </row>
    <row r="6420" spans="1:5" x14ac:dyDescent="0.2">
      <c r="A6420"/>
      <c r="B6420" s="663"/>
      <c r="C6420" s="663"/>
      <c r="D6420" s="663"/>
      <c r="E6420" s="663"/>
    </row>
    <row r="6421" spans="1:5" x14ac:dyDescent="0.2">
      <c r="A6421"/>
      <c r="B6421" s="663"/>
      <c r="C6421" s="663"/>
      <c r="D6421" s="663"/>
      <c r="E6421" s="663"/>
    </row>
    <row r="6422" spans="1:5" x14ac:dyDescent="0.2">
      <c r="A6422"/>
      <c r="B6422" s="663"/>
      <c r="C6422" s="663"/>
      <c r="D6422" s="663"/>
      <c r="E6422" s="663"/>
    </row>
    <row r="6423" spans="1:5" x14ac:dyDescent="0.2">
      <c r="A6423"/>
      <c r="B6423" s="663"/>
      <c r="C6423" s="663"/>
      <c r="D6423" s="663"/>
      <c r="E6423" s="663"/>
    </row>
    <row r="6424" spans="1:5" x14ac:dyDescent="0.2">
      <c r="A6424"/>
      <c r="B6424" s="663"/>
      <c r="C6424" s="663"/>
      <c r="D6424" s="663"/>
      <c r="E6424" s="663"/>
    </row>
    <row r="6425" spans="1:5" x14ac:dyDescent="0.2">
      <c r="A6425"/>
      <c r="B6425" s="663"/>
      <c r="C6425" s="663"/>
      <c r="D6425" s="663"/>
      <c r="E6425" s="663"/>
    </row>
    <row r="6426" spans="1:5" x14ac:dyDescent="0.2">
      <c r="A6426"/>
      <c r="B6426" s="663"/>
      <c r="C6426" s="663"/>
      <c r="D6426" s="663"/>
      <c r="E6426" s="663"/>
    </row>
    <row r="6427" spans="1:5" x14ac:dyDescent="0.2">
      <c r="A6427"/>
      <c r="B6427" s="663"/>
      <c r="C6427" s="663"/>
      <c r="D6427" s="663"/>
      <c r="E6427" s="663"/>
    </row>
    <row r="6428" spans="1:5" x14ac:dyDescent="0.2">
      <c r="A6428"/>
      <c r="B6428" s="663"/>
      <c r="C6428" s="663"/>
      <c r="D6428" s="663"/>
      <c r="E6428" s="663"/>
    </row>
    <row r="6429" spans="1:5" x14ac:dyDescent="0.2">
      <c r="A6429"/>
      <c r="B6429" s="663"/>
      <c r="C6429" s="663"/>
      <c r="D6429" s="663"/>
      <c r="E6429" s="663"/>
    </row>
    <row r="6430" spans="1:5" x14ac:dyDescent="0.2">
      <c r="A6430"/>
      <c r="B6430" s="663"/>
      <c r="C6430" s="663"/>
      <c r="D6430" s="663"/>
      <c r="E6430" s="663"/>
    </row>
    <row r="6431" spans="1:5" x14ac:dyDescent="0.2">
      <c r="A6431"/>
      <c r="B6431" s="663"/>
      <c r="C6431" s="663"/>
      <c r="D6431" s="663"/>
      <c r="E6431" s="663"/>
    </row>
    <row r="6432" spans="1:5" x14ac:dyDescent="0.2">
      <c r="A6432"/>
      <c r="B6432" s="663"/>
      <c r="C6432" s="663"/>
      <c r="D6432" s="663"/>
      <c r="E6432" s="663"/>
    </row>
    <row r="6433" spans="1:5" x14ac:dyDescent="0.2">
      <c r="A6433"/>
      <c r="B6433" s="663"/>
      <c r="C6433" s="663"/>
      <c r="D6433" s="663"/>
      <c r="E6433" s="663"/>
    </row>
    <row r="6434" spans="1:5" x14ac:dyDescent="0.2">
      <c r="A6434"/>
      <c r="B6434" s="663"/>
      <c r="C6434" s="663"/>
      <c r="D6434" s="663"/>
      <c r="E6434" s="663"/>
    </row>
    <row r="6435" spans="1:5" x14ac:dyDescent="0.2">
      <c r="A6435"/>
      <c r="B6435" s="663"/>
      <c r="C6435" s="663"/>
      <c r="D6435" s="663"/>
      <c r="E6435" s="663"/>
    </row>
    <row r="6436" spans="1:5" x14ac:dyDescent="0.2">
      <c r="A6436"/>
      <c r="B6436" s="663"/>
      <c r="C6436" s="663"/>
      <c r="D6436" s="663"/>
      <c r="E6436" s="663"/>
    </row>
    <row r="6437" spans="1:5" x14ac:dyDescent="0.2">
      <c r="A6437"/>
      <c r="B6437" s="663"/>
      <c r="C6437" s="663"/>
      <c r="D6437" s="663"/>
      <c r="E6437" s="663"/>
    </row>
    <row r="6438" spans="1:5" x14ac:dyDescent="0.2">
      <c r="A6438"/>
      <c r="B6438" s="663"/>
      <c r="C6438" s="663"/>
      <c r="D6438" s="663"/>
      <c r="E6438" s="663"/>
    </row>
    <row r="6439" spans="1:5" x14ac:dyDescent="0.2">
      <c r="A6439"/>
      <c r="B6439" s="663"/>
      <c r="C6439" s="663"/>
      <c r="D6439" s="663"/>
      <c r="E6439" s="663"/>
    </row>
    <row r="6440" spans="1:5" x14ac:dyDescent="0.2">
      <c r="A6440"/>
      <c r="B6440" s="663"/>
      <c r="C6440" s="663"/>
      <c r="D6440" s="663"/>
      <c r="E6440" s="663"/>
    </row>
    <row r="6441" spans="1:5" x14ac:dyDescent="0.2">
      <c r="A6441"/>
      <c r="B6441" s="663"/>
      <c r="C6441" s="663"/>
      <c r="D6441" s="663"/>
      <c r="E6441" s="663"/>
    </row>
    <row r="6442" spans="1:5" x14ac:dyDescent="0.2">
      <c r="A6442"/>
      <c r="B6442" s="663"/>
      <c r="C6442" s="663"/>
      <c r="D6442" s="663"/>
      <c r="E6442" s="663"/>
    </row>
    <row r="6443" spans="1:5" x14ac:dyDescent="0.2">
      <c r="A6443"/>
      <c r="B6443" s="663"/>
      <c r="C6443" s="663"/>
      <c r="D6443" s="663"/>
      <c r="E6443" s="663"/>
    </row>
    <row r="6444" spans="1:5" x14ac:dyDescent="0.2">
      <c r="A6444"/>
      <c r="B6444" s="663"/>
      <c r="C6444" s="663"/>
      <c r="D6444" s="663"/>
      <c r="E6444" s="663"/>
    </row>
    <row r="6445" spans="1:5" x14ac:dyDescent="0.2">
      <c r="A6445"/>
      <c r="B6445" s="663"/>
      <c r="C6445" s="663"/>
      <c r="D6445" s="663"/>
      <c r="E6445" s="663"/>
    </row>
    <row r="6446" spans="1:5" x14ac:dyDescent="0.2">
      <c r="A6446"/>
      <c r="B6446" s="663"/>
      <c r="C6446" s="663"/>
      <c r="D6446" s="663"/>
      <c r="E6446" s="663"/>
    </row>
    <row r="6447" spans="1:5" x14ac:dyDescent="0.2">
      <c r="A6447"/>
      <c r="B6447" s="663"/>
      <c r="C6447" s="663"/>
      <c r="D6447" s="663"/>
      <c r="E6447" s="663"/>
    </row>
    <row r="6448" spans="1:5" x14ac:dyDescent="0.2">
      <c r="A6448"/>
      <c r="B6448" s="663"/>
      <c r="C6448" s="663"/>
      <c r="D6448" s="663"/>
      <c r="E6448" s="663"/>
    </row>
    <row r="6449" spans="1:5" x14ac:dyDescent="0.2">
      <c r="A6449"/>
      <c r="B6449" s="663"/>
      <c r="C6449" s="663"/>
      <c r="D6449" s="663"/>
      <c r="E6449" s="663"/>
    </row>
    <row r="6450" spans="1:5" x14ac:dyDescent="0.2">
      <c r="A6450"/>
      <c r="B6450" s="663"/>
      <c r="C6450" s="663"/>
      <c r="D6450" s="663"/>
      <c r="E6450" s="663"/>
    </row>
    <row r="6451" spans="1:5" x14ac:dyDescent="0.2">
      <c r="A6451"/>
      <c r="B6451" s="663"/>
      <c r="C6451" s="663"/>
      <c r="D6451" s="663"/>
      <c r="E6451" s="663"/>
    </row>
    <row r="6452" spans="1:5" x14ac:dyDescent="0.2">
      <c r="A6452"/>
      <c r="B6452" s="663"/>
      <c r="C6452" s="663"/>
      <c r="D6452" s="663"/>
      <c r="E6452" s="663"/>
    </row>
    <row r="6453" spans="1:5" x14ac:dyDescent="0.2">
      <c r="A6453"/>
      <c r="B6453" s="663"/>
      <c r="C6453" s="663"/>
      <c r="D6453" s="663"/>
      <c r="E6453" s="663"/>
    </row>
    <row r="6454" spans="1:5" x14ac:dyDescent="0.2">
      <c r="A6454"/>
      <c r="B6454" s="663"/>
      <c r="C6454" s="663"/>
      <c r="D6454" s="663"/>
      <c r="E6454" s="663"/>
    </row>
    <row r="6455" spans="1:5" x14ac:dyDescent="0.2">
      <c r="A6455"/>
      <c r="B6455" s="663"/>
      <c r="C6455" s="663"/>
      <c r="D6455" s="663"/>
      <c r="E6455" s="663"/>
    </row>
    <row r="6456" spans="1:5" x14ac:dyDescent="0.2">
      <c r="A6456"/>
      <c r="B6456" s="663"/>
      <c r="C6456" s="663"/>
      <c r="D6456" s="663"/>
      <c r="E6456" s="663"/>
    </row>
    <row r="6457" spans="1:5" x14ac:dyDescent="0.2">
      <c r="A6457"/>
      <c r="B6457" s="663"/>
      <c r="C6457" s="663"/>
      <c r="D6457" s="663"/>
      <c r="E6457" s="663"/>
    </row>
    <row r="6458" spans="1:5" x14ac:dyDescent="0.2">
      <c r="A6458"/>
      <c r="B6458" s="663"/>
      <c r="C6458" s="663"/>
      <c r="D6458" s="663"/>
      <c r="E6458" s="663"/>
    </row>
    <row r="6459" spans="1:5" x14ac:dyDescent="0.2">
      <c r="A6459"/>
      <c r="B6459" s="663"/>
      <c r="C6459" s="663"/>
      <c r="D6459" s="663"/>
      <c r="E6459" s="663"/>
    </row>
    <row r="6460" spans="1:5" x14ac:dyDescent="0.2">
      <c r="A6460"/>
      <c r="B6460" s="663"/>
      <c r="C6460" s="663"/>
      <c r="D6460" s="663"/>
      <c r="E6460" s="663"/>
    </row>
    <row r="6461" spans="1:5" x14ac:dyDescent="0.2">
      <c r="A6461"/>
      <c r="B6461" s="663"/>
      <c r="C6461" s="663"/>
      <c r="D6461" s="663"/>
      <c r="E6461" s="663"/>
    </row>
    <row r="6462" spans="1:5" x14ac:dyDescent="0.2">
      <c r="A6462"/>
      <c r="B6462" s="663"/>
      <c r="C6462" s="663"/>
      <c r="D6462" s="663"/>
      <c r="E6462" s="663"/>
    </row>
    <row r="6463" spans="1:5" x14ac:dyDescent="0.2">
      <c r="A6463"/>
      <c r="B6463" s="663"/>
      <c r="C6463" s="663"/>
      <c r="D6463" s="663"/>
      <c r="E6463" s="663"/>
    </row>
    <row r="6464" spans="1:5" x14ac:dyDescent="0.2">
      <c r="A6464"/>
      <c r="B6464" s="663"/>
      <c r="C6464" s="663"/>
      <c r="D6464" s="663"/>
      <c r="E6464" s="663"/>
    </row>
    <row r="6465" spans="1:5" x14ac:dyDescent="0.2">
      <c r="A6465"/>
      <c r="B6465" s="663"/>
      <c r="C6465" s="663"/>
      <c r="D6465" s="663"/>
      <c r="E6465" s="663"/>
    </row>
    <row r="6466" spans="1:5" x14ac:dyDescent="0.2">
      <c r="A6466"/>
      <c r="B6466" s="663"/>
      <c r="C6466" s="663"/>
      <c r="D6466" s="663"/>
      <c r="E6466" s="663"/>
    </row>
    <row r="6467" spans="1:5" x14ac:dyDescent="0.2">
      <c r="A6467"/>
      <c r="B6467" s="663"/>
      <c r="C6467" s="663"/>
      <c r="D6467" s="663"/>
      <c r="E6467" s="663"/>
    </row>
    <row r="6468" spans="1:5" x14ac:dyDescent="0.2">
      <c r="A6468"/>
      <c r="B6468" s="663"/>
      <c r="C6468" s="663"/>
      <c r="D6468" s="663"/>
      <c r="E6468" s="663"/>
    </row>
    <row r="6469" spans="1:5" x14ac:dyDescent="0.2">
      <c r="A6469"/>
      <c r="B6469" s="663"/>
      <c r="C6469" s="663"/>
      <c r="D6469" s="663"/>
      <c r="E6469" s="663"/>
    </row>
    <row r="6470" spans="1:5" x14ac:dyDescent="0.2">
      <c r="A6470"/>
      <c r="B6470" s="663"/>
      <c r="C6470" s="663"/>
      <c r="D6470" s="663"/>
      <c r="E6470" s="663"/>
    </row>
    <row r="6471" spans="1:5" x14ac:dyDescent="0.2">
      <c r="A6471"/>
      <c r="B6471" s="663"/>
      <c r="C6471" s="663"/>
      <c r="D6471" s="663"/>
      <c r="E6471" s="663"/>
    </row>
    <row r="6472" spans="1:5" x14ac:dyDescent="0.2">
      <c r="A6472"/>
      <c r="B6472" s="663"/>
      <c r="C6472" s="663"/>
      <c r="D6472" s="663"/>
      <c r="E6472" s="663"/>
    </row>
    <row r="6473" spans="1:5" x14ac:dyDescent="0.2">
      <c r="A6473"/>
      <c r="B6473" s="663"/>
      <c r="C6473" s="663"/>
      <c r="D6473" s="663"/>
      <c r="E6473" s="663"/>
    </row>
    <row r="6474" spans="1:5" x14ac:dyDescent="0.2">
      <c r="A6474"/>
      <c r="B6474" s="663"/>
      <c r="C6474" s="663"/>
      <c r="D6474" s="663"/>
      <c r="E6474" s="663"/>
    </row>
    <row r="6475" spans="1:5" x14ac:dyDescent="0.2">
      <c r="A6475"/>
      <c r="B6475" s="663"/>
      <c r="C6475" s="663"/>
      <c r="D6475" s="663"/>
      <c r="E6475" s="663"/>
    </row>
    <row r="6476" spans="1:5" x14ac:dyDescent="0.2">
      <c r="A6476"/>
      <c r="B6476" s="663"/>
      <c r="C6476" s="663"/>
      <c r="D6476" s="663"/>
      <c r="E6476" s="663"/>
    </row>
    <row r="6477" spans="1:5" x14ac:dyDescent="0.2">
      <c r="A6477"/>
      <c r="B6477" s="663"/>
      <c r="C6477" s="663"/>
      <c r="D6477" s="663"/>
      <c r="E6477" s="663"/>
    </row>
    <row r="6478" spans="1:5" x14ac:dyDescent="0.2">
      <c r="A6478"/>
      <c r="B6478" s="663"/>
      <c r="C6478" s="663"/>
      <c r="D6478" s="663"/>
      <c r="E6478" s="663"/>
    </row>
    <row r="6479" spans="1:5" x14ac:dyDescent="0.2">
      <c r="A6479"/>
      <c r="B6479" s="663"/>
      <c r="C6479" s="663"/>
      <c r="D6479" s="663"/>
      <c r="E6479" s="663"/>
    </row>
    <row r="6480" spans="1:5" x14ac:dyDescent="0.2">
      <c r="A6480"/>
      <c r="B6480" s="663"/>
      <c r="C6480" s="663"/>
      <c r="D6480" s="663"/>
      <c r="E6480" s="663"/>
    </row>
    <row r="6481" spans="1:5" x14ac:dyDescent="0.2">
      <c r="A6481"/>
      <c r="B6481" s="663"/>
      <c r="C6481" s="663"/>
      <c r="D6481" s="663"/>
      <c r="E6481" s="663"/>
    </row>
    <row r="6482" spans="1:5" x14ac:dyDescent="0.2">
      <c r="A6482"/>
      <c r="B6482" s="663"/>
      <c r="C6482" s="663"/>
      <c r="D6482" s="663"/>
      <c r="E6482" s="663"/>
    </row>
    <row r="6483" spans="1:5" x14ac:dyDescent="0.2">
      <c r="A6483"/>
      <c r="B6483" s="663"/>
      <c r="C6483" s="663"/>
      <c r="D6483" s="663"/>
      <c r="E6483" s="663"/>
    </row>
    <row r="6484" spans="1:5" x14ac:dyDescent="0.2">
      <c r="A6484"/>
      <c r="B6484" s="663"/>
      <c r="C6484" s="663"/>
      <c r="D6484" s="663"/>
      <c r="E6484" s="663"/>
    </row>
    <row r="6485" spans="1:5" x14ac:dyDescent="0.2">
      <c r="A6485"/>
      <c r="B6485" s="663"/>
      <c r="C6485" s="663"/>
      <c r="D6485" s="663"/>
      <c r="E6485" s="663"/>
    </row>
    <row r="6486" spans="1:5" x14ac:dyDescent="0.2">
      <c r="A6486"/>
      <c r="B6486" s="663"/>
      <c r="C6486" s="663"/>
      <c r="D6486" s="663"/>
      <c r="E6486" s="663"/>
    </row>
    <row r="6487" spans="1:5" x14ac:dyDescent="0.2">
      <c r="A6487"/>
      <c r="B6487" s="663"/>
      <c r="C6487" s="663"/>
      <c r="D6487" s="663"/>
      <c r="E6487" s="663"/>
    </row>
    <row r="6488" spans="1:5" x14ac:dyDescent="0.2">
      <c r="A6488"/>
      <c r="B6488" s="663"/>
      <c r="C6488" s="663"/>
      <c r="D6488" s="663"/>
      <c r="E6488" s="663"/>
    </row>
    <row r="6489" spans="1:5" x14ac:dyDescent="0.2">
      <c r="A6489"/>
      <c r="B6489" s="663"/>
      <c r="C6489" s="663"/>
      <c r="D6489" s="663"/>
      <c r="E6489" s="663"/>
    </row>
    <row r="6490" spans="1:5" x14ac:dyDescent="0.2">
      <c r="A6490"/>
      <c r="B6490" s="663"/>
      <c r="C6490" s="663"/>
      <c r="D6490" s="663"/>
      <c r="E6490" s="663"/>
    </row>
    <row r="6491" spans="1:5" x14ac:dyDescent="0.2">
      <c r="A6491"/>
      <c r="B6491" s="663"/>
      <c r="C6491" s="663"/>
      <c r="D6491" s="663"/>
      <c r="E6491" s="663"/>
    </row>
    <row r="6492" spans="1:5" x14ac:dyDescent="0.2">
      <c r="A6492"/>
      <c r="B6492" s="663"/>
      <c r="C6492" s="663"/>
      <c r="D6492" s="663"/>
      <c r="E6492" s="663"/>
    </row>
    <row r="6493" spans="1:5" x14ac:dyDescent="0.2">
      <c r="A6493"/>
      <c r="B6493" s="663"/>
      <c r="C6493" s="663"/>
      <c r="D6493" s="663"/>
      <c r="E6493" s="663"/>
    </row>
    <row r="6494" spans="1:5" x14ac:dyDescent="0.2">
      <c r="A6494"/>
      <c r="B6494" s="663"/>
      <c r="C6494" s="663"/>
      <c r="D6494" s="663"/>
      <c r="E6494" s="663"/>
    </row>
    <row r="6495" spans="1:5" x14ac:dyDescent="0.2">
      <c r="A6495"/>
      <c r="B6495" s="663"/>
      <c r="C6495" s="663"/>
      <c r="D6495" s="663"/>
      <c r="E6495" s="663"/>
    </row>
    <row r="6496" spans="1:5" x14ac:dyDescent="0.2">
      <c r="A6496"/>
      <c r="B6496" s="663"/>
      <c r="C6496" s="663"/>
      <c r="D6496" s="663"/>
      <c r="E6496" s="663"/>
    </row>
    <row r="6497" spans="1:5" x14ac:dyDescent="0.2">
      <c r="A6497"/>
      <c r="B6497" s="663"/>
      <c r="C6497" s="663"/>
      <c r="D6497" s="663"/>
      <c r="E6497" s="663"/>
    </row>
    <row r="6498" spans="1:5" x14ac:dyDescent="0.2">
      <c r="A6498"/>
      <c r="B6498" s="663"/>
      <c r="C6498" s="663"/>
      <c r="D6498" s="663"/>
      <c r="E6498" s="663"/>
    </row>
    <row r="6499" spans="1:5" x14ac:dyDescent="0.2">
      <c r="A6499"/>
      <c r="B6499" s="663"/>
      <c r="C6499" s="663"/>
      <c r="D6499" s="663"/>
      <c r="E6499" s="663"/>
    </row>
    <row r="6500" spans="1:5" x14ac:dyDescent="0.2">
      <c r="A6500"/>
      <c r="B6500" s="663"/>
      <c r="C6500" s="663"/>
      <c r="D6500" s="663"/>
      <c r="E6500" s="663"/>
    </row>
    <row r="6501" spans="1:5" x14ac:dyDescent="0.2">
      <c r="A6501"/>
      <c r="B6501" s="663"/>
      <c r="C6501" s="663"/>
      <c r="D6501" s="663"/>
      <c r="E6501" s="663"/>
    </row>
    <row r="6502" spans="1:5" x14ac:dyDescent="0.2">
      <c r="A6502"/>
      <c r="B6502" s="663"/>
      <c r="C6502" s="663"/>
      <c r="D6502" s="663"/>
      <c r="E6502" s="663"/>
    </row>
    <row r="6503" spans="1:5" x14ac:dyDescent="0.2">
      <c r="A6503"/>
      <c r="B6503" s="663"/>
      <c r="C6503" s="663"/>
      <c r="D6503" s="663"/>
      <c r="E6503" s="663"/>
    </row>
    <row r="6504" spans="1:5" x14ac:dyDescent="0.2">
      <c r="A6504"/>
      <c r="B6504" s="663"/>
      <c r="C6504" s="663"/>
      <c r="D6504" s="663"/>
      <c r="E6504" s="663"/>
    </row>
    <row r="6505" spans="1:5" x14ac:dyDescent="0.2">
      <c r="A6505"/>
      <c r="B6505" s="663"/>
      <c r="C6505" s="663"/>
      <c r="D6505" s="663"/>
      <c r="E6505" s="663"/>
    </row>
    <row r="6506" spans="1:5" x14ac:dyDescent="0.2">
      <c r="A6506"/>
      <c r="B6506" s="663"/>
      <c r="C6506" s="663"/>
      <c r="D6506" s="663"/>
      <c r="E6506" s="663"/>
    </row>
    <row r="6507" spans="1:5" x14ac:dyDescent="0.2">
      <c r="A6507"/>
      <c r="B6507" s="663"/>
      <c r="C6507" s="663"/>
      <c r="D6507" s="663"/>
      <c r="E6507" s="663"/>
    </row>
    <row r="6508" spans="1:5" x14ac:dyDescent="0.2">
      <c r="A6508"/>
      <c r="B6508" s="663"/>
      <c r="C6508" s="663"/>
      <c r="D6508" s="663"/>
      <c r="E6508" s="663"/>
    </row>
    <row r="6509" spans="1:5" x14ac:dyDescent="0.2">
      <c r="A6509"/>
      <c r="B6509" s="663"/>
      <c r="C6509" s="663"/>
      <c r="D6509" s="663"/>
      <c r="E6509" s="663"/>
    </row>
    <row r="6510" spans="1:5" x14ac:dyDescent="0.2">
      <c r="A6510"/>
      <c r="B6510" s="663"/>
      <c r="C6510" s="663"/>
      <c r="D6510" s="663"/>
      <c r="E6510" s="663"/>
    </row>
    <row r="6511" spans="1:5" x14ac:dyDescent="0.2">
      <c r="A6511"/>
      <c r="B6511" s="663"/>
      <c r="C6511" s="663"/>
      <c r="D6511" s="663"/>
      <c r="E6511" s="663"/>
    </row>
    <row r="6512" spans="1:5" x14ac:dyDescent="0.2">
      <c r="A6512"/>
      <c r="B6512" s="663"/>
      <c r="C6512" s="663"/>
      <c r="D6512" s="663"/>
      <c r="E6512" s="663"/>
    </row>
    <row r="6513" spans="1:5" x14ac:dyDescent="0.2">
      <c r="A6513"/>
      <c r="B6513" s="663"/>
      <c r="C6513" s="663"/>
      <c r="D6513" s="663"/>
      <c r="E6513" s="663"/>
    </row>
    <row r="6514" spans="1:5" x14ac:dyDescent="0.2">
      <c r="A6514"/>
      <c r="B6514" s="663"/>
      <c r="C6514" s="663"/>
      <c r="D6514" s="663"/>
      <c r="E6514" s="663"/>
    </row>
    <row r="6515" spans="1:5" x14ac:dyDescent="0.2">
      <c r="A6515"/>
      <c r="B6515" s="663"/>
      <c r="C6515" s="663"/>
      <c r="D6515" s="663"/>
      <c r="E6515" s="663"/>
    </row>
    <row r="6516" spans="1:5" x14ac:dyDescent="0.2">
      <c r="A6516"/>
      <c r="B6516" s="663"/>
      <c r="C6516" s="663"/>
      <c r="D6516" s="663"/>
      <c r="E6516" s="663"/>
    </row>
    <row r="6517" spans="1:5" x14ac:dyDescent="0.2">
      <c r="A6517"/>
      <c r="B6517" s="663"/>
      <c r="C6517" s="663"/>
      <c r="D6517" s="663"/>
      <c r="E6517" s="663"/>
    </row>
    <row r="6518" spans="1:5" x14ac:dyDescent="0.2">
      <c r="A6518"/>
      <c r="B6518" s="663"/>
      <c r="C6518" s="663"/>
      <c r="D6518" s="663"/>
      <c r="E6518" s="663"/>
    </row>
    <row r="6519" spans="1:5" x14ac:dyDescent="0.2">
      <c r="A6519"/>
      <c r="B6519" s="663"/>
      <c r="C6519" s="663"/>
      <c r="D6519" s="663"/>
      <c r="E6519" s="663"/>
    </row>
    <row r="6520" spans="1:5" x14ac:dyDescent="0.2">
      <c r="A6520"/>
      <c r="B6520" s="663"/>
      <c r="C6520" s="663"/>
      <c r="D6520" s="663"/>
      <c r="E6520" s="663"/>
    </row>
    <row r="6521" spans="1:5" x14ac:dyDescent="0.2">
      <c r="A6521"/>
      <c r="B6521" s="663"/>
      <c r="C6521" s="663"/>
      <c r="D6521" s="663"/>
      <c r="E6521" s="663"/>
    </row>
    <row r="6522" spans="1:5" x14ac:dyDescent="0.2">
      <c r="A6522"/>
      <c r="B6522" s="663"/>
      <c r="C6522" s="663"/>
      <c r="D6522" s="663"/>
      <c r="E6522" s="663"/>
    </row>
    <row r="6523" spans="1:5" x14ac:dyDescent="0.2">
      <c r="A6523"/>
      <c r="B6523" s="663"/>
      <c r="C6523" s="663"/>
      <c r="D6523" s="663"/>
      <c r="E6523" s="663"/>
    </row>
    <row r="6524" spans="1:5" x14ac:dyDescent="0.2">
      <c r="A6524"/>
      <c r="B6524" s="663"/>
      <c r="C6524" s="663"/>
      <c r="D6524" s="663"/>
      <c r="E6524" s="663"/>
    </row>
    <row r="6525" spans="1:5" x14ac:dyDescent="0.2">
      <c r="A6525"/>
      <c r="B6525" s="663"/>
      <c r="C6525" s="663"/>
      <c r="D6525" s="663"/>
      <c r="E6525" s="663"/>
    </row>
    <row r="6526" spans="1:5" x14ac:dyDescent="0.2">
      <c r="A6526"/>
      <c r="B6526" s="663"/>
      <c r="C6526" s="663"/>
      <c r="D6526" s="663"/>
      <c r="E6526" s="663"/>
    </row>
    <row r="6527" spans="1:5" x14ac:dyDescent="0.2">
      <c r="A6527"/>
      <c r="B6527" s="663"/>
      <c r="C6527" s="663"/>
      <c r="D6527" s="663"/>
      <c r="E6527" s="663"/>
    </row>
    <row r="6528" spans="1:5" x14ac:dyDescent="0.2">
      <c r="A6528"/>
      <c r="B6528" s="663"/>
      <c r="C6528" s="663"/>
      <c r="D6528" s="663"/>
      <c r="E6528" s="663"/>
    </row>
    <row r="6529" spans="1:5" x14ac:dyDescent="0.2">
      <c r="A6529"/>
      <c r="B6529" s="663"/>
      <c r="C6529" s="663"/>
      <c r="D6529" s="663"/>
      <c r="E6529" s="663"/>
    </row>
    <row r="6530" spans="1:5" x14ac:dyDescent="0.2">
      <c r="A6530"/>
      <c r="B6530" s="663"/>
      <c r="C6530" s="663"/>
      <c r="D6530" s="663"/>
      <c r="E6530" s="663"/>
    </row>
    <row r="6531" spans="1:5" x14ac:dyDescent="0.2">
      <c r="A6531"/>
      <c r="B6531" s="663"/>
      <c r="C6531" s="663"/>
      <c r="D6531" s="663"/>
      <c r="E6531" s="663"/>
    </row>
    <row r="6532" spans="1:5" x14ac:dyDescent="0.2">
      <c r="A6532"/>
      <c r="B6532" s="663"/>
      <c r="C6532" s="663"/>
      <c r="D6532" s="663"/>
      <c r="E6532" s="663"/>
    </row>
    <row r="6533" spans="1:5" x14ac:dyDescent="0.2">
      <c r="A6533"/>
      <c r="B6533" s="663"/>
      <c r="C6533" s="663"/>
      <c r="D6533" s="663"/>
      <c r="E6533" s="663"/>
    </row>
    <row r="6534" spans="1:5" x14ac:dyDescent="0.2">
      <c r="A6534"/>
      <c r="B6534" s="663"/>
      <c r="C6534" s="663"/>
      <c r="D6534" s="663"/>
      <c r="E6534" s="663"/>
    </row>
    <row r="6535" spans="1:5" x14ac:dyDescent="0.2">
      <c r="A6535"/>
      <c r="B6535" s="663"/>
      <c r="C6535" s="663"/>
      <c r="D6535" s="663"/>
      <c r="E6535" s="663"/>
    </row>
    <row r="6536" spans="1:5" x14ac:dyDescent="0.2">
      <c r="A6536"/>
      <c r="B6536" s="663"/>
      <c r="C6536" s="663"/>
      <c r="D6536" s="663"/>
      <c r="E6536" s="663"/>
    </row>
    <row r="6537" spans="1:5" x14ac:dyDescent="0.2">
      <c r="A6537"/>
      <c r="B6537" s="663"/>
      <c r="C6537" s="663"/>
      <c r="D6537" s="663"/>
      <c r="E6537" s="663"/>
    </row>
    <row r="6538" spans="1:5" x14ac:dyDescent="0.2">
      <c r="A6538"/>
      <c r="B6538" s="663"/>
      <c r="C6538" s="663"/>
      <c r="D6538" s="663"/>
      <c r="E6538" s="663"/>
    </row>
    <row r="6539" spans="1:5" x14ac:dyDescent="0.2">
      <c r="A6539"/>
      <c r="B6539" s="663"/>
      <c r="C6539" s="663"/>
      <c r="D6539" s="663"/>
      <c r="E6539" s="663"/>
    </row>
    <row r="6540" spans="1:5" x14ac:dyDescent="0.2">
      <c r="A6540"/>
      <c r="B6540" s="663"/>
      <c r="C6540" s="663"/>
      <c r="D6540" s="663"/>
      <c r="E6540" s="663"/>
    </row>
    <row r="6541" spans="1:5" x14ac:dyDescent="0.2">
      <c r="A6541"/>
      <c r="B6541" s="663"/>
      <c r="C6541" s="663"/>
      <c r="D6541" s="663"/>
      <c r="E6541" s="663"/>
    </row>
    <row r="6542" spans="1:5" x14ac:dyDescent="0.2">
      <c r="A6542"/>
      <c r="B6542" s="663"/>
      <c r="C6542" s="663"/>
      <c r="D6542" s="663"/>
      <c r="E6542" s="663"/>
    </row>
    <row r="6543" spans="1:5" x14ac:dyDescent="0.2">
      <c r="A6543"/>
      <c r="B6543" s="663"/>
      <c r="C6543" s="663"/>
      <c r="D6543" s="663"/>
      <c r="E6543" s="663"/>
    </row>
    <row r="6544" spans="1:5" x14ac:dyDescent="0.2">
      <c r="A6544"/>
      <c r="B6544" s="663"/>
      <c r="C6544" s="663"/>
      <c r="D6544" s="663"/>
      <c r="E6544" s="663"/>
    </row>
    <row r="6545" spans="1:5" x14ac:dyDescent="0.2">
      <c r="A6545"/>
      <c r="B6545" s="663"/>
      <c r="C6545" s="663"/>
      <c r="D6545" s="663"/>
      <c r="E6545" s="663"/>
    </row>
    <row r="6546" spans="1:5" x14ac:dyDescent="0.2">
      <c r="A6546"/>
      <c r="B6546" s="663"/>
      <c r="C6546" s="663"/>
      <c r="D6546" s="663"/>
      <c r="E6546" s="663"/>
    </row>
    <row r="6547" spans="1:5" x14ac:dyDescent="0.2">
      <c r="A6547"/>
      <c r="B6547" s="663"/>
      <c r="C6547" s="663"/>
      <c r="D6547" s="663"/>
      <c r="E6547" s="663"/>
    </row>
    <row r="6548" spans="1:5" x14ac:dyDescent="0.2">
      <c r="A6548"/>
      <c r="B6548" s="663"/>
      <c r="C6548" s="663"/>
      <c r="D6548" s="663"/>
      <c r="E6548" s="663"/>
    </row>
    <row r="6549" spans="1:5" x14ac:dyDescent="0.2">
      <c r="A6549"/>
      <c r="B6549" s="663"/>
      <c r="C6549" s="663"/>
      <c r="D6549" s="663"/>
      <c r="E6549" s="663"/>
    </row>
    <row r="6550" spans="1:5" x14ac:dyDescent="0.2">
      <c r="A6550"/>
      <c r="B6550" s="663"/>
      <c r="C6550" s="663"/>
      <c r="D6550" s="663"/>
      <c r="E6550" s="663"/>
    </row>
    <row r="6551" spans="1:5" x14ac:dyDescent="0.2">
      <c r="A6551"/>
      <c r="B6551" s="663"/>
      <c r="C6551" s="663"/>
      <c r="D6551" s="663"/>
      <c r="E6551" s="663"/>
    </row>
    <row r="6552" spans="1:5" x14ac:dyDescent="0.2">
      <c r="A6552"/>
      <c r="B6552" s="663"/>
      <c r="C6552" s="663"/>
      <c r="D6552" s="663"/>
      <c r="E6552" s="663"/>
    </row>
    <row r="6553" spans="1:5" x14ac:dyDescent="0.2">
      <c r="A6553"/>
      <c r="B6553" s="663"/>
      <c r="C6553" s="663"/>
      <c r="D6553" s="663"/>
      <c r="E6553" s="663"/>
    </row>
    <row r="6554" spans="1:5" x14ac:dyDescent="0.2">
      <c r="A6554"/>
      <c r="B6554" s="663"/>
      <c r="C6554" s="663"/>
      <c r="D6554" s="663"/>
      <c r="E6554" s="663"/>
    </row>
    <row r="6555" spans="1:5" x14ac:dyDescent="0.2">
      <c r="A6555"/>
      <c r="B6555" s="663"/>
      <c r="C6555" s="663"/>
      <c r="D6555" s="663"/>
      <c r="E6555" s="663"/>
    </row>
    <row r="6556" spans="1:5" x14ac:dyDescent="0.2">
      <c r="A6556"/>
      <c r="B6556" s="663"/>
      <c r="C6556" s="663"/>
      <c r="D6556" s="663"/>
      <c r="E6556" s="663"/>
    </row>
    <row r="6557" spans="1:5" x14ac:dyDescent="0.2">
      <c r="A6557"/>
      <c r="B6557" s="663"/>
      <c r="C6557" s="663"/>
      <c r="D6557" s="663"/>
      <c r="E6557" s="663"/>
    </row>
    <row r="6558" spans="1:5" x14ac:dyDescent="0.2">
      <c r="A6558"/>
      <c r="B6558" s="663"/>
      <c r="C6558" s="663"/>
      <c r="D6558" s="663"/>
      <c r="E6558" s="663"/>
    </row>
    <row r="6559" spans="1:5" x14ac:dyDescent="0.2">
      <c r="A6559"/>
      <c r="B6559" s="663"/>
      <c r="C6559" s="663"/>
      <c r="D6559" s="663"/>
      <c r="E6559" s="663"/>
    </row>
    <row r="6560" spans="1:5" x14ac:dyDescent="0.2">
      <c r="A6560"/>
      <c r="B6560" s="663"/>
      <c r="C6560" s="663"/>
      <c r="D6560" s="663"/>
      <c r="E6560" s="663"/>
    </row>
    <row r="6561" spans="1:5" x14ac:dyDescent="0.2">
      <c r="A6561"/>
      <c r="B6561" s="663"/>
      <c r="C6561" s="663"/>
      <c r="D6561" s="663"/>
      <c r="E6561" s="663"/>
    </row>
    <row r="6562" spans="1:5" x14ac:dyDescent="0.2">
      <c r="A6562"/>
      <c r="B6562" s="663"/>
      <c r="C6562" s="663"/>
      <c r="D6562" s="663"/>
      <c r="E6562" s="663"/>
    </row>
    <row r="6563" spans="1:5" x14ac:dyDescent="0.2">
      <c r="A6563"/>
      <c r="B6563" s="663"/>
      <c r="C6563" s="663"/>
      <c r="D6563" s="663"/>
      <c r="E6563" s="663"/>
    </row>
    <row r="6564" spans="1:5" x14ac:dyDescent="0.2">
      <c r="A6564"/>
      <c r="B6564" s="663"/>
      <c r="C6564" s="663"/>
      <c r="D6564" s="663"/>
      <c r="E6564" s="663"/>
    </row>
    <row r="6565" spans="1:5" x14ac:dyDescent="0.2">
      <c r="A6565"/>
      <c r="B6565" s="663"/>
      <c r="C6565" s="663"/>
      <c r="D6565" s="663"/>
      <c r="E6565" s="663"/>
    </row>
    <row r="6566" spans="1:5" x14ac:dyDescent="0.2">
      <c r="A6566"/>
      <c r="B6566" s="663"/>
      <c r="C6566" s="663"/>
      <c r="D6566" s="663"/>
      <c r="E6566" s="663"/>
    </row>
    <row r="6567" spans="1:5" x14ac:dyDescent="0.2">
      <c r="A6567"/>
      <c r="B6567" s="663"/>
      <c r="C6567" s="663"/>
      <c r="D6567" s="663"/>
      <c r="E6567" s="663"/>
    </row>
    <row r="6568" spans="1:5" x14ac:dyDescent="0.2">
      <c r="A6568"/>
      <c r="B6568" s="663"/>
      <c r="C6568" s="663"/>
      <c r="D6568" s="663"/>
      <c r="E6568" s="663"/>
    </row>
    <row r="6569" spans="1:5" x14ac:dyDescent="0.2">
      <c r="A6569"/>
      <c r="B6569" s="663"/>
      <c r="C6569" s="663"/>
      <c r="D6569" s="663"/>
      <c r="E6569" s="663"/>
    </row>
    <row r="6570" spans="1:5" x14ac:dyDescent="0.2">
      <c r="A6570"/>
      <c r="B6570" s="663"/>
      <c r="C6570" s="663"/>
      <c r="D6570" s="663"/>
      <c r="E6570" s="663"/>
    </row>
    <row r="6571" spans="1:5" x14ac:dyDescent="0.2">
      <c r="A6571"/>
      <c r="B6571" s="663"/>
      <c r="C6571" s="663"/>
      <c r="D6571" s="663"/>
      <c r="E6571" s="663"/>
    </row>
    <row r="6572" spans="1:5" x14ac:dyDescent="0.2">
      <c r="A6572"/>
      <c r="B6572" s="663"/>
      <c r="C6572" s="663"/>
      <c r="D6572" s="663"/>
      <c r="E6572" s="663"/>
    </row>
    <row r="6573" spans="1:5" x14ac:dyDescent="0.2">
      <c r="A6573"/>
      <c r="B6573" s="663"/>
      <c r="C6573" s="663"/>
      <c r="D6573" s="663"/>
      <c r="E6573" s="663"/>
    </row>
    <row r="6574" spans="1:5" x14ac:dyDescent="0.2">
      <c r="A6574"/>
      <c r="B6574" s="663"/>
      <c r="C6574" s="663"/>
      <c r="D6574" s="663"/>
      <c r="E6574" s="663"/>
    </row>
    <row r="6575" spans="1:5" x14ac:dyDescent="0.2">
      <c r="A6575"/>
      <c r="B6575" s="663"/>
      <c r="C6575" s="663"/>
      <c r="D6575" s="663"/>
      <c r="E6575" s="663"/>
    </row>
    <row r="6576" spans="1:5" x14ac:dyDescent="0.2">
      <c r="A6576"/>
      <c r="B6576" s="663"/>
      <c r="C6576" s="663"/>
      <c r="D6576" s="663"/>
      <c r="E6576" s="663"/>
    </row>
    <row r="6577" spans="1:5" x14ac:dyDescent="0.2">
      <c r="A6577"/>
      <c r="B6577" s="663"/>
      <c r="C6577" s="663"/>
      <c r="D6577" s="663"/>
      <c r="E6577" s="663"/>
    </row>
    <row r="6578" spans="1:5" x14ac:dyDescent="0.2">
      <c r="A6578"/>
      <c r="B6578" s="663"/>
      <c r="C6578" s="663"/>
      <c r="D6578" s="663"/>
      <c r="E6578" s="663"/>
    </row>
    <row r="6579" spans="1:5" x14ac:dyDescent="0.2">
      <c r="A6579"/>
      <c r="B6579" s="663"/>
      <c r="C6579" s="663"/>
      <c r="D6579" s="663"/>
      <c r="E6579" s="663"/>
    </row>
    <row r="6580" spans="1:5" x14ac:dyDescent="0.2">
      <c r="A6580"/>
      <c r="B6580" s="663"/>
      <c r="C6580" s="663"/>
      <c r="D6580" s="663"/>
      <c r="E6580" s="663"/>
    </row>
    <row r="6581" spans="1:5" x14ac:dyDescent="0.2">
      <c r="A6581"/>
      <c r="B6581" s="663"/>
      <c r="C6581" s="663"/>
      <c r="D6581" s="663"/>
      <c r="E6581" s="663"/>
    </row>
    <row r="6582" spans="1:5" x14ac:dyDescent="0.2">
      <c r="A6582"/>
      <c r="B6582" s="663"/>
      <c r="C6582" s="663"/>
      <c r="D6582" s="663"/>
      <c r="E6582" s="663"/>
    </row>
    <row r="6583" spans="1:5" x14ac:dyDescent="0.2">
      <c r="A6583"/>
      <c r="B6583" s="663"/>
      <c r="C6583" s="663"/>
      <c r="D6583" s="663"/>
      <c r="E6583" s="663"/>
    </row>
    <row r="6584" spans="1:5" x14ac:dyDescent="0.2">
      <c r="A6584"/>
      <c r="B6584" s="663"/>
      <c r="C6584" s="663"/>
      <c r="D6584" s="663"/>
      <c r="E6584" s="663"/>
    </row>
    <row r="6585" spans="1:5" x14ac:dyDescent="0.2">
      <c r="A6585"/>
      <c r="B6585" s="663"/>
      <c r="C6585" s="663"/>
      <c r="D6585" s="663"/>
      <c r="E6585" s="663"/>
    </row>
    <row r="6586" spans="1:5" x14ac:dyDescent="0.2">
      <c r="A6586"/>
      <c r="B6586" s="663"/>
      <c r="C6586" s="663"/>
      <c r="D6586" s="663"/>
      <c r="E6586" s="663"/>
    </row>
    <row r="6587" spans="1:5" x14ac:dyDescent="0.2">
      <c r="A6587"/>
      <c r="B6587" s="663"/>
      <c r="C6587" s="663"/>
      <c r="D6587" s="663"/>
      <c r="E6587" s="663"/>
    </row>
    <row r="6588" spans="1:5" x14ac:dyDescent="0.2">
      <c r="A6588"/>
      <c r="B6588" s="663"/>
      <c r="C6588" s="663"/>
      <c r="D6588" s="663"/>
      <c r="E6588" s="663"/>
    </row>
    <row r="6589" spans="1:5" x14ac:dyDescent="0.2">
      <c r="A6589"/>
      <c r="B6589" s="663"/>
      <c r="C6589" s="663"/>
      <c r="D6589" s="663"/>
      <c r="E6589" s="663"/>
    </row>
    <row r="6590" spans="1:5" x14ac:dyDescent="0.2">
      <c r="A6590"/>
      <c r="B6590" s="663"/>
      <c r="C6590" s="663"/>
      <c r="D6590" s="663"/>
      <c r="E6590" s="663"/>
    </row>
    <row r="6591" spans="1:5" x14ac:dyDescent="0.2">
      <c r="A6591"/>
      <c r="B6591" s="663"/>
      <c r="C6591" s="663"/>
      <c r="D6591" s="663"/>
      <c r="E6591" s="663"/>
    </row>
    <row r="6592" spans="1:5" x14ac:dyDescent="0.2">
      <c r="A6592"/>
      <c r="B6592" s="663"/>
      <c r="C6592" s="663"/>
      <c r="D6592" s="663"/>
      <c r="E6592" s="663"/>
    </row>
    <row r="6593" spans="1:5" x14ac:dyDescent="0.2">
      <c r="A6593"/>
      <c r="B6593" s="663"/>
      <c r="C6593" s="663"/>
      <c r="D6593" s="663"/>
      <c r="E6593" s="663"/>
    </row>
    <row r="6594" spans="1:5" x14ac:dyDescent="0.2">
      <c r="A6594"/>
      <c r="B6594" s="663"/>
      <c r="C6594" s="663"/>
      <c r="D6594" s="663"/>
      <c r="E6594" s="663"/>
    </row>
    <row r="6595" spans="1:5" x14ac:dyDescent="0.2">
      <c r="A6595"/>
      <c r="B6595" s="663"/>
      <c r="C6595" s="663"/>
      <c r="D6595" s="663"/>
      <c r="E6595" s="663"/>
    </row>
    <row r="6596" spans="1:5" x14ac:dyDescent="0.2">
      <c r="A6596"/>
      <c r="B6596" s="663"/>
      <c r="C6596" s="663"/>
      <c r="D6596" s="663"/>
      <c r="E6596" s="663"/>
    </row>
    <row r="6597" spans="1:5" x14ac:dyDescent="0.2">
      <c r="A6597"/>
      <c r="B6597" s="663"/>
      <c r="C6597" s="663"/>
      <c r="D6597" s="663"/>
      <c r="E6597" s="663"/>
    </row>
    <row r="6598" spans="1:5" x14ac:dyDescent="0.2">
      <c r="A6598"/>
      <c r="B6598" s="663"/>
      <c r="C6598" s="663"/>
      <c r="D6598" s="663"/>
      <c r="E6598" s="663"/>
    </row>
    <row r="6599" spans="1:5" x14ac:dyDescent="0.2">
      <c r="A6599"/>
      <c r="B6599" s="663"/>
      <c r="C6599" s="663"/>
      <c r="D6599" s="663"/>
      <c r="E6599" s="663"/>
    </row>
    <row r="6600" spans="1:5" x14ac:dyDescent="0.2">
      <c r="A6600"/>
      <c r="B6600" s="663"/>
      <c r="C6600" s="663"/>
      <c r="D6600" s="663"/>
      <c r="E6600" s="663"/>
    </row>
    <row r="6601" spans="1:5" x14ac:dyDescent="0.2">
      <c r="A6601"/>
      <c r="B6601" s="663"/>
      <c r="C6601" s="663"/>
      <c r="D6601" s="663"/>
      <c r="E6601" s="663"/>
    </row>
    <row r="6602" spans="1:5" x14ac:dyDescent="0.2">
      <c r="A6602"/>
      <c r="B6602" s="663"/>
      <c r="C6602" s="663"/>
      <c r="D6602" s="663"/>
      <c r="E6602" s="663"/>
    </row>
    <row r="6603" spans="1:5" x14ac:dyDescent="0.2">
      <c r="A6603"/>
      <c r="B6603" s="663"/>
      <c r="C6603" s="663"/>
      <c r="D6603" s="663"/>
      <c r="E6603" s="663"/>
    </row>
    <row r="6604" spans="1:5" x14ac:dyDescent="0.2">
      <c r="A6604"/>
      <c r="B6604" s="663"/>
      <c r="C6604" s="663"/>
      <c r="D6604" s="663"/>
      <c r="E6604" s="663"/>
    </row>
    <row r="6605" spans="1:5" x14ac:dyDescent="0.2">
      <c r="A6605"/>
      <c r="B6605" s="663"/>
      <c r="C6605" s="663"/>
      <c r="D6605" s="663"/>
      <c r="E6605" s="663"/>
    </row>
    <row r="6606" spans="1:5" x14ac:dyDescent="0.2">
      <c r="A6606"/>
      <c r="B6606" s="663"/>
      <c r="C6606" s="663"/>
      <c r="D6606" s="663"/>
      <c r="E6606" s="663"/>
    </row>
    <row r="6607" spans="1:5" x14ac:dyDescent="0.2">
      <c r="A6607"/>
      <c r="B6607" s="663"/>
      <c r="C6607" s="663"/>
      <c r="D6607" s="663"/>
      <c r="E6607" s="663"/>
    </row>
    <row r="6608" spans="1:5" x14ac:dyDescent="0.2">
      <c r="A6608"/>
      <c r="B6608" s="663"/>
      <c r="C6608" s="663"/>
      <c r="D6608" s="663"/>
      <c r="E6608" s="663"/>
    </row>
    <row r="6609" spans="1:5" x14ac:dyDescent="0.2">
      <c r="A6609"/>
      <c r="B6609" s="663"/>
      <c r="C6609" s="663"/>
      <c r="D6609" s="663"/>
      <c r="E6609" s="663"/>
    </row>
    <row r="6610" spans="1:5" x14ac:dyDescent="0.2">
      <c r="A6610"/>
      <c r="B6610" s="663"/>
      <c r="C6610" s="663"/>
      <c r="D6610" s="663"/>
      <c r="E6610" s="663"/>
    </row>
    <row r="6611" spans="1:5" x14ac:dyDescent="0.2">
      <c r="A6611"/>
      <c r="B6611" s="663"/>
      <c r="C6611" s="663"/>
      <c r="D6611" s="663"/>
      <c r="E6611" s="663"/>
    </row>
    <row r="6612" spans="1:5" x14ac:dyDescent="0.2">
      <c r="A6612"/>
      <c r="B6612" s="663"/>
      <c r="C6612" s="663"/>
      <c r="D6612" s="663"/>
      <c r="E6612" s="663"/>
    </row>
    <row r="6613" spans="1:5" x14ac:dyDescent="0.2">
      <c r="A6613"/>
      <c r="B6613" s="663"/>
      <c r="C6613" s="663"/>
      <c r="D6613" s="663"/>
      <c r="E6613" s="663"/>
    </row>
    <row r="6614" spans="1:5" x14ac:dyDescent="0.2">
      <c r="A6614"/>
      <c r="B6614" s="663"/>
      <c r="C6614" s="663"/>
      <c r="D6614" s="663"/>
      <c r="E6614" s="663"/>
    </row>
    <row r="6615" spans="1:5" x14ac:dyDescent="0.2">
      <c r="A6615"/>
      <c r="B6615" s="663"/>
      <c r="C6615" s="663"/>
      <c r="D6615" s="663"/>
      <c r="E6615" s="663"/>
    </row>
    <row r="6616" spans="1:5" x14ac:dyDescent="0.2">
      <c r="A6616"/>
      <c r="B6616" s="663"/>
      <c r="C6616" s="663"/>
      <c r="D6616" s="663"/>
      <c r="E6616" s="663"/>
    </row>
    <row r="6617" spans="1:5" x14ac:dyDescent="0.2">
      <c r="A6617"/>
      <c r="B6617" s="663"/>
      <c r="C6617" s="663"/>
      <c r="D6617" s="663"/>
      <c r="E6617" s="663"/>
    </row>
    <row r="6618" spans="1:5" x14ac:dyDescent="0.2">
      <c r="A6618"/>
      <c r="B6618" s="663"/>
      <c r="C6618" s="663"/>
      <c r="D6618" s="663"/>
      <c r="E6618" s="663"/>
    </row>
    <row r="6619" spans="1:5" x14ac:dyDescent="0.2">
      <c r="A6619"/>
      <c r="B6619" s="663"/>
      <c r="C6619" s="663"/>
      <c r="D6619" s="663"/>
      <c r="E6619" s="663"/>
    </row>
    <row r="6620" spans="1:5" x14ac:dyDescent="0.2">
      <c r="A6620"/>
      <c r="B6620" s="663"/>
      <c r="C6620" s="663"/>
      <c r="D6620" s="663"/>
      <c r="E6620" s="663"/>
    </row>
    <row r="6621" spans="1:5" x14ac:dyDescent="0.2">
      <c r="A6621"/>
      <c r="B6621" s="663"/>
      <c r="C6621" s="663"/>
      <c r="D6621" s="663"/>
      <c r="E6621" s="663"/>
    </row>
    <row r="6622" spans="1:5" x14ac:dyDescent="0.2">
      <c r="A6622"/>
      <c r="B6622" s="663"/>
      <c r="C6622" s="663"/>
      <c r="D6622" s="663"/>
      <c r="E6622" s="663"/>
    </row>
    <row r="6623" spans="1:5" x14ac:dyDescent="0.2">
      <c r="A6623"/>
      <c r="B6623" s="663"/>
      <c r="C6623" s="663"/>
      <c r="D6623" s="663"/>
      <c r="E6623" s="663"/>
    </row>
    <row r="6624" spans="1:5" x14ac:dyDescent="0.2">
      <c r="A6624"/>
      <c r="B6624" s="663"/>
      <c r="C6624" s="663"/>
      <c r="D6624" s="663"/>
      <c r="E6624" s="663"/>
    </row>
    <row r="6625" spans="1:5" x14ac:dyDescent="0.2">
      <c r="A6625"/>
      <c r="B6625" s="663"/>
      <c r="C6625" s="663"/>
      <c r="D6625" s="663"/>
      <c r="E6625" s="663"/>
    </row>
    <row r="6626" spans="1:5" x14ac:dyDescent="0.2">
      <c r="A6626"/>
      <c r="B6626" s="663"/>
      <c r="C6626" s="663"/>
      <c r="D6626" s="663"/>
      <c r="E6626" s="663"/>
    </row>
    <row r="6627" spans="1:5" x14ac:dyDescent="0.2">
      <c r="A6627"/>
      <c r="B6627" s="663"/>
      <c r="C6627" s="663"/>
      <c r="D6627" s="663"/>
      <c r="E6627" s="663"/>
    </row>
    <row r="6628" spans="1:5" x14ac:dyDescent="0.2">
      <c r="A6628"/>
      <c r="B6628" s="663"/>
      <c r="C6628" s="663"/>
      <c r="D6628" s="663"/>
      <c r="E6628" s="663"/>
    </row>
    <row r="6629" spans="1:5" x14ac:dyDescent="0.2">
      <c r="A6629"/>
      <c r="B6629" s="663"/>
      <c r="C6629" s="663"/>
      <c r="D6629" s="663"/>
      <c r="E6629" s="663"/>
    </row>
    <row r="6630" spans="1:5" x14ac:dyDescent="0.2">
      <c r="A6630"/>
      <c r="B6630" s="663"/>
      <c r="C6630" s="663"/>
      <c r="D6630" s="663"/>
      <c r="E6630" s="663"/>
    </row>
    <row r="6631" spans="1:5" x14ac:dyDescent="0.2">
      <c r="A6631"/>
      <c r="B6631" s="663"/>
      <c r="C6631" s="663"/>
      <c r="D6631" s="663"/>
      <c r="E6631" s="663"/>
    </row>
    <row r="6632" spans="1:5" x14ac:dyDescent="0.2">
      <c r="A6632"/>
      <c r="B6632" s="663"/>
      <c r="C6632" s="663"/>
      <c r="D6632" s="663"/>
      <c r="E6632" s="663"/>
    </row>
    <row r="6633" spans="1:5" x14ac:dyDescent="0.2">
      <c r="A6633"/>
      <c r="B6633" s="663"/>
      <c r="C6633" s="663"/>
      <c r="D6633" s="663"/>
      <c r="E6633" s="663"/>
    </row>
    <row r="6634" spans="1:5" x14ac:dyDescent="0.2">
      <c r="A6634"/>
      <c r="B6634" s="663"/>
      <c r="C6634" s="663"/>
      <c r="D6634" s="663"/>
      <c r="E6634" s="663"/>
    </row>
    <row r="6635" spans="1:5" x14ac:dyDescent="0.2">
      <c r="A6635"/>
      <c r="B6635" s="663"/>
      <c r="C6635" s="663"/>
      <c r="D6635" s="663"/>
      <c r="E6635" s="663"/>
    </row>
    <row r="6636" spans="1:5" x14ac:dyDescent="0.2">
      <c r="A6636"/>
      <c r="B6636" s="663"/>
      <c r="C6636" s="663"/>
      <c r="D6636" s="663"/>
      <c r="E6636" s="663"/>
    </row>
    <row r="6637" spans="1:5" x14ac:dyDescent="0.2">
      <c r="A6637"/>
      <c r="B6637" s="663"/>
      <c r="C6637" s="663"/>
      <c r="D6637" s="663"/>
      <c r="E6637" s="663"/>
    </row>
    <row r="6638" spans="1:5" x14ac:dyDescent="0.2">
      <c r="A6638"/>
      <c r="B6638" s="663"/>
      <c r="C6638" s="663"/>
      <c r="D6638" s="663"/>
      <c r="E6638" s="663"/>
    </row>
    <row r="6639" spans="1:5" x14ac:dyDescent="0.2">
      <c r="A6639"/>
      <c r="B6639" s="663"/>
      <c r="C6639" s="663"/>
      <c r="D6639" s="663"/>
      <c r="E6639" s="663"/>
    </row>
    <row r="6640" spans="1:5" x14ac:dyDescent="0.2">
      <c r="A6640"/>
      <c r="B6640" s="663"/>
      <c r="C6640" s="663"/>
      <c r="D6640" s="663"/>
      <c r="E6640" s="663"/>
    </row>
    <row r="6641" spans="1:5" x14ac:dyDescent="0.2">
      <c r="A6641"/>
      <c r="B6641" s="663"/>
      <c r="C6641" s="663"/>
      <c r="D6641" s="663"/>
      <c r="E6641" s="663"/>
    </row>
    <row r="6642" spans="1:5" x14ac:dyDescent="0.2">
      <c r="A6642"/>
      <c r="B6642" s="663"/>
      <c r="C6642" s="663"/>
      <c r="D6642" s="663"/>
      <c r="E6642" s="663"/>
    </row>
    <row r="6643" spans="1:5" x14ac:dyDescent="0.2">
      <c r="A6643"/>
      <c r="B6643" s="663"/>
      <c r="C6643" s="663"/>
      <c r="D6643" s="663"/>
      <c r="E6643" s="663"/>
    </row>
    <row r="6644" spans="1:5" x14ac:dyDescent="0.2">
      <c r="A6644"/>
      <c r="B6644" s="663"/>
      <c r="C6644" s="663"/>
      <c r="D6644" s="663"/>
      <c r="E6644" s="663"/>
    </row>
    <row r="6645" spans="1:5" x14ac:dyDescent="0.2">
      <c r="A6645"/>
      <c r="B6645" s="663"/>
      <c r="C6645" s="663"/>
      <c r="D6645" s="663"/>
      <c r="E6645" s="663"/>
    </row>
    <row r="6646" spans="1:5" x14ac:dyDescent="0.2">
      <c r="A6646"/>
      <c r="B6646" s="663"/>
      <c r="C6646" s="663"/>
      <c r="D6646" s="663"/>
      <c r="E6646" s="663"/>
    </row>
    <row r="6647" spans="1:5" x14ac:dyDescent="0.2">
      <c r="A6647"/>
      <c r="B6647" s="663"/>
      <c r="C6647" s="663"/>
      <c r="D6647" s="663"/>
      <c r="E6647" s="663"/>
    </row>
    <row r="6648" spans="1:5" x14ac:dyDescent="0.2">
      <c r="A6648"/>
      <c r="B6648" s="663"/>
      <c r="C6648" s="663"/>
      <c r="D6648" s="663"/>
      <c r="E6648" s="663"/>
    </row>
    <row r="6649" spans="1:5" x14ac:dyDescent="0.2">
      <c r="A6649"/>
      <c r="B6649" s="663"/>
      <c r="C6649" s="663"/>
      <c r="D6649" s="663"/>
      <c r="E6649" s="663"/>
    </row>
    <row r="6650" spans="1:5" x14ac:dyDescent="0.2">
      <c r="A6650"/>
      <c r="B6650" s="663"/>
      <c r="C6650" s="663"/>
      <c r="D6650" s="663"/>
      <c r="E6650" s="663"/>
    </row>
    <row r="6651" spans="1:5" x14ac:dyDescent="0.2">
      <c r="A6651"/>
      <c r="B6651" s="663"/>
      <c r="C6651" s="663"/>
      <c r="D6651" s="663"/>
      <c r="E6651" s="663"/>
    </row>
    <row r="6652" spans="1:5" x14ac:dyDescent="0.2">
      <c r="A6652"/>
      <c r="B6652" s="663"/>
      <c r="C6652" s="663"/>
      <c r="D6652" s="663"/>
      <c r="E6652" s="663"/>
    </row>
    <row r="6653" spans="1:5" x14ac:dyDescent="0.2">
      <c r="A6653"/>
      <c r="B6653" s="663"/>
      <c r="C6653" s="663"/>
      <c r="D6653" s="663"/>
      <c r="E6653" s="663"/>
    </row>
    <row r="6654" spans="1:5" x14ac:dyDescent="0.2">
      <c r="A6654"/>
      <c r="B6654" s="663"/>
      <c r="C6654" s="663"/>
      <c r="D6654" s="663"/>
      <c r="E6654" s="663"/>
    </row>
    <row r="6655" spans="1:5" x14ac:dyDescent="0.2">
      <c r="A6655"/>
      <c r="B6655" s="663"/>
      <c r="C6655" s="663"/>
      <c r="D6655" s="663"/>
      <c r="E6655" s="663"/>
    </row>
    <row r="6656" spans="1:5" x14ac:dyDescent="0.2">
      <c r="A6656"/>
      <c r="B6656" s="663"/>
      <c r="C6656" s="663"/>
      <c r="D6656" s="663"/>
      <c r="E6656" s="663"/>
    </row>
    <row r="6657" spans="1:5" x14ac:dyDescent="0.2">
      <c r="A6657"/>
      <c r="B6657" s="663"/>
      <c r="C6657" s="663"/>
      <c r="D6657" s="663"/>
      <c r="E6657" s="663"/>
    </row>
    <row r="6658" spans="1:5" x14ac:dyDescent="0.2">
      <c r="A6658"/>
      <c r="B6658" s="663"/>
      <c r="C6658" s="663"/>
      <c r="D6658" s="663"/>
      <c r="E6658" s="663"/>
    </row>
    <row r="6659" spans="1:5" x14ac:dyDescent="0.2">
      <c r="A6659"/>
      <c r="B6659" s="663"/>
      <c r="C6659" s="663"/>
      <c r="D6659" s="663"/>
      <c r="E6659" s="663"/>
    </row>
    <row r="6660" spans="1:5" x14ac:dyDescent="0.2">
      <c r="A6660"/>
      <c r="B6660" s="663"/>
      <c r="C6660" s="663"/>
      <c r="D6660" s="663"/>
      <c r="E6660" s="663"/>
    </row>
    <row r="6661" spans="1:5" x14ac:dyDescent="0.2">
      <c r="A6661"/>
      <c r="B6661" s="663"/>
      <c r="C6661" s="663"/>
      <c r="D6661" s="663"/>
      <c r="E6661" s="663"/>
    </row>
    <row r="6662" spans="1:5" x14ac:dyDescent="0.2">
      <c r="A6662"/>
      <c r="B6662" s="663"/>
      <c r="C6662" s="663"/>
      <c r="D6662" s="663"/>
      <c r="E6662" s="663"/>
    </row>
    <row r="6663" spans="1:5" x14ac:dyDescent="0.2">
      <c r="A6663"/>
      <c r="B6663" s="663"/>
      <c r="C6663" s="663"/>
      <c r="D6663" s="663"/>
      <c r="E6663" s="663"/>
    </row>
    <row r="6664" spans="1:5" x14ac:dyDescent="0.2">
      <c r="A6664"/>
      <c r="B6664" s="663"/>
      <c r="C6664" s="663"/>
      <c r="D6664" s="663"/>
      <c r="E6664" s="663"/>
    </row>
    <row r="6665" spans="1:5" x14ac:dyDescent="0.2">
      <c r="A6665"/>
      <c r="B6665" s="663"/>
      <c r="C6665" s="663"/>
      <c r="D6665" s="663"/>
      <c r="E6665" s="663"/>
    </row>
    <row r="6666" spans="1:5" x14ac:dyDescent="0.2">
      <c r="A6666"/>
      <c r="B6666" s="663"/>
      <c r="C6666" s="663"/>
      <c r="D6666" s="663"/>
      <c r="E6666" s="663"/>
    </row>
    <row r="6667" spans="1:5" x14ac:dyDescent="0.2">
      <c r="A6667"/>
      <c r="B6667" s="663"/>
      <c r="C6667" s="663"/>
      <c r="D6667" s="663"/>
      <c r="E6667" s="663"/>
    </row>
    <row r="6668" spans="1:5" x14ac:dyDescent="0.2">
      <c r="A6668"/>
      <c r="B6668" s="663"/>
      <c r="C6668" s="663"/>
      <c r="D6668" s="663"/>
      <c r="E6668" s="663"/>
    </row>
    <row r="6669" spans="1:5" x14ac:dyDescent="0.2">
      <c r="A6669"/>
      <c r="B6669" s="663"/>
      <c r="C6669" s="663"/>
      <c r="D6669" s="663"/>
      <c r="E6669" s="663"/>
    </row>
    <row r="6670" spans="1:5" x14ac:dyDescent="0.2">
      <c r="A6670"/>
      <c r="B6670" s="663"/>
      <c r="C6670" s="663"/>
      <c r="D6670" s="663"/>
      <c r="E6670" s="663"/>
    </row>
    <row r="6671" spans="1:5" x14ac:dyDescent="0.2">
      <c r="A6671"/>
      <c r="B6671" s="663"/>
      <c r="C6671" s="663"/>
      <c r="D6671" s="663"/>
      <c r="E6671" s="663"/>
    </row>
    <row r="6672" spans="1:5" x14ac:dyDescent="0.2">
      <c r="A6672"/>
      <c r="B6672" s="663"/>
      <c r="C6672" s="663"/>
      <c r="D6672" s="663"/>
      <c r="E6672" s="663"/>
    </row>
    <row r="6673" spans="1:5" x14ac:dyDescent="0.2">
      <c r="A6673"/>
      <c r="B6673" s="663"/>
      <c r="C6673" s="663"/>
      <c r="D6673" s="663"/>
      <c r="E6673" s="663"/>
    </row>
    <row r="6674" spans="1:5" x14ac:dyDescent="0.2">
      <c r="A6674"/>
      <c r="B6674" s="663"/>
      <c r="C6674" s="663"/>
      <c r="D6674" s="663"/>
      <c r="E6674" s="663"/>
    </row>
    <row r="6675" spans="1:5" x14ac:dyDescent="0.2">
      <c r="A6675"/>
      <c r="B6675" s="663"/>
      <c r="C6675" s="663"/>
      <c r="D6675" s="663"/>
      <c r="E6675" s="663"/>
    </row>
    <row r="6676" spans="1:5" x14ac:dyDescent="0.2">
      <c r="A6676"/>
      <c r="B6676" s="663"/>
      <c r="C6676" s="663"/>
      <c r="D6676" s="663"/>
      <c r="E6676" s="663"/>
    </row>
    <row r="6677" spans="1:5" x14ac:dyDescent="0.2">
      <c r="A6677"/>
      <c r="B6677" s="663"/>
      <c r="C6677" s="663"/>
      <c r="D6677" s="663"/>
      <c r="E6677" s="663"/>
    </row>
    <row r="6678" spans="1:5" x14ac:dyDescent="0.2">
      <c r="A6678"/>
      <c r="B6678" s="663"/>
      <c r="C6678" s="663"/>
      <c r="D6678" s="663"/>
      <c r="E6678" s="663"/>
    </row>
    <row r="6679" spans="1:5" x14ac:dyDescent="0.2">
      <c r="A6679"/>
      <c r="B6679" s="663"/>
      <c r="C6679" s="663"/>
      <c r="D6679" s="663"/>
      <c r="E6679" s="663"/>
    </row>
    <row r="6680" spans="1:5" x14ac:dyDescent="0.2">
      <c r="A6680"/>
      <c r="B6680" s="663"/>
      <c r="C6680" s="663"/>
      <c r="D6680" s="663"/>
      <c r="E6680" s="663"/>
    </row>
    <row r="6681" spans="1:5" x14ac:dyDescent="0.2">
      <c r="A6681"/>
      <c r="B6681" s="663"/>
      <c r="C6681" s="663"/>
      <c r="D6681" s="663"/>
      <c r="E6681" s="663"/>
    </row>
    <row r="6682" spans="1:5" x14ac:dyDescent="0.2">
      <c r="A6682"/>
      <c r="B6682" s="663"/>
      <c r="C6682" s="663"/>
      <c r="D6682" s="663"/>
      <c r="E6682" s="663"/>
    </row>
    <row r="6683" spans="1:5" x14ac:dyDescent="0.2">
      <c r="A6683"/>
      <c r="B6683" s="663"/>
      <c r="C6683" s="663"/>
      <c r="D6683" s="663"/>
      <c r="E6683" s="663"/>
    </row>
    <row r="6684" spans="1:5" x14ac:dyDescent="0.2">
      <c r="A6684"/>
      <c r="B6684" s="663"/>
      <c r="C6684" s="663"/>
      <c r="D6684" s="663"/>
      <c r="E6684" s="663"/>
    </row>
    <row r="6685" spans="1:5" x14ac:dyDescent="0.2">
      <c r="A6685"/>
      <c r="B6685" s="663"/>
      <c r="C6685" s="663"/>
      <c r="D6685" s="663"/>
      <c r="E6685" s="663"/>
    </row>
    <row r="6686" spans="1:5" x14ac:dyDescent="0.2">
      <c r="A6686"/>
      <c r="B6686" s="663"/>
      <c r="C6686" s="663"/>
      <c r="D6686" s="663"/>
      <c r="E6686" s="663"/>
    </row>
    <row r="6687" spans="1:5" x14ac:dyDescent="0.2">
      <c r="A6687"/>
      <c r="B6687" s="663"/>
      <c r="C6687" s="663"/>
      <c r="D6687" s="663"/>
      <c r="E6687" s="663"/>
    </row>
    <row r="6688" spans="1:5" x14ac:dyDescent="0.2">
      <c r="A6688"/>
      <c r="B6688" s="663"/>
      <c r="C6688" s="663"/>
      <c r="D6688" s="663"/>
      <c r="E6688" s="663"/>
    </row>
    <row r="6689" spans="1:5" x14ac:dyDescent="0.2">
      <c r="A6689"/>
      <c r="B6689" s="663"/>
      <c r="C6689" s="663"/>
      <c r="D6689" s="663"/>
      <c r="E6689" s="663"/>
    </row>
    <row r="6690" spans="1:5" x14ac:dyDescent="0.2">
      <c r="A6690"/>
      <c r="B6690" s="663"/>
      <c r="C6690" s="663"/>
      <c r="D6690" s="663"/>
      <c r="E6690" s="663"/>
    </row>
    <row r="6691" spans="1:5" x14ac:dyDescent="0.2">
      <c r="A6691"/>
      <c r="B6691" s="663"/>
      <c r="C6691" s="663"/>
      <c r="D6691" s="663"/>
      <c r="E6691" s="663"/>
    </row>
    <row r="6692" spans="1:5" x14ac:dyDescent="0.2">
      <c r="A6692"/>
      <c r="B6692" s="663"/>
      <c r="C6692" s="663"/>
      <c r="D6692" s="663"/>
      <c r="E6692" s="663"/>
    </row>
    <row r="6693" spans="1:5" x14ac:dyDescent="0.2">
      <c r="A6693"/>
      <c r="B6693" s="663"/>
      <c r="C6693" s="663"/>
      <c r="D6693" s="663"/>
      <c r="E6693" s="663"/>
    </row>
    <row r="6694" spans="1:5" x14ac:dyDescent="0.2">
      <c r="A6694"/>
      <c r="B6694" s="663"/>
      <c r="C6694" s="663"/>
      <c r="D6694" s="663"/>
      <c r="E6694" s="663"/>
    </row>
    <row r="6695" spans="1:5" x14ac:dyDescent="0.2">
      <c r="A6695"/>
      <c r="B6695" s="663"/>
      <c r="C6695" s="663"/>
      <c r="D6695" s="663"/>
      <c r="E6695" s="663"/>
    </row>
    <row r="6696" spans="1:5" x14ac:dyDescent="0.2">
      <c r="A6696"/>
      <c r="B6696" s="663"/>
      <c r="C6696" s="663"/>
      <c r="D6696" s="663"/>
      <c r="E6696" s="663"/>
    </row>
    <row r="6697" spans="1:5" x14ac:dyDescent="0.2">
      <c r="A6697"/>
      <c r="B6697" s="663"/>
      <c r="C6697" s="663"/>
      <c r="D6697" s="663"/>
      <c r="E6697" s="663"/>
    </row>
    <row r="6698" spans="1:5" x14ac:dyDescent="0.2">
      <c r="A6698"/>
      <c r="B6698" s="663"/>
      <c r="C6698" s="663"/>
      <c r="D6698" s="663"/>
      <c r="E6698" s="663"/>
    </row>
    <row r="6699" spans="1:5" x14ac:dyDescent="0.2">
      <c r="A6699"/>
      <c r="B6699" s="663"/>
      <c r="C6699" s="663"/>
      <c r="D6699" s="663"/>
      <c r="E6699" s="663"/>
    </row>
    <row r="6700" spans="1:5" x14ac:dyDescent="0.2">
      <c r="A6700"/>
      <c r="B6700" s="663"/>
      <c r="C6700" s="663"/>
      <c r="D6700" s="663"/>
      <c r="E6700" s="663"/>
    </row>
    <row r="6701" spans="1:5" x14ac:dyDescent="0.2">
      <c r="A6701"/>
      <c r="B6701" s="663"/>
      <c r="C6701" s="663"/>
      <c r="D6701" s="663"/>
      <c r="E6701" s="663"/>
    </row>
    <row r="6702" spans="1:5" x14ac:dyDescent="0.2">
      <c r="A6702"/>
      <c r="B6702" s="663"/>
      <c r="C6702" s="663"/>
      <c r="D6702" s="663"/>
      <c r="E6702" s="663"/>
    </row>
    <row r="6703" spans="1:5" x14ac:dyDescent="0.2">
      <c r="A6703"/>
      <c r="B6703" s="663"/>
      <c r="C6703" s="663"/>
      <c r="D6703" s="663"/>
      <c r="E6703" s="663"/>
    </row>
    <row r="6704" spans="1:5" x14ac:dyDescent="0.2">
      <c r="A6704"/>
      <c r="B6704" s="663"/>
      <c r="C6704" s="663"/>
      <c r="D6704" s="663"/>
      <c r="E6704" s="663"/>
    </row>
    <row r="6705" spans="1:5" x14ac:dyDescent="0.2">
      <c r="A6705"/>
      <c r="B6705" s="663"/>
      <c r="C6705" s="663"/>
      <c r="D6705" s="663"/>
      <c r="E6705" s="663"/>
    </row>
    <row r="6706" spans="1:5" x14ac:dyDescent="0.2">
      <c r="A6706"/>
      <c r="B6706" s="663"/>
      <c r="C6706" s="663"/>
      <c r="D6706" s="663"/>
      <c r="E6706" s="663"/>
    </row>
    <row r="6707" spans="1:5" x14ac:dyDescent="0.2">
      <c r="A6707"/>
      <c r="B6707" s="663"/>
      <c r="C6707" s="663"/>
      <c r="D6707" s="663"/>
      <c r="E6707" s="663"/>
    </row>
    <row r="6708" spans="1:5" x14ac:dyDescent="0.2">
      <c r="A6708"/>
      <c r="B6708" s="663"/>
      <c r="C6708" s="663"/>
      <c r="D6708" s="663"/>
      <c r="E6708" s="663"/>
    </row>
    <row r="6709" spans="1:5" x14ac:dyDescent="0.2">
      <c r="A6709"/>
      <c r="B6709" s="663"/>
      <c r="C6709" s="663"/>
      <c r="D6709" s="663"/>
      <c r="E6709" s="663"/>
    </row>
    <row r="6710" spans="1:5" x14ac:dyDescent="0.2">
      <c r="A6710"/>
      <c r="B6710" s="663"/>
      <c r="C6710" s="663"/>
      <c r="D6710" s="663"/>
      <c r="E6710" s="663"/>
    </row>
    <row r="6711" spans="1:5" x14ac:dyDescent="0.2">
      <c r="A6711"/>
      <c r="B6711" s="663"/>
      <c r="C6711" s="663"/>
      <c r="D6711" s="663"/>
      <c r="E6711" s="663"/>
    </row>
    <row r="6712" spans="1:5" x14ac:dyDescent="0.2">
      <c r="A6712"/>
      <c r="B6712" s="663"/>
      <c r="C6712" s="663"/>
      <c r="D6712" s="663"/>
      <c r="E6712" s="663"/>
    </row>
    <row r="6713" spans="1:5" x14ac:dyDescent="0.2">
      <c r="A6713"/>
      <c r="B6713" s="663"/>
      <c r="C6713" s="663"/>
      <c r="D6713" s="663"/>
      <c r="E6713" s="663"/>
    </row>
    <row r="6714" spans="1:5" x14ac:dyDescent="0.2">
      <c r="A6714"/>
      <c r="B6714" s="663"/>
      <c r="C6714" s="663"/>
      <c r="D6714" s="663"/>
      <c r="E6714" s="663"/>
    </row>
    <row r="6715" spans="1:5" x14ac:dyDescent="0.2">
      <c r="A6715"/>
      <c r="B6715" s="663"/>
      <c r="C6715" s="663"/>
      <c r="D6715" s="663"/>
      <c r="E6715" s="663"/>
    </row>
    <row r="6716" spans="1:5" x14ac:dyDescent="0.2">
      <c r="A6716"/>
      <c r="B6716" s="663"/>
      <c r="C6716" s="663"/>
      <c r="D6716" s="663"/>
      <c r="E6716" s="663"/>
    </row>
    <row r="6717" spans="1:5" x14ac:dyDescent="0.2">
      <c r="A6717"/>
      <c r="B6717" s="663"/>
      <c r="C6717" s="663"/>
      <c r="D6717" s="663"/>
      <c r="E6717" s="663"/>
    </row>
    <row r="6718" spans="1:5" x14ac:dyDescent="0.2">
      <c r="A6718"/>
      <c r="B6718" s="663"/>
      <c r="C6718" s="663"/>
      <c r="D6718" s="663"/>
      <c r="E6718" s="663"/>
    </row>
    <row r="6719" spans="1:5" x14ac:dyDescent="0.2">
      <c r="A6719"/>
      <c r="B6719" s="663"/>
      <c r="C6719" s="663"/>
      <c r="D6719" s="663"/>
      <c r="E6719" s="663"/>
    </row>
    <row r="6720" spans="1:5" x14ac:dyDescent="0.2">
      <c r="A6720"/>
      <c r="B6720" s="663"/>
      <c r="C6720" s="663"/>
      <c r="D6720" s="663"/>
      <c r="E6720" s="663"/>
    </row>
    <row r="6721" spans="1:5" x14ac:dyDescent="0.2">
      <c r="A6721"/>
      <c r="B6721" s="663"/>
      <c r="C6721" s="663"/>
      <c r="D6721" s="663"/>
      <c r="E6721" s="663"/>
    </row>
    <row r="6722" spans="1:5" x14ac:dyDescent="0.2">
      <c r="A6722"/>
      <c r="B6722" s="663"/>
      <c r="C6722" s="663"/>
      <c r="D6722" s="663"/>
      <c r="E6722" s="663"/>
    </row>
    <row r="6723" spans="1:5" x14ac:dyDescent="0.2">
      <c r="A6723"/>
      <c r="B6723" s="663"/>
      <c r="C6723" s="663"/>
      <c r="D6723" s="663"/>
      <c r="E6723" s="663"/>
    </row>
    <row r="6724" spans="1:5" x14ac:dyDescent="0.2">
      <c r="A6724"/>
      <c r="B6724" s="663"/>
      <c r="C6724" s="663"/>
      <c r="D6724" s="663"/>
      <c r="E6724" s="663"/>
    </row>
    <row r="6725" spans="1:5" x14ac:dyDescent="0.2">
      <c r="A6725"/>
      <c r="B6725" s="663"/>
      <c r="C6725" s="663"/>
      <c r="D6725" s="663"/>
      <c r="E6725" s="663"/>
    </row>
    <row r="6726" spans="1:5" x14ac:dyDescent="0.2">
      <c r="A6726"/>
      <c r="B6726" s="663"/>
      <c r="C6726" s="663"/>
      <c r="D6726" s="663"/>
      <c r="E6726" s="663"/>
    </row>
    <row r="6727" spans="1:5" x14ac:dyDescent="0.2">
      <c r="A6727"/>
      <c r="B6727" s="663"/>
      <c r="C6727" s="663"/>
      <c r="D6727" s="663"/>
      <c r="E6727" s="663"/>
    </row>
    <row r="6728" spans="1:5" x14ac:dyDescent="0.2">
      <c r="A6728"/>
      <c r="B6728" s="663"/>
      <c r="C6728" s="663"/>
      <c r="D6728" s="663"/>
      <c r="E6728" s="663"/>
    </row>
    <row r="6729" spans="1:5" x14ac:dyDescent="0.2">
      <c r="A6729"/>
      <c r="B6729" s="663"/>
      <c r="C6729" s="663"/>
      <c r="D6729" s="663"/>
      <c r="E6729" s="663"/>
    </row>
    <row r="6730" spans="1:5" x14ac:dyDescent="0.2">
      <c r="A6730"/>
      <c r="B6730" s="663"/>
      <c r="C6730" s="663"/>
      <c r="D6730" s="663"/>
      <c r="E6730" s="663"/>
    </row>
    <row r="6731" spans="1:5" x14ac:dyDescent="0.2">
      <c r="A6731"/>
      <c r="B6731" s="663"/>
      <c r="C6731" s="663"/>
      <c r="D6731" s="663"/>
      <c r="E6731" s="663"/>
    </row>
    <row r="6732" spans="1:5" x14ac:dyDescent="0.2">
      <c r="A6732"/>
      <c r="B6732" s="663"/>
      <c r="C6732" s="663"/>
      <c r="D6732" s="663"/>
      <c r="E6732" s="663"/>
    </row>
    <row r="6733" spans="1:5" x14ac:dyDescent="0.2">
      <c r="A6733"/>
      <c r="B6733" s="663"/>
      <c r="C6733" s="663"/>
      <c r="D6733" s="663"/>
      <c r="E6733" s="663"/>
    </row>
    <row r="6734" spans="1:5" x14ac:dyDescent="0.2">
      <c r="A6734"/>
      <c r="B6734" s="663"/>
      <c r="C6734" s="663"/>
      <c r="D6734" s="663"/>
      <c r="E6734" s="663"/>
    </row>
    <row r="6735" spans="1:5" x14ac:dyDescent="0.2">
      <c r="A6735"/>
      <c r="B6735" s="663"/>
      <c r="C6735" s="663"/>
      <c r="D6735" s="663"/>
      <c r="E6735" s="663"/>
    </row>
    <row r="6736" spans="1:5" x14ac:dyDescent="0.2">
      <c r="A6736"/>
      <c r="B6736" s="663"/>
      <c r="C6736" s="663"/>
      <c r="D6736" s="663"/>
      <c r="E6736" s="663"/>
    </row>
    <row r="6737" spans="1:5" x14ac:dyDescent="0.2">
      <c r="A6737"/>
      <c r="B6737" s="663"/>
      <c r="C6737" s="663"/>
      <c r="D6737" s="663"/>
      <c r="E6737" s="663"/>
    </row>
    <row r="6738" spans="1:5" x14ac:dyDescent="0.2">
      <c r="A6738"/>
      <c r="B6738" s="663"/>
      <c r="C6738" s="663"/>
      <c r="D6738" s="663"/>
      <c r="E6738" s="663"/>
    </row>
    <row r="6739" spans="1:5" x14ac:dyDescent="0.2">
      <c r="A6739"/>
      <c r="B6739" s="663"/>
      <c r="C6739" s="663"/>
      <c r="D6739" s="663"/>
      <c r="E6739" s="663"/>
    </row>
    <row r="6740" spans="1:5" x14ac:dyDescent="0.2">
      <c r="A6740"/>
      <c r="B6740" s="663"/>
      <c r="C6740" s="663"/>
      <c r="D6740" s="663"/>
      <c r="E6740" s="663"/>
    </row>
    <row r="6741" spans="1:5" x14ac:dyDescent="0.2">
      <c r="A6741"/>
      <c r="B6741" s="663"/>
      <c r="C6741" s="663"/>
      <c r="D6741" s="663"/>
      <c r="E6741" s="663"/>
    </row>
    <row r="6742" spans="1:5" x14ac:dyDescent="0.2">
      <c r="A6742"/>
      <c r="B6742" s="663"/>
      <c r="C6742" s="663"/>
      <c r="D6742" s="663"/>
      <c r="E6742" s="663"/>
    </row>
    <row r="6743" spans="1:5" x14ac:dyDescent="0.2">
      <c r="A6743"/>
      <c r="B6743" s="663"/>
      <c r="C6743" s="663"/>
      <c r="D6743" s="663"/>
      <c r="E6743" s="663"/>
    </row>
    <row r="6744" spans="1:5" x14ac:dyDescent="0.2">
      <c r="A6744"/>
      <c r="B6744" s="663"/>
      <c r="C6744" s="663"/>
      <c r="D6744" s="663"/>
      <c r="E6744" s="663"/>
    </row>
    <row r="6745" spans="1:5" x14ac:dyDescent="0.2">
      <c r="A6745"/>
      <c r="B6745" s="663"/>
      <c r="C6745" s="663"/>
      <c r="D6745" s="663"/>
      <c r="E6745" s="663"/>
    </row>
    <row r="6746" spans="1:5" x14ac:dyDescent="0.2">
      <c r="A6746"/>
      <c r="B6746" s="663"/>
      <c r="C6746" s="663"/>
      <c r="D6746" s="663"/>
      <c r="E6746" s="663"/>
    </row>
    <row r="6747" spans="1:5" x14ac:dyDescent="0.2">
      <c r="A6747"/>
      <c r="B6747" s="663"/>
      <c r="C6747" s="663"/>
      <c r="D6747" s="663"/>
      <c r="E6747" s="663"/>
    </row>
    <row r="6748" spans="1:5" x14ac:dyDescent="0.2">
      <c r="A6748"/>
      <c r="B6748" s="663"/>
      <c r="C6748" s="663"/>
      <c r="D6748" s="663"/>
      <c r="E6748" s="663"/>
    </row>
    <row r="6749" spans="1:5" x14ac:dyDescent="0.2">
      <c r="A6749"/>
      <c r="B6749" s="663"/>
      <c r="C6749" s="663"/>
      <c r="D6749" s="663"/>
      <c r="E6749" s="663"/>
    </row>
    <row r="6750" spans="1:5" x14ac:dyDescent="0.2">
      <c r="A6750"/>
      <c r="B6750" s="663"/>
      <c r="C6750" s="663"/>
      <c r="D6750" s="663"/>
      <c r="E6750" s="663"/>
    </row>
    <row r="6751" spans="1:5" x14ac:dyDescent="0.2">
      <c r="A6751"/>
      <c r="B6751" s="663"/>
      <c r="C6751" s="663"/>
      <c r="D6751" s="663"/>
      <c r="E6751" s="663"/>
    </row>
    <row r="6752" spans="1:5" x14ac:dyDescent="0.2">
      <c r="A6752"/>
      <c r="B6752" s="663"/>
      <c r="C6752" s="663"/>
      <c r="D6752" s="663"/>
      <c r="E6752" s="663"/>
    </row>
    <row r="6753" spans="1:5" x14ac:dyDescent="0.2">
      <c r="A6753"/>
      <c r="B6753" s="663"/>
      <c r="C6753" s="663"/>
      <c r="D6753" s="663"/>
      <c r="E6753" s="663"/>
    </row>
    <row r="6754" spans="1:5" x14ac:dyDescent="0.2">
      <c r="A6754"/>
      <c r="B6754" s="663"/>
      <c r="C6754" s="663"/>
      <c r="D6754" s="663"/>
      <c r="E6754" s="663"/>
    </row>
    <row r="6755" spans="1:5" x14ac:dyDescent="0.2">
      <c r="A6755"/>
      <c r="B6755" s="663"/>
      <c r="C6755" s="663"/>
      <c r="D6755" s="663"/>
      <c r="E6755" s="663"/>
    </row>
    <row r="6756" spans="1:5" x14ac:dyDescent="0.2">
      <c r="A6756"/>
      <c r="B6756" s="663"/>
      <c r="C6756" s="663"/>
      <c r="D6756" s="663"/>
      <c r="E6756" s="663"/>
    </row>
    <row r="6757" spans="1:5" x14ac:dyDescent="0.2">
      <c r="A6757"/>
      <c r="B6757" s="663"/>
      <c r="C6757" s="663"/>
      <c r="D6757" s="663"/>
      <c r="E6757" s="663"/>
    </row>
    <row r="6758" spans="1:5" x14ac:dyDescent="0.2">
      <c r="A6758"/>
      <c r="B6758" s="663"/>
      <c r="C6758" s="663"/>
      <c r="D6758" s="663"/>
      <c r="E6758" s="663"/>
    </row>
    <row r="6759" spans="1:5" x14ac:dyDescent="0.2">
      <c r="A6759"/>
      <c r="B6759" s="663"/>
      <c r="C6759" s="663"/>
      <c r="D6759" s="663"/>
      <c r="E6759" s="663"/>
    </row>
    <row r="6760" spans="1:5" x14ac:dyDescent="0.2">
      <c r="A6760"/>
      <c r="B6760" s="663"/>
      <c r="C6760" s="663"/>
      <c r="D6760" s="663"/>
      <c r="E6760" s="663"/>
    </row>
    <row r="6761" spans="1:5" x14ac:dyDescent="0.2">
      <c r="A6761"/>
      <c r="B6761" s="663"/>
      <c r="C6761" s="663"/>
      <c r="D6761" s="663"/>
      <c r="E6761" s="663"/>
    </row>
    <row r="6762" spans="1:5" x14ac:dyDescent="0.2">
      <c r="A6762"/>
      <c r="B6762" s="663"/>
      <c r="C6762" s="663"/>
      <c r="D6762" s="663"/>
      <c r="E6762" s="663"/>
    </row>
    <row r="6763" spans="1:5" x14ac:dyDescent="0.2">
      <c r="A6763"/>
      <c r="B6763" s="663"/>
      <c r="C6763" s="663"/>
      <c r="D6763" s="663"/>
      <c r="E6763" s="663"/>
    </row>
    <row r="6764" spans="1:5" x14ac:dyDescent="0.2">
      <c r="A6764"/>
      <c r="B6764" s="663"/>
      <c r="C6764" s="663"/>
      <c r="D6764" s="663"/>
      <c r="E6764" s="663"/>
    </row>
    <row r="6765" spans="1:5" x14ac:dyDescent="0.2">
      <c r="A6765"/>
      <c r="B6765" s="663"/>
      <c r="C6765" s="663"/>
      <c r="D6765" s="663"/>
      <c r="E6765" s="663"/>
    </row>
    <row r="6766" spans="1:5" x14ac:dyDescent="0.2">
      <c r="A6766"/>
      <c r="B6766" s="663"/>
      <c r="C6766" s="663"/>
      <c r="D6766" s="663"/>
      <c r="E6766" s="663"/>
    </row>
    <row r="6767" spans="1:5" x14ac:dyDescent="0.2">
      <c r="A6767"/>
      <c r="B6767" s="663"/>
      <c r="C6767" s="663"/>
      <c r="D6767" s="663"/>
      <c r="E6767" s="663"/>
    </row>
    <row r="6768" spans="1:5" x14ac:dyDescent="0.2">
      <c r="A6768"/>
      <c r="B6768" s="663"/>
      <c r="C6768" s="663"/>
      <c r="D6768" s="663"/>
      <c r="E6768" s="663"/>
    </row>
    <row r="6769" spans="1:5" x14ac:dyDescent="0.2">
      <c r="A6769"/>
      <c r="B6769" s="663"/>
      <c r="C6769" s="663"/>
      <c r="D6769" s="663"/>
      <c r="E6769" s="663"/>
    </row>
    <row r="6770" spans="1:5" x14ac:dyDescent="0.2">
      <c r="A6770"/>
      <c r="B6770" s="663"/>
      <c r="C6770" s="663"/>
      <c r="D6770" s="663"/>
      <c r="E6770" s="663"/>
    </row>
    <row r="6771" spans="1:5" x14ac:dyDescent="0.2">
      <c r="A6771"/>
      <c r="B6771" s="663"/>
      <c r="C6771" s="663"/>
      <c r="D6771" s="663"/>
      <c r="E6771" s="663"/>
    </row>
    <row r="6772" spans="1:5" x14ac:dyDescent="0.2">
      <c r="A6772"/>
      <c r="B6772" s="663"/>
      <c r="C6772" s="663"/>
      <c r="D6772" s="663"/>
      <c r="E6772" s="663"/>
    </row>
    <row r="6773" spans="1:5" x14ac:dyDescent="0.2">
      <c r="A6773"/>
      <c r="B6773" s="663"/>
      <c r="C6773" s="663"/>
      <c r="D6773" s="663"/>
      <c r="E6773" s="663"/>
    </row>
    <row r="6774" spans="1:5" x14ac:dyDescent="0.2">
      <c r="A6774"/>
      <c r="B6774" s="663"/>
      <c r="C6774" s="663"/>
      <c r="D6774" s="663"/>
      <c r="E6774" s="663"/>
    </row>
    <row r="6775" spans="1:5" x14ac:dyDescent="0.2">
      <c r="A6775"/>
      <c r="B6775" s="663"/>
      <c r="C6775" s="663"/>
      <c r="D6775" s="663"/>
      <c r="E6775" s="663"/>
    </row>
    <row r="6776" spans="1:5" x14ac:dyDescent="0.2">
      <c r="A6776"/>
      <c r="B6776" s="663"/>
      <c r="C6776" s="663"/>
      <c r="D6776" s="663"/>
      <c r="E6776" s="663"/>
    </row>
    <row r="6777" spans="1:5" x14ac:dyDescent="0.2">
      <c r="A6777"/>
      <c r="B6777" s="663"/>
      <c r="C6777" s="663"/>
      <c r="D6777" s="663"/>
      <c r="E6777" s="663"/>
    </row>
    <row r="6778" spans="1:5" x14ac:dyDescent="0.2">
      <c r="A6778"/>
      <c r="B6778" s="663"/>
      <c r="C6778" s="663"/>
      <c r="D6778" s="663"/>
      <c r="E6778" s="663"/>
    </row>
    <row r="6779" spans="1:5" x14ac:dyDescent="0.2">
      <c r="A6779"/>
      <c r="B6779" s="663"/>
      <c r="C6779" s="663"/>
      <c r="D6779" s="663"/>
      <c r="E6779" s="663"/>
    </row>
    <row r="6780" spans="1:5" x14ac:dyDescent="0.2">
      <c r="A6780"/>
      <c r="B6780" s="663"/>
      <c r="C6780" s="663"/>
      <c r="D6780" s="663"/>
      <c r="E6780" s="663"/>
    </row>
    <row r="6781" spans="1:5" x14ac:dyDescent="0.2">
      <c r="A6781"/>
      <c r="B6781" s="663"/>
      <c r="C6781" s="663"/>
      <c r="D6781" s="663"/>
      <c r="E6781" s="663"/>
    </row>
    <row r="6782" spans="1:5" x14ac:dyDescent="0.2">
      <c r="A6782"/>
      <c r="B6782" s="663"/>
      <c r="C6782" s="663"/>
      <c r="D6782" s="663"/>
      <c r="E6782" s="663"/>
    </row>
    <row r="6783" spans="1:5" x14ac:dyDescent="0.2">
      <c r="A6783"/>
      <c r="B6783" s="663"/>
      <c r="C6783" s="663"/>
      <c r="D6783" s="663"/>
      <c r="E6783" s="663"/>
    </row>
    <row r="6784" spans="1:5" x14ac:dyDescent="0.2">
      <c r="A6784"/>
      <c r="B6784" s="663"/>
      <c r="C6784" s="663"/>
      <c r="D6784" s="663"/>
      <c r="E6784" s="663"/>
    </row>
    <row r="6785" spans="1:5" x14ac:dyDescent="0.2">
      <c r="A6785"/>
      <c r="B6785" s="663"/>
      <c r="C6785" s="663"/>
      <c r="D6785" s="663"/>
      <c r="E6785" s="663"/>
    </row>
    <row r="6786" spans="1:5" x14ac:dyDescent="0.2">
      <c r="A6786"/>
      <c r="B6786" s="663"/>
      <c r="C6786" s="663"/>
      <c r="D6786" s="663"/>
      <c r="E6786" s="663"/>
    </row>
    <row r="6787" spans="1:5" x14ac:dyDescent="0.2">
      <c r="A6787"/>
      <c r="B6787" s="663"/>
      <c r="C6787" s="663"/>
      <c r="D6787" s="663"/>
      <c r="E6787" s="663"/>
    </row>
    <row r="6788" spans="1:5" x14ac:dyDescent="0.2">
      <c r="A6788"/>
      <c r="B6788" s="663"/>
      <c r="C6788" s="663"/>
      <c r="D6788" s="663"/>
      <c r="E6788" s="663"/>
    </row>
    <row r="6789" spans="1:5" x14ac:dyDescent="0.2">
      <c r="A6789"/>
      <c r="B6789" s="663"/>
      <c r="C6789" s="663"/>
      <c r="D6789" s="663"/>
      <c r="E6789" s="663"/>
    </row>
    <row r="6790" spans="1:5" x14ac:dyDescent="0.2">
      <c r="A6790"/>
      <c r="B6790" s="663"/>
      <c r="C6790" s="663"/>
      <c r="D6790" s="663"/>
      <c r="E6790" s="663"/>
    </row>
    <row r="6791" spans="1:5" x14ac:dyDescent="0.2">
      <c r="A6791"/>
      <c r="B6791" s="663"/>
      <c r="C6791" s="663"/>
      <c r="D6791" s="663"/>
      <c r="E6791" s="663"/>
    </row>
    <row r="6792" spans="1:5" x14ac:dyDescent="0.2">
      <c r="A6792"/>
      <c r="B6792" s="663"/>
      <c r="C6792" s="663"/>
      <c r="D6792" s="663"/>
      <c r="E6792" s="663"/>
    </row>
    <row r="6793" spans="1:5" x14ac:dyDescent="0.2">
      <c r="A6793"/>
      <c r="B6793" s="663"/>
      <c r="C6793" s="663"/>
      <c r="D6793" s="663"/>
      <c r="E6793" s="663"/>
    </row>
    <row r="6794" spans="1:5" x14ac:dyDescent="0.2">
      <c r="A6794"/>
      <c r="B6794" s="663"/>
      <c r="C6794" s="663"/>
      <c r="D6794" s="663"/>
      <c r="E6794" s="663"/>
    </row>
    <row r="6795" spans="1:5" x14ac:dyDescent="0.2">
      <c r="A6795"/>
      <c r="B6795" s="663"/>
      <c r="C6795" s="663"/>
      <c r="D6795" s="663"/>
      <c r="E6795" s="663"/>
    </row>
    <row r="6796" spans="1:5" x14ac:dyDescent="0.2">
      <c r="A6796"/>
      <c r="B6796" s="663"/>
      <c r="C6796" s="663"/>
      <c r="D6796" s="663"/>
      <c r="E6796" s="663"/>
    </row>
    <row r="6797" spans="1:5" x14ac:dyDescent="0.2">
      <c r="A6797"/>
      <c r="B6797" s="663"/>
      <c r="C6797" s="663"/>
      <c r="D6797" s="663"/>
      <c r="E6797" s="663"/>
    </row>
    <row r="6798" spans="1:5" x14ac:dyDescent="0.2">
      <c r="A6798"/>
      <c r="B6798" s="663"/>
      <c r="C6798" s="663"/>
      <c r="D6798" s="663"/>
      <c r="E6798" s="663"/>
    </row>
    <row r="6799" spans="1:5" x14ac:dyDescent="0.2">
      <c r="A6799"/>
      <c r="B6799" s="663"/>
      <c r="C6799" s="663"/>
      <c r="D6799" s="663"/>
      <c r="E6799" s="663"/>
    </row>
    <row r="6800" spans="1:5" x14ac:dyDescent="0.2">
      <c r="A6800"/>
      <c r="B6800" s="663"/>
      <c r="C6800" s="663"/>
      <c r="D6800" s="663"/>
      <c r="E6800" s="663"/>
    </row>
    <row r="6801" spans="1:5" x14ac:dyDescent="0.2">
      <c r="A6801"/>
      <c r="B6801" s="663"/>
      <c r="C6801" s="663"/>
      <c r="D6801" s="663"/>
      <c r="E6801" s="663"/>
    </row>
    <row r="6802" spans="1:5" x14ac:dyDescent="0.2">
      <c r="A6802"/>
      <c r="B6802" s="663"/>
      <c r="C6802" s="663"/>
      <c r="D6802" s="663"/>
      <c r="E6802" s="663"/>
    </row>
    <row r="6803" spans="1:5" x14ac:dyDescent="0.2">
      <c r="A6803"/>
      <c r="B6803" s="663"/>
      <c r="C6803" s="663"/>
      <c r="D6803" s="663"/>
      <c r="E6803" s="663"/>
    </row>
    <row r="6804" spans="1:5" x14ac:dyDescent="0.2">
      <c r="A6804"/>
      <c r="B6804" s="663"/>
      <c r="C6804" s="663"/>
      <c r="D6804" s="663"/>
      <c r="E6804" s="663"/>
    </row>
    <row r="6805" spans="1:5" x14ac:dyDescent="0.2">
      <c r="A6805"/>
      <c r="B6805" s="663"/>
      <c r="C6805" s="663"/>
      <c r="D6805" s="663"/>
      <c r="E6805" s="663"/>
    </row>
    <row r="6806" spans="1:5" x14ac:dyDescent="0.2">
      <c r="A6806"/>
      <c r="B6806" s="663"/>
      <c r="C6806" s="663"/>
      <c r="D6806" s="663"/>
      <c r="E6806" s="663"/>
    </row>
    <row r="6807" spans="1:5" x14ac:dyDescent="0.2">
      <c r="A6807"/>
      <c r="B6807" s="663"/>
      <c r="C6807" s="663"/>
      <c r="D6807" s="663"/>
      <c r="E6807" s="663"/>
    </row>
    <row r="6808" spans="1:5" x14ac:dyDescent="0.2">
      <c r="A6808"/>
      <c r="B6808" s="663"/>
      <c r="C6808" s="663"/>
      <c r="D6808" s="663"/>
      <c r="E6808" s="663"/>
    </row>
    <row r="6809" spans="1:5" x14ac:dyDescent="0.2">
      <c r="A6809"/>
      <c r="B6809" s="663"/>
      <c r="C6809" s="663"/>
      <c r="D6809" s="663"/>
      <c r="E6809" s="663"/>
    </row>
    <row r="6810" spans="1:5" x14ac:dyDescent="0.2">
      <c r="A6810"/>
      <c r="B6810" s="663"/>
      <c r="C6810" s="663"/>
      <c r="D6810" s="663"/>
      <c r="E6810" s="663"/>
    </row>
    <row r="6811" spans="1:5" x14ac:dyDescent="0.2">
      <c r="A6811"/>
      <c r="B6811" s="663"/>
      <c r="C6811" s="663"/>
      <c r="D6811" s="663"/>
      <c r="E6811" s="663"/>
    </row>
    <row r="6812" spans="1:5" x14ac:dyDescent="0.2">
      <c r="A6812"/>
      <c r="B6812" s="663"/>
      <c r="C6812" s="663"/>
      <c r="D6812" s="663"/>
      <c r="E6812" s="663"/>
    </row>
    <row r="6813" spans="1:5" x14ac:dyDescent="0.2">
      <c r="A6813"/>
      <c r="B6813" s="663"/>
      <c r="C6813" s="663"/>
      <c r="D6813" s="663"/>
      <c r="E6813" s="663"/>
    </row>
    <row r="6814" spans="1:5" x14ac:dyDescent="0.2">
      <c r="A6814"/>
      <c r="B6814" s="663"/>
      <c r="C6814" s="663"/>
      <c r="D6814" s="663"/>
      <c r="E6814" s="663"/>
    </row>
    <row r="6815" spans="1:5" x14ac:dyDescent="0.2">
      <c r="A6815"/>
      <c r="B6815" s="663"/>
      <c r="C6815" s="663"/>
      <c r="D6815" s="663"/>
      <c r="E6815" s="663"/>
    </row>
    <row r="6816" spans="1:5" x14ac:dyDescent="0.2">
      <c r="A6816"/>
      <c r="B6816" s="663"/>
      <c r="C6816" s="663"/>
      <c r="D6816" s="663"/>
      <c r="E6816" s="663"/>
    </row>
    <row r="6817" spans="1:5" x14ac:dyDescent="0.2">
      <c r="A6817"/>
      <c r="B6817" s="663"/>
      <c r="C6817" s="663"/>
      <c r="D6817" s="663"/>
      <c r="E6817" s="663"/>
    </row>
    <row r="6818" spans="1:5" x14ac:dyDescent="0.2">
      <c r="A6818"/>
      <c r="B6818" s="663"/>
      <c r="C6818" s="663"/>
      <c r="D6818" s="663"/>
      <c r="E6818" s="663"/>
    </row>
    <row r="6819" spans="1:5" x14ac:dyDescent="0.2">
      <c r="A6819"/>
      <c r="B6819" s="663"/>
      <c r="C6819" s="663"/>
      <c r="D6819" s="663"/>
      <c r="E6819" s="663"/>
    </row>
    <row r="6820" spans="1:5" x14ac:dyDescent="0.2">
      <c r="A6820"/>
      <c r="B6820" s="663"/>
      <c r="C6820" s="663"/>
      <c r="D6820" s="663"/>
      <c r="E6820" s="663"/>
    </row>
    <row r="6821" spans="1:5" x14ac:dyDescent="0.2">
      <c r="A6821"/>
      <c r="B6821" s="663"/>
      <c r="C6821" s="663"/>
      <c r="D6821" s="663"/>
      <c r="E6821" s="663"/>
    </row>
    <row r="6822" spans="1:5" x14ac:dyDescent="0.2">
      <c r="A6822"/>
      <c r="B6822" s="663"/>
      <c r="C6822" s="663"/>
      <c r="D6822" s="663"/>
      <c r="E6822" s="663"/>
    </row>
    <row r="6823" spans="1:5" x14ac:dyDescent="0.2">
      <c r="A6823"/>
      <c r="B6823" s="663"/>
      <c r="C6823" s="663"/>
      <c r="D6823" s="663"/>
      <c r="E6823" s="663"/>
    </row>
    <row r="6824" spans="1:5" x14ac:dyDescent="0.2">
      <c r="A6824"/>
      <c r="B6824" s="663"/>
      <c r="C6824" s="663"/>
      <c r="D6824" s="663"/>
      <c r="E6824" s="663"/>
    </row>
    <row r="6825" spans="1:5" x14ac:dyDescent="0.2">
      <c r="A6825"/>
      <c r="B6825" s="663"/>
      <c r="C6825" s="663"/>
      <c r="D6825" s="663"/>
      <c r="E6825" s="663"/>
    </row>
    <row r="6826" spans="1:5" x14ac:dyDescent="0.2">
      <c r="A6826"/>
      <c r="B6826" s="663"/>
      <c r="C6826" s="663"/>
      <c r="D6826" s="663"/>
      <c r="E6826" s="663"/>
    </row>
    <row r="6827" spans="1:5" x14ac:dyDescent="0.2">
      <c r="A6827"/>
      <c r="B6827" s="663"/>
      <c r="C6827" s="663"/>
      <c r="D6827" s="663"/>
      <c r="E6827" s="663"/>
    </row>
    <row r="6828" spans="1:5" x14ac:dyDescent="0.2">
      <c r="A6828"/>
      <c r="B6828" s="663"/>
      <c r="C6828" s="663"/>
      <c r="D6828" s="663"/>
      <c r="E6828" s="663"/>
    </row>
    <row r="6829" spans="1:5" x14ac:dyDescent="0.2">
      <c r="A6829"/>
      <c r="B6829" s="663"/>
      <c r="C6829" s="663"/>
      <c r="D6829" s="663"/>
      <c r="E6829" s="663"/>
    </row>
    <row r="6830" spans="1:5" x14ac:dyDescent="0.2">
      <c r="A6830"/>
      <c r="B6830" s="663"/>
      <c r="C6830" s="663"/>
      <c r="D6830" s="663"/>
      <c r="E6830" s="663"/>
    </row>
    <row r="6831" spans="1:5" x14ac:dyDescent="0.2">
      <c r="A6831"/>
      <c r="B6831" s="663"/>
      <c r="C6831" s="663"/>
      <c r="D6831" s="663"/>
      <c r="E6831" s="663"/>
    </row>
    <row r="6832" spans="1:5" x14ac:dyDescent="0.2">
      <c r="A6832"/>
      <c r="B6832" s="663"/>
      <c r="C6832" s="663"/>
      <c r="D6832" s="663"/>
      <c r="E6832" s="663"/>
    </row>
    <row r="6833" spans="1:5" x14ac:dyDescent="0.2">
      <c r="A6833"/>
      <c r="B6833" s="663"/>
      <c r="C6833" s="663"/>
      <c r="D6833" s="663"/>
      <c r="E6833" s="663"/>
    </row>
    <row r="6834" spans="1:5" x14ac:dyDescent="0.2">
      <c r="A6834"/>
      <c r="B6834" s="663"/>
      <c r="C6834" s="663"/>
      <c r="D6834" s="663"/>
      <c r="E6834" s="663"/>
    </row>
    <row r="6835" spans="1:5" x14ac:dyDescent="0.2">
      <c r="A6835"/>
      <c r="B6835" s="663"/>
      <c r="C6835" s="663"/>
      <c r="D6835" s="663"/>
      <c r="E6835" s="663"/>
    </row>
    <row r="6836" spans="1:5" x14ac:dyDescent="0.2">
      <c r="A6836"/>
      <c r="B6836" s="663"/>
      <c r="C6836" s="663"/>
      <c r="D6836" s="663"/>
      <c r="E6836" s="663"/>
    </row>
    <row r="6837" spans="1:5" x14ac:dyDescent="0.2">
      <c r="A6837"/>
      <c r="B6837" s="663"/>
      <c r="C6837" s="663"/>
      <c r="D6837" s="663"/>
      <c r="E6837" s="663"/>
    </row>
    <row r="6838" spans="1:5" x14ac:dyDescent="0.2">
      <c r="A6838"/>
      <c r="B6838" s="663"/>
      <c r="C6838" s="663"/>
      <c r="D6838" s="663"/>
      <c r="E6838" s="663"/>
    </row>
    <row r="6839" spans="1:5" x14ac:dyDescent="0.2">
      <c r="A6839"/>
      <c r="B6839" s="663"/>
      <c r="C6839" s="663"/>
      <c r="D6839" s="663"/>
      <c r="E6839" s="663"/>
    </row>
    <row r="6840" spans="1:5" x14ac:dyDescent="0.2">
      <c r="A6840"/>
      <c r="B6840" s="663"/>
      <c r="C6840" s="663"/>
      <c r="D6840" s="663"/>
      <c r="E6840" s="663"/>
    </row>
    <row r="6841" spans="1:5" x14ac:dyDescent="0.2">
      <c r="A6841"/>
      <c r="B6841" s="663"/>
      <c r="C6841" s="663"/>
      <c r="D6841" s="663"/>
      <c r="E6841" s="663"/>
    </row>
    <row r="6842" spans="1:5" x14ac:dyDescent="0.2">
      <c r="A6842"/>
      <c r="B6842" s="663"/>
      <c r="C6842" s="663"/>
      <c r="D6842" s="663"/>
      <c r="E6842" s="663"/>
    </row>
    <row r="6843" spans="1:5" x14ac:dyDescent="0.2">
      <c r="A6843"/>
      <c r="B6843" s="663"/>
      <c r="C6843" s="663"/>
      <c r="D6843" s="663"/>
      <c r="E6843" s="663"/>
    </row>
    <row r="6844" spans="1:5" x14ac:dyDescent="0.2">
      <c r="A6844"/>
      <c r="B6844" s="663"/>
      <c r="C6844" s="663"/>
      <c r="D6844" s="663"/>
      <c r="E6844" s="663"/>
    </row>
    <row r="6845" spans="1:5" x14ac:dyDescent="0.2">
      <c r="A6845"/>
      <c r="B6845" s="663"/>
      <c r="C6845" s="663"/>
      <c r="D6845" s="663"/>
      <c r="E6845" s="663"/>
    </row>
    <row r="6846" spans="1:5" x14ac:dyDescent="0.2">
      <c r="A6846"/>
      <c r="B6846" s="663"/>
      <c r="C6846" s="663"/>
      <c r="D6846" s="663"/>
      <c r="E6846" s="663"/>
    </row>
    <row r="6847" spans="1:5" x14ac:dyDescent="0.2">
      <c r="A6847"/>
      <c r="B6847" s="663"/>
      <c r="C6847" s="663"/>
      <c r="D6847" s="663"/>
      <c r="E6847" s="663"/>
    </row>
    <row r="6848" spans="1:5" x14ac:dyDescent="0.2">
      <c r="A6848"/>
      <c r="B6848" s="663"/>
      <c r="C6848" s="663"/>
      <c r="D6848" s="663"/>
      <c r="E6848" s="663"/>
    </row>
    <row r="6849" spans="1:5" x14ac:dyDescent="0.2">
      <c r="A6849"/>
      <c r="B6849" s="663"/>
      <c r="C6849" s="663"/>
      <c r="D6849" s="663"/>
      <c r="E6849" s="663"/>
    </row>
    <row r="6850" spans="1:5" x14ac:dyDescent="0.2">
      <c r="A6850"/>
      <c r="B6850" s="663"/>
      <c r="C6850" s="663"/>
      <c r="D6850" s="663"/>
      <c r="E6850" s="663"/>
    </row>
    <row r="6851" spans="1:5" x14ac:dyDescent="0.2">
      <c r="A6851"/>
      <c r="B6851" s="663"/>
      <c r="C6851" s="663"/>
      <c r="D6851" s="663"/>
      <c r="E6851" s="663"/>
    </row>
    <row r="6852" spans="1:5" x14ac:dyDescent="0.2">
      <c r="A6852"/>
      <c r="B6852" s="663"/>
      <c r="C6852" s="663"/>
      <c r="D6852" s="663"/>
      <c r="E6852" s="663"/>
    </row>
    <row r="6853" spans="1:5" x14ac:dyDescent="0.2">
      <c r="A6853"/>
      <c r="B6853" s="663"/>
      <c r="C6853" s="663"/>
      <c r="D6853" s="663"/>
      <c r="E6853" s="663"/>
    </row>
    <row r="6854" spans="1:5" x14ac:dyDescent="0.2">
      <c r="A6854"/>
      <c r="B6854" s="663"/>
      <c r="C6854" s="663"/>
      <c r="D6854" s="663"/>
      <c r="E6854" s="663"/>
    </row>
    <row r="6855" spans="1:5" x14ac:dyDescent="0.2">
      <c r="A6855"/>
      <c r="B6855" s="663"/>
      <c r="C6855" s="663"/>
      <c r="D6855" s="663"/>
      <c r="E6855" s="663"/>
    </row>
    <row r="6856" spans="1:5" x14ac:dyDescent="0.2">
      <c r="A6856"/>
      <c r="B6856" s="663"/>
      <c r="C6856" s="663"/>
      <c r="D6856" s="663"/>
      <c r="E6856" s="663"/>
    </row>
    <row r="6857" spans="1:5" x14ac:dyDescent="0.2">
      <c r="A6857"/>
      <c r="B6857" s="663"/>
      <c r="C6857" s="663"/>
      <c r="D6857" s="663"/>
      <c r="E6857" s="663"/>
    </row>
    <row r="6858" spans="1:5" x14ac:dyDescent="0.2">
      <c r="A6858"/>
      <c r="B6858" s="663"/>
      <c r="C6858" s="663"/>
      <c r="D6858" s="663"/>
      <c r="E6858" s="663"/>
    </row>
    <row r="6859" spans="1:5" x14ac:dyDescent="0.2">
      <c r="A6859"/>
      <c r="B6859" s="663"/>
      <c r="C6859" s="663"/>
      <c r="D6859" s="663"/>
      <c r="E6859" s="663"/>
    </row>
    <row r="6860" spans="1:5" x14ac:dyDescent="0.2">
      <c r="A6860"/>
      <c r="B6860" s="663"/>
      <c r="C6860" s="663"/>
      <c r="D6860" s="663"/>
      <c r="E6860" s="663"/>
    </row>
    <row r="6861" spans="1:5" x14ac:dyDescent="0.2">
      <c r="A6861"/>
      <c r="B6861" s="663"/>
      <c r="C6861" s="663"/>
      <c r="D6861" s="663"/>
      <c r="E6861" s="663"/>
    </row>
    <row r="6862" spans="1:5" x14ac:dyDescent="0.2">
      <c r="A6862"/>
      <c r="B6862" s="663"/>
      <c r="C6862" s="663"/>
      <c r="D6862" s="663"/>
      <c r="E6862" s="663"/>
    </row>
    <row r="6863" spans="1:5" x14ac:dyDescent="0.2">
      <c r="A6863"/>
      <c r="B6863" s="663"/>
      <c r="C6863" s="663"/>
      <c r="D6863" s="663"/>
      <c r="E6863" s="663"/>
    </row>
    <row r="6864" spans="1:5" x14ac:dyDescent="0.2">
      <c r="A6864"/>
      <c r="B6864" s="663"/>
      <c r="C6864" s="663"/>
      <c r="D6864" s="663"/>
      <c r="E6864" s="663"/>
    </row>
    <row r="6865" spans="1:5" x14ac:dyDescent="0.2">
      <c r="A6865"/>
      <c r="B6865" s="663"/>
      <c r="C6865" s="663"/>
      <c r="D6865" s="663"/>
      <c r="E6865" s="663"/>
    </row>
    <row r="6866" spans="1:5" x14ac:dyDescent="0.2">
      <c r="A6866"/>
      <c r="B6866" s="663"/>
      <c r="C6866" s="663"/>
      <c r="D6866" s="663"/>
      <c r="E6866" s="663"/>
    </row>
    <row r="6867" spans="1:5" x14ac:dyDescent="0.2">
      <c r="A6867"/>
      <c r="B6867" s="663"/>
      <c r="C6867" s="663"/>
      <c r="D6867" s="663"/>
      <c r="E6867" s="663"/>
    </row>
    <row r="6868" spans="1:5" x14ac:dyDescent="0.2">
      <c r="A6868"/>
      <c r="B6868" s="663"/>
      <c r="C6868" s="663"/>
      <c r="D6868" s="663"/>
      <c r="E6868" s="663"/>
    </row>
    <row r="6869" spans="1:5" x14ac:dyDescent="0.2">
      <c r="A6869"/>
      <c r="B6869" s="663"/>
      <c r="C6869" s="663"/>
      <c r="D6869" s="663"/>
      <c r="E6869" s="663"/>
    </row>
    <row r="6870" spans="1:5" x14ac:dyDescent="0.2">
      <c r="A6870"/>
      <c r="B6870" s="663"/>
      <c r="C6870" s="663"/>
      <c r="D6870" s="663"/>
      <c r="E6870" s="663"/>
    </row>
    <row r="6871" spans="1:5" x14ac:dyDescent="0.2">
      <c r="A6871"/>
      <c r="B6871" s="663"/>
      <c r="C6871" s="663"/>
      <c r="D6871" s="663"/>
      <c r="E6871" s="663"/>
    </row>
    <row r="6872" spans="1:5" x14ac:dyDescent="0.2">
      <c r="A6872"/>
      <c r="B6872" s="663"/>
      <c r="C6872" s="663"/>
      <c r="D6872" s="663"/>
      <c r="E6872" s="663"/>
    </row>
    <row r="6873" spans="1:5" x14ac:dyDescent="0.2">
      <c r="A6873"/>
      <c r="B6873" s="663"/>
      <c r="C6873" s="663"/>
      <c r="D6873" s="663"/>
      <c r="E6873" s="663"/>
    </row>
    <row r="6874" spans="1:5" x14ac:dyDescent="0.2">
      <c r="A6874"/>
      <c r="B6874" s="663"/>
      <c r="C6874" s="663"/>
      <c r="D6874" s="663"/>
      <c r="E6874" s="663"/>
    </row>
    <row r="6875" spans="1:5" x14ac:dyDescent="0.2">
      <c r="A6875"/>
      <c r="B6875" s="663"/>
      <c r="C6875" s="663"/>
      <c r="D6875" s="663"/>
      <c r="E6875" s="663"/>
    </row>
    <row r="6876" spans="1:5" x14ac:dyDescent="0.2">
      <c r="A6876"/>
      <c r="B6876" s="663"/>
      <c r="C6876" s="663"/>
      <c r="D6876" s="663"/>
      <c r="E6876" s="663"/>
    </row>
    <row r="6877" spans="1:5" x14ac:dyDescent="0.2">
      <c r="A6877"/>
      <c r="B6877" s="663"/>
      <c r="C6877" s="663"/>
      <c r="D6877" s="663"/>
      <c r="E6877" s="663"/>
    </row>
    <row r="6878" spans="1:5" x14ac:dyDescent="0.2">
      <c r="A6878"/>
      <c r="B6878" s="663"/>
      <c r="C6878" s="663"/>
      <c r="D6878" s="663"/>
      <c r="E6878" s="663"/>
    </row>
    <row r="6879" spans="1:5" x14ac:dyDescent="0.2">
      <c r="A6879"/>
      <c r="B6879" s="663"/>
      <c r="C6879" s="663"/>
      <c r="D6879" s="663"/>
      <c r="E6879" s="663"/>
    </row>
    <row r="6880" spans="1:5" x14ac:dyDescent="0.2">
      <c r="A6880"/>
      <c r="B6880" s="663"/>
      <c r="C6880" s="663"/>
      <c r="D6880" s="663"/>
      <c r="E6880" s="663"/>
    </row>
    <row r="6881" spans="1:5" x14ac:dyDescent="0.2">
      <c r="A6881"/>
      <c r="B6881" s="663"/>
      <c r="C6881" s="663"/>
      <c r="D6881" s="663"/>
      <c r="E6881" s="663"/>
    </row>
    <row r="6882" spans="1:5" x14ac:dyDescent="0.2">
      <c r="A6882"/>
      <c r="B6882" s="663"/>
      <c r="C6882" s="663"/>
      <c r="D6882" s="663"/>
      <c r="E6882" s="663"/>
    </row>
    <row r="6883" spans="1:5" x14ac:dyDescent="0.2">
      <c r="A6883"/>
      <c r="B6883" s="663"/>
      <c r="C6883" s="663"/>
      <c r="D6883" s="663"/>
      <c r="E6883" s="663"/>
    </row>
    <row r="6884" spans="1:5" x14ac:dyDescent="0.2">
      <c r="A6884"/>
      <c r="B6884" s="663"/>
      <c r="C6884" s="663"/>
      <c r="D6884" s="663"/>
      <c r="E6884" s="663"/>
    </row>
    <row r="6885" spans="1:5" x14ac:dyDescent="0.2">
      <c r="A6885"/>
      <c r="B6885" s="663"/>
      <c r="C6885" s="663"/>
      <c r="D6885" s="663"/>
      <c r="E6885" s="663"/>
    </row>
    <row r="6886" spans="1:5" x14ac:dyDescent="0.2">
      <c r="A6886"/>
      <c r="B6886" s="663"/>
      <c r="C6886" s="663"/>
      <c r="D6886" s="663"/>
      <c r="E6886" s="663"/>
    </row>
    <row r="6887" spans="1:5" x14ac:dyDescent="0.2">
      <c r="A6887"/>
      <c r="B6887" s="663"/>
      <c r="C6887" s="663"/>
      <c r="D6887" s="663"/>
      <c r="E6887" s="663"/>
    </row>
    <row r="6888" spans="1:5" x14ac:dyDescent="0.2">
      <c r="A6888"/>
      <c r="B6888" s="663"/>
      <c r="C6888" s="663"/>
      <c r="D6888" s="663"/>
      <c r="E6888" s="663"/>
    </row>
    <row r="6889" spans="1:5" x14ac:dyDescent="0.2">
      <c r="A6889"/>
      <c r="B6889" s="663"/>
      <c r="C6889" s="663"/>
      <c r="D6889" s="663"/>
      <c r="E6889" s="663"/>
    </row>
    <row r="6890" spans="1:5" x14ac:dyDescent="0.2">
      <c r="A6890"/>
      <c r="B6890" s="663"/>
      <c r="C6890" s="663"/>
      <c r="D6890" s="663"/>
      <c r="E6890" s="663"/>
    </row>
    <row r="6891" spans="1:5" x14ac:dyDescent="0.2">
      <c r="A6891"/>
      <c r="B6891" s="663"/>
      <c r="C6891" s="663"/>
      <c r="D6891" s="663"/>
      <c r="E6891" s="663"/>
    </row>
    <row r="6892" spans="1:5" x14ac:dyDescent="0.2">
      <c r="A6892"/>
      <c r="B6892" s="663"/>
      <c r="C6892" s="663"/>
      <c r="D6892" s="663"/>
      <c r="E6892" s="663"/>
    </row>
    <row r="6893" spans="1:5" x14ac:dyDescent="0.2">
      <c r="A6893"/>
      <c r="B6893" s="663"/>
      <c r="C6893" s="663"/>
      <c r="D6893" s="663"/>
      <c r="E6893" s="663"/>
    </row>
    <row r="6894" spans="1:5" x14ac:dyDescent="0.2">
      <c r="A6894"/>
      <c r="B6894" s="663"/>
      <c r="C6894" s="663"/>
      <c r="D6894" s="663"/>
      <c r="E6894" s="663"/>
    </row>
    <row r="6895" spans="1:5" x14ac:dyDescent="0.2">
      <c r="A6895"/>
      <c r="B6895" s="663"/>
      <c r="C6895" s="663"/>
      <c r="D6895" s="663"/>
      <c r="E6895" s="663"/>
    </row>
    <row r="6896" spans="1:5" x14ac:dyDescent="0.2">
      <c r="A6896"/>
      <c r="B6896" s="663"/>
      <c r="C6896" s="663"/>
      <c r="D6896" s="663"/>
      <c r="E6896" s="663"/>
    </row>
    <row r="6897" spans="1:5" x14ac:dyDescent="0.2">
      <c r="A6897"/>
      <c r="B6897" s="663"/>
      <c r="C6897" s="663"/>
      <c r="D6897" s="663"/>
      <c r="E6897" s="663"/>
    </row>
    <row r="6898" spans="1:5" x14ac:dyDescent="0.2">
      <c r="A6898"/>
      <c r="B6898" s="663"/>
      <c r="C6898" s="663"/>
      <c r="D6898" s="663"/>
      <c r="E6898" s="663"/>
    </row>
    <row r="6899" spans="1:5" x14ac:dyDescent="0.2">
      <c r="A6899"/>
      <c r="B6899" s="663"/>
      <c r="C6899" s="663"/>
      <c r="D6899" s="663"/>
      <c r="E6899" s="663"/>
    </row>
    <row r="6900" spans="1:5" x14ac:dyDescent="0.2">
      <c r="A6900"/>
      <c r="B6900" s="663"/>
      <c r="C6900" s="663"/>
      <c r="D6900" s="663"/>
      <c r="E6900" s="663"/>
    </row>
    <row r="6901" spans="1:5" x14ac:dyDescent="0.2">
      <c r="A6901"/>
      <c r="B6901" s="663"/>
      <c r="C6901" s="663"/>
      <c r="D6901" s="663"/>
      <c r="E6901" s="663"/>
    </row>
    <row r="6902" spans="1:5" x14ac:dyDescent="0.2">
      <c r="A6902"/>
      <c r="B6902" s="663"/>
      <c r="C6902" s="663"/>
      <c r="D6902" s="663"/>
      <c r="E6902" s="663"/>
    </row>
    <row r="6903" spans="1:5" x14ac:dyDescent="0.2">
      <c r="A6903"/>
      <c r="B6903" s="663"/>
      <c r="C6903" s="663"/>
      <c r="D6903" s="663"/>
      <c r="E6903" s="663"/>
    </row>
    <row r="6904" spans="1:5" x14ac:dyDescent="0.2">
      <c r="A6904"/>
      <c r="B6904" s="663"/>
      <c r="C6904" s="663"/>
      <c r="D6904" s="663"/>
      <c r="E6904" s="663"/>
    </row>
    <row r="6905" spans="1:5" x14ac:dyDescent="0.2">
      <c r="A6905"/>
      <c r="B6905" s="663"/>
      <c r="C6905" s="663"/>
      <c r="D6905" s="663"/>
      <c r="E6905" s="663"/>
    </row>
    <row r="6906" spans="1:5" x14ac:dyDescent="0.2">
      <c r="A6906"/>
      <c r="B6906" s="663"/>
      <c r="C6906" s="663"/>
      <c r="D6906" s="663"/>
      <c r="E6906" s="663"/>
    </row>
    <row r="6907" spans="1:5" x14ac:dyDescent="0.2">
      <c r="A6907"/>
      <c r="B6907" s="663"/>
      <c r="C6907" s="663"/>
      <c r="D6907" s="663"/>
      <c r="E6907" s="663"/>
    </row>
    <row r="6908" spans="1:5" x14ac:dyDescent="0.2">
      <c r="A6908"/>
      <c r="B6908" s="663"/>
      <c r="C6908" s="663"/>
      <c r="D6908" s="663"/>
      <c r="E6908" s="663"/>
    </row>
    <row r="6909" spans="1:5" x14ac:dyDescent="0.2">
      <c r="A6909"/>
      <c r="B6909" s="663"/>
      <c r="C6909" s="663"/>
      <c r="D6909" s="663"/>
      <c r="E6909" s="663"/>
    </row>
    <row r="6910" spans="1:5" x14ac:dyDescent="0.2">
      <c r="A6910"/>
      <c r="B6910" s="663"/>
      <c r="C6910" s="663"/>
      <c r="D6910" s="663"/>
      <c r="E6910" s="663"/>
    </row>
    <row r="6911" spans="1:5" x14ac:dyDescent="0.2">
      <c r="A6911"/>
      <c r="B6911" s="663"/>
      <c r="C6911" s="663"/>
      <c r="D6911" s="663"/>
      <c r="E6911" s="663"/>
    </row>
    <row r="6912" spans="1:5" x14ac:dyDescent="0.2">
      <c r="A6912"/>
      <c r="B6912" s="663"/>
      <c r="C6912" s="663"/>
      <c r="D6912" s="663"/>
      <c r="E6912" s="663"/>
    </row>
    <row r="6913" spans="1:5" x14ac:dyDescent="0.2">
      <c r="A6913"/>
      <c r="B6913" s="663"/>
      <c r="C6913" s="663"/>
      <c r="D6913" s="663"/>
      <c r="E6913" s="663"/>
    </row>
    <row r="6914" spans="1:5" x14ac:dyDescent="0.2">
      <c r="A6914"/>
      <c r="B6914" s="663"/>
      <c r="C6914" s="663"/>
      <c r="D6914" s="663"/>
      <c r="E6914" s="663"/>
    </row>
    <row r="6915" spans="1:5" x14ac:dyDescent="0.2">
      <c r="A6915"/>
      <c r="B6915" s="663"/>
      <c r="C6915" s="663"/>
      <c r="D6915" s="663"/>
      <c r="E6915" s="663"/>
    </row>
    <row r="6916" spans="1:5" x14ac:dyDescent="0.2">
      <c r="A6916"/>
      <c r="B6916" s="663"/>
      <c r="C6916" s="663"/>
      <c r="D6916" s="663"/>
      <c r="E6916" s="663"/>
    </row>
    <row r="6917" spans="1:5" x14ac:dyDescent="0.2">
      <c r="A6917"/>
      <c r="B6917" s="663"/>
      <c r="C6917" s="663"/>
      <c r="D6917" s="663"/>
      <c r="E6917" s="663"/>
    </row>
    <row r="6918" spans="1:5" x14ac:dyDescent="0.2">
      <c r="A6918"/>
      <c r="B6918" s="663"/>
      <c r="C6918" s="663"/>
      <c r="D6918" s="663"/>
      <c r="E6918" s="663"/>
    </row>
    <row r="6919" spans="1:5" x14ac:dyDescent="0.2">
      <c r="A6919"/>
      <c r="B6919" s="663"/>
      <c r="C6919" s="663"/>
      <c r="D6919" s="663"/>
      <c r="E6919" s="663"/>
    </row>
    <row r="6920" spans="1:5" x14ac:dyDescent="0.2">
      <c r="A6920"/>
      <c r="B6920" s="663"/>
      <c r="C6920" s="663"/>
      <c r="D6920" s="663"/>
      <c r="E6920" s="663"/>
    </row>
    <row r="6921" spans="1:5" x14ac:dyDescent="0.2">
      <c r="A6921"/>
      <c r="B6921" s="663"/>
      <c r="C6921" s="663"/>
      <c r="D6921" s="663"/>
      <c r="E6921" s="663"/>
    </row>
    <row r="6922" spans="1:5" x14ac:dyDescent="0.2">
      <c r="A6922"/>
      <c r="B6922" s="663"/>
      <c r="C6922" s="663"/>
      <c r="D6922" s="663"/>
      <c r="E6922" s="663"/>
    </row>
    <row r="6923" spans="1:5" x14ac:dyDescent="0.2">
      <c r="A6923"/>
      <c r="B6923" s="663"/>
      <c r="C6923" s="663"/>
      <c r="D6923" s="663"/>
      <c r="E6923" s="663"/>
    </row>
    <row r="6924" spans="1:5" x14ac:dyDescent="0.2">
      <c r="A6924"/>
      <c r="B6924" s="663"/>
      <c r="C6924" s="663"/>
      <c r="D6924" s="663"/>
      <c r="E6924" s="663"/>
    </row>
    <row r="6925" spans="1:5" x14ac:dyDescent="0.2">
      <c r="A6925"/>
      <c r="B6925" s="663"/>
      <c r="C6925" s="663"/>
      <c r="D6925" s="663"/>
      <c r="E6925" s="663"/>
    </row>
    <row r="6926" spans="1:5" x14ac:dyDescent="0.2">
      <c r="A6926"/>
      <c r="B6926" s="663"/>
      <c r="C6926" s="663"/>
      <c r="D6926" s="663"/>
      <c r="E6926" s="663"/>
    </row>
    <row r="6927" spans="1:5" x14ac:dyDescent="0.2">
      <c r="A6927"/>
      <c r="B6927" s="663"/>
      <c r="C6927" s="663"/>
      <c r="D6927" s="663"/>
      <c r="E6927" s="663"/>
    </row>
    <row r="6928" spans="1:5" x14ac:dyDescent="0.2">
      <c r="A6928"/>
      <c r="B6928" s="663"/>
      <c r="C6928" s="663"/>
      <c r="D6928" s="663"/>
      <c r="E6928" s="663"/>
    </row>
    <row r="6929" spans="1:5" x14ac:dyDescent="0.2">
      <c r="A6929"/>
      <c r="B6929" s="663"/>
      <c r="C6929" s="663"/>
      <c r="D6929" s="663"/>
      <c r="E6929" s="663"/>
    </row>
    <row r="6930" spans="1:5" x14ac:dyDescent="0.2">
      <c r="A6930"/>
      <c r="B6930" s="663"/>
      <c r="C6930" s="663"/>
      <c r="D6930" s="663"/>
      <c r="E6930" s="663"/>
    </row>
    <row r="6931" spans="1:5" x14ac:dyDescent="0.2">
      <c r="A6931"/>
      <c r="B6931" s="663"/>
      <c r="C6931" s="663"/>
      <c r="D6931" s="663"/>
      <c r="E6931" s="663"/>
    </row>
    <row r="6932" spans="1:5" x14ac:dyDescent="0.2">
      <c r="A6932"/>
      <c r="B6932" s="663"/>
      <c r="C6932" s="663"/>
      <c r="D6932" s="663"/>
      <c r="E6932" s="663"/>
    </row>
    <row r="6933" spans="1:5" x14ac:dyDescent="0.2">
      <c r="A6933"/>
      <c r="B6933" s="663"/>
      <c r="C6933" s="663"/>
      <c r="D6933" s="663"/>
      <c r="E6933" s="663"/>
    </row>
    <row r="6934" spans="1:5" x14ac:dyDescent="0.2">
      <c r="A6934"/>
      <c r="B6934" s="663"/>
      <c r="C6934" s="663"/>
      <c r="D6934" s="663"/>
      <c r="E6934" s="663"/>
    </row>
    <row r="6935" spans="1:5" x14ac:dyDescent="0.2">
      <c r="A6935"/>
      <c r="B6935" s="663"/>
      <c r="C6935" s="663"/>
      <c r="D6935" s="663"/>
      <c r="E6935" s="663"/>
    </row>
    <row r="6936" spans="1:5" x14ac:dyDescent="0.2">
      <c r="A6936"/>
      <c r="B6936" s="663"/>
      <c r="C6936" s="663"/>
      <c r="D6936" s="663"/>
      <c r="E6936" s="663"/>
    </row>
    <row r="6937" spans="1:5" x14ac:dyDescent="0.2">
      <c r="A6937"/>
      <c r="B6937" s="663"/>
      <c r="C6937" s="663"/>
      <c r="D6937" s="663"/>
      <c r="E6937" s="663"/>
    </row>
    <row r="6938" spans="1:5" x14ac:dyDescent="0.2">
      <c r="A6938"/>
      <c r="B6938" s="663"/>
      <c r="C6938" s="663"/>
      <c r="D6938" s="663"/>
      <c r="E6938" s="663"/>
    </row>
    <row r="6939" spans="1:5" x14ac:dyDescent="0.2">
      <c r="A6939"/>
      <c r="B6939" s="663"/>
      <c r="C6939" s="663"/>
      <c r="D6939" s="663"/>
      <c r="E6939" s="663"/>
    </row>
    <row r="6940" spans="1:5" x14ac:dyDescent="0.2">
      <c r="A6940"/>
      <c r="B6940" s="663"/>
      <c r="C6940" s="663"/>
      <c r="D6940" s="663"/>
      <c r="E6940" s="663"/>
    </row>
    <row r="6941" spans="1:5" x14ac:dyDescent="0.2">
      <c r="A6941"/>
      <c r="B6941" s="663"/>
      <c r="C6941" s="663"/>
      <c r="D6941" s="663"/>
      <c r="E6941" s="663"/>
    </row>
    <row r="6942" spans="1:5" x14ac:dyDescent="0.2">
      <c r="A6942"/>
      <c r="B6942" s="663"/>
      <c r="C6942" s="663"/>
      <c r="D6942" s="663"/>
      <c r="E6942" s="663"/>
    </row>
    <row r="6943" spans="1:5" x14ac:dyDescent="0.2">
      <c r="A6943"/>
      <c r="B6943" s="663"/>
      <c r="C6943" s="663"/>
      <c r="D6943" s="663"/>
      <c r="E6943" s="663"/>
    </row>
    <row r="6944" spans="1:5" x14ac:dyDescent="0.2">
      <c r="A6944"/>
      <c r="B6944" s="663"/>
      <c r="C6944" s="663"/>
      <c r="D6944" s="663"/>
      <c r="E6944" s="663"/>
    </row>
    <row r="6945" spans="1:5" x14ac:dyDescent="0.2">
      <c r="A6945"/>
      <c r="B6945" s="663"/>
      <c r="C6945" s="663"/>
      <c r="D6945" s="663"/>
      <c r="E6945" s="663"/>
    </row>
    <row r="6946" spans="1:5" x14ac:dyDescent="0.2">
      <c r="A6946"/>
      <c r="B6946" s="663"/>
      <c r="C6946" s="663"/>
      <c r="D6946" s="663"/>
      <c r="E6946" s="663"/>
    </row>
    <row r="6947" spans="1:5" x14ac:dyDescent="0.2">
      <c r="A6947"/>
      <c r="B6947" s="663"/>
      <c r="C6947" s="663"/>
      <c r="D6947" s="663"/>
      <c r="E6947" s="663"/>
    </row>
    <row r="6948" spans="1:5" x14ac:dyDescent="0.2">
      <c r="A6948"/>
      <c r="B6948" s="663"/>
      <c r="C6948" s="663"/>
      <c r="D6948" s="663"/>
      <c r="E6948" s="663"/>
    </row>
    <row r="6949" spans="1:5" x14ac:dyDescent="0.2">
      <c r="A6949"/>
      <c r="B6949" s="663"/>
      <c r="C6949" s="663"/>
      <c r="D6949" s="663"/>
      <c r="E6949" s="663"/>
    </row>
    <row r="6950" spans="1:5" x14ac:dyDescent="0.2">
      <c r="A6950"/>
      <c r="B6950" s="663"/>
      <c r="C6950" s="663"/>
      <c r="D6950" s="663"/>
      <c r="E6950" s="663"/>
    </row>
    <row r="6951" spans="1:5" x14ac:dyDescent="0.2">
      <c r="A6951"/>
      <c r="B6951" s="663"/>
      <c r="C6951" s="663"/>
      <c r="D6951" s="663"/>
      <c r="E6951" s="663"/>
    </row>
    <row r="6952" spans="1:5" x14ac:dyDescent="0.2">
      <c r="A6952"/>
      <c r="B6952" s="663"/>
      <c r="C6952" s="663"/>
      <c r="D6952" s="663"/>
      <c r="E6952" s="663"/>
    </row>
    <row r="6953" spans="1:5" x14ac:dyDescent="0.2">
      <c r="A6953"/>
      <c r="B6953" s="663"/>
      <c r="C6953" s="663"/>
      <c r="D6953" s="663"/>
      <c r="E6953" s="663"/>
    </row>
    <row r="6954" spans="1:5" x14ac:dyDescent="0.2">
      <c r="A6954"/>
      <c r="B6954" s="663"/>
      <c r="C6954" s="663"/>
      <c r="D6954" s="663"/>
      <c r="E6954" s="663"/>
    </row>
    <row r="6955" spans="1:5" x14ac:dyDescent="0.2">
      <c r="A6955"/>
      <c r="B6955" s="663"/>
      <c r="C6955" s="663"/>
      <c r="D6955" s="663"/>
      <c r="E6955" s="663"/>
    </row>
    <row r="6956" spans="1:5" x14ac:dyDescent="0.2">
      <c r="A6956"/>
      <c r="B6956" s="663"/>
      <c r="C6956" s="663"/>
      <c r="D6956" s="663"/>
      <c r="E6956" s="663"/>
    </row>
    <row r="6957" spans="1:5" x14ac:dyDescent="0.2">
      <c r="A6957"/>
      <c r="B6957" s="663"/>
      <c r="C6957" s="663"/>
      <c r="D6957" s="663"/>
      <c r="E6957" s="663"/>
    </row>
    <row r="6958" spans="1:5" x14ac:dyDescent="0.2">
      <c r="A6958"/>
      <c r="B6958" s="663"/>
      <c r="C6958" s="663"/>
      <c r="D6958" s="663"/>
      <c r="E6958" s="663"/>
    </row>
    <row r="6959" spans="1:5" x14ac:dyDescent="0.2">
      <c r="A6959"/>
      <c r="B6959" s="663"/>
      <c r="C6959" s="663"/>
      <c r="D6959" s="663"/>
      <c r="E6959" s="663"/>
    </row>
    <row r="6960" spans="1:5" x14ac:dyDescent="0.2">
      <c r="A6960"/>
      <c r="B6960" s="663"/>
      <c r="C6960" s="663"/>
      <c r="D6960" s="663"/>
      <c r="E6960" s="663"/>
    </row>
    <row r="6961" spans="1:5" x14ac:dyDescent="0.2">
      <c r="A6961"/>
      <c r="B6961" s="663"/>
      <c r="C6961" s="663"/>
      <c r="D6961" s="663"/>
      <c r="E6961" s="663"/>
    </row>
    <row r="6962" spans="1:5" x14ac:dyDescent="0.2">
      <c r="A6962"/>
      <c r="B6962" s="663"/>
      <c r="C6962" s="663"/>
      <c r="D6962" s="663"/>
      <c r="E6962" s="663"/>
    </row>
    <row r="6963" spans="1:5" x14ac:dyDescent="0.2">
      <c r="A6963"/>
      <c r="B6963" s="663"/>
      <c r="C6963" s="663"/>
      <c r="D6963" s="663"/>
      <c r="E6963" s="663"/>
    </row>
    <row r="6964" spans="1:5" x14ac:dyDescent="0.2">
      <c r="A6964"/>
      <c r="B6964" s="663"/>
      <c r="C6964" s="663"/>
      <c r="D6964" s="663"/>
      <c r="E6964" s="663"/>
    </row>
    <row r="6965" spans="1:5" x14ac:dyDescent="0.2">
      <c r="A6965"/>
      <c r="B6965" s="663"/>
      <c r="C6965" s="663"/>
      <c r="D6965" s="663"/>
      <c r="E6965" s="663"/>
    </row>
    <row r="6966" spans="1:5" x14ac:dyDescent="0.2">
      <c r="A6966"/>
      <c r="B6966" s="663"/>
      <c r="C6966" s="663"/>
      <c r="D6966" s="663"/>
      <c r="E6966" s="663"/>
    </row>
    <row r="6967" spans="1:5" x14ac:dyDescent="0.2">
      <c r="A6967"/>
      <c r="B6967" s="663"/>
      <c r="C6967" s="663"/>
      <c r="D6967" s="663"/>
      <c r="E6967" s="663"/>
    </row>
    <row r="6968" spans="1:5" x14ac:dyDescent="0.2">
      <c r="A6968"/>
      <c r="B6968" s="663"/>
      <c r="C6968" s="663"/>
      <c r="D6968" s="663"/>
      <c r="E6968" s="663"/>
    </row>
    <row r="6969" spans="1:5" x14ac:dyDescent="0.2">
      <c r="A6969"/>
      <c r="B6969" s="663"/>
      <c r="C6969" s="663"/>
      <c r="D6969" s="663"/>
      <c r="E6969" s="663"/>
    </row>
    <row r="6970" spans="1:5" x14ac:dyDescent="0.2">
      <c r="A6970"/>
      <c r="B6970" s="663"/>
      <c r="C6970" s="663"/>
      <c r="D6970" s="663"/>
      <c r="E6970" s="663"/>
    </row>
    <row r="6971" spans="1:5" x14ac:dyDescent="0.2">
      <c r="A6971"/>
      <c r="B6971" s="663"/>
      <c r="C6971" s="663"/>
      <c r="D6971" s="663"/>
      <c r="E6971" s="663"/>
    </row>
    <row r="6972" spans="1:5" x14ac:dyDescent="0.2">
      <c r="A6972"/>
      <c r="B6972" s="663"/>
      <c r="C6972" s="663"/>
      <c r="D6972" s="663"/>
      <c r="E6972" s="663"/>
    </row>
    <row r="6973" spans="1:5" x14ac:dyDescent="0.2">
      <c r="A6973"/>
      <c r="B6973" s="663"/>
      <c r="C6973" s="663"/>
      <c r="D6973" s="663"/>
      <c r="E6973" s="663"/>
    </row>
    <row r="6974" spans="1:5" x14ac:dyDescent="0.2">
      <c r="A6974"/>
      <c r="B6974" s="663"/>
      <c r="C6974" s="663"/>
      <c r="D6974" s="663"/>
      <c r="E6974" s="663"/>
    </row>
    <row r="6975" spans="1:5" x14ac:dyDescent="0.2">
      <c r="A6975"/>
      <c r="B6975" s="663"/>
      <c r="C6975" s="663"/>
      <c r="D6975" s="663"/>
      <c r="E6975" s="663"/>
    </row>
    <row r="6976" spans="1:5" x14ac:dyDescent="0.2">
      <c r="A6976"/>
      <c r="B6976" s="663"/>
      <c r="C6976" s="663"/>
      <c r="D6976" s="663"/>
      <c r="E6976" s="663"/>
    </row>
    <row r="6977" spans="1:5" x14ac:dyDescent="0.2">
      <c r="A6977"/>
      <c r="B6977" s="663"/>
      <c r="C6977" s="663"/>
      <c r="D6977" s="663"/>
      <c r="E6977" s="663"/>
    </row>
    <row r="6978" spans="1:5" x14ac:dyDescent="0.2">
      <c r="A6978"/>
      <c r="B6978" s="663"/>
      <c r="C6978" s="663"/>
      <c r="D6978" s="663"/>
      <c r="E6978" s="663"/>
    </row>
    <row r="6979" spans="1:5" x14ac:dyDescent="0.2">
      <c r="A6979"/>
      <c r="B6979" s="663"/>
      <c r="C6979" s="663"/>
      <c r="D6979" s="663"/>
      <c r="E6979" s="663"/>
    </row>
    <row r="6980" spans="1:5" x14ac:dyDescent="0.2">
      <c r="A6980"/>
      <c r="B6980" s="663"/>
      <c r="C6980" s="663"/>
      <c r="D6980" s="663"/>
      <c r="E6980" s="663"/>
    </row>
    <row r="6981" spans="1:5" x14ac:dyDescent="0.2">
      <c r="A6981"/>
      <c r="B6981" s="663"/>
      <c r="C6981" s="663"/>
      <c r="D6981" s="663"/>
      <c r="E6981" s="663"/>
    </row>
    <row r="6982" spans="1:5" x14ac:dyDescent="0.2">
      <c r="A6982"/>
      <c r="B6982" s="663"/>
      <c r="C6982" s="663"/>
      <c r="D6982" s="663"/>
      <c r="E6982" s="663"/>
    </row>
    <row r="6983" spans="1:5" x14ac:dyDescent="0.2">
      <c r="A6983"/>
      <c r="B6983" s="663"/>
      <c r="C6983" s="663"/>
      <c r="D6983" s="663"/>
      <c r="E6983" s="663"/>
    </row>
    <row r="6984" spans="1:5" x14ac:dyDescent="0.2">
      <c r="A6984"/>
      <c r="B6984" s="663"/>
      <c r="C6984" s="663"/>
      <c r="D6984" s="663"/>
      <c r="E6984" s="663"/>
    </row>
    <row r="6985" spans="1:5" x14ac:dyDescent="0.2">
      <c r="A6985"/>
      <c r="B6985" s="663"/>
      <c r="C6985" s="663"/>
      <c r="D6985" s="663"/>
      <c r="E6985" s="663"/>
    </row>
    <row r="6986" spans="1:5" x14ac:dyDescent="0.2">
      <c r="A6986"/>
      <c r="B6986" s="663"/>
      <c r="C6986" s="663"/>
      <c r="D6986" s="663"/>
      <c r="E6986" s="663"/>
    </row>
    <row r="6987" spans="1:5" x14ac:dyDescent="0.2">
      <c r="A6987"/>
      <c r="B6987" s="663"/>
      <c r="C6987" s="663"/>
      <c r="D6987" s="663"/>
      <c r="E6987" s="663"/>
    </row>
    <row r="6988" spans="1:5" x14ac:dyDescent="0.2">
      <c r="A6988"/>
      <c r="B6988" s="663"/>
      <c r="C6988" s="663"/>
      <c r="D6988" s="663"/>
      <c r="E6988" s="663"/>
    </row>
    <row r="6989" spans="1:5" x14ac:dyDescent="0.2">
      <c r="A6989"/>
      <c r="B6989" s="663"/>
      <c r="C6989" s="663"/>
      <c r="D6989" s="663"/>
      <c r="E6989" s="663"/>
    </row>
    <row r="6990" spans="1:5" x14ac:dyDescent="0.2">
      <c r="A6990"/>
      <c r="B6990" s="663"/>
      <c r="C6990" s="663"/>
      <c r="D6990" s="663"/>
      <c r="E6990" s="663"/>
    </row>
    <row r="6991" spans="1:5" x14ac:dyDescent="0.2">
      <c r="A6991"/>
      <c r="B6991" s="663"/>
      <c r="C6991" s="663"/>
      <c r="D6991" s="663"/>
      <c r="E6991" s="663"/>
    </row>
    <row r="6992" spans="1:5" x14ac:dyDescent="0.2">
      <c r="A6992"/>
      <c r="B6992" s="663"/>
      <c r="C6992" s="663"/>
      <c r="D6992" s="663"/>
      <c r="E6992" s="663"/>
    </row>
    <row r="6993" spans="1:5" x14ac:dyDescent="0.2">
      <c r="A6993"/>
      <c r="B6993" s="663"/>
      <c r="C6993" s="663"/>
      <c r="D6993" s="663"/>
      <c r="E6993" s="663"/>
    </row>
    <row r="6994" spans="1:5" x14ac:dyDescent="0.2">
      <c r="A6994"/>
      <c r="B6994" s="663"/>
      <c r="C6994" s="663"/>
      <c r="D6994" s="663"/>
      <c r="E6994" s="663"/>
    </row>
    <row r="6995" spans="1:5" x14ac:dyDescent="0.2">
      <c r="A6995"/>
      <c r="B6995" s="663"/>
      <c r="C6995" s="663"/>
      <c r="D6995" s="663"/>
      <c r="E6995" s="663"/>
    </row>
    <row r="6996" spans="1:5" x14ac:dyDescent="0.2">
      <c r="A6996"/>
      <c r="B6996" s="663"/>
      <c r="C6996" s="663"/>
      <c r="D6996" s="663"/>
      <c r="E6996" s="663"/>
    </row>
    <row r="6997" spans="1:5" x14ac:dyDescent="0.2">
      <c r="A6997"/>
      <c r="B6997" s="663"/>
      <c r="C6997" s="663"/>
      <c r="D6997" s="663"/>
      <c r="E6997" s="663"/>
    </row>
    <row r="6998" spans="1:5" x14ac:dyDescent="0.2">
      <c r="A6998"/>
      <c r="B6998" s="663"/>
      <c r="C6998" s="663"/>
      <c r="D6998" s="663"/>
      <c r="E6998" s="663"/>
    </row>
    <row r="6999" spans="1:5" x14ac:dyDescent="0.2">
      <c r="A6999"/>
      <c r="B6999" s="663"/>
      <c r="C6999" s="663"/>
      <c r="D6999" s="663"/>
      <c r="E6999" s="663"/>
    </row>
    <row r="7000" spans="1:5" x14ac:dyDescent="0.2">
      <c r="A7000"/>
      <c r="B7000" s="663"/>
      <c r="C7000" s="663"/>
      <c r="D7000" s="663"/>
      <c r="E7000" s="663"/>
    </row>
    <row r="7001" spans="1:5" x14ac:dyDescent="0.2">
      <c r="A7001"/>
      <c r="B7001" s="663"/>
      <c r="C7001" s="663"/>
      <c r="D7001" s="663"/>
      <c r="E7001" s="663"/>
    </row>
    <row r="7002" spans="1:5" x14ac:dyDescent="0.2">
      <c r="A7002"/>
      <c r="B7002" s="663"/>
      <c r="C7002" s="663"/>
      <c r="D7002" s="663"/>
      <c r="E7002" s="663"/>
    </row>
    <row r="7003" spans="1:5" x14ac:dyDescent="0.2">
      <c r="A7003"/>
      <c r="B7003" s="663"/>
      <c r="C7003" s="663"/>
      <c r="D7003" s="663"/>
      <c r="E7003" s="663"/>
    </row>
    <row r="7004" spans="1:5" x14ac:dyDescent="0.2">
      <c r="A7004"/>
      <c r="B7004" s="663"/>
      <c r="C7004" s="663"/>
      <c r="D7004" s="663"/>
      <c r="E7004" s="663"/>
    </row>
    <row r="7005" spans="1:5" x14ac:dyDescent="0.2">
      <c r="A7005"/>
      <c r="B7005" s="663"/>
      <c r="C7005" s="663"/>
      <c r="D7005" s="663"/>
      <c r="E7005" s="663"/>
    </row>
    <row r="7006" spans="1:5" x14ac:dyDescent="0.2">
      <c r="A7006"/>
      <c r="B7006" s="663"/>
      <c r="C7006" s="663"/>
      <c r="D7006" s="663"/>
      <c r="E7006" s="663"/>
    </row>
    <row r="7007" spans="1:5" x14ac:dyDescent="0.2">
      <c r="A7007"/>
      <c r="B7007" s="663"/>
      <c r="C7007" s="663"/>
      <c r="D7007" s="663"/>
      <c r="E7007" s="663"/>
    </row>
    <row r="7008" spans="1:5" x14ac:dyDescent="0.2">
      <c r="A7008"/>
      <c r="B7008" s="663"/>
      <c r="C7008" s="663"/>
      <c r="D7008" s="663"/>
      <c r="E7008" s="663"/>
    </row>
    <row r="7009" spans="1:5" x14ac:dyDescent="0.2">
      <c r="A7009"/>
      <c r="B7009" s="663"/>
      <c r="C7009" s="663"/>
      <c r="D7009" s="663"/>
      <c r="E7009" s="663"/>
    </row>
    <row r="7010" spans="1:5" x14ac:dyDescent="0.2">
      <c r="A7010"/>
      <c r="B7010" s="663"/>
      <c r="C7010" s="663"/>
      <c r="D7010" s="663"/>
      <c r="E7010" s="663"/>
    </row>
    <row r="7011" spans="1:5" x14ac:dyDescent="0.2">
      <c r="A7011"/>
      <c r="B7011" s="663"/>
      <c r="C7011" s="663"/>
      <c r="D7011" s="663"/>
      <c r="E7011" s="663"/>
    </row>
    <row r="7012" spans="1:5" x14ac:dyDescent="0.2">
      <c r="A7012"/>
      <c r="B7012" s="663"/>
      <c r="C7012" s="663"/>
      <c r="D7012" s="663"/>
      <c r="E7012" s="663"/>
    </row>
    <row r="7013" spans="1:5" x14ac:dyDescent="0.2">
      <c r="A7013"/>
      <c r="B7013" s="663"/>
      <c r="C7013" s="663"/>
      <c r="D7013" s="663"/>
      <c r="E7013" s="663"/>
    </row>
    <row r="7014" spans="1:5" x14ac:dyDescent="0.2">
      <c r="A7014"/>
      <c r="B7014" s="663"/>
      <c r="C7014" s="663"/>
      <c r="D7014" s="663"/>
      <c r="E7014" s="663"/>
    </row>
    <row r="7015" spans="1:5" x14ac:dyDescent="0.2">
      <c r="A7015"/>
      <c r="B7015" s="663"/>
      <c r="C7015" s="663"/>
      <c r="D7015" s="663"/>
      <c r="E7015" s="663"/>
    </row>
    <row r="7016" spans="1:5" x14ac:dyDescent="0.2">
      <c r="A7016"/>
      <c r="B7016" s="663"/>
      <c r="C7016" s="663"/>
      <c r="D7016" s="663"/>
      <c r="E7016" s="663"/>
    </row>
    <row r="7017" spans="1:5" x14ac:dyDescent="0.2">
      <c r="A7017"/>
      <c r="B7017" s="663"/>
      <c r="C7017" s="663"/>
      <c r="D7017" s="663"/>
      <c r="E7017" s="663"/>
    </row>
    <row r="7018" spans="1:5" x14ac:dyDescent="0.2">
      <c r="A7018"/>
      <c r="B7018" s="663"/>
      <c r="C7018" s="663"/>
      <c r="D7018" s="663"/>
      <c r="E7018" s="663"/>
    </row>
    <row r="7019" spans="1:5" x14ac:dyDescent="0.2">
      <c r="A7019"/>
      <c r="B7019" s="663"/>
      <c r="C7019" s="663"/>
      <c r="D7019" s="663"/>
      <c r="E7019" s="663"/>
    </row>
    <row r="7020" spans="1:5" x14ac:dyDescent="0.2">
      <c r="A7020"/>
      <c r="B7020" s="663"/>
      <c r="C7020" s="663"/>
      <c r="D7020" s="663"/>
      <c r="E7020" s="663"/>
    </row>
    <row r="7021" spans="1:5" x14ac:dyDescent="0.2">
      <c r="A7021"/>
      <c r="B7021" s="663"/>
      <c r="C7021" s="663"/>
      <c r="D7021" s="663"/>
      <c r="E7021" s="663"/>
    </row>
    <row r="7022" spans="1:5" x14ac:dyDescent="0.2">
      <c r="A7022"/>
      <c r="B7022" s="663"/>
      <c r="C7022" s="663"/>
      <c r="D7022" s="663"/>
      <c r="E7022" s="663"/>
    </row>
    <row r="7023" spans="1:5" x14ac:dyDescent="0.2">
      <c r="A7023"/>
      <c r="B7023" s="663"/>
      <c r="C7023" s="663"/>
      <c r="D7023" s="663"/>
      <c r="E7023" s="663"/>
    </row>
    <row r="7024" spans="1:5" x14ac:dyDescent="0.2">
      <c r="A7024"/>
      <c r="B7024" s="663"/>
      <c r="C7024" s="663"/>
      <c r="D7024" s="663"/>
      <c r="E7024" s="663"/>
    </row>
    <row r="7025" spans="1:5" x14ac:dyDescent="0.2">
      <c r="A7025"/>
      <c r="B7025" s="663"/>
      <c r="C7025" s="663"/>
      <c r="D7025" s="663"/>
      <c r="E7025" s="663"/>
    </row>
    <row r="7026" spans="1:5" x14ac:dyDescent="0.2">
      <c r="A7026"/>
      <c r="B7026" s="663"/>
      <c r="C7026" s="663"/>
      <c r="D7026" s="663"/>
      <c r="E7026" s="663"/>
    </row>
    <row r="7027" spans="1:5" x14ac:dyDescent="0.2">
      <c r="A7027"/>
      <c r="B7027" s="663"/>
      <c r="C7027" s="663"/>
      <c r="D7027" s="663"/>
      <c r="E7027" s="663"/>
    </row>
    <row r="7028" spans="1:5" x14ac:dyDescent="0.2">
      <c r="A7028"/>
      <c r="B7028" s="663"/>
      <c r="C7028" s="663"/>
      <c r="D7028" s="663"/>
      <c r="E7028" s="663"/>
    </row>
    <row r="7029" spans="1:5" x14ac:dyDescent="0.2">
      <c r="A7029"/>
      <c r="B7029" s="663"/>
      <c r="C7029" s="663"/>
      <c r="D7029" s="663"/>
      <c r="E7029" s="663"/>
    </row>
    <row r="7030" spans="1:5" x14ac:dyDescent="0.2">
      <c r="A7030"/>
      <c r="B7030" s="663"/>
      <c r="C7030" s="663"/>
      <c r="D7030" s="663"/>
      <c r="E7030" s="663"/>
    </row>
    <row r="7031" spans="1:5" x14ac:dyDescent="0.2">
      <c r="A7031"/>
      <c r="B7031" s="663"/>
      <c r="C7031" s="663"/>
      <c r="D7031" s="663"/>
      <c r="E7031" s="663"/>
    </row>
    <row r="7032" spans="1:5" x14ac:dyDescent="0.2">
      <c r="A7032"/>
      <c r="B7032" s="663"/>
      <c r="C7032" s="663"/>
      <c r="D7032" s="663"/>
      <c r="E7032" s="663"/>
    </row>
    <row r="7033" spans="1:5" x14ac:dyDescent="0.2">
      <c r="A7033"/>
      <c r="B7033" s="663"/>
      <c r="C7033" s="663"/>
      <c r="D7033" s="663"/>
      <c r="E7033" s="663"/>
    </row>
    <row r="7034" spans="1:5" x14ac:dyDescent="0.2">
      <c r="A7034"/>
      <c r="B7034" s="663"/>
      <c r="C7034" s="663"/>
      <c r="D7034" s="663"/>
      <c r="E7034" s="663"/>
    </row>
    <row r="7035" spans="1:5" x14ac:dyDescent="0.2">
      <c r="A7035"/>
      <c r="B7035" s="663"/>
      <c r="C7035" s="663"/>
      <c r="D7035" s="663"/>
      <c r="E7035" s="663"/>
    </row>
    <row r="7036" spans="1:5" x14ac:dyDescent="0.2">
      <c r="A7036"/>
      <c r="B7036" s="663"/>
      <c r="C7036" s="663"/>
      <c r="D7036" s="663"/>
      <c r="E7036" s="663"/>
    </row>
    <row r="7037" spans="1:5" x14ac:dyDescent="0.2">
      <c r="A7037"/>
      <c r="B7037" s="663"/>
      <c r="C7037" s="663"/>
      <c r="D7037" s="663"/>
      <c r="E7037" s="663"/>
    </row>
    <row r="7038" spans="1:5" x14ac:dyDescent="0.2">
      <c r="A7038"/>
      <c r="B7038" s="663"/>
      <c r="C7038" s="663"/>
      <c r="D7038" s="663"/>
      <c r="E7038" s="663"/>
    </row>
    <row r="7039" spans="1:5" x14ac:dyDescent="0.2">
      <c r="A7039"/>
      <c r="B7039" s="663"/>
      <c r="C7039" s="663"/>
      <c r="D7039" s="663"/>
      <c r="E7039" s="663"/>
    </row>
    <row r="7040" spans="1:5" x14ac:dyDescent="0.2">
      <c r="A7040"/>
      <c r="B7040" s="663"/>
      <c r="C7040" s="663"/>
      <c r="D7040" s="663"/>
      <c r="E7040" s="663"/>
    </row>
    <row r="7041" spans="1:5" x14ac:dyDescent="0.2">
      <c r="A7041"/>
      <c r="B7041" s="663"/>
      <c r="C7041" s="663"/>
      <c r="D7041" s="663"/>
      <c r="E7041" s="663"/>
    </row>
    <row r="7042" spans="1:5" x14ac:dyDescent="0.2">
      <c r="A7042"/>
      <c r="B7042" s="663"/>
      <c r="C7042" s="663"/>
      <c r="D7042" s="663"/>
      <c r="E7042" s="663"/>
    </row>
    <row r="7043" spans="1:5" x14ac:dyDescent="0.2">
      <c r="A7043"/>
      <c r="B7043" s="663"/>
      <c r="C7043" s="663"/>
      <c r="D7043" s="663"/>
      <c r="E7043" s="663"/>
    </row>
    <row r="7044" spans="1:5" x14ac:dyDescent="0.2">
      <c r="A7044"/>
      <c r="B7044" s="663"/>
      <c r="C7044" s="663"/>
      <c r="D7044" s="663"/>
      <c r="E7044" s="663"/>
    </row>
    <row r="7045" spans="1:5" x14ac:dyDescent="0.2">
      <c r="A7045"/>
      <c r="B7045" s="663"/>
      <c r="C7045" s="663"/>
      <c r="D7045" s="663"/>
      <c r="E7045" s="663"/>
    </row>
    <row r="7046" spans="1:5" x14ac:dyDescent="0.2">
      <c r="A7046"/>
      <c r="B7046" s="663"/>
      <c r="C7046" s="663"/>
      <c r="D7046" s="663"/>
      <c r="E7046" s="663"/>
    </row>
    <row r="7047" spans="1:5" x14ac:dyDescent="0.2">
      <c r="A7047"/>
      <c r="B7047" s="663"/>
      <c r="C7047" s="663"/>
      <c r="D7047" s="663"/>
      <c r="E7047" s="663"/>
    </row>
    <row r="7048" spans="1:5" x14ac:dyDescent="0.2">
      <c r="A7048"/>
      <c r="B7048" s="663"/>
      <c r="C7048" s="663"/>
      <c r="D7048" s="663"/>
      <c r="E7048" s="663"/>
    </row>
    <row r="7049" spans="1:5" x14ac:dyDescent="0.2">
      <c r="A7049"/>
      <c r="B7049" s="663"/>
      <c r="C7049" s="663"/>
      <c r="D7049" s="663"/>
      <c r="E7049" s="663"/>
    </row>
    <row r="7050" spans="1:5" x14ac:dyDescent="0.2">
      <c r="A7050"/>
      <c r="B7050" s="663"/>
      <c r="C7050" s="663"/>
      <c r="D7050" s="663"/>
      <c r="E7050" s="663"/>
    </row>
    <row r="7051" spans="1:5" x14ac:dyDescent="0.2">
      <c r="A7051"/>
      <c r="B7051" s="663"/>
      <c r="C7051" s="663"/>
      <c r="D7051" s="663"/>
      <c r="E7051" s="663"/>
    </row>
    <row r="7052" spans="1:5" x14ac:dyDescent="0.2">
      <c r="A7052"/>
      <c r="B7052" s="663"/>
      <c r="C7052" s="663"/>
      <c r="D7052" s="663"/>
      <c r="E7052" s="663"/>
    </row>
    <row r="7053" spans="1:5" x14ac:dyDescent="0.2">
      <c r="A7053"/>
      <c r="B7053" s="663"/>
      <c r="C7053" s="663"/>
      <c r="D7053" s="663"/>
      <c r="E7053" s="663"/>
    </row>
    <row r="7054" spans="1:5" x14ac:dyDescent="0.2">
      <c r="A7054"/>
      <c r="B7054" s="663"/>
      <c r="C7054" s="663"/>
      <c r="D7054" s="663"/>
      <c r="E7054" s="663"/>
    </row>
    <row r="7055" spans="1:5" x14ac:dyDescent="0.2">
      <c r="A7055"/>
      <c r="B7055" s="663"/>
      <c r="C7055" s="663"/>
      <c r="D7055" s="663"/>
      <c r="E7055" s="663"/>
    </row>
    <row r="7056" spans="1:5" x14ac:dyDescent="0.2">
      <c r="A7056"/>
      <c r="B7056" s="663"/>
      <c r="C7056" s="663"/>
      <c r="D7056" s="663"/>
      <c r="E7056" s="663"/>
    </row>
    <row r="7057" spans="1:5" x14ac:dyDescent="0.2">
      <c r="A7057"/>
      <c r="B7057" s="663"/>
      <c r="C7057" s="663"/>
      <c r="D7057" s="663"/>
      <c r="E7057" s="663"/>
    </row>
    <row r="7058" spans="1:5" x14ac:dyDescent="0.2">
      <c r="A7058"/>
      <c r="B7058" s="663"/>
      <c r="C7058" s="663"/>
      <c r="D7058" s="663"/>
      <c r="E7058" s="663"/>
    </row>
    <row r="7059" spans="1:5" x14ac:dyDescent="0.2">
      <c r="A7059"/>
      <c r="B7059" s="663"/>
      <c r="C7059" s="663"/>
      <c r="D7059" s="663"/>
      <c r="E7059" s="663"/>
    </row>
    <row r="7060" spans="1:5" x14ac:dyDescent="0.2">
      <c r="A7060"/>
      <c r="B7060" s="663"/>
      <c r="C7060" s="663"/>
      <c r="D7060" s="663"/>
      <c r="E7060" s="663"/>
    </row>
    <row r="7061" spans="1:5" x14ac:dyDescent="0.2">
      <c r="A7061"/>
      <c r="B7061" s="663"/>
      <c r="C7061" s="663"/>
      <c r="D7061" s="663"/>
      <c r="E7061" s="663"/>
    </row>
    <row r="7062" spans="1:5" x14ac:dyDescent="0.2">
      <c r="A7062"/>
      <c r="B7062" s="663"/>
      <c r="C7062" s="663"/>
      <c r="D7062" s="663"/>
      <c r="E7062" s="663"/>
    </row>
    <row r="7063" spans="1:5" x14ac:dyDescent="0.2">
      <c r="A7063"/>
      <c r="B7063" s="663"/>
      <c r="C7063" s="663"/>
      <c r="D7063" s="663"/>
      <c r="E7063" s="663"/>
    </row>
    <row r="7064" spans="1:5" x14ac:dyDescent="0.2">
      <c r="A7064"/>
      <c r="B7064" s="663"/>
      <c r="C7064" s="663"/>
      <c r="D7064" s="663"/>
      <c r="E7064" s="663"/>
    </row>
    <row r="7065" spans="1:5" x14ac:dyDescent="0.2">
      <c r="A7065"/>
      <c r="B7065" s="663"/>
      <c r="C7065" s="663"/>
      <c r="D7065" s="663"/>
      <c r="E7065" s="663"/>
    </row>
    <row r="7066" spans="1:5" x14ac:dyDescent="0.2">
      <c r="A7066"/>
      <c r="B7066" s="663"/>
      <c r="C7066" s="663"/>
      <c r="D7066" s="663"/>
      <c r="E7066" s="663"/>
    </row>
    <row r="7067" spans="1:5" x14ac:dyDescent="0.2">
      <c r="A7067"/>
      <c r="B7067" s="663"/>
      <c r="C7067" s="663"/>
      <c r="D7067" s="663"/>
      <c r="E7067" s="663"/>
    </row>
    <row r="7068" spans="1:5" x14ac:dyDescent="0.2">
      <c r="A7068"/>
      <c r="B7068" s="663"/>
      <c r="C7068" s="663"/>
      <c r="D7068" s="663"/>
      <c r="E7068" s="663"/>
    </row>
    <row r="7069" spans="1:5" x14ac:dyDescent="0.2">
      <c r="A7069"/>
      <c r="B7069" s="663"/>
      <c r="C7069" s="663"/>
      <c r="D7069" s="663"/>
      <c r="E7069" s="663"/>
    </row>
    <row r="7070" spans="1:5" x14ac:dyDescent="0.2">
      <c r="A7070"/>
      <c r="B7070" s="663"/>
      <c r="C7070" s="663"/>
      <c r="D7070" s="663"/>
      <c r="E7070" s="663"/>
    </row>
    <row r="7071" spans="1:5" x14ac:dyDescent="0.2">
      <c r="A7071"/>
      <c r="B7071" s="663"/>
      <c r="C7071" s="663"/>
      <c r="D7071" s="663"/>
      <c r="E7071" s="663"/>
    </row>
    <row r="7072" spans="1:5" x14ac:dyDescent="0.2">
      <c r="A7072"/>
      <c r="B7072" s="663"/>
      <c r="C7072" s="663"/>
      <c r="D7072" s="663"/>
      <c r="E7072" s="663"/>
    </row>
    <row r="7073" spans="1:5" x14ac:dyDescent="0.2">
      <c r="A7073"/>
      <c r="B7073" s="663"/>
      <c r="C7073" s="663"/>
      <c r="D7073" s="663"/>
      <c r="E7073" s="663"/>
    </row>
    <row r="7074" spans="1:5" x14ac:dyDescent="0.2">
      <c r="A7074"/>
      <c r="B7074" s="663"/>
      <c r="C7074" s="663"/>
      <c r="D7074" s="663"/>
      <c r="E7074" s="663"/>
    </row>
    <row r="7075" spans="1:5" x14ac:dyDescent="0.2">
      <c r="A7075"/>
      <c r="B7075" s="663"/>
      <c r="C7075" s="663"/>
      <c r="D7075" s="663"/>
      <c r="E7075" s="663"/>
    </row>
    <row r="7076" spans="1:5" x14ac:dyDescent="0.2">
      <c r="A7076"/>
      <c r="B7076" s="663"/>
      <c r="C7076" s="663"/>
      <c r="D7076" s="663"/>
      <c r="E7076" s="663"/>
    </row>
    <row r="7077" spans="1:5" x14ac:dyDescent="0.2">
      <c r="A7077"/>
      <c r="B7077" s="663"/>
      <c r="C7077" s="663"/>
      <c r="D7077" s="663"/>
      <c r="E7077" s="663"/>
    </row>
    <row r="7078" spans="1:5" x14ac:dyDescent="0.2">
      <c r="A7078"/>
      <c r="B7078" s="663"/>
      <c r="C7078" s="663"/>
      <c r="D7078" s="663"/>
      <c r="E7078" s="663"/>
    </row>
    <row r="7079" spans="1:5" x14ac:dyDescent="0.2">
      <c r="A7079"/>
      <c r="B7079" s="663"/>
      <c r="C7079" s="663"/>
      <c r="D7079" s="663"/>
      <c r="E7079" s="663"/>
    </row>
    <row r="7080" spans="1:5" x14ac:dyDescent="0.2">
      <c r="A7080"/>
      <c r="B7080" s="663"/>
      <c r="C7080" s="663"/>
      <c r="D7080" s="663"/>
      <c r="E7080" s="663"/>
    </row>
    <row r="7081" spans="1:5" x14ac:dyDescent="0.2">
      <c r="A7081"/>
      <c r="B7081" s="663"/>
      <c r="C7081" s="663"/>
      <c r="D7081" s="663"/>
      <c r="E7081" s="663"/>
    </row>
    <row r="7082" spans="1:5" x14ac:dyDescent="0.2">
      <c r="A7082"/>
      <c r="B7082" s="663"/>
      <c r="C7082" s="663"/>
      <c r="D7082" s="663"/>
      <c r="E7082" s="663"/>
    </row>
    <row r="7083" spans="1:5" x14ac:dyDescent="0.2">
      <c r="A7083"/>
      <c r="B7083" s="663"/>
      <c r="C7083" s="663"/>
      <c r="D7083" s="663"/>
      <c r="E7083" s="663"/>
    </row>
    <row r="7084" spans="1:5" x14ac:dyDescent="0.2">
      <c r="A7084"/>
      <c r="B7084" s="663"/>
      <c r="C7084" s="663"/>
      <c r="D7084" s="663"/>
      <c r="E7084" s="663"/>
    </row>
    <row r="7085" spans="1:5" x14ac:dyDescent="0.2">
      <c r="A7085"/>
      <c r="B7085" s="663"/>
      <c r="C7085" s="663"/>
      <c r="D7085" s="663"/>
      <c r="E7085" s="663"/>
    </row>
    <row r="7086" spans="1:5" x14ac:dyDescent="0.2">
      <c r="A7086"/>
      <c r="B7086" s="663"/>
      <c r="C7086" s="663"/>
      <c r="D7086" s="663"/>
      <c r="E7086" s="663"/>
    </row>
    <row r="7087" spans="1:5" x14ac:dyDescent="0.2">
      <c r="A7087"/>
      <c r="B7087" s="663"/>
      <c r="C7087" s="663"/>
      <c r="D7087" s="663"/>
      <c r="E7087" s="663"/>
    </row>
    <row r="7088" spans="1:5" x14ac:dyDescent="0.2">
      <c r="A7088"/>
      <c r="B7088" s="663"/>
      <c r="C7088" s="663"/>
      <c r="D7088" s="663"/>
      <c r="E7088" s="663"/>
    </row>
    <row r="7089" spans="1:5" x14ac:dyDescent="0.2">
      <c r="A7089"/>
      <c r="B7089" s="663"/>
      <c r="C7089" s="663"/>
      <c r="D7089" s="663"/>
      <c r="E7089" s="663"/>
    </row>
    <row r="7090" spans="1:5" x14ac:dyDescent="0.2">
      <c r="A7090"/>
      <c r="B7090" s="663"/>
      <c r="C7090" s="663"/>
      <c r="D7090" s="663"/>
      <c r="E7090" s="663"/>
    </row>
    <row r="7091" spans="1:5" x14ac:dyDescent="0.2">
      <c r="A7091"/>
      <c r="B7091" s="663"/>
      <c r="C7091" s="663"/>
      <c r="D7091" s="663"/>
      <c r="E7091" s="663"/>
    </row>
    <row r="7092" spans="1:5" x14ac:dyDescent="0.2">
      <c r="A7092"/>
      <c r="B7092" s="663"/>
      <c r="C7092" s="663"/>
      <c r="D7092" s="663"/>
      <c r="E7092" s="663"/>
    </row>
    <row r="7093" spans="1:5" x14ac:dyDescent="0.2">
      <c r="A7093"/>
      <c r="B7093" s="663"/>
      <c r="C7093" s="663"/>
      <c r="D7093" s="663"/>
      <c r="E7093" s="663"/>
    </row>
    <row r="7094" spans="1:5" x14ac:dyDescent="0.2">
      <c r="A7094"/>
      <c r="B7094" s="663"/>
      <c r="C7094" s="663"/>
      <c r="D7094" s="663"/>
      <c r="E7094" s="663"/>
    </row>
    <row r="7095" spans="1:5" x14ac:dyDescent="0.2">
      <c r="A7095"/>
      <c r="B7095" s="663"/>
      <c r="C7095" s="663"/>
      <c r="D7095" s="663"/>
      <c r="E7095" s="663"/>
    </row>
    <row r="7096" spans="1:5" x14ac:dyDescent="0.2">
      <c r="A7096"/>
      <c r="B7096" s="663"/>
      <c r="C7096" s="663"/>
      <c r="D7096" s="663"/>
      <c r="E7096" s="663"/>
    </row>
    <row r="7097" spans="1:5" x14ac:dyDescent="0.2">
      <c r="A7097"/>
      <c r="B7097" s="663"/>
      <c r="C7097" s="663"/>
      <c r="D7097" s="663"/>
      <c r="E7097" s="663"/>
    </row>
    <row r="7098" spans="1:5" x14ac:dyDescent="0.2">
      <c r="A7098"/>
      <c r="B7098" s="663"/>
      <c r="C7098" s="663"/>
      <c r="D7098" s="663"/>
      <c r="E7098" s="663"/>
    </row>
    <row r="7099" spans="1:5" x14ac:dyDescent="0.2">
      <c r="A7099"/>
      <c r="B7099" s="663"/>
      <c r="C7099" s="663"/>
      <c r="D7099" s="663"/>
      <c r="E7099" s="663"/>
    </row>
    <row r="7100" spans="1:5" x14ac:dyDescent="0.2">
      <c r="A7100"/>
      <c r="B7100" s="663"/>
      <c r="C7100" s="663"/>
      <c r="D7100" s="663"/>
      <c r="E7100" s="663"/>
    </row>
    <row r="7101" spans="1:5" x14ac:dyDescent="0.2">
      <c r="A7101"/>
      <c r="B7101" s="663"/>
      <c r="C7101" s="663"/>
      <c r="D7101" s="663"/>
      <c r="E7101" s="663"/>
    </row>
    <row r="7102" spans="1:5" x14ac:dyDescent="0.2">
      <c r="A7102"/>
      <c r="B7102" s="663"/>
      <c r="C7102" s="663"/>
      <c r="D7102" s="663"/>
      <c r="E7102" s="663"/>
    </row>
    <row r="7103" spans="1:5" x14ac:dyDescent="0.2">
      <c r="A7103"/>
      <c r="B7103" s="663"/>
      <c r="C7103" s="663"/>
      <c r="D7103" s="663"/>
      <c r="E7103" s="663"/>
    </row>
    <row r="7104" spans="1:5" x14ac:dyDescent="0.2">
      <c r="A7104"/>
      <c r="B7104" s="663"/>
      <c r="C7104" s="663"/>
      <c r="D7104" s="663"/>
      <c r="E7104" s="663"/>
    </row>
    <row r="7105" spans="1:5" x14ac:dyDescent="0.2">
      <c r="A7105"/>
      <c r="B7105" s="663"/>
      <c r="C7105" s="663"/>
      <c r="D7105" s="663"/>
      <c r="E7105" s="663"/>
    </row>
    <row r="7106" spans="1:5" x14ac:dyDescent="0.2">
      <c r="A7106"/>
      <c r="B7106" s="663"/>
      <c r="C7106" s="663"/>
      <c r="D7106" s="663"/>
      <c r="E7106" s="663"/>
    </row>
    <row r="7107" spans="1:5" x14ac:dyDescent="0.2">
      <c r="A7107"/>
      <c r="B7107" s="663"/>
      <c r="C7107" s="663"/>
      <c r="D7107" s="663"/>
      <c r="E7107" s="663"/>
    </row>
    <row r="7108" spans="1:5" x14ac:dyDescent="0.2">
      <c r="A7108"/>
      <c r="B7108" s="663"/>
      <c r="C7108" s="663"/>
      <c r="D7108" s="663"/>
      <c r="E7108" s="663"/>
    </row>
    <row r="7109" spans="1:5" x14ac:dyDescent="0.2">
      <c r="A7109"/>
      <c r="B7109" s="663"/>
      <c r="C7109" s="663"/>
      <c r="D7109" s="663"/>
      <c r="E7109" s="663"/>
    </row>
    <row r="7110" spans="1:5" x14ac:dyDescent="0.2">
      <c r="A7110"/>
      <c r="B7110" s="663"/>
      <c r="C7110" s="663"/>
      <c r="D7110" s="663"/>
      <c r="E7110" s="663"/>
    </row>
    <row r="7111" spans="1:5" x14ac:dyDescent="0.2">
      <c r="A7111"/>
      <c r="B7111" s="663"/>
      <c r="C7111" s="663"/>
      <c r="D7111" s="663"/>
      <c r="E7111" s="663"/>
    </row>
    <row r="7112" spans="1:5" x14ac:dyDescent="0.2">
      <c r="A7112"/>
      <c r="B7112" s="663"/>
      <c r="C7112" s="663"/>
      <c r="D7112" s="663"/>
      <c r="E7112" s="663"/>
    </row>
    <row r="7113" spans="1:5" x14ac:dyDescent="0.2">
      <c r="A7113"/>
      <c r="B7113" s="663"/>
      <c r="C7113" s="663"/>
      <c r="D7113" s="663"/>
      <c r="E7113" s="663"/>
    </row>
    <row r="7114" spans="1:5" x14ac:dyDescent="0.2">
      <c r="A7114"/>
      <c r="B7114" s="663"/>
      <c r="C7114" s="663"/>
      <c r="D7114" s="663"/>
      <c r="E7114" s="663"/>
    </row>
    <row r="7115" spans="1:5" x14ac:dyDescent="0.2">
      <c r="A7115"/>
      <c r="B7115" s="663"/>
      <c r="C7115" s="663"/>
      <c r="D7115" s="663"/>
      <c r="E7115" s="663"/>
    </row>
    <row r="7116" spans="1:5" x14ac:dyDescent="0.2">
      <c r="A7116"/>
      <c r="B7116" s="663"/>
      <c r="C7116" s="663"/>
      <c r="D7116" s="663"/>
      <c r="E7116" s="663"/>
    </row>
    <row r="7117" spans="1:5" x14ac:dyDescent="0.2">
      <c r="A7117"/>
      <c r="B7117" s="663"/>
      <c r="C7117" s="663"/>
      <c r="D7117" s="663"/>
      <c r="E7117" s="663"/>
    </row>
    <row r="7118" spans="1:5" x14ac:dyDescent="0.2">
      <c r="A7118"/>
      <c r="B7118" s="663"/>
      <c r="C7118" s="663"/>
      <c r="D7118" s="663"/>
      <c r="E7118" s="663"/>
    </row>
    <row r="7119" spans="1:5" x14ac:dyDescent="0.2">
      <c r="A7119"/>
      <c r="B7119" s="663"/>
      <c r="C7119" s="663"/>
      <c r="D7119" s="663"/>
      <c r="E7119" s="663"/>
    </row>
    <row r="7120" spans="1:5" x14ac:dyDescent="0.2">
      <c r="A7120"/>
      <c r="B7120" s="663"/>
      <c r="C7120" s="663"/>
      <c r="D7120" s="663"/>
      <c r="E7120" s="663"/>
    </row>
    <row r="7121" spans="1:5" x14ac:dyDescent="0.2">
      <c r="A7121"/>
      <c r="B7121" s="663"/>
      <c r="C7121" s="663"/>
      <c r="D7121" s="663"/>
      <c r="E7121" s="663"/>
    </row>
    <row r="7122" spans="1:5" x14ac:dyDescent="0.2">
      <c r="A7122"/>
      <c r="B7122" s="663"/>
      <c r="C7122" s="663"/>
      <c r="D7122" s="663"/>
      <c r="E7122" s="663"/>
    </row>
    <row r="7123" spans="1:5" x14ac:dyDescent="0.2">
      <c r="A7123"/>
      <c r="B7123" s="663"/>
      <c r="C7123" s="663"/>
      <c r="D7123" s="663"/>
      <c r="E7123" s="663"/>
    </row>
    <row r="7124" spans="1:5" x14ac:dyDescent="0.2">
      <c r="A7124"/>
      <c r="B7124" s="663"/>
      <c r="C7124" s="663"/>
      <c r="D7124" s="663"/>
      <c r="E7124" s="663"/>
    </row>
    <row r="7125" spans="1:5" x14ac:dyDescent="0.2">
      <c r="A7125"/>
      <c r="B7125" s="663"/>
      <c r="C7125" s="663"/>
      <c r="D7125" s="663"/>
      <c r="E7125" s="663"/>
    </row>
    <row r="7126" spans="1:5" x14ac:dyDescent="0.2">
      <c r="A7126"/>
      <c r="B7126" s="663"/>
      <c r="C7126" s="663"/>
      <c r="D7126" s="663"/>
      <c r="E7126" s="663"/>
    </row>
    <row r="7127" spans="1:5" x14ac:dyDescent="0.2">
      <c r="A7127"/>
      <c r="B7127" s="663"/>
      <c r="C7127" s="663"/>
      <c r="D7127" s="663"/>
      <c r="E7127" s="663"/>
    </row>
    <row r="7128" spans="1:5" x14ac:dyDescent="0.2">
      <c r="A7128"/>
      <c r="B7128" s="663"/>
      <c r="C7128" s="663"/>
      <c r="D7128" s="663"/>
      <c r="E7128" s="663"/>
    </row>
    <row r="7129" spans="1:5" x14ac:dyDescent="0.2">
      <c r="A7129"/>
      <c r="B7129" s="663"/>
      <c r="C7129" s="663"/>
      <c r="D7129" s="663"/>
      <c r="E7129" s="663"/>
    </row>
    <row r="7130" spans="1:5" x14ac:dyDescent="0.2">
      <c r="A7130"/>
      <c r="B7130" s="663"/>
      <c r="C7130" s="663"/>
      <c r="D7130" s="663"/>
      <c r="E7130" s="663"/>
    </row>
    <row r="7131" spans="1:5" x14ac:dyDescent="0.2">
      <c r="A7131"/>
      <c r="B7131" s="663"/>
      <c r="C7131" s="663"/>
      <c r="D7131" s="663"/>
      <c r="E7131" s="663"/>
    </row>
    <row r="7132" spans="1:5" x14ac:dyDescent="0.2">
      <c r="A7132"/>
      <c r="B7132" s="663"/>
      <c r="C7132" s="663"/>
      <c r="D7132" s="663"/>
      <c r="E7132" s="663"/>
    </row>
    <row r="7133" spans="1:5" x14ac:dyDescent="0.2">
      <c r="A7133"/>
      <c r="B7133" s="663"/>
      <c r="C7133" s="663"/>
      <c r="D7133" s="663"/>
      <c r="E7133" s="663"/>
    </row>
    <row r="7134" spans="1:5" x14ac:dyDescent="0.2">
      <c r="A7134"/>
      <c r="B7134" s="663"/>
      <c r="C7134" s="663"/>
      <c r="D7134" s="663"/>
      <c r="E7134" s="663"/>
    </row>
    <row r="7135" spans="1:5" x14ac:dyDescent="0.2">
      <c r="A7135"/>
      <c r="B7135" s="663"/>
      <c r="C7135" s="663"/>
      <c r="D7135" s="663"/>
      <c r="E7135" s="663"/>
    </row>
    <row r="7136" spans="1:5" x14ac:dyDescent="0.2">
      <c r="A7136"/>
      <c r="B7136" s="663"/>
      <c r="C7136" s="663"/>
      <c r="D7136" s="663"/>
      <c r="E7136" s="663"/>
    </row>
    <row r="7137" spans="1:5" x14ac:dyDescent="0.2">
      <c r="A7137"/>
      <c r="B7137" s="663"/>
      <c r="C7137" s="663"/>
      <c r="D7137" s="663"/>
      <c r="E7137" s="663"/>
    </row>
    <row r="7138" spans="1:5" x14ac:dyDescent="0.2">
      <c r="A7138"/>
      <c r="B7138" s="663"/>
      <c r="C7138" s="663"/>
      <c r="D7138" s="663"/>
      <c r="E7138" s="663"/>
    </row>
    <row r="7139" spans="1:5" x14ac:dyDescent="0.2">
      <c r="A7139"/>
      <c r="B7139" s="663"/>
      <c r="C7139" s="663"/>
      <c r="D7139" s="663"/>
      <c r="E7139" s="663"/>
    </row>
    <row r="7140" spans="1:5" x14ac:dyDescent="0.2">
      <c r="A7140"/>
      <c r="B7140" s="663"/>
      <c r="C7140" s="663"/>
      <c r="D7140" s="663"/>
      <c r="E7140" s="663"/>
    </row>
    <row r="7141" spans="1:5" x14ac:dyDescent="0.2">
      <c r="A7141"/>
      <c r="B7141" s="663"/>
      <c r="C7141" s="663"/>
      <c r="D7141" s="663"/>
      <c r="E7141" s="663"/>
    </row>
    <row r="7142" spans="1:5" x14ac:dyDescent="0.2">
      <c r="A7142"/>
      <c r="B7142" s="663"/>
      <c r="C7142" s="663"/>
      <c r="D7142" s="663"/>
      <c r="E7142" s="663"/>
    </row>
    <row r="7143" spans="1:5" x14ac:dyDescent="0.2">
      <c r="A7143"/>
      <c r="B7143" s="663"/>
      <c r="C7143" s="663"/>
      <c r="D7143" s="663"/>
      <c r="E7143" s="663"/>
    </row>
    <row r="7144" spans="1:5" x14ac:dyDescent="0.2">
      <c r="A7144"/>
      <c r="B7144" s="663"/>
      <c r="C7144" s="663"/>
      <c r="D7144" s="663"/>
      <c r="E7144" s="663"/>
    </row>
    <row r="7145" spans="1:5" x14ac:dyDescent="0.2">
      <c r="A7145"/>
      <c r="B7145" s="663"/>
      <c r="C7145" s="663"/>
      <c r="D7145" s="663"/>
      <c r="E7145" s="663"/>
    </row>
    <row r="7146" spans="1:5" x14ac:dyDescent="0.2">
      <c r="A7146"/>
      <c r="B7146" s="663"/>
      <c r="C7146" s="663"/>
      <c r="D7146" s="663"/>
      <c r="E7146" s="663"/>
    </row>
    <row r="7147" spans="1:5" x14ac:dyDescent="0.2">
      <c r="A7147"/>
      <c r="B7147" s="663"/>
      <c r="C7147" s="663"/>
      <c r="D7147" s="663"/>
      <c r="E7147" s="663"/>
    </row>
    <row r="7148" spans="1:5" x14ac:dyDescent="0.2">
      <c r="A7148"/>
      <c r="B7148" s="663"/>
      <c r="C7148" s="663"/>
      <c r="D7148" s="663"/>
      <c r="E7148" s="663"/>
    </row>
    <row r="7149" spans="1:5" x14ac:dyDescent="0.2">
      <c r="A7149"/>
      <c r="B7149" s="663"/>
      <c r="C7149" s="663"/>
      <c r="D7149" s="663"/>
      <c r="E7149" s="663"/>
    </row>
    <row r="7150" spans="1:5" x14ac:dyDescent="0.2">
      <c r="A7150"/>
      <c r="B7150" s="663"/>
      <c r="C7150" s="663"/>
      <c r="D7150" s="663"/>
      <c r="E7150" s="663"/>
    </row>
    <row r="7151" spans="1:5" x14ac:dyDescent="0.2">
      <c r="A7151"/>
      <c r="B7151" s="663"/>
      <c r="C7151" s="663"/>
      <c r="D7151" s="663"/>
      <c r="E7151" s="663"/>
    </row>
    <row r="7152" spans="1:5" x14ac:dyDescent="0.2">
      <c r="A7152"/>
      <c r="B7152" s="663"/>
      <c r="C7152" s="663"/>
      <c r="D7152" s="663"/>
      <c r="E7152" s="663"/>
    </row>
    <row r="7153" spans="1:5" x14ac:dyDescent="0.2">
      <c r="A7153"/>
      <c r="B7153" s="663"/>
      <c r="C7153" s="663"/>
      <c r="D7153" s="663"/>
      <c r="E7153" s="663"/>
    </row>
    <row r="7154" spans="1:5" x14ac:dyDescent="0.2">
      <c r="A7154"/>
      <c r="B7154" s="663"/>
      <c r="C7154" s="663"/>
      <c r="D7154" s="663"/>
      <c r="E7154" s="663"/>
    </row>
    <row r="7155" spans="1:5" x14ac:dyDescent="0.2">
      <c r="A7155"/>
      <c r="B7155" s="663"/>
      <c r="C7155" s="663"/>
      <c r="D7155" s="663"/>
      <c r="E7155" s="663"/>
    </row>
    <row r="7156" spans="1:5" x14ac:dyDescent="0.2">
      <c r="A7156"/>
      <c r="B7156" s="663"/>
      <c r="C7156" s="663"/>
      <c r="D7156" s="663"/>
      <c r="E7156" s="663"/>
    </row>
    <row r="7157" spans="1:5" x14ac:dyDescent="0.2">
      <c r="A7157"/>
      <c r="B7157" s="663"/>
      <c r="C7157" s="663"/>
      <c r="D7157" s="663"/>
      <c r="E7157" s="663"/>
    </row>
    <row r="7158" spans="1:5" x14ac:dyDescent="0.2">
      <c r="A7158"/>
      <c r="B7158" s="663"/>
      <c r="C7158" s="663"/>
      <c r="D7158" s="663"/>
      <c r="E7158" s="663"/>
    </row>
    <row r="7159" spans="1:5" x14ac:dyDescent="0.2">
      <c r="A7159"/>
      <c r="B7159" s="663"/>
      <c r="C7159" s="663"/>
      <c r="D7159" s="663"/>
      <c r="E7159" s="663"/>
    </row>
    <row r="7160" spans="1:5" x14ac:dyDescent="0.2">
      <c r="A7160"/>
      <c r="B7160" s="663"/>
      <c r="C7160" s="663"/>
      <c r="D7160" s="663"/>
      <c r="E7160" s="663"/>
    </row>
    <row r="7161" spans="1:5" x14ac:dyDescent="0.2">
      <c r="A7161"/>
      <c r="B7161" s="663"/>
      <c r="C7161" s="663"/>
      <c r="D7161" s="663"/>
      <c r="E7161" s="663"/>
    </row>
    <row r="7162" spans="1:5" x14ac:dyDescent="0.2">
      <c r="A7162"/>
      <c r="B7162" s="663"/>
      <c r="C7162" s="663"/>
      <c r="D7162" s="663"/>
      <c r="E7162" s="663"/>
    </row>
    <row r="7163" spans="1:5" x14ac:dyDescent="0.2">
      <c r="A7163"/>
      <c r="B7163" s="663"/>
      <c r="C7163" s="663"/>
      <c r="D7163" s="663"/>
      <c r="E7163" s="663"/>
    </row>
    <row r="7164" spans="1:5" x14ac:dyDescent="0.2">
      <c r="A7164"/>
      <c r="B7164" s="663"/>
      <c r="C7164" s="663"/>
      <c r="D7164" s="663"/>
      <c r="E7164" s="663"/>
    </row>
    <row r="7165" spans="1:5" x14ac:dyDescent="0.2">
      <c r="A7165"/>
      <c r="B7165" s="663"/>
      <c r="C7165" s="663"/>
      <c r="D7165" s="663"/>
      <c r="E7165" s="663"/>
    </row>
    <row r="7166" spans="1:5" x14ac:dyDescent="0.2">
      <c r="A7166"/>
      <c r="B7166" s="663"/>
      <c r="C7166" s="663"/>
      <c r="D7166" s="663"/>
      <c r="E7166" s="663"/>
    </row>
    <row r="7167" spans="1:5" x14ac:dyDescent="0.2">
      <c r="A7167"/>
      <c r="B7167" s="663"/>
      <c r="C7167" s="663"/>
      <c r="D7167" s="663"/>
      <c r="E7167" s="663"/>
    </row>
    <row r="7168" spans="1:5" x14ac:dyDescent="0.2">
      <c r="A7168"/>
      <c r="B7168" s="663"/>
      <c r="C7168" s="663"/>
      <c r="D7168" s="663"/>
      <c r="E7168" s="663"/>
    </row>
    <row r="7169" spans="1:5" x14ac:dyDescent="0.2">
      <c r="A7169"/>
      <c r="B7169" s="663"/>
      <c r="C7169" s="663"/>
      <c r="D7169" s="663"/>
      <c r="E7169" s="663"/>
    </row>
    <row r="7170" spans="1:5" x14ac:dyDescent="0.2">
      <c r="A7170"/>
      <c r="B7170" s="663"/>
      <c r="C7170" s="663"/>
      <c r="D7170" s="663"/>
      <c r="E7170" s="663"/>
    </row>
    <row r="7171" spans="1:5" x14ac:dyDescent="0.2">
      <c r="A7171"/>
      <c r="B7171" s="663"/>
      <c r="C7171" s="663"/>
      <c r="D7171" s="663"/>
      <c r="E7171" s="663"/>
    </row>
    <row r="7172" spans="1:5" x14ac:dyDescent="0.2">
      <c r="A7172"/>
      <c r="B7172" s="663"/>
      <c r="C7172" s="663"/>
      <c r="D7172" s="663"/>
      <c r="E7172" s="663"/>
    </row>
    <row r="7173" spans="1:5" x14ac:dyDescent="0.2">
      <c r="A7173"/>
      <c r="B7173" s="663"/>
      <c r="C7173" s="663"/>
      <c r="D7173" s="663"/>
      <c r="E7173" s="663"/>
    </row>
    <row r="7174" spans="1:5" x14ac:dyDescent="0.2">
      <c r="A7174"/>
      <c r="B7174" s="663"/>
      <c r="C7174" s="663"/>
      <c r="D7174" s="663"/>
      <c r="E7174" s="663"/>
    </row>
    <row r="7175" spans="1:5" x14ac:dyDescent="0.2">
      <c r="A7175"/>
      <c r="B7175" s="663"/>
      <c r="C7175" s="663"/>
      <c r="D7175" s="663"/>
      <c r="E7175" s="663"/>
    </row>
    <row r="7176" spans="1:5" x14ac:dyDescent="0.2">
      <c r="A7176"/>
      <c r="B7176" s="663"/>
      <c r="C7176" s="663"/>
      <c r="D7176" s="663"/>
      <c r="E7176" s="663"/>
    </row>
    <row r="7177" spans="1:5" x14ac:dyDescent="0.2">
      <c r="A7177"/>
      <c r="B7177" s="663"/>
      <c r="C7177" s="663"/>
      <c r="D7177" s="663"/>
      <c r="E7177" s="663"/>
    </row>
    <row r="7178" spans="1:5" x14ac:dyDescent="0.2">
      <c r="A7178"/>
      <c r="B7178" s="663"/>
      <c r="C7178" s="663"/>
      <c r="D7178" s="663"/>
      <c r="E7178" s="663"/>
    </row>
    <row r="7179" spans="1:5" x14ac:dyDescent="0.2">
      <c r="A7179"/>
      <c r="B7179" s="663"/>
      <c r="C7179" s="663"/>
      <c r="D7179" s="663"/>
      <c r="E7179" s="663"/>
    </row>
    <row r="7180" spans="1:5" x14ac:dyDescent="0.2">
      <c r="A7180"/>
      <c r="B7180" s="663"/>
      <c r="C7180" s="663"/>
      <c r="D7180" s="663"/>
      <c r="E7180" s="663"/>
    </row>
    <row r="7181" spans="1:5" x14ac:dyDescent="0.2">
      <c r="A7181"/>
      <c r="B7181" s="663"/>
      <c r="C7181" s="663"/>
      <c r="D7181" s="663"/>
      <c r="E7181" s="663"/>
    </row>
    <row r="7182" spans="1:5" x14ac:dyDescent="0.2">
      <c r="A7182"/>
      <c r="B7182" s="663"/>
      <c r="C7182" s="663"/>
      <c r="D7182" s="663"/>
      <c r="E7182" s="663"/>
    </row>
    <row r="7183" spans="1:5" x14ac:dyDescent="0.2">
      <c r="A7183"/>
      <c r="B7183" s="663"/>
      <c r="C7183" s="663"/>
      <c r="D7183" s="663"/>
      <c r="E7183" s="663"/>
    </row>
    <row r="7184" spans="1:5" x14ac:dyDescent="0.2">
      <c r="A7184"/>
      <c r="B7184" s="663"/>
      <c r="C7184" s="663"/>
      <c r="D7184" s="663"/>
      <c r="E7184" s="663"/>
    </row>
    <row r="7185" spans="1:5" x14ac:dyDescent="0.2">
      <c r="A7185"/>
      <c r="B7185" s="663"/>
      <c r="C7185" s="663"/>
      <c r="D7185" s="663"/>
      <c r="E7185" s="663"/>
    </row>
    <row r="7186" spans="1:5" x14ac:dyDescent="0.2">
      <c r="A7186"/>
      <c r="B7186" s="663"/>
      <c r="C7186" s="663"/>
      <c r="D7186" s="663"/>
      <c r="E7186" s="663"/>
    </row>
    <row r="7187" spans="1:5" x14ac:dyDescent="0.2">
      <c r="A7187"/>
      <c r="B7187" s="663"/>
      <c r="C7187" s="663"/>
      <c r="D7187" s="663"/>
      <c r="E7187" s="663"/>
    </row>
    <row r="7188" spans="1:5" x14ac:dyDescent="0.2">
      <c r="A7188"/>
      <c r="B7188" s="663"/>
      <c r="C7188" s="663"/>
      <c r="D7188" s="663"/>
      <c r="E7188" s="663"/>
    </row>
    <row r="7189" spans="1:5" x14ac:dyDescent="0.2">
      <c r="A7189"/>
      <c r="B7189" s="663"/>
      <c r="C7189" s="663"/>
      <c r="D7189" s="663"/>
      <c r="E7189" s="663"/>
    </row>
    <row r="7190" spans="1:5" x14ac:dyDescent="0.2">
      <c r="A7190"/>
      <c r="B7190" s="663"/>
      <c r="C7190" s="663"/>
      <c r="D7190" s="663"/>
      <c r="E7190" s="663"/>
    </row>
    <row r="7191" spans="1:5" x14ac:dyDescent="0.2">
      <c r="A7191"/>
      <c r="B7191" s="663"/>
      <c r="C7191" s="663"/>
      <c r="D7191" s="663"/>
      <c r="E7191" s="663"/>
    </row>
    <row r="7192" spans="1:5" x14ac:dyDescent="0.2">
      <c r="A7192"/>
      <c r="B7192" s="663"/>
      <c r="C7192" s="663"/>
      <c r="D7192" s="663"/>
      <c r="E7192" s="663"/>
    </row>
    <row r="7193" spans="1:5" x14ac:dyDescent="0.2">
      <c r="A7193"/>
      <c r="B7193" s="663"/>
      <c r="C7193" s="663"/>
      <c r="D7193" s="663"/>
      <c r="E7193" s="663"/>
    </row>
    <row r="7194" spans="1:5" x14ac:dyDescent="0.2">
      <c r="A7194"/>
      <c r="B7194" s="663"/>
      <c r="C7194" s="663"/>
      <c r="D7194" s="663"/>
      <c r="E7194" s="663"/>
    </row>
    <row r="7195" spans="1:5" x14ac:dyDescent="0.2">
      <c r="A7195"/>
      <c r="B7195" s="663"/>
      <c r="C7195" s="663"/>
      <c r="D7195" s="663"/>
      <c r="E7195" s="663"/>
    </row>
    <row r="7196" spans="1:5" x14ac:dyDescent="0.2">
      <c r="A7196"/>
      <c r="B7196" s="663"/>
      <c r="C7196" s="663"/>
      <c r="D7196" s="663"/>
      <c r="E7196" s="663"/>
    </row>
    <row r="7197" spans="1:5" x14ac:dyDescent="0.2">
      <c r="A7197"/>
      <c r="B7197" s="663"/>
      <c r="C7197" s="663"/>
      <c r="D7197" s="663"/>
      <c r="E7197" s="663"/>
    </row>
    <row r="7198" spans="1:5" x14ac:dyDescent="0.2">
      <c r="A7198"/>
      <c r="B7198" s="663"/>
      <c r="C7198" s="663"/>
      <c r="D7198" s="663"/>
      <c r="E7198" s="663"/>
    </row>
    <row r="7199" spans="1:5" x14ac:dyDescent="0.2">
      <c r="A7199"/>
      <c r="B7199" s="663"/>
      <c r="C7199" s="663"/>
      <c r="D7199" s="663"/>
      <c r="E7199" s="663"/>
    </row>
    <row r="7200" spans="1:5" x14ac:dyDescent="0.2">
      <c r="A7200"/>
      <c r="B7200" s="663"/>
      <c r="C7200" s="663"/>
      <c r="D7200" s="663"/>
      <c r="E7200" s="663"/>
    </row>
    <row r="7201" spans="1:5" x14ac:dyDescent="0.2">
      <c r="A7201"/>
      <c r="B7201" s="663"/>
      <c r="C7201" s="663"/>
      <c r="D7201" s="663"/>
      <c r="E7201" s="663"/>
    </row>
    <row r="7202" spans="1:5" x14ac:dyDescent="0.2">
      <c r="A7202"/>
      <c r="B7202" s="663"/>
      <c r="C7202" s="663"/>
      <c r="D7202" s="663"/>
      <c r="E7202" s="663"/>
    </row>
    <row r="7203" spans="1:5" x14ac:dyDescent="0.2">
      <c r="A7203"/>
      <c r="B7203" s="663"/>
      <c r="C7203" s="663"/>
      <c r="D7203" s="663"/>
      <c r="E7203" s="663"/>
    </row>
    <row r="7204" spans="1:5" x14ac:dyDescent="0.2">
      <c r="A7204"/>
      <c r="B7204" s="663"/>
      <c r="C7204" s="663"/>
      <c r="D7204" s="663"/>
      <c r="E7204" s="663"/>
    </row>
    <row r="7205" spans="1:5" x14ac:dyDescent="0.2">
      <c r="A7205"/>
      <c r="B7205" s="663"/>
      <c r="C7205" s="663"/>
      <c r="D7205" s="663"/>
      <c r="E7205" s="663"/>
    </row>
    <row r="7206" spans="1:5" x14ac:dyDescent="0.2">
      <c r="A7206"/>
      <c r="B7206" s="663"/>
      <c r="C7206" s="663"/>
      <c r="D7206" s="663"/>
      <c r="E7206" s="663"/>
    </row>
    <row r="7207" spans="1:5" x14ac:dyDescent="0.2">
      <c r="A7207"/>
      <c r="B7207" s="663"/>
      <c r="C7207" s="663"/>
      <c r="D7207" s="663"/>
      <c r="E7207" s="663"/>
    </row>
    <row r="7208" spans="1:5" x14ac:dyDescent="0.2">
      <c r="A7208"/>
      <c r="B7208" s="663"/>
      <c r="C7208" s="663"/>
      <c r="D7208" s="663"/>
      <c r="E7208" s="663"/>
    </row>
    <row r="7209" spans="1:5" x14ac:dyDescent="0.2">
      <c r="A7209"/>
      <c r="B7209" s="663"/>
      <c r="C7209" s="663"/>
      <c r="D7209" s="663"/>
      <c r="E7209" s="663"/>
    </row>
    <row r="7210" spans="1:5" x14ac:dyDescent="0.2">
      <c r="A7210"/>
      <c r="B7210" s="663"/>
      <c r="C7210" s="663"/>
      <c r="D7210" s="663"/>
      <c r="E7210" s="663"/>
    </row>
    <row r="7211" spans="1:5" x14ac:dyDescent="0.2">
      <c r="A7211"/>
      <c r="B7211" s="663"/>
      <c r="C7211" s="663"/>
      <c r="D7211" s="663"/>
      <c r="E7211" s="663"/>
    </row>
    <row r="7212" spans="1:5" x14ac:dyDescent="0.2">
      <c r="A7212"/>
      <c r="B7212" s="663"/>
      <c r="C7212" s="663"/>
      <c r="D7212" s="663"/>
      <c r="E7212" s="663"/>
    </row>
    <row r="7213" spans="1:5" x14ac:dyDescent="0.2">
      <c r="A7213"/>
      <c r="B7213" s="663"/>
      <c r="C7213" s="663"/>
      <c r="D7213" s="663"/>
      <c r="E7213" s="663"/>
    </row>
    <row r="7214" spans="1:5" x14ac:dyDescent="0.2">
      <c r="A7214"/>
      <c r="B7214" s="663"/>
      <c r="C7214" s="663"/>
      <c r="D7214" s="663"/>
      <c r="E7214" s="663"/>
    </row>
    <row r="7215" spans="1:5" x14ac:dyDescent="0.2">
      <c r="A7215"/>
      <c r="B7215" s="663"/>
      <c r="C7215" s="663"/>
      <c r="D7215" s="663"/>
      <c r="E7215" s="663"/>
    </row>
    <row r="7216" spans="1:5" x14ac:dyDescent="0.2">
      <c r="A7216"/>
      <c r="B7216" s="663"/>
      <c r="C7216" s="663"/>
      <c r="D7216" s="663"/>
      <c r="E7216" s="663"/>
    </row>
    <row r="7217" spans="1:5" x14ac:dyDescent="0.2">
      <c r="A7217"/>
      <c r="B7217" s="663"/>
      <c r="C7217" s="663"/>
      <c r="D7217" s="663"/>
      <c r="E7217" s="663"/>
    </row>
    <row r="7218" spans="1:5" x14ac:dyDescent="0.2">
      <c r="A7218"/>
      <c r="B7218" s="663"/>
      <c r="C7218" s="663"/>
      <c r="D7218" s="663"/>
      <c r="E7218" s="663"/>
    </row>
    <row r="7219" spans="1:5" x14ac:dyDescent="0.2">
      <c r="A7219"/>
      <c r="B7219" s="663"/>
      <c r="C7219" s="663"/>
      <c r="D7219" s="663"/>
      <c r="E7219" s="663"/>
    </row>
    <row r="7220" spans="1:5" x14ac:dyDescent="0.2">
      <c r="A7220"/>
      <c r="B7220" s="663"/>
      <c r="C7220" s="663"/>
      <c r="D7220" s="663"/>
      <c r="E7220" s="663"/>
    </row>
    <row r="7221" spans="1:5" x14ac:dyDescent="0.2">
      <c r="A7221"/>
      <c r="B7221" s="663"/>
      <c r="C7221" s="663"/>
      <c r="D7221" s="663"/>
      <c r="E7221" s="663"/>
    </row>
    <row r="7222" spans="1:5" x14ac:dyDescent="0.2">
      <c r="A7222"/>
      <c r="B7222" s="663"/>
      <c r="C7222" s="663"/>
      <c r="D7222" s="663"/>
      <c r="E7222" s="663"/>
    </row>
    <row r="7223" spans="1:5" x14ac:dyDescent="0.2">
      <c r="A7223"/>
      <c r="B7223" s="663"/>
      <c r="C7223" s="663"/>
      <c r="D7223" s="663"/>
      <c r="E7223" s="663"/>
    </row>
    <row r="7224" spans="1:5" x14ac:dyDescent="0.2">
      <c r="A7224"/>
      <c r="B7224" s="663"/>
      <c r="C7224" s="663"/>
      <c r="D7224" s="663"/>
      <c r="E7224" s="663"/>
    </row>
    <row r="7225" spans="1:5" x14ac:dyDescent="0.2">
      <c r="A7225"/>
      <c r="B7225" s="663"/>
      <c r="C7225" s="663"/>
      <c r="D7225" s="663"/>
      <c r="E7225" s="663"/>
    </row>
    <row r="7226" spans="1:5" x14ac:dyDescent="0.2">
      <c r="A7226"/>
      <c r="B7226" s="663"/>
      <c r="C7226" s="663"/>
      <c r="D7226" s="663"/>
      <c r="E7226" s="663"/>
    </row>
    <row r="7227" spans="1:5" x14ac:dyDescent="0.2">
      <c r="A7227"/>
      <c r="B7227" s="663"/>
      <c r="C7227" s="663"/>
      <c r="D7227" s="663"/>
      <c r="E7227" s="663"/>
    </row>
    <row r="7228" spans="1:5" x14ac:dyDescent="0.2">
      <c r="A7228"/>
      <c r="B7228" s="663"/>
      <c r="C7228" s="663"/>
      <c r="D7228" s="663"/>
      <c r="E7228" s="663"/>
    </row>
    <row r="7229" spans="1:5" x14ac:dyDescent="0.2">
      <c r="A7229"/>
      <c r="B7229" s="663"/>
      <c r="C7229" s="663"/>
      <c r="D7229" s="663"/>
      <c r="E7229" s="663"/>
    </row>
    <row r="7230" spans="1:5" x14ac:dyDescent="0.2">
      <c r="A7230"/>
      <c r="B7230" s="663"/>
      <c r="C7230" s="663"/>
      <c r="D7230" s="663"/>
      <c r="E7230" s="663"/>
    </row>
    <row r="7231" spans="1:5" x14ac:dyDescent="0.2">
      <c r="A7231"/>
      <c r="B7231" s="663"/>
      <c r="C7231" s="663"/>
      <c r="D7231" s="663"/>
      <c r="E7231" s="663"/>
    </row>
    <row r="7232" spans="1:5" x14ac:dyDescent="0.2">
      <c r="A7232"/>
      <c r="B7232" s="663"/>
      <c r="C7232" s="663"/>
      <c r="D7232" s="663"/>
      <c r="E7232" s="663"/>
    </row>
    <row r="7233" spans="1:5" x14ac:dyDescent="0.2">
      <c r="A7233"/>
      <c r="B7233" s="663"/>
      <c r="C7233" s="663"/>
      <c r="D7233" s="663"/>
      <c r="E7233" s="663"/>
    </row>
    <row r="7234" spans="1:5" x14ac:dyDescent="0.2">
      <c r="A7234"/>
      <c r="B7234" s="663"/>
      <c r="C7234" s="663"/>
      <c r="D7234" s="663"/>
      <c r="E7234" s="663"/>
    </row>
    <row r="7235" spans="1:5" x14ac:dyDescent="0.2">
      <c r="A7235"/>
      <c r="B7235" s="663"/>
      <c r="C7235" s="663"/>
      <c r="D7235" s="663"/>
      <c r="E7235" s="663"/>
    </row>
    <row r="7236" spans="1:5" x14ac:dyDescent="0.2">
      <c r="A7236"/>
      <c r="B7236" s="663"/>
      <c r="C7236" s="663"/>
      <c r="D7236" s="663"/>
      <c r="E7236" s="663"/>
    </row>
    <row r="7237" spans="1:5" x14ac:dyDescent="0.2">
      <c r="A7237"/>
      <c r="B7237" s="663"/>
      <c r="C7237" s="663"/>
      <c r="D7237" s="663"/>
      <c r="E7237" s="663"/>
    </row>
    <row r="7238" spans="1:5" x14ac:dyDescent="0.2">
      <c r="A7238"/>
      <c r="B7238" s="663"/>
      <c r="C7238" s="663"/>
      <c r="D7238" s="663"/>
      <c r="E7238" s="663"/>
    </row>
    <row r="7239" spans="1:5" x14ac:dyDescent="0.2">
      <c r="A7239"/>
      <c r="B7239" s="663"/>
      <c r="C7239" s="663"/>
      <c r="D7239" s="663"/>
      <c r="E7239" s="663"/>
    </row>
    <row r="7240" spans="1:5" x14ac:dyDescent="0.2">
      <c r="A7240"/>
      <c r="B7240" s="663"/>
      <c r="C7240" s="663"/>
      <c r="D7240" s="663"/>
      <c r="E7240" s="663"/>
    </row>
    <row r="7241" spans="1:5" x14ac:dyDescent="0.2">
      <c r="A7241"/>
      <c r="B7241" s="663"/>
      <c r="C7241" s="663"/>
      <c r="D7241" s="663"/>
      <c r="E7241" s="663"/>
    </row>
    <row r="7242" spans="1:5" x14ac:dyDescent="0.2">
      <c r="A7242"/>
      <c r="B7242" s="663"/>
      <c r="C7242" s="663"/>
      <c r="D7242" s="663"/>
      <c r="E7242" s="663"/>
    </row>
    <row r="7243" spans="1:5" x14ac:dyDescent="0.2">
      <c r="A7243"/>
      <c r="B7243" s="663"/>
      <c r="C7243" s="663"/>
      <c r="D7243" s="663"/>
      <c r="E7243" s="663"/>
    </row>
    <row r="7244" spans="1:5" x14ac:dyDescent="0.2">
      <c r="A7244"/>
      <c r="B7244" s="663"/>
      <c r="C7244" s="663"/>
      <c r="D7244" s="663"/>
      <c r="E7244" s="663"/>
    </row>
    <row r="7245" spans="1:5" x14ac:dyDescent="0.2">
      <c r="A7245"/>
      <c r="B7245" s="663"/>
      <c r="C7245" s="663"/>
      <c r="D7245" s="663"/>
      <c r="E7245" s="663"/>
    </row>
    <row r="7246" spans="1:5" x14ac:dyDescent="0.2">
      <c r="A7246"/>
      <c r="B7246" s="663"/>
      <c r="C7246" s="663"/>
      <c r="D7246" s="663"/>
      <c r="E7246" s="663"/>
    </row>
    <row r="7247" spans="1:5" x14ac:dyDescent="0.2">
      <c r="A7247"/>
      <c r="B7247" s="663"/>
      <c r="C7247" s="663"/>
      <c r="D7247" s="663"/>
      <c r="E7247" s="663"/>
    </row>
    <row r="7248" spans="1:5" x14ac:dyDescent="0.2">
      <c r="A7248"/>
      <c r="B7248" s="663"/>
      <c r="C7248" s="663"/>
      <c r="D7248" s="663"/>
      <c r="E7248" s="663"/>
    </row>
    <row r="7249" spans="1:5" x14ac:dyDescent="0.2">
      <c r="A7249"/>
      <c r="B7249" s="663"/>
      <c r="C7249" s="663"/>
      <c r="D7249" s="663"/>
      <c r="E7249" s="663"/>
    </row>
    <row r="7250" spans="1:5" x14ac:dyDescent="0.2">
      <c r="A7250"/>
      <c r="B7250" s="663"/>
      <c r="C7250" s="663"/>
      <c r="D7250" s="663"/>
      <c r="E7250" s="663"/>
    </row>
    <row r="7251" spans="1:5" x14ac:dyDescent="0.2">
      <c r="A7251"/>
      <c r="B7251" s="663"/>
      <c r="C7251" s="663"/>
      <c r="D7251" s="663"/>
      <c r="E7251" s="663"/>
    </row>
    <row r="7252" spans="1:5" x14ac:dyDescent="0.2">
      <c r="A7252"/>
      <c r="B7252" s="663"/>
      <c r="C7252" s="663"/>
      <c r="D7252" s="663"/>
      <c r="E7252" s="663"/>
    </row>
    <row r="7253" spans="1:5" x14ac:dyDescent="0.2">
      <c r="A7253"/>
      <c r="B7253" s="663"/>
      <c r="C7253" s="663"/>
      <c r="D7253" s="663"/>
      <c r="E7253" s="663"/>
    </row>
    <row r="7254" spans="1:5" x14ac:dyDescent="0.2">
      <c r="A7254"/>
      <c r="B7254" s="663"/>
      <c r="C7254" s="663"/>
      <c r="D7254" s="663"/>
      <c r="E7254" s="663"/>
    </row>
    <row r="7255" spans="1:5" x14ac:dyDescent="0.2">
      <c r="A7255"/>
      <c r="B7255" s="663"/>
      <c r="C7255" s="663"/>
      <c r="D7255" s="663"/>
      <c r="E7255" s="663"/>
    </row>
    <row r="7256" spans="1:5" x14ac:dyDescent="0.2">
      <c r="A7256"/>
      <c r="B7256" s="663"/>
      <c r="C7256" s="663"/>
      <c r="D7256" s="663"/>
      <c r="E7256" s="663"/>
    </row>
    <row r="7257" spans="1:5" x14ac:dyDescent="0.2">
      <c r="A7257"/>
      <c r="B7257" s="663"/>
      <c r="C7257" s="663"/>
      <c r="D7257" s="663"/>
      <c r="E7257" s="663"/>
    </row>
    <row r="7258" spans="1:5" x14ac:dyDescent="0.2">
      <c r="A7258"/>
      <c r="B7258" s="663"/>
      <c r="C7258" s="663"/>
      <c r="D7258" s="663"/>
      <c r="E7258" s="663"/>
    </row>
    <row r="7259" spans="1:5" x14ac:dyDescent="0.2">
      <c r="A7259"/>
      <c r="B7259" s="663"/>
      <c r="C7259" s="663"/>
      <c r="D7259" s="663"/>
      <c r="E7259" s="663"/>
    </row>
    <row r="7260" spans="1:5" x14ac:dyDescent="0.2">
      <c r="A7260"/>
      <c r="B7260" s="663"/>
      <c r="C7260" s="663"/>
      <c r="D7260" s="663"/>
      <c r="E7260" s="663"/>
    </row>
    <row r="7261" spans="1:5" x14ac:dyDescent="0.2">
      <c r="A7261"/>
      <c r="B7261" s="663"/>
      <c r="C7261" s="663"/>
      <c r="D7261" s="663"/>
      <c r="E7261" s="663"/>
    </row>
    <row r="7262" spans="1:5" x14ac:dyDescent="0.2">
      <c r="A7262"/>
      <c r="B7262" s="663"/>
      <c r="C7262" s="663"/>
      <c r="D7262" s="663"/>
      <c r="E7262" s="663"/>
    </row>
    <row r="7263" spans="1:5" x14ac:dyDescent="0.2">
      <c r="A7263"/>
      <c r="B7263" s="663"/>
      <c r="C7263" s="663"/>
      <c r="D7263" s="663"/>
      <c r="E7263" s="663"/>
    </row>
    <row r="7264" spans="1:5" x14ac:dyDescent="0.2">
      <c r="A7264"/>
      <c r="B7264" s="663"/>
      <c r="C7264" s="663"/>
      <c r="D7264" s="663"/>
      <c r="E7264" s="663"/>
    </row>
    <row r="7265" spans="1:5" x14ac:dyDescent="0.2">
      <c r="A7265"/>
      <c r="B7265" s="663"/>
      <c r="C7265" s="663"/>
      <c r="D7265" s="663"/>
      <c r="E7265" s="663"/>
    </row>
    <row r="7266" spans="1:5" x14ac:dyDescent="0.2">
      <c r="A7266"/>
      <c r="B7266" s="663"/>
      <c r="C7266" s="663"/>
      <c r="D7266" s="663"/>
      <c r="E7266" s="663"/>
    </row>
    <row r="7267" spans="1:5" x14ac:dyDescent="0.2">
      <c r="A7267"/>
      <c r="B7267" s="663"/>
      <c r="C7267" s="663"/>
      <c r="D7267" s="663"/>
      <c r="E7267" s="663"/>
    </row>
    <row r="7268" spans="1:5" x14ac:dyDescent="0.2">
      <c r="A7268"/>
      <c r="B7268" s="663"/>
      <c r="C7268" s="663"/>
      <c r="D7268" s="663"/>
      <c r="E7268" s="663"/>
    </row>
    <row r="7269" spans="1:5" x14ac:dyDescent="0.2">
      <c r="A7269"/>
      <c r="B7269" s="663"/>
      <c r="C7269" s="663"/>
      <c r="D7269" s="663"/>
      <c r="E7269" s="663"/>
    </row>
    <row r="7270" spans="1:5" x14ac:dyDescent="0.2">
      <c r="A7270"/>
      <c r="B7270" s="663"/>
      <c r="C7270" s="663"/>
      <c r="D7270" s="663"/>
      <c r="E7270" s="663"/>
    </row>
    <row r="7271" spans="1:5" x14ac:dyDescent="0.2">
      <c r="A7271"/>
      <c r="B7271" s="663"/>
      <c r="C7271" s="663"/>
      <c r="D7271" s="663"/>
      <c r="E7271" s="663"/>
    </row>
    <row r="7272" spans="1:5" x14ac:dyDescent="0.2">
      <c r="A7272"/>
      <c r="B7272" s="663"/>
      <c r="C7272" s="663"/>
      <c r="D7272" s="663"/>
      <c r="E7272" s="663"/>
    </row>
    <row r="7273" spans="1:5" x14ac:dyDescent="0.2">
      <c r="A7273"/>
      <c r="B7273" s="663"/>
      <c r="C7273" s="663"/>
      <c r="D7273" s="663"/>
      <c r="E7273" s="663"/>
    </row>
    <row r="7274" spans="1:5" x14ac:dyDescent="0.2">
      <c r="A7274"/>
      <c r="B7274" s="663"/>
      <c r="C7274" s="663"/>
      <c r="D7274" s="663"/>
      <c r="E7274" s="663"/>
    </row>
    <row r="7275" spans="1:5" x14ac:dyDescent="0.2">
      <c r="A7275"/>
      <c r="B7275" s="663"/>
      <c r="C7275" s="663"/>
      <c r="D7275" s="663"/>
      <c r="E7275" s="663"/>
    </row>
    <row r="7276" spans="1:5" x14ac:dyDescent="0.2">
      <c r="A7276"/>
      <c r="B7276" s="663"/>
      <c r="C7276" s="663"/>
      <c r="D7276" s="663"/>
      <c r="E7276" s="663"/>
    </row>
    <row r="7277" spans="1:5" x14ac:dyDescent="0.2">
      <c r="A7277"/>
      <c r="B7277" s="663"/>
      <c r="C7277" s="663"/>
      <c r="D7277" s="663"/>
      <c r="E7277" s="663"/>
    </row>
    <row r="7278" spans="1:5" x14ac:dyDescent="0.2">
      <c r="A7278"/>
      <c r="B7278" s="663"/>
      <c r="C7278" s="663"/>
      <c r="D7278" s="663"/>
      <c r="E7278" s="663"/>
    </row>
    <row r="7279" spans="1:5" x14ac:dyDescent="0.2">
      <c r="A7279"/>
      <c r="B7279" s="663"/>
      <c r="C7279" s="663"/>
      <c r="D7279" s="663"/>
      <c r="E7279" s="663"/>
    </row>
    <row r="7280" spans="1:5" x14ac:dyDescent="0.2">
      <c r="A7280"/>
      <c r="B7280" s="663"/>
      <c r="C7280" s="663"/>
      <c r="D7280" s="663"/>
      <c r="E7280" s="663"/>
    </row>
    <row r="7281" spans="1:5" x14ac:dyDescent="0.2">
      <c r="A7281"/>
      <c r="B7281" s="663"/>
      <c r="C7281" s="663"/>
      <c r="D7281" s="663"/>
      <c r="E7281" s="663"/>
    </row>
    <row r="7282" spans="1:5" x14ac:dyDescent="0.2">
      <c r="A7282"/>
      <c r="B7282" s="663"/>
      <c r="C7282" s="663"/>
      <c r="D7282" s="663"/>
      <c r="E7282" s="663"/>
    </row>
    <row r="7283" spans="1:5" x14ac:dyDescent="0.2">
      <c r="A7283"/>
      <c r="B7283" s="663"/>
      <c r="C7283" s="663"/>
      <c r="D7283" s="663"/>
      <c r="E7283" s="663"/>
    </row>
    <row r="7284" spans="1:5" x14ac:dyDescent="0.2">
      <c r="A7284"/>
      <c r="B7284" s="663"/>
      <c r="C7284" s="663"/>
      <c r="D7284" s="663"/>
      <c r="E7284" s="663"/>
    </row>
    <row r="7285" spans="1:5" x14ac:dyDescent="0.2">
      <c r="A7285"/>
      <c r="B7285" s="663"/>
      <c r="C7285" s="663"/>
      <c r="D7285" s="663"/>
      <c r="E7285" s="663"/>
    </row>
    <row r="7286" spans="1:5" x14ac:dyDescent="0.2">
      <c r="A7286"/>
      <c r="B7286" s="663"/>
      <c r="C7286" s="663"/>
      <c r="D7286" s="663"/>
      <c r="E7286" s="663"/>
    </row>
    <row r="7287" spans="1:5" x14ac:dyDescent="0.2">
      <c r="A7287"/>
      <c r="B7287" s="663"/>
      <c r="C7287" s="663"/>
      <c r="D7287" s="663"/>
      <c r="E7287" s="663"/>
    </row>
    <row r="7288" spans="1:5" x14ac:dyDescent="0.2">
      <c r="A7288"/>
      <c r="B7288" s="663"/>
      <c r="C7288" s="663"/>
      <c r="D7288" s="663"/>
      <c r="E7288" s="663"/>
    </row>
    <row r="7289" spans="1:5" x14ac:dyDescent="0.2">
      <c r="A7289"/>
      <c r="B7289" s="663"/>
      <c r="C7289" s="663"/>
      <c r="D7289" s="663"/>
      <c r="E7289" s="663"/>
    </row>
    <row r="7290" spans="1:5" x14ac:dyDescent="0.2">
      <c r="A7290"/>
      <c r="B7290" s="663"/>
      <c r="C7290" s="663"/>
      <c r="D7290" s="663"/>
      <c r="E7290" s="663"/>
    </row>
    <row r="7291" spans="1:5" x14ac:dyDescent="0.2">
      <c r="A7291"/>
      <c r="B7291" s="663"/>
      <c r="C7291" s="663"/>
      <c r="D7291" s="663"/>
      <c r="E7291" s="663"/>
    </row>
    <row r="7292" spans="1:5" x14ac:dyDescent="0.2">
      <c r="A7292"/>
      <c r="B7292" s="663"/>
      <c r="C7292" s="663"/>
      <c r="D7292" s="663"/>
      <c r="E7292" s="663"/>
    </row>
    <row r="7293" spans="1:5" x14ac:dyDescent="0.2">
      <c r="A7293"/>
      <c r="B7293" s="663"/>
      <c r="C7293" s="663"/>
      <c r="D7293" s="663"/>
      <c r="E7293" s="663"/>
    </row>
    <row r="7294" spans="1:5" x14ac:dyDescent="0.2">
      <c r="A7294"/>
      <c r="B7294" s="663"/>
      <c r="C7294" s="663"/>
      <c r="D7294" s="663"/>
      <c r="E7294" s="663"/>
    </row>
    <row r="7295" spans="1:5" x14ac:dyDescent="0.2">
      <c r="A7295"/>
      <c r="B7295" s="663"/>
      <c r="C7295" s="663"/>
      <c r="D7295" s="663"/>
      <c r="E7295" s="663"/>
    </row>
    <row r="7296" spans="1:5" x14ac:dyDescent="0.2">
      <c r="A7296"/>
      <c r="B7296" s="663"/>
      <c r="C7296" s="663"/>
      <c r="D7296" s="663"/>
      <c r="E7296" s="663"/>
    </row>
    <row r="7297" spans="1:5" x14ac:dyDescent="0.2">
      <c r="A7297"/>
      <c r="B7297" s="663"/>
      <c r="C7297" s="663"/>
      <c r="D7297" s="663"/>
      <c r="E7297" s="663"/>
    </row>
    <row r="7298" spans="1:5" x14ac:dyDescent="0.2">
      <c r="A7298"/>
      <c r="B7298" s="663"/>
      <c r="C7298" s="663"/>
      <c r="D7298" s="663"/>
      <c r="E7298" s="663"/>
    </row>
    <row r="7299" spans="1:5" x14ac:dyDescent="0.2">
      <c r="A7299"/>
      <c r="B7299" s="663"/>
      <c r="C7299" s="663"/>
      <c r="D7299" s="663"/>
      <c r="E7299" s="663"/>
    </row>
    <row r="7300" spans="1:5" x14ac:dyDescent="0.2">
      <c r="A7300"/>
      <c r="B7300" s="663"/>
      <c r="C7300" s="663"/>
      <c r="D7300" s="663"/>
      <c r="E7300" s="663"/>
    </row>
    <row r="7301" spans="1:5" x14ac:dyDescent="0.2">
      <c r="A7301"/>
      <c r="B7301" s="663"/>
      <c r="C7301" s="663"/>
      <c r="D7301" s="663"/>
      <c r="E7301" s="663"/>
    </row>
    <row r="7302" spans="1:5" x14ac:dyDescent="0.2">
      <c r="A7302"/>
      <c r="B7302" s="663"/>
      <c r="C7302" s="663"/>
      <c r="D7302" s="663"/>
      <c r="E7302" s="663"/>
    </row>
    <row r="7303" spans="1:5" x14ac:dyDescent="0.2">
      <c r="A7303"/>
      <c r="B7303" s="663"/>
      <c r="C7303" s="663"/>
      <c r="D7303" s="663"/>
      <c r="E7303" s="663"/>
    </row>
    <row r="7304" spans="1:5" x14ac:dyDescent="0.2">
      <c r="A7304"/>
      <c r="B7304" s="663"/>
      <c r="C7304" s="663"/>
      <c r="D7304" s="663"/>
      <c r="E7304" s="663"/>
    </row>
    <row r="7305" spans="1:5" x14ac:dyDescent="0.2">
      <c r="A7305"/>
      <c r="B7305" s="663"/>
      <c r="C7305" s="663"/>
      <c r="D7305" s="663"/>
      <c r="E7305" s="663"/>
    </row>
    <row r="7306" spans="1:5" x14ac:dyDescent="0.2">
      <c r="A7306"/>
      <c r="B7306" s="663"/>
      <c r="C7306" s="663"/>
      <c r="D7306" s="663"/>
      <c r="E7306" s="663"/>
    </row>
    <row r="7307" spans="1:5" x14ac:dyDescent="0.2">
      <c r="A7307"/>
      <c r="B7307" s="663"/>
      <c r="C7307" s="663"/>
      <c r="D7307" s="663"/>
      <c r="E7307" s="663"/>
    </row>
    <row r="7308" spans="1:5" x14ac:dyDescent="0.2">
      <c r="A7308"/>
      <c r="B7308" s="663"/>
      <c r="C7308" s="663"/>
      <c r="D7308" s="663"/>
      <c r="E7308" s="663"/>
    </row>
    <row r="7309" spans="1:5" x14ac:dyDescent="0.2">
      <c r="A7309"/>
      <c r="B7309" s="663"/>
      <c r="C7309" s="663"/>
      <c r="D7309" s="663"/>
      <c r="E7309" s="663"/>
    </row>
    <row r="7310" spans="1:5" x14ac:dyDescent="0.2">
      <c r="A7310"/>
      <c r="B7310" s="663"/>
      <c r="C7310" s="663"/>
      <c r="D7310" s="663"/>
      <c r="E7310" s="663"/>
    </row>
    <row r="7311" spans="1:5" x14ac:dyDescent="0.2">
      <c r="A7311"/>
      <c r="B7311" s="663"/>
      <c r="C7311" s="663"/>
      <c r="D7311" s="663"/>
      <c r="E7311" s="663"/>
    </row>
    <row r="7312" spans="1:5" x14ac:dyDescent="0.2">
      <c r="A7312"/>
      <c r="B7312" s="663"/>
      <c r="C7312" s="663"/>
      <c r="D7312" s="663"/>
      <c r="E7312" s="663"/>
    </row>
    <row r="7313" spans="1:5" x14ac:dyDescent="0.2">
      <c r="A7313"/>
      <c r="B7313" s="663"/>
      <c r="C7313" s="663"/>
      <c r="D7313" s="663"/>
      <c r="E7313" s="663"/>
    </row>
    <row r="7314" spans="1:5" x14ac:dyDescent="0.2">
      <c r="A7314"/>
      <c r="B7314" s="663"/>
      <c r="C7314" s="663"/>
      <c r="D7314" s="663"/>
      <c r="E7314" s="663"/>
    </row>
    <row r="7315" spans="1:5" x14ac:dyDescent="0.2">
      <c r="A7315"/>
      <c r="B7315" s="663"/>
      <c r="C7315" s="663"/>
      <c r="D7315" s="663"/>
      <c r="E7315" s="663"/>
    </row>
    <row r="7316" spans="1:5" x14ac:dyDescent="0.2">
      <c r="A7316"/>
      <c r="B7316" s="663"/>
      <c r="C7316" s="663"/>
      <c r="D7316" s="663"/>
      <c r="E7316" s="663"/>
    </row>
    <row r="7317" spans="1:5" x14ac:dyDescent="0.2">
      <c r="A7317"/>
      <c r="B7317" s="663"/>
      <c r="C7317" s="663"/>
      <c r="D7317" s="663"/>
      <c r="E7317" s="663"/>
    </row>
    <row r="7318" spans="1:5" x14ac:dyDescent="0.2">
      <c r="A7318"/>
      <c r="B7318" s="663"/>
      <c r="C7318" s="663"/>
      <c r="D7318" s="663"/>
      <c r="E7318" s="663"/>
    </row>
    <row r="7319" spans="1:5" x14ac:dyDescent="0.2">
      <c r="A7319"/>
      <c r="B7319" s="663"/>
      <c r="C7319" s="663"/>
      <c r="D7319" s="663"/>
      <c r="E7319" s="663"/>
    </row>
    <row r="7320" spans="1:5" x14ac:dyDescent="0.2">
      <c r="A7320"/>
      <c r="B7320" s="663"/>
      <c r="C7320" s="663"/>
      <c r="D7320" s="663"/>
      <c r="E7320" s="663"/>
    </row>
    <row r="7321" spans="1:5" x14ac:dyDescent="0.2">
      <c r="A7321"/>
      <c r="B7321" s="663"/>
      <c r="C7321" s="663"/>
      <c r="D7321" s="663"/>
      <c r="E7321" s="663"/>
    </row>
    <row r="7322" spans="1:5" x14ac:dyDescent="0.2">
      <c r="A7322"/>
      <c r="B7322" s="663"/>
      <c r="C7322" s="663"/>
      <c r="D7322" s="663"/>
      <c r="E7322" s="663"/>
    </row>
    <row r="7323" spans="1:5" x14ac:dyDescent="0.2">
      <c r="A7323"/>
      <c r="B7323" s="663"/>
      <c r="C7323" s="663"/>
      <c r="D7323" s="663"/>
      <c r="E7323" s="663"/>
    </row>
    <row r="7324" spans="1:5" x14ac:dyDescent="0.2">
      <c r="A7324"/>
      <c r="B7324" s="663"/>
      <c r="C7324" s="663"/>
      <c r="D7324" s="663"/>
      <c r="E7324" s="663"/>
    </row>
    <row r="7325" spans="1:5" x14ac:dyDescent="0.2">
      <c r="A7325"/>
      <c r="B7325" s="663"/>
      <c r="C7325" s="663"/>
      <c r="D7325" s="663"/>
      <c r="E7325" s="663"/>
    </row>
    <row r="7326" spans="1:5" x14ac:dyDescent="0.2">
      <c r="A7326"/>
      <c r="B7326" s="663"/>
      <c r="C7326" s="663"/>
      <c r="D7326" s="663"/>
      <c r="E7326" s="663"/>
    </row>
    <row r="7327" spans="1:5" x14ac:dyDescent="0.2">
      <c r="A7327"/>
      <c r="B7327" s="663"/>
      <c r="C7327" s="663"/>
      <c r="D7327" s="663"/>
      <c r="E7327" s="663"/>
    </row>
    <row r="7328" spans="1:5" x14ac:dyDescent="0.2">
      <c r="A7328"/>
      <c r="B7328" s="663"/>
      <c r="C7328" s="663"/>
      <c r="D7328" s="663"/>
      <c r="E7328" s="663"/>
    </row>
    <row r="7329" spans="1:5" x14ac:dyDescent="0.2">
      <c r="A7329"/>
      <c r="B7329" s="663"/>
      <c r="C7329" s="663"/>
      <c r="D7329" s="663"/>
      <c r="E7329" s="663"/>
    </row>
    <row r="7330" spans="1:5" x14ac:dyDescent="0.2">
      <c r="A7330"/>
      <c r="B7330" s="663"/>
      <c r="C7330" s="663"/>
      <c r="D7330" s="663"/>
      <c r="E7330" s="663"/>
    </row>
    <row r="7331" spans="1:5" x14ac:dyDescent="0.2">
      <c r="A7331"/>
      <c r="B7331" s="663"/>
      <c r="C7331" s="663"/>
      <c r="D7331" s="663"/>
      <c r="E7331" s="663"/>
    </row>
    <row r="7332" spans="1:5" x14ac:dyDescent="0.2">
      <c r="A7332"/>
      <c r="B7332" s="663"/>
      <c r="C7332" s="663"/>
      <c r="D7332" s="663"/>
      <c r="E7332" s="663"/>
    </row>
    <row r="7333" spans="1:5" x14ac:dyDescent="0.2">
      <c r="A7333"/>
      <c r="B7333" s="663"/>
      <c r="C7333" s="663"/>
      <c r="D7333" s="663"/>
      <c r="E7333" s="663"/>
    </row>
    <row r="7334" spans="1:5" x14ac:dyDescent="0.2">
      <c r="A7334"/>
      <c r="B7334" s="663"/>
      <c r="C7334" s="663"/>
      <c r="D7334" s="663"/>
      <c r="E7334" s="663"/>
    </row>
    <row r="7335" spans="1:5" x14ac:dyDescent="0.2">
      <c r="A7335"/>
      <c r="B7335" s="663"/>
      <c r="C7335" s="663"/>
      <c r="D7335" s="663"/>
      <c r="E7335" s="663"/>
    </row>
    <row r="7336" spans="1:5" x14ac:dyDescent="0.2">
      <c r="A7336"/>
      <c r="B7336" s="663"/>
      <c r="C7336" s="663"/>
      <c r="D7336" s="663"/>
      <c r="E7336" s="663"/>
    </row>
    <row r="7337" spans="1:5" x14ac:dyDescent="0.2">
      <c r="A7337"/>
      <c r="B7337" s="663"/>
      <c r="C7337" s="663"/>
      <c r="D7337" s="663"/>
      <c r="E7337" s="663"/>
    </row>
    <row r="7338" spans="1:5" x14ac:dyDescent="0.2">
      <c r="A7338"/>
      <c r="B7338" s="663"/>
      <c r="C7338" s="663"/>
      <c r="D7338" s="663"/>
      <c r="E7338" s="663"/>
    </row>
    <row r="7339" spans="1:5" x14ac:dyDescent="0.2">
      <c r="A7339"/>
      <c r="B7339" s="663"/>
      <c r="C7339" s="663"/>
      <c r="D7339" s="663"/>
      <c r="E7339" s="663"/>
    </row>
    <row r="7340" spans="1:5" x14ac:dyDescent="0.2">
      <c r="A7340"/>
      <c r="B7340" s="663"/>
      <c r="C7340" s="663"/>
      <c r="D7340" s="663"/>
      <c r="E7340" s="663"/>
    </row>
    <row r="7341" spans="1:5" x14ac:dyDescent="0.2">
      <c r="A7341"/>
      <c r="B7341" s="663"/>
      <c r="C7341" s="663"/>
      <c r="D7341" s="663"/>
      <c r="E7341" s="663"/>
    </row>
    <row r="7342" spans="1:5" x14ac:dyDescent="0.2">
      <c r="A7342"/>
      <c r="B7342" s="663"/>
      <c r="C7342" s="663"/>
      <c r="D7342" s="663"/>
      <c r="E7342" s="663"/>
    </row>
    <row r="7343" spans="1:5" x14ac:dyDescent="0.2">
      <c r="A7343"/>
      <c r="B7343" s="663"/>
      <c r="C7343" s="663"/>
      <c r="D7343" s="663"/>
      <c r="E7343" s="663"/>
    </row>
    <row r="7344" spans="1:5" x14ac:dyDescent="0.2">
      <c r="A7344"/>
      <c r="B7344" s="663"/>
      <c r="C7344" s="663"/>
      <c r="D7344" s="663"/>
      <c r="E7344" s="663"/>
    </row>
    <row r="7345" spans="1:5" x14ac:dyDescent="0.2">
      <c r="A7345"/>
      <c r="B7345" s="663"/>
      <c r="C7345" s="663"/>
      <c r="D7345" s="663"/>
      <c r="E7345" s="663"/>
    </row>
    <row r="7346" spans="1:5" x14ac:dyDescent="0.2">
      <c r="A7346"/>
      <c r="B7346" s="663"/>
      <c r="C7346" s="663"/>
      <c r="D7346" s="663"/>
      <c r="E7346" s="663"/>
    </row>
    <row r="7347" spans="1:5" x14ac:dyDescent="0.2">
      <c r="A7347"/>
      <c r="B7347" s="663"/>
      <c r="C7347" s="663"/>
      <c r="D7347" s="663"/>
      <c r="E7347" s="663"/>
    </row>
    <row r="7348" spans="1:5" x14ac:dyDescent="0.2">
      <c r="A7348"/>
      <c r="B7348" s="663"/>
      <c r="C7348" s="663"/>
      <c r="D7348" s="663"/>
      <c r="E7348" s="663"/>
    </row>
    <row r="7349" spans="1:5" x14ac:dyDescent="0.2">
      <c r="A7349"/>
      <c r="B7349" s="663"/>
      <c r="C7349" s="663"/>
      <c r="D7349" s="663"/>
      <c r="E7349" s="663"/>
    </row>
    <row r="7350" spans="1:5" x14ac:dyDescent="0.2">
      <c r="A7350"/>
      <c r="B7350" s="663"/>
      <c r="C7350" s="663"/>
      <c r="D7350" s="663"/>
      <c r="E7350" s="663"/>
    </row>
    <row r="7351" spans="1:5" x14ac:dyDescent="0.2">
      <c r="A7351"/>
      <c r="B7351" s="663"/>
      <c r="C7351" s="663"/>
      <c r="D7351" s="663"/>
      <c r="E7351" s="663"/>
    </row>
    <row r="7352" spans="1:5" x14ac:dyDescent="0.2">
      <c r="A7352"/>
      <c r="B7352" s="663"/>
      <c r="C7352" s="663"/>
      <c r="D7352" s="663"/>
      <c r="E7352" s="663"/>
    </row>
    <row r="7353" spans="1:5" x14ac:dyDescent="0.2">
      <c r="A7353"/>
      <c r="B7353" s="663"/>
      <c r="C7353" s="663"/>
      <c r="D7353" s="663"/>
      <c r="E7353" s="663"/>
    </row>
    <row r="7354" spans="1:5" x14ac:dyDescent="0.2">
      <c r="A7354"/>
      <c r="B7354" s="663"/>
      <c r="C7354" s="663"/>
      <c r="D7354" s="663"/>
      <c r="E7354" s="663"/>
    </row>
    <row r="7355" spans="1:5" x14ac:dyDescent="0.2">
      <c r="A7355"/>
      <c r="B7355" s="663"/>
      <c r="C7355" s="663"/>
      <c r="D7355" s="663"/>
      <c r="E7355" s="663"/>
    </row>
    <row r="7356" spans="1:5" x14ac:dyDescent="0.2">
      <c r="A7356"/>
      <c r="B7356" s="663"/>
      <c r="C7356" s="663"/>
      <c r="D7356" s="663"/>
      <c r="E7356" s="663"/>
    </row>
    <row r="7357" spans="1:5" x14ac:dyDescent="0.2">
      <c r="A7357"/>
      <c r="B7357" s="663"/>
      <c r="C7357" s="663"/>
      <c r="D7357" s="663"/>
      <c r="E7357" s="663"/>
    </row>
    <row r="7358" spans="1:5" x14ac:dyDescent="0.2">
      <c r="A7358"/>
      <c r="B7358" s="663"/>
      <c r="C7358" s="663"/>
      <c r="D7358" s="663"/>
      <c r="E7358" s="663"/>
    </row>
    <row r="7359" spans="1:5" x14ac:dyDescent="0.2">
      <c r="A7359"/>
      <c r="B7359" s="663"/>
      <c r="C7359" s="663"/>
      <c r="D7359" s="663"/>
      <c r="E7359" s="663"/>
    </row>
    <row r="7360" spans="1:5" x14ac:dyDescent="0.2">
      <c r="A7360"/>
      <c r="B7360" s="663"/>
      <c r="C7360" s="663"/>
      <c r="D7360" s="663"/>
      <c r="E7360" s="663"/>
    </row>
    <row r="7361" spans="1:5" x14ac:dyDescent="0.2">
      <c r="A7361"/>
      <c r="B7361" s="663"/>
      <c r="C7361" s="663"/>
      <c r="D7361" s="663"/>
      <c r="E7361" s="663"/>
    </row>
    <row r="7362" spans="1:5" x14ac:dyDescent="0.2">
      <c r="A7362"/>
      <c r="B7362" s="663"/>
      <c r="C7362" s="663"/>
      <c r="D7362" s="663"/>
      <c r="E7362" s="663"/>
    </row>
    <row r="7363" spans="1:5" x14ac:dyDescent="0.2">
      <c r="A7363"/>
      <c r="B7363" s="663"/>
      <c r="C7363" s="663"/>
      <c r="D7363" s="663"/>
      <c r="E7363" s="663"/>
    </row>
    <row r="7364" spans="1:5" x14ac:dyDescent="0.2">
      <c r="A7364"/>
      <c r="B7364" s="663"/>
      <c r="C7364" s="663"/>
      <c r="D7364" s="663"/>
      <c r="E7364" s="663"/>
    </row>
    <row r="7365" spans="1:5" x14ac:dyDescent="0.2">
      <c r="A7365"/>
      <c r="B7365" s="663"/>
      <c r="C7365" s="663"/>
      <c r="D7365" s="663"/>
      <c r="E7365" s="663"/>
    </row>
    <row r="7366" spans="1:5" x14ac:dyDescent="0.2">
      <c r="A7366"/>
      <c r="B7366" s="663"/>
      <c r="C7366" s="663"/>
      <c r="D7366" s="663"/>
      <c r="E7366" s="663"/>
    </row>
    <row r="7367" spans="1:5" x14ac:dyDescent="0.2">
      <c r="A7367"/>
      <c r="B7367" s="663"/>
      <c r="C7367" s="663"/>
      <c r="D7367" s="663"/>
      <c r="E7367" s="663"/>
    </row>
    <row r="7368" spans="1:5" x14ac:dyDescent="0.2">
      <c r="A7368"/>
      <c r="B7368" s="663"/>
      <c r="C7368" s="663"/>
      <c r="D7368" s="663"/>
      <c r="E7368" s="663"/>
    </row>
    <row r="7369" spans="1:5" x14ac:dyDescent="0.2">
      <c r="A7369"/>
      <c r="B7369" s="663"/>
      <c r="C7369" s="663"/>
      <c r="D7369" s="663"/>
      <c r="E7369" s="663"/>
    </row>
    <row r="7370" spans="1:5" x14ac:dyDescent="0.2">
      <c r="A7370"/>
      <c r="B7370" s="663"/>
      <c r="C7370" s="663"/>
      <c r="D7370" s="663"/>
      <c r="E7370" s="663"/>
    </row>
    <row r="7371" spans="1:5" x14ac:dyDescent="0.2">
      <c r="A7371"/>
      <c r="B7371" s="663"/>
      <c r="C7371" s="663"/>
      <c r="D7371" s="663"/>
      <c r="E7371" s="663"/>
    </row>
    <row r="7372" spans="1:5" x14ac:dyDescent="0.2">
      <c r="A7372"/>
      <c r="B7372" s="663"/>
      <c r="C7372" s="663"/>
      <c r="D7372" s="663"/>
      <c r="E7372" s="663"/>
    </row>
    <row r="7373" spans="1:5" x14ac:dyDescent="0.2">
      <c r="A7373"/>
      <c r="B7373" s="663"/>
      <c r="C7373" s="663"/>
      <c r="D7373" s="663"/>
      <c r="E7373" s="663"/>
    </row>
    <row r="7374" spans="1:5" x14ac:dyDescent="0.2">
      <c r="A7374"/>
      <c r="B7374" s="663"/>
      <c r="C7374" s="663"/>
      <c r="D7374" s="663"/>
      <c r="E7374" s="663"/>
    </row>
    <row r="7375" spans="1:5" x14ac:dyDescent="0.2">
      <c r="A7375"/>
      <c r="B7375" s="663"/>
      <c r="C7375" s="663"/>
      <c r="D7375" s="663"/>
      <c r="E7375" s="663"/>
    </row>
    <row r="7376" spans="1:5" x14ac:dyDescent="0.2">
      <c r="A7376"/>
      <c r="B7376" s="663"/>
      <c r="C7376" s="663"/>
      <c r="D7376" s="663"/>
      <c r="E7376" s="663"/>
    </row>
    <row r="7377" spans="1:5" x14ac:dyDescent="0.2">
      <c r="A7377"/>
      <c r="B7377" s="663"/>
      <c r="C7377" s="663"/>
      <c r="D7377" s="663"/>
      <c r="E7377" s="663"/>
    </row>
    <row r="7378" spans="1:5" x14ac:dyDescent="0.2">
      <c r="A7378"/>
      <c r="B7378" s="663"/>
      <c r="C7378" s="663"/>
      <c r="D7378" s="663"/>
      <c r="E7378" s="663"/>
    </row>
    <row r="7379" spans="1:5" x14ac:dyDescent="0.2">
      <c r="A7379"/>
      <c r="B7379" s="663"/>
      <c r="C7379" s="663"/>
      <c r="D7379" s="663"/>
      <c r="E7379" s="663"/>
    </row>
    <row r="7380" spans="1:5" x14ac:dyDescent="0.2">
      <c r="A7380"/>
      <c r="B7380" s="663"/>
      <c r="C7380" s="663"/>
      <c r="D7380" s="663"/>
      <c r="E7380" s="663"/>
    </row>
    <row r="7381" spans="1:5" x14ac:dyDescent="0.2">
      <c r="A7381"/>
      <c r="B7381" s="663"/>
      <c r="C7381" s="663"/>
      <c r="D7381" s="663"/>
      <c r="E7381" s="663"/>
    </row>
    <row r="7382" spans="1:5" x14ac:dyDescent="0.2">
      <c r="A7382"/>
      <c r="B7382" s="663"/>
      <c r="C7382" s="663"/>
      <c r="D7382" s="663"/>
      <c r="E7382" s="663"/>
    </row>
    <row r="7383" spans="1:5" x14ac:dyDescent="0.2">
      <c r="A7383"/>
      <c r="B7383" s="663"/>
      <c r="C7383" s="663"/>
      <c r="D7383" s="663"/>
      <c r="E7383" s="663"/>
    </row>
    <row r="7384" spans="1:5" x14ac:dyDescent="0.2">
      <c r="A7384"/>
      <c r="B7384" s="663"/>
      <c r="C7384" s="663"/>
      <c r="D7384" s="663"/>
      <c r="E7384" s="663"/>
    </row>
    <row r="7385" spans="1:5" x14ac:dyDescent="0.2">
      <c r="A7385"/>
      <c r="B7385" s="663"/>
      <c r="C7385" s="663"/>
      <c r="D7385" s="663"/>
      <c r="E7385" s="663"/>
    </row>
    <row r="7386" spans="1:5" x14ac:dyDescent="0.2">
      <c r="A7386"/>
      <c r="B7386" s="663"/>
      <c r="C7386" s="663"/>
      <c r="D7386" s="663"/>
      <c r="E7386" s="663"/>
    </row>
    <row r="7387" spans="1:5" x14ac:dyDescent="0.2">
      <c r="A7387"/>
      <c r="B7387" s="663"/>
      <c r="C7387" s="663"/>
      <c r="D7387" s="663"/>
      <c r="E7387" s="663"/>
    </row>
    <row r="7388" spans="1:5" x14ac:dyDescent="0.2">
      <c r="A7388"/>
      <c r="B7388" s="663"/>
      <c r="C7388" s="663"/>
      <c r="D7388" s="663"/>
      <c r="E7388" s="663"/>
    </row>
    <row r="7389" spans="1:5" x14ac:dyDescent="0.2">
      <c r="A7389"/>
      <c r="B7389" s="663"/>
      <c r="C7389" s="663"/>
      <c r="D7389" s="663"/>
      <c r="E7389" s="663"/>
    </row>
    <row r="7390" spans="1:5" x14ac:dyDescent="0.2">
      <c r="A7390"/>
      <c r="B7390" s="663"/>
      <c r="C7390" s="663"/>
      <c r="D7390" s="663"/>
      <c r="E7390" s="663"/>
    </row>
    <row r="7391" spans="1:5" x14ac:dyDescent="0.2">
      <c r="A7391"/>
      <c r="B7391" s="663"/>
      <c r="C7391" s="663"/>
      <c r="D7391" s="663"/>
      <c r="E7391" s="663"/>
    </row>
    <row r="7392" spans="1:5" x14ac:dyDescent="0.2">
      <c r="A7392"/>
      <c r="B7392" s="663"/>
      <c r="C7392" s="663"/>
      <c r="D7392" s="663"/>
      <c r="E7392" s="663"/>
    </row>
    <row r="7393" spans="1:5" x14ac:dyDescent="0.2">
      <c r="A7393"/>
      <c r="B7393" s="663"/>
      <c r="C7393" s="663"/>
      <c r="D7393" s="663"/>
      <c r="E7393" s="663"/>
    </row>
    <row r="7394" spans="1:5" x14ac:dyDescent="0.2">
      <c r="A7394"/>
      <c r="B7394" s="663"/>
      <c r="C7394" s="663"/>
      <c r="D7394" s="663"/>
      <c r="E7394" s="663"/>
    </row>
    <row r="7395" spans="1:5" x14ac:dyDescent="0.2">
      <c r="A7395"/>
      <c r="B7395" s="663"/>
      <c r="C7395" s="663"/>
      <c r="D7395" s="663"/>
      <c r="E7395" s="663"/>
    </row>
    <row r="7396" spans="1:5" x14ac:dyDescent="0.2">
      <c r="A7396"/>
      <c r="B7396" s="663"/>
      <c r="C7396" s="663"/>
      <c r="D7396" s="663"/>
      <c r="E7396" s="663"/>
    </row>
    <row r="7397" spans="1:5" x14ac:dyDescent="0.2">
      <c r="A7397"/>
      <c r="B7397" s="663"/>
      <c r="C7397" s="663"/>
      <c r="D7397" s="663"/>
      <c r="E7397" s="663"/>
    </row>
    <row r="7398" spans="1:5" x14ac:dyDescent="0.2">
      <c r="A7398"/>
      <c r="B7398" s="663"/>
      <c r="C7398" s="663"/>
      <c r="D7398" s="663"/>
      <c r="E7398" s="663"/>
    </row>
    <row r="7399" spans="1:5" x14ac:dyDescent="0.2">
      <c r="A7399"/>
      <c r="B7399" s="663"/>
      <c r="C7399" s="663"/>
      <c r="D7399" s="663"/>
      <c r="E7399" s="663"/>
    </row>
    <row r="7400" spans="1:5" x14ac:dyDescent="0.2">
      <c r="A7400"/>
      <c r="B7400" s="663"/>
      <c r="C7400" s="663"/>
      <c r="D7400" s="663"/>
      <c r="E7400" s="663"/>
    </row>
    <row r="7401" spans="1:5" x14ac:dyDescent="0.2">
      <c r="A7401"/>
      <c r="B7401" s="663"/>
      <c r="C7401" s="663"/>
      <c r="D7401" s="663"/>
      <c r="E7401" s="663"/>
    </row>
    <row r="7402" spans="1:5" x14ac:dyDescent="0.2">
      <c r="A7402"/>
      <c r="B7402" s="663"/>
      <c r="C7402" s="663"/>
      <c r="D7402" s="663"/>
      <c r="E7402" s="663"/>
    </row>
    <row r="7403" spans="1:5" x14ac:dyDescent="0.2">
      <c r="A7403"/>
      <c r="B7403" s="663"/>
      <c r="C7403" s="663"/>
      <c r="D7403" s="663"/>
      <c r="E7403" s="663"/>
    </row>
    <row r="7404" spans="1:5" x14ac:dyDescent="0.2">
      <c r="A7404"/>
      <c r="B7404" s="663"/>
      <c r="C7404" s="663"/>
      <c r="D7404" s="663"/>
      <c r="E7404" s="663"/>
    </row>
    <row r="7405" spans="1:5" x14ac:dyDescent="0.2">
      <c r="A7405"/>
      <c r="B7405" s="663"/>
      <c r="C7405" s="663"/>
      <c r="D7405" s="663"/>
      <c r="E7405" s="663"/>
    </row>
    <row r="7406" spans="1:5" x14ac:dyDescent="0.2">
      <c r="A7406"/>
      <c r="B7406" s="663"/>
      <c r="C7406" s="663"/>
      <c r="D7406" s="663"/>
      <c r="E7406" s="663"/>
    </row>
    <row r="7407" spans="1:5" x14ac:dyDescent="0.2">
      <c r="A7407"/>
      <c r="B7407" s="663"/>
      <c r="C7407" s="663"/>
      <c r="D7407" s="663"/>
      <c r="E7407" s="663"/>
    </row>
    <row r="7408" spans="1:5" x14ac:dyDescent="0.2">
      <c r="A7408"/>
      <c r="B7408" s="663"/>
      <c r="C7408" s="663"/>
      <c r="D7408" s="663"/>
      <c r="E7408" s="663"/>
    </row>
    <row r="7409" spans="1:5" x14ac:dyDescent="0.2">
      <c r="A7409"/>
      <c r="B7409" s="663"/>
      <c r="C7409" s="663"/>
      <c r="D7409" s="663"/>
      <c r="E7409" s="663"/>
    </row>
    <row r="7410" spans="1:5" x14ac:dyDescent="0.2">
      <c r="A7410"/>
      <c r="B7410" s="663"/>
      <c r="C7410" s="663"/>
      <c r="D7410" s="663"/>
      <c r="E7410" s="663"/>
    </row>
    <row r="7411" spans="1:5" x14ac:dyDescent="0.2">
      <c r="A7411"/>
      <c r="B7411" s="663"/>
      <c r="C7411" s="663"/>
      <c r="D7411" s="663"/>
      <c r="E7411" s="663"/>
    </row>
    <row r="7412" spans="1:5" x14ac:dyDescent="0.2">
      <c r="A7412"/>
      <c r="B7412" s="663"/>
      <c r="C7412" s="663"/>
      <c r="D7412" s="663"/>
      <c r="E7412" s="663"/>
    </row>
    <row r="7413" spans="1:5" x14ac:dyDescent="0.2">
      <c r="A7413"/>
      <c r="B7413" s="663"/>
      <c r="C7413" s="663"/>
      <c r="D7413" s="663"/>
      <c r="E7413" s="663"/>
    </row>
    <row r="7414" spans="1:5" x14ac:dyDescent="0.2">
      <c r="A7414"/>
      <c r="B7414" s="663"/>
      <c r="C7414" s="663"/>
      <c r="D7414" s="663"/>
      <c r="E7414" s="663"/>
    </row>
    <row r="7415" spans="1:5" x14ac:dyDescent="0.2">
      <c r="A7415"/>
      <c r="B7415" s="663"/>
      <c r="C7415" s="663"/>
      <c r="D7415" s="663"/>
      <c r="E7415" s="663"/>
    </row>
    <row r="7416" spans="1:5" x14ac:dyDescent="0.2">
      <c r="A7416"/>
      <c r="B7416" s="663"/>
      <c r="C7416" s="663"/>
      <c r="D7416" s="663"/>
      <c r="E7416" s="663"/>
    </row>
    <row r="7417" spans="1:5" x14ac:dyDescent="0.2">
      <c r="A7417"/>
      <c r="B7417" s="663"/>
      <c r="C7417" s="663"/>
      <c r="D7417" s="663"/>
      <c r="E7417" s="663"/>
    </row>
    <row r="7418" spans="1:5" x14ac:dyDescent="0.2">
      <c r="A7418"/>
      <c r="B7418" s="663"/>
      <c r="C7418" s="663"/>
      <c r="D7418" s="663"/>
      <c r="E7418" s="663"/>
    </row>
    <row r="7419" spans="1:5" x14ac:dyDescent="0.2">
      <c r="A7419"/>
      <c r="B7419" s="663"/>
      <c r="C7419" s="663"/>
      <c r="D7419" s="663"/>
      <c r="E7419" s="663"/>
    </row>
    <row r="7420" spans="1:5" x14ac:dyDescent="0.2">
      <c r="A7420"/>
      <c r="B7420" s="663"/>
      <c r="C7420" s="663"/>
      <c r="D7420" s="663"/>
      <c r="E7420" s="663"/>
    </row>
    <row r="7421" spans="1:5" x14ac:dyDescent="0.2">
      <c r="A7421"/>
      <c r="B7421" s="663"/>
      <c r="C7421" s="663"/>
      <c r="D7421" s="663"/>
      <c r="E7421" s="663"/>
    </row>
    <row r="7422" spans="1:5" x14ac:dyDescent="0.2">
      <c r="A7422"/>
      <c r="B7422" s="663"/>
      <c r="C7422" s="663"/>
      <c r="D7422" s="663"/>
      <c r="E7422" s="663"/>
    </row>
    <row r="7423" spans="1:5" x14ac:dyDescent="0.2">
      <c r="A7423"/>
      <c r="B7423" s="663"/>
      <c r="C7423" s="663"/>
      <c r="D7423" s="663"/>
      <c r="E7423" s="663"/>
    </row>
    <row r="7424" spans="1:5" x14ac:dyDescent="0.2">
      <c r="A7424"/>
      <c r="B7424" s="663"/>
      <c r="C7424" s="663"/>
      <c r="D7424" s="663"/>
      <c r="E7424" s="663"/>
    </row>
    <row r="7425" spans="1:5" x14ac:dyDescent="0.2">
      <c r="A7425"/>
      <c r="B7425" s="663"/>
      <c r="C7425" s="663"/>
      <c r="D7425" s="663"/>
      <c r="E7425" s="663"/>
    </row>
    <row r="7426" spans="1:5" x14ac:dyDescent="0.2">
      <c r="A7426"/>
      <c r="B7426" s="663"/>
      <c r="C7426" s="663"/>
      <c r="D7426" s="663"/>
      <c r="E7426" s="663"/>
    </row>
    <row r="7427" spans="1:5" x14ac:dyDescent="0.2">
      <c r="A7427"/>
      <c r="B7427" s="663"/>
      <c r="C7427" s="663"/>
      <c r="D7427" s="663"/>
      <c r="E7427" s="663"/>
    </row>
    <row r="7428" spans="1:5" x14ac:dyDescent="0.2">
      <c r="A7428"/>
      <c r="B7428" s="663"/>
      <c r="C7428" s="663"/>
      <c r="D7428" s="663"/>
      <c r="E7428" s="663"/>
    </row>
    <row r="7429" spans="1:5" x14ac:dyDescent="0.2">
      <c r="A7429"/>
      <c r="B7429" s="663"/>
      <c r="C7429" s="663"/>
      <c r="D7429" s="663"/>
      <c r="E7429" s="663"/>
    </row>
    <row r="7430" spans="1:5" x14ac:dyDescent="0.2">
      <c r="A7430"/>
      <c r="B7430" s="663"/>
      <c r="C7430" s="663"/>
      <c r="D7430" s="663"/>
      <c r="E7430" s="663"/>
    </row>
    <row r="7431" spans="1:5" x14ac:dyDescent="0.2">
      <c r="A7431"/>
      <c r="B7431" s="663"/>
      <c r="C7431" s="663"/>
      <c r="D7431" s="663"/>
      <c r="E7431" s="663"/>
    </row>
    <row r="7432" spans="1:5" x14ac:dyDescent="0.2">
      <c r="A7432"/>
      <c r="B7432" s="663"/>
      <c r="C7432" s="663"/>
      <c r="D7432" s="663"/>
      <c r="E7432" s="663"/>
    </row>
    <row r="7433" spans="1:5" x14ac:dyDescent="0.2">
      <c r="A7433"/>
      <c r="B7433" s="663"/>
      <c r="C7433" s="663"/>
      <c r="D7433" s="663"/>
      <c r="E7433" s="663"/>
    </row>
    <row r="7434" spans="1:5" x14ac:dyDescent="0.2">
      <c r="A7434"/>
      <c r="B7434" s="663"/>
      <c r="C7434" s="663"/>
      <c r="D7434" s="663"/>
      <c r="E7434" s="663"/>
    </row>
    <row r="7435" spans="1:5" x14ac:dyDescent="0.2">
      <c r="A7435"/>
      <c r="B7435" s="663"/>
      <c r="C7435" s="663"/>
      <c r="D7435" s="663"/>
      <c r="E7435" s="663"/>
    </row>
    <row r="7436" spans="1:5" x14ac:dyDescent="0.2">
      <c r="A7436"/>
      <c r="B7436" s="663"/>
      <c r="C7436" s="663"/>
      <c r="D7436" s="663"/>
      <c r="E7436" s="663"/>
    </row>
    <row r="7437" spans="1:5" x14ac:dyDescent="0.2">
      <c r="A7437"/>
      <c r="B7437" s="663"/>
      <c r="C7437" s="663"/>
      <c r="D7437" s="663"/>
      <c r="E7437" s="663"/>
    </row>
    <row r="7438" spans="1:5" x14ac:dyDescent="0.2">
      <c r="A7438"/>
      <c r="B7438" s="663"/>
      <c r="C7438" s="663"/>
      <c r="D7438" s="663"/>
      <c r="E7438" s="663"/>
    </row>
    <row r="7439" spans="1:5" x14ac:dyDescent="0.2">
      <c r="A7439"/>
      <c r="B7439" s="663"/>
      <c r="C7439" s="663"/>
      <c r="D7439" s="663"/>
      <c r="E7439" s="663"/>
    </row>
    <row r="7440" spans="1:5" x14ac:dyDescent="0.2">
      <c r="A7440"/>
      <c r="B7440" s="663"/>
      <c r="C7440" s="663"/>
      <c r="D7440" s="663"/>
      <c r="E7440" s="663"/>
    </row>
    <row r="7441" spans="1:5" x14ac:dyDescent="0.2">
      <c r="A7441"/>
      <c r="B7441" s="663"/>
      <c r="C7441" s="663"/>
      <c r="D7441" s="663"/>
      <c r="E7441" s="663"/>
    </row>
    <row r="7442" spans="1:5" x14ac:dyDescent="0.2">
      <c r="A7442"/>
      <c r="B7442" s="663"/>
      <c r="C7442" s="663"/>
      <c r="D7442" s="663"/>
      <c r="E7442" s="663"/>
    </row>
    <row r="7443" spans="1:5" x14ac:dyDescent="0.2">
      <c r="A7443"/>
      <c r="B7443" s="663"/>
      <c r="C7443" s="663"/>
      <c r="D7443" s="663"/>
      <c r="E7443" s="663"/>
    </row>
    <row r="7444" spans="1:5" x14ac:dyDescent="0.2">
      <c r="A7444"/>
      <c r="B7444" s="663"/>
      <c r="C7444" s="663"/>
      <c r="D7444" s="663"/>
      <c r="E7444" s="663"/>
    </row>
    <row r="7445" spans="1:5" x14ac:dyDescent="0.2">
      <c r="A7445"/>
      <c r="B7445" s="663"/>
      <c r="C7445" s="663"/>
      <c r="D7445" s="663"/>
      <c r="E7445" s="663"/>
    </row>
    <row r="7446" spans="1:5" x14ac:dyDescent="0.2">
      <c r="A7446"/>
      <c r="B7446" s="663"/>
      <c r="C7446" s="663"/>
      <c r="D7446" s="663"/>
      <c r="E7446" s="663"/>
    </row>
    <row r="7447" spans="1:5" x14ac:dyDescent="0.2">
      <c r="A7447"/>
      <c r="B7447" s="663"/>
      <c r="C7447" s="663"/>
      <c r="D7447" s="663"/>
      <c r="E7447" s="663"/>
    </row>
    <row r="7448" spans="1:5" x14ac:dyDescent="0.2">
      <c r="A7448"/>
      <c r="B7448" s="663"/>
      <c r="C7448" s="663"/>
      <c r="D7448" s="663"/>
      <c r="E7448" s="663"/>
    </row>
    <row r="7449" spans="1:5" x14ac:dyDescent="0.2">
      <c r="A7449"/>
      <c r="B7449" s="663"/>
      <c r="C7449" s="663"/>
      <c r="D7449" s="663"/>
      <c r="E7449" s="663"/>
    </row>
    <row r="7450" spans="1:5" x14ac:dyDescent="0.2">
      <c r="A7450"/>
      <c r="B7450" s="663"/>
      <c r="C7450" s="663"/>
      <c r="D7450" s="663"/>
      <c r="E7450" s="663"/>
    </row>
    <row r="7451" spans="1:5" x14ac:dyDescent="0.2">
      <c r="A7451"/>
      <c r="B7451" s="663"/>
      <c r="C7451" s="663"/>
      <c r="D7451" s="663"/>
      <c r="E7451" s="663"/>
    </row>
    <row r="7452" spans="1:5" x14ac:dyDescent="0.2">
      <c r="A7452"/>
      <c r="B7452" s="663"/>
      <c r="C7452" s="663"/>
      <c r="D7452" s="663"/>
      <c r="E7452" s="663"/>
    </row>
    <row r="7453" spans="1:5" x14ac:dyDescent="0.2">
      <c r="A7453"/>
      <c r="B7453" s="663"/>
      <c r="C7453" s="663"/>
      <c r="D7453" s="663"/>
      <c r="E7453" s="663"/>
    </row>
    <row r="7454" spans="1:5" x14ac:dyDescent="0.2">
      <c r="A7454"/>
      <c r="B7454" s="663"/>
      <c r="C7454" s="663"/>
      <c r="D7454" s="663"/>
      <c r="E7454" s="663"/>
    </row>
    <row r="7455" spans="1:5" x14ac:dyDescent="0.2">
      <c r="A7455"/>
      <c r="B7455" s="663"/>
      <c r="C7455" s="663"/>
      <c r="D7455" s="663"/>
      <c r="E7455" s="663"/>
    </row>
    <row r="7456" spans="1:5" x14ac:dyDescent="0.2">
      <c r="A7456"/>
      <c r="B7456" s="663"/>
      <c r="C7456" s="663"/>
      <c r="D7456" s="663"/>
      <c r="E7456" s="663"/>
    </row>
    <row r="7457" spans="1:5" x14ac:dyDescent="0.2">
      <c r="A7457"/>
      <c r="B7457" s="663"/>
      <c r="C7457" s="663"/>
      <c r="D7457" s="663"/>
      <c r="E7457" s="663"/>
    </row>
    <row r="7458" spans="1:5" x14ac:dyDescent="0.2">
      <c r="A7458"/>
      <c r="B7458" s="663"/>
      <c r="C7458" s="663"/>
      <c r="D7458" s="663"/>
      <c r="E7458" s="663"/>
    </row>
    <row r="7459" spans="1:5" x14ac:dyDescent="0.2">
      <c r="A7459"/>
      <c r="B7459" s="663"/>
      <c r="C7459" s="663"/>
      <c r="D7459" s="663"/>
      <c r="E7459" s="663"/>
    </row>
    <row r="7460" spans="1:5" x14ac:dyDescent="0.2">
      <c r="A7460"/>
      <c r="B7460" s="663"/>
      <c r="C7460" s="663"/>
      <c r="D7460" s="663"/>
      <c r="E7460" s="663"/>
    </row>
    <row r="7461" spans="1:5" x14ac:dyDescent="0.2">
      <c r="A7461"/>
      <c r="B7461" s="663"/>
      <c r="C7461" s="663"/>
      <c r="D7461" s="663"/>
      <c r="E7461" s="663"/>
    </row>
    <row r="7462" spans="1:5" x14ac:dyDescent="0.2">
      <c r="A7462"/>
      <c r="B7462" s="663"/>
      <c r="C7462" s="663"/>
      <c r="D7462" s="663"/>
      <c r="E7462" s="663"/>
    </row>
    <row r="7463" spans="1:5" x14ac:dyDescent="0.2">
      <c r="A7463"/>
      <c r="B7463" s="663"/>
      <c r="C7463" s="663"/>
      <c r="D7463" s="663"/>
      <c r="E7463" s="663"/>
    </row>
    <row r="7464" spans="1:5" x14ac:dyDescent="0.2">
      <c r="A7464"/>
      <c r="B7464" s="663"/>
      <c r="C7464" s="663"/>
      <c r="D7464" s="663"/>
      <c r="E7464" s="663"/>
    </row>
    <row r="7465" spans="1:5" x14ac:dyDescent="0.2">
      <c r="A7465"/>
      <c r="B7465" s="663"/>
      <c r="C7465" s="663"/>
      <c r="D7465" s="663"/>
      <c r="E7465" s="663"/>
    </row>
    <row r="7466" spans="1:5" x14ac:dyDescent="0.2">
      <c r="A7466"/>
      <c r="B7466" s="663"/>
      <c r="C7466" s="663"/>
      <c r="D7466" s="663"/>
      <c r="E7466" s="663"/>
    </row>
    <row r="7467" spans="1:5" x14ac:dyDescent="0.2">
      <c r="A7467"/>
      <c r="B7467" s="663"/>
      <c r="C7467" s="663"/>
      <c r="D7467" s="663"/>
      <c r="E7467" s="663"/>
    </row>
    <row r="7468" spans="1:5" x14ac:dyDescent="0.2">
      <c r="A7468"/>
      <c r="B7468" s="663"/>
      <c r="C7468" s="663"/>
      <c r="D7468" s="663"/>
      <c r="E7468" s="663"/>
    </row>
    <row r="7469" spans="1:5" x14ac:dyDescent="0.2">
      <c r="A7469"/>
      <c r="B7469" s="663"/>
      <c r="C7469" s="663"/>
      <c r="D7469" s="663"/>
      <c r="E7469" s="663"/>
    </row>
    <row r="7470" spans="1:5" x14ac:dyDescent="0.2">
      <c r="A7470"/>
      <c r="B7470" s="663"/>
      <c r="C7470" s="663"/>
      <c r="D7470" s="663"/>
      <c r="E7470" s="663"/>
    </row>
    <row r="7471" spans="1:5" x14ac:dyDescent="0.2">
      <c r="A7471"/>
      <c r="B7471" s="663"/>
      <c r="C7471" s="663"/>
      <c r="D7471" s="663"/>
      <c r="E7471" s="663"/>
    </row>
    <row r="7472" spans="1:5" x14ac:dyDescent="0.2">
      <c r="A7472"/>
      <c r="B7472" s="663"/>
      <c r="C7472" s="663"/>
      <c r="D7472" s="663"/>
      <c r="E7472" s="663"/>
    </row>
    <row r="7473" spans="1:5" x14ac:dyDescent="0.2">
      <c r="A7473"/>
      <c r="B7473" s="663"/>
      <c r="C7473" s="663"/>
      <c r="D7473" s="663"/>
      <c r="E7473" s="663"/>
    </row>
    <row r="7474" spans="1:5" x14ac:dyDescent="0.2">
      <c r="A7474"/>
      <c r="B7474" s="663"/>
      <c r="C7474" s="663"/>
      <c r="D7474" s="663"/>
      <c r="E7474" s="663"/>
    </row>
    <row r="7475" spans="1:5" x14ac:dyDescent="0.2">
      <c r="A7475"/>
      <c r="B7475" s="663"/>
      <c r="C7475" s="663"/>
      <c r="D7475" s="663"/>
      <c r="E7475" s="663"/>
    </row>
    <row r="7476" spans="1:5" x14ac:dyDescent="0.2">
      <c r="A7476"/>
      <c r="B7476" s="663"/>
      <c r="C7476" s="663"/>
      <c r="D7476" s="663"/>
      <c r="E7476" s="663"/>
    </row>
    <row r="7477" spans="1:5" x14ac:dyDescent="0.2">
      <c r="A7477"/>
      <c r="B7477" s="663"/>
      <c r="C7477" s="663"/>
      <c r="D7477" s="663"/>
      <c r="E7477" s="663"/>
    </row>
    <row r="7478" spans="1:5" x14ac:dyDescent="0.2">
      <c r="A7478"/>
      <c r="B7478" s="663"/>
      <c r="C7478" s="663"/>
      <c r="D7478" s="663"/>
      <c r="E7478" s="663"/>
    </row>
    <row r="7479" spans="1:5" x14ac:dyDescent="0.2">
      <c r="A7479"/>
      <c r="B7479" s="663"/>
      <c r="C7479" s="663"/>
      <c r="D7479" s="663"/>
      <c r="E7479" s="663"/>
    </row>
    <row r="7480" spans="1:5" x14ac:dyDescent="0.2">
      <c r="A7480"/>
      <c r="B7480" s="663"/>
      <c r="C7480" s="663"/>
      <c r="D7480" s="663"/>
      <c r="E7480" s="663"/>
    </row>
    <row r="7481" spans="1:5" x14ac:dyDescent="0.2">
      <c r="A7481"/>
      <c r="B7481" s="663"/>
      <c r="C7481" s="663"/>
      <c r="D7481" s="663"/>
      <c r="E7481" s="663"/>
    </row>
    <row r="7482" spans="1:5" x14ac:dyDescent="0.2">
      <c r="A7482"/>
      <c r="B7482" s="663"/>
      <c r="C7482" s="663"/>
      <c r="D7482" s="663"/>
      <c r="E7482" s="663"/>
    </row>
    <row r="7483" spans="1:5" x14ac:dyDescent="0.2">
      <c r="A7483"/>
      <c r="B7483" s="663"/>
      <c r="C7483" s="663"/>
      <c r="D7483" s="663"/>
      <c r="E7483" s="663"/>
    </row>
    <row r="7484" spans="1:5" x14ac:dyDescent="0.2">
      <c r="A7484"/>
      <c r="B7484" s="663"/>
      <c r="C7484" s="663"/>
      <c r="D7484" s="663"/>
      <c r="E7484" s="663"/>
    </row>
    <row r="7485" spans="1:5" x14ac:dyDescent="0.2">
      <c r="A7485"/>
      <c r="B7485" s="663"/>
      <c r="C7485" s="663"/>
      <c r="D7485" s="663"/>
      <c r="E7485" s="663"/>
    </row>
    <row r="7486" spans="1:5" x14ac:dyDescent="0.2">
      <c r="A7486"/>
      <c r="B7486" s="663"/>
      <c r="C7486" s="663"/>
      <c r="D7486" s="663"/>
      <c r="E7486" s="663"/>
    </row>
    <row r="7487" spans="1:5" x14ac:dyDescent="0.2">
      <c r="A7487"/>
      <c r="B7487" s="663"/>
      <c r="C7487" s="663"/>
      <c r="D7487" s="663"/>
      <c r="E7487" s="663"/>
    </row>
    <row r="7488" spans="1:5" x14ac:dyDescent="0.2">
      <c r="A7488"/>
      <c r="B7488" s="663"/>
      <c r="C7488" s="663"/>
      <c r="D7488" s="663"/>
      <c r="E7488" s="663"/>
    </row>
    <row r="7489" spans="1:5" x14ac:dyDescent="0.2">
      <c r="A7489"/>
      <c r="B7489" s="663"/>
      <c r="C7489" s="663"/>
      <c r="D7489" s="663"/>
      <c r="E7489" s="663"/>
    </row>
    <row r="7490" spans="1:5" x14ac:dyDescent="0.2">
      <c r="A7490"/>
      <c r="B7490" s="663"/>
      <c r="C7490" s="663"/>
      <c r="D7490" s="663"/>
      <c r="E7490" s="663"/>
    </row>
    <row r="7491" spans="1:5" x14ac:dyDescent="0.2">
      <c r="A7491"/>
      <c r="B7491" s="663"/>
      <c r="C7491" s="663"/>
      <c r="D7491" s="663"/>
      <c r="E7491" s="663"/>
    </row>
    <row r="7492" spans="1:5" x14ac:dyDescent="0.2">
      <c r="A7492"/>
      <c r="B7492" s="663"/>
      <c r="C7492" s="663"/>
      <c r="D7492" s="663"/>
      <c r="E7492" s="663"/>
    </row>
    <row r="7493" spans="1:5" x14ac:dyDescent="0.2">
      <c r="A7493"/>
      <c r="B7493" s="663"/>
      <c r="C7493" s="663"/>
      <c r="D7493" s="663"/>
      <c r="E7493" s="663"/>
    </row>
    <row r="7494" spans="1:5" x14ac:dyDescent="0.2">
      <c r="A7494"/>
      <c r="B7494" s="663"/>
      <c r="C7494" s="663"/>
      <c r="D7494" s="663"/>
      <c r="E7494" s="663"/>
    </row>
    <row r="7495" spans="1:5" x14ac:dyDescent="0.2">
      <c r="A7495"/>
      <c r="B7495" s="663"/>
      <c r="C7495" s="663"/>
      <c r="D7495" s="663"/>
      <c r="E7495" s="663"/>
    </row>
    <row r="7496" spans="1:5" x14ac:dyDescent="0.2">
      <c r="A7496"/>
      <c r="B7496" s="663"/>
      <c r="C7496" s="663"/>
      <c r="D7496" s="663"/>
      <c r="E7496" s="663"/>
    </row>
    <row r="7497" spans="1:5" x14ac:dyDescent="0.2">
      <c r="A7497"/>
      <c r="B7497" s="663"/>
      <c r="C7497" s="663"/>
      <c r="D7497" s="663"/>
      <c r="E7497" s="663"/>
    </row>
    <row r="7498" spans="1:5" x14ac:dyDescent="0.2">
      <c r="A7498"/>
      <c r="B7498" s="663"/>
      <c r="C7498" s="663"/>
      <c r="D7498" s="663"/>
      <c r="E7498" s="663"/>
    </row>
    <row r="7499" spans="1:5" x14ac:dyDescent="0.2">
      <c r="A7499"/>
      <c r="B7499" s="663"/>
      <c r="C7499" s="663"/>
      <c r="D7499" s="663"/>
      <c r="E7499" s="663"/>
    </row>
    <row r="7500" spans="1:5" x14ac:dyDescent="0.2">
      <c r="A7500"/>
      <c r="B7500" s="663"/>
      <c r="C7500" s="663"/>
      <c r="D7500" s="663"/>
      <c r="E7500" s="663"/>
    </row>
    <row r="7501" spans="1:5" x14ac:dyDescent="0.2">
      <c r="A7501"/>
      <c r="B7501" s="663"/>
      <c r="C7501" s="663"/>
      <c r="D7501" s="663"/>
      <c r="E7501" s="663"/>
    </row>
    <row r="7502" spans="1:5" x14ac:dyDescent="0.2">
      <c r="A7502"/>
      <c r="B7502" s="663"/>
      <c r="C7502" s="663"/>
      <c r="D7502" s="663"/>
      <c r="E7502" s="663"/>
    </row>
    <row r="7503" spans="1:5" x14ac:dyDescent="0.2">
      <c r="A7503"/>
      <c r="B7503" s="663"/>
      <c r="C7503" s="663"/>
      <c r="D7503" s="663"/>
      <c r="E7503" s="663"/>
    </row>
    <row r="7504" spans="1:5" x14ac:dyDescent="0.2">
      <c r="A7504"/>
      <c r="B7504" s="663"/>
      <c r="C7504" s="663"/>
      <c r="D7504" s="663"/>
      <c r="E7504" s="663"/>
    </row>
    <row r="7505" spans="1:5" x14ac:dyDescent="0.2">
      <c r="A7505"/>
      <c r="B7505" s="663"/>
      <c r="C7505" s="663"/>
      <c r="D7505" s="663"/>
      <c r="E7505" s="663"/>
    </row>
    <row r="7506" spans="1:5" x14ac:dyDescent="0.2">
      <c r="A7506"/>
      <c r="B7506" s="663"/>
      <c r="C7506" s="663"/>
      <c r="D7506" s="663"/>
      <c r="E7506" s="663"/>
    </row>
    <row r="7507" spans="1:5" x14ac:dyDescent="0.2">
      <c r="A7507"/>
      <c r="B7507" s="663"/>
      <c r="C7507" s="663"/>
      <c r="D7507" s="663"/>
      <c r="E7507" s="663"/>
    </row>
    <row r="7508" spans="1:5" x14ac:dyDescent="0.2">
      <c r="A7508"/>
      <c r="B7508" s="663"/>
      <c r="C7508" s="663"/>
      <c r="D7508" s="663"/>
      <c r="E7508" s="663"/>
    </row>
    <row r="7509" spans="1:5" x14ac:dyDescent="0.2">
      <c r="A7509"/>
      <c r="B7509" s="663"/>
      <c r="C7509" s="663"/>
      <c r="D7509" s="663"/>
      <c r="E7509" s="663"/>
    </row>
    <row r="7510" spans="1:5" x14ac:dyDescent="0.2">
      <c r="A7510"/>
      <c r="B7510" s="663"/>
      <c r="C7510" s="663"/>
      <c r="D7510" s="663"/>
      <c r="E7510" s="663"/>
    </row>
    <row r="7511" spans="1:5" x14ac:dyDescent="0.2">
      <c r="A7511"/>
      <c r="B7511" s="663"/>
      <c r="C7511" s="663"/>
      <c r="D7511" s="663"/>
      <c r="E7511" s="663"/>
    </row>
    <row r="7512" spans="1:5" x14ac:dyDescent="0.2">
      <c r="A7512"/>
      <c r="B7512" s="663"/>
      <c r="C7512" s="663"/>
      <c r="D7512" s="663"/>
      <c r="E7512" s="663"/>
    </row>
    <row r="7513" spans="1:5" x14ac:dyDescent="0.2">
      <c r="A7513"/>
      <c r="B7513" s="663"/>
      <c r="C7513" s="663"/>
      <c r="D7513" s="663"/>
      <c r="E7513" s="663"/>
    </row>
    <row r="7514" spans="1:5" x14ac:dyDescent="0.2">
      <c r="A7514"/>
      <c r="B7514" s="663"/>
      <c r="C7514" s="663"/>
      <c r="D7514" s="663"/>
      <c r="E7514" s="663"/>
    </row>
    <row r="7515" spans="1:5" x14ac:dyDescent="0.2">
      <c r="A7515"/>
      <c r="B7515" s="663"/>
      <c r="C7515" s="663"/>
      <c r="D7515" s="663"/>
      <c r="E7515" s="663"/>
    </row>
    <row r="7516" spans="1:5" x14ac:dyDescent="0.2">
      <c r="A7516"/>
      <c r="B7516" s="663"/>
      <c r="C7516" s="663"/>
      <c r="D7516" s="663"/>
      <c r="E7516" s="663"/>
    </row>
    <row r="7517" spans="1:5" x14ac:dyDescent="0.2">
      <c r="A7517"/>
      <c r="B7517" s="663"/>
      <c r="C7517" s="663"/>
      <c r="D7517" s="663"/>
      <c r="E7517" s="663"/>
    </row>
    <row r="7518" spans="1:5" x14ac:dyDescent="0.2">
      <c r="A7518"/>
      <c r="B7518" s="663"/>
      <c r="C7518" s="663"/>
      <c r="D7518" s="663"/>
      <c r="E7518" s="663"/>
    </row>
    <row r="7519" spans="1:5" x14ac:dyDescent="0.2">
      <c r="A7519"/>
      <c r="B7519" s="663"/>
      <c r="C7519" s="663"/>
      <c r="D7519" s="663"/>
      <c r="E7519" s="663"/>
    </row>
    <row r="7520" spans="1:5" x14ac:dyDescent="0.2">
      <c r="A7520"/>
      <c r="B7520" s="663"/>
      <c r="C7520" s="663"/>
      <c r="D7520" s="663"/>
      <c r="E7520" s="663"/>
    </row>
    <row r="7521" spans="1:5" x14ac:dyDescent="0.2">
      <c r="A7521"/>
      <c r="B7521" s="663"/>
      <c r="C7521" s="663"/>
      <c r="D7521" s="663"/>
      <c r="E7521" s="663"/>
    </row>
    <row r="7522" spans="1:5" x14ac:dyDescent="0.2">
      <c r="A7522"/>
      <c r="B7522" s="663"/>
      <c r="C7522" s="663"/>
      <c r="D7522" s="663"/>
      <c r="E7522" s="663"/>
    </row>
    <row r="7523" spans="1:5" x14ac:dyDescent="0.2">
      <c r="A7523"/>
      <c r="B7523" s="663"/>
      <c r="C7523" s="663"/>
      <c r="D7523" s="663"/>
      <c r="E7523" s="663"/>
    </row>
    <row r="7524" spans="1:5" x14ac:dyDescent="0.2">
      <c r="A7524"/>
      <c r="B7524" s="663"/>
      <c r="C7524" s="663"/>
      <c r="D7524" s="663"/>
      <c r="E7524" s="663"/>
    </row>
    <row r="7525" spans="1:5" x14ac:dyDescent="0.2">
      <c r="A7525"/>
      <c r="B7525" s="663"/>
      <c r="C7525" s="663"/>
      <c r="D7525" s="663"/>
      <c r="E7525" s="663"/>
    </row>
    <row r="7526" spans="1:5" x14ac:dyDescent="0.2">
      <c r="A7526"/>
      <c r="B7526" s="663"/>
      <c r="C7526" s="663"/>
      <c r="D7526" s="663"/>
      <c r="E7526" s="663"/>
    </row>
    <row r="7527" spans="1:5" x14ac:dyDescent="0.2">
      <c r="A7527"/>
      <c r="B7527" s="663"/>
      <c r="C7527" s="663"/>
      <c r="D7527" s="663"/>
      <c r="E7527" s="663"/>
    </row>
    <row r="7528" spans="1:5" x14ac:dyDescent="0.2">
      <c r="A7528"/>
      <c r="B7528" s="663"/>
      <c r="C7528" s="663"/>
      <c r="D7528" s="663"/>
      <c r="E7528" s="663"/>
    </row>
    <row r="7529" spans="1:5" x14ac:dyDescent="0.2">
      <c r="A7529"/>
      <c r="B7529" s="663"/>
      <c r="C7529" s="663"/>
      <c r="D7529" s="663"/>
      <c r="E7529" s="663"/>
    </row>
    <row r="7530" spans="1:5" x14ac:dyDescent="0.2">
      <c r="A7530"/>
      <c r="B7530" s="663"/>
      <c r="C7530" s="663"/>
      <c r="D7530" s="663"/>
      <c r="E7530" s="663"/>
    </row>
    <row r="7531" spans="1:5" x14ac:dyDescent="0.2">
      <c r="A7531"/>
      <c r="B7531" s="663"/>
      <c r="C7531" s="663"/>
      <c r="D7531" s="663"/>
      <c r="E7531" s="663"/>
    </row>
    <row r="7532" spans="1:5" x14ac:dyDescent="0.2">
      <c r="A7532"/>
      <c r="B7532" s="663"/>
      <c r="C7532" s="663"/>
      <c r="D7532" s="663"/>
      <c r="E7532" s="663"/>
    </row>
    <row r="7533" spans="1:5" x14ac:dyDescent="0.2">
      <c r="A7533"/>
      <c r="B7533" s="663"/>
      <c r="C7533" s="663"/>
      <c r="D7533" s="663"/>
      <c r="E7533" s="663"/>
    </row>
    <row r="7534" spans="1:5" x14ac:dyDescent="0.2">
      <c r="A7534"/>
      <c r="B7534" s="663"/>
      <c r="C7534" s="663"/>
      <c r="D7534" s="663"/>
      <c r="E7534" s="663"/>
    </row>
    <row r="7535" spans="1:5" x14ac:dyDescent="0.2">
      <c r="A7535"/>
      <c r="B7535" s="663"/>
      <c r="C7535" s="663"/>
      <c r="D7535" s="663"/>
      <c r="E7535" s="663"/>
    </row>
    <row r="7536" spans="1:5" x14ac:dyDescent="0.2">
      <c r="A7536"/>
      <c r="B7536" s="663"/>
      <c r="C7536" s="663"/>
      <c r="D7536" s="663"/>
      <c r="E7536" s="663"/>
    </row>
    <row r="7537" spans="1:5" x14ac:dyDescent="0.2">
      <c r="A7537"/>
      <c r="B7537" s="663"/>
      <c r="C7537" s="663"/>
      <c r="D7537" s="663"/>
      <c r="E7537" s="663"/>
    </row>
    <row r="7538" spans="1:5" x14ac:dyDescent="0.2">
      <c r="A7538"/>
      <c r="B7538" s="663"/>
      <c r="C7538" s="663"/>
      <c r="D7538" s="663"/>
      <c r="E7538" s="663"/>
    </row>
    <row r="7539" spans="1:5" x14ac:dyDescent="0.2">
      <c r="A7539"/>
      <c r="B7539" s="663"/>
      <c r="C7539" s="663"/>
      <c r="D7539" s="663"/>
      <c r="E7539" s="663"/>
    </row>
    <row r="7540" spans="1:5" x14ac:dyDescent="0.2">
      <c r="A7540"/>
      <c r="B7540" s="663"/>
      <c r="C7540" s="663"/>
      <c r="D7540" s="663"/>
      <c r="E7540" s="663"/>
    </row>
    <row r="7541" spans="1:5" x14ac:dyDescent="0.2">
      <c r="A7541"/>
      <c r="B7541" s="663"/>
      <c r="C7541" s="663"/>
      <c r="D7541" s="663"/>
      <c r="E7541" s="663"/>
    </row>
    <row r="7542" spans="1:5" x14ac:dyDescent="0.2">
      <c r="A7542"/>
      <c r="B7542" s="663"/>
      <c r="C7542" s="663"/>
      <c r="D7542" s="663"/>
      <c r="E7542" s="663"/>
    </row>
    <row r="7543" spans="1:5" x14ac:dyDescent="0.2">
      <c r="A7543"/>
      <c r="B7543" s="663"/>
      <c r="C7543" s="663"/>
      <c r="D7543" s="663"/>
      <c r="E7543" s="663"/>
    </row>
    <row r="7544" spans="1:5" x14ac:dyDescent="0.2">
      <c r="A7544"/>
      <c r="B7544" s="663"/>
      <c r="C7544" s="663"/>
      <c r="D7544" s="663"/>
      <c r="E7544" s="663"/>
    </row>
    <row r="7545" spans="1:5" x14ac:dyDescent="0.2">
      <c r="A7545"/>
      <c r="B7545" s="663"/>
      <c r="C7545" s="663"/>
      <c r="D7545" s="663"/>
      <c r="E7545" s="663"/>
    </row>
    <row r="7546" spans="1:5" x14ac:dyDescent="0.2">
      <c r="A7546"/>
      <c r="B7546" s="663"/>
      <c r="C7546" s="663"/>
      <c r="D7546" s="663"/>
      <c r="E7546" s="663"/>
    </row>
    <row r="7547" spans="1:5" x14ac:dyDescent="0.2">
      <c r="A7547"/>
      <c r="B7547" s="663"/>
      <c r="C7547" s="663"/>
      <c r="D7547" s="663"/>
      <c r="E7547" s="663"/>
    </row>
    <row r="7548" spans="1:5" x14ac:dyDescent="0.2">
      <c r="A7548"/>
      <c r="B7548" s="663"/>
      <c r="C7548" s="663"/>
      <c r="D7548" s="663"/>
      <c r="E7548" s="663"/>
    </row>
    <row r="7549" spans="1:5" x14ac:dyDescent="0.2">
      <c r="A7549"/>
      <c r="B7549" s="663"/>
      <c r="C7549" s="663"/>
      <c r="D7549" s="663"/>
      <c r="E7549" s="663"/>
    </row>
    <row r="7550" spans="1:5" x14ac:dyDescent="0.2">
      <c r="A7550"/>
      <c r="B7550" s="663"/>
      <c r="C7550" s="663"/>
      <c r="D7550" s="663"/>
      <c r="E7550" s="663"/>
    </row>
    <row r="7551" spans="1:5" x14ac:dyDescent="0.2">
      <c r="A7551"/>
      <c r="B7551" s="663"/>
      <c r="C7551" s="663"/>
      <c r="D7551" s="663"/>
      <c r="E7551" s="663"/>
    </row>
    <row r="7552" spans="1:5" x14ac:dyDescent="0.2">
      <c r="A7552"/>
      <c r="B7552" s="663"/>
      <c r="C7552" s="663"/>
      <c r="D7552" s="663"/>
      <c r="E7552" s="663"/>
    </row>
    <row r="7553" spans="1:5" x14ac:dyDescent="0.2">
      <c r="A7553"/>
      <c r="B7553" s="663"/>
      <c r="C7553" s="663"/>
      <c r="D7553" s="663"/>
      <c r="E7553" s="663"/>
    </row>
    <row r="7554" spans="1:5" x14ac:dyDescent="0.2">
      <c r="A7554"/>
      <c r="B7554" s="663"/>
      <c r="C7554" s="663"/>
      <c r="D7554" s="663"/>
      <c r="E7554" s="663"/>
    </row>
    <row r="7555" spans="1:5" x14ac:dyDescent="0.2">
      <c r="A7555"/>
      <c r="B7555" s="663"/>
      <c r="C7555" s="663"/>
      <c r="D7555" s="663"/>
      <c r="E7555" s="663"/>
    </row>
    <row r="7556" spans="1:5" x14ac:dyDescent="0.2">
      <c r="A7556"/>
      <c r="B7556" s="663"/>
      <c r="C7556" s="663"/>
      <c r="D7556" s="663"/>
      <c r="E7556" s="663"/>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C3115-3BF7-44E4-A243-623B582A2F51}">
  <sheetPr codeName="Sheet29"/>
  <dimension ref="A1:Q45"/>
  <sheetViews>
    <sheetView workbookViewId="0">
      <selection activeCell="A17" sqref="A17"/>
    </sheetView>
  </sheetViews>
  <sheetFormatPr defaultRowHeight="12.75" x14ac:dyDescent="0.2"/>
  <cols>
    <col min="1" max="1" width="22.7109375" style="89" bestFit="1" customWidth="1"/>
    <col min="2" max="2" width="4.5703125" bestFit="1" customWidth="1"/>
    <col min="3" max="3" width="1.5703125" customWidth="1"/>
    <col min="4" max="4" width="6" bestFit="1" customWidth="1"/>
    <col min="5" max="13" width="6" customWidth="1"/>
    <col min="14" max="23" width="6" bestFit="1" customWidth="1"/>
  </cols>
  <sheetData>
    <row r="1" spans="1:13" x14ac:dyDescent="0.2">
      <c r="A1" s="673" t="s">
        <v>951</v>
      </c>
      <c r="B1" s="673"/>
      <c r="D1"/>
      <c r="E1"/>
      <c r="F1"/>
      <c r="G1"/>
      <c r="H1"/>
      <c r="I1"/>
      <c r="J1"/>
      <c r="K1"/>
      <c r="L1"/>
      <c r="M1"/>
    </row>
    <row r="2" spans="1:13" x14ac:dyDescent="0.2">
      <c r="A2" s="75" t="s">
        <v>945</v>
      </c>
      <c r="B2">
        <f>COUNT(CorrectedDataWide[])-1</f>
        <v>159</v>
      </c>
      <c r="D2"/>
      <c r="E2"/>
      <c r="F2"/>
      <c r="G2"/>
      <c r="H2"/>
      <c r="I2"/>
      <c r="J2"/>
      <c r="K2"/>
      <c r="L2"/>
      <c r="M2"/>
    </row>
    <row r="3" spans="1:13" x14ac:dyDescent="0.2">
      <c r="A3" s="75" t="s">
        <v>943</v>
      </c>
      <c r="B3" s="128">
        <f>_xlfn.STDEV.S(CorrectedDataWide[])</f>
        <v>0.41579988459012068</v>
      </c>
      <c r="D3"/>
      <c r="E3"/>
      <c r="F3"/>
      <c r="G3"/>
      <c r="H3"/>
      <c r="I3"/>
      <c r="J3"/>
      <c r="K3"/>
      <c r="L3"/>
      <c r="M3"/>
    </row>
    <row r="4" spans="1:13" x14ac:dyDescent="0.2">
      <c r="A4" s="75" t="s">
        <v>944</v>
      </c>
      <c r="B4" s="128" cm="1">
        <f t="array" ref="B4">VLOOKUP(Temperature,_xlfn._xlws.FILTER(MUG[],MUG[Meas Units]="°F"),8,TRUE)</f>
        <v>0.66776102980616914</v>
      </c>
      <c r="D4"/>
      <c r="E4"/>
      <c r="F4"/>
      <c r="G4"/>
      <c r="H4"/>
      <c r="I4"/>
      <c r="J4"/>
      <c r="K4"/>
      <c r="L4"/>
      <c r="M4"/>
    </row>
    <row r="5" spans="1:13" x14ac:dyDescent="0.2">
      <c r="A5" s="75" t="s">
        <v>10</v>
      </c>
      <c r="B5" s="128">
        <f>SQRT(B4^2+B3^2)</f>
        <v>0.78663481804008217</v>
      </c>
      <c r="D5"/>
      <c r="E5"/>
      <c r="F5"/>
      <c r="G5"/>
      <c r="H5"/>
      <c r="I5"/>
      <c r="J5"/>
      <c r="K5"/>
      <c r="L5"/>
      <c r="M5"/>
    </row>
    <row r="6" spans="1:13" x14ac:dyDescent="0.2">
      <c r="A6" s="75" t="s">
        <v>948</v>
      </c>
      <c r="B6" s="164">
        <f>_xlfn.T.INV.2T(1-0.9545, DoF)</f>
        <v>2.0158476175401887</v>
      </c>
      <c r="D6"/>
      <c r="E6"/>
      <c r="F6"/>
      <c r="G6"/>
      <c r="H6"/>
      <c r="I6"/>
      <c r="J6"/>
      <c r="K6"/>
      <c r="L6"/>
      <c r="M6"/>
    </row>
    <row r="7" spans="1:13" x14ac:dyDescent="0.2">
      <c r="A7" s="75" t="s">
        <v>946</v>
      </c>
      <c r="B7" s="6">
        <f>B5*k</f>
        <v>1.5857359238202595</v>
      </c>
      <c r="D7"/>
      <c r="E7"/>
      <c r="F7"/>
      <c r="G7"/>
      <c r="H7"/>
      <c r="I7"/>
      <c r="J7"/>
      <c r="K7"/>
      <c r="L7"/>
      <c r="M7"/>
    </row>
    <row r="8" spans="1:13" x14ac:dyDescent="0.2">
      <c r="A8" s="75" t="s">
        <v>947</v>
      </c>
      <c r="B8" s="6">
        <f>VLOOKUP(Temperature,CMCs[],3,TRUE)</f>
        <v>1.6</v>
      </c>
      <c r="D8"/>
      <c r="E8"/>
      <c r="F8"/>
      <c r="G8"/>
      <c r="H8"/>
      <c r="I8"/>
      <c r="J8"/>
      <c r="K8"/>
      <c r="L8"/>
      <c r="M8"/>
    </row>
    <row r="9" spans="1:13" x14ac:dyDescent="0.2">
      <c r="A9" s="75" t="s">
        <v>949</v>
      </c>
      <c r="B9" s="6">
        <f>MAX(B7,B8)</f>
        <v>1.6</v>
      </c>
      <c r="D9"/>
      <c r="E9"/>
      <c r="F9"/>
      <c r="G9"/>
      <c r="H9"/>
      <c r="I9"/>
      <c r="J9"/>
      <c r="K9"/>
      <c r="L9"/>
      <c r="M9"/>
    </row>
    <row r="10" spans="1:13" x14ac:dyDescent="0.2">
      <c r="D10"/>
      <c r="E10"/>
      <c r="F10"/>
      <c r="G10"/>
      <c r="H10"/>
      <c r="I10"/>
      <c r="J10"/>
      <c r="K10"/>
      <c r="L10"/>
      <c r="M10"/>
    </row>
    <row r="11" spans="1:13" x14ac:dyDescent="0.2">
      <c r="D11"/>
      <c r="E11"/>
      <c r="F11"/>
      <c r="G11"/>
      <c r="H11"/>
      <c r="I11"/>
      <c r="J11"/>
      <c r="K11"/>
      <c r="L11"/>
      <c r="M11"/>
    </row>
    <row r="12" spans="1:13" x14ac:dyDescent="0.2">
      <c r="D12"/>
      <c r="E12"/>
      <c r="F12"/>
      <c r="G12"/>
      <c r="H12"/>
      <c r="I12"/>
      <c r="J12"/>
      <c r="K12"/>
      <c r="L12"/>
      <c r="M12"/>
    </row>
    <row r="13" spans="1:13" x14ac:dyDescent="0.2">
      <c r="D13"/>
      <c r="E13"/>
      <c r="F13"/>
      <c r="G13"/>
      <c r="H13"/>
      <c r="I13"/>
      <c r="J13"/>
      <c r="K13"/>
      <c r="L13"/>
      <c r="M13"/>
    </row>
    <row r="14" spans="1:13" x14ac:dyDescent="0.2">
      <c r="D14"/>
      <c r="E14"/>
      <c r="F14"/>
      <c r="G14"/>
      <c r="H14"/>
      <c r="I14"/>
      <c r="J14"/>
      <c r="K14"/>
      <c r="L14"/>
      <c r="M14"/>
    </row>
    <row r="15" spans="1:13" x14ac:dyDescent="0.2">
      <c r="D15"/>
      <c r="E15"/>
      <c r="F15"/>
      <c r="G15"/>
      <c r="H15"/>
      <c r="I15"/>
      <c r="J15"/>
      <c r="K15"/>
      <c r="L15"/>
      <c r="M15"/>
    </row>
    <row r="16" spans="1:13" x14ac:dyDescent="0.2">
      <c r="D16"/>
      <c r="E16"/>
      <c r="F16"/>
      <c r="G16"/>
      <c r="H16"/>
      <c r="I16"/>
      <c r="J16"/>
      <c r="K16"/>
      <c r="L16"/>
      <c r="M16"/>
    </row>
    <row r="17" spans="4:17" x14ac:dyDescent="0.2">
      <c r="D17"/>
      <c r="E17"/>
      <c r="F17"/>
      <c r="G17"/>
      <c r="H17"/>
      <c r="I17"/>
      <c r="J17"/>
      <c r="K17"/>
      <c r="L17"/>
      <c r="M17"/>
    </row>
    <row r="25" spans="4:17" x14ac:dyDescent="0.2">
      <c r="P25" s="44"/>
    </row>
    <row r="28" spans="4:17" x14ac:dyDescent="0.2">
      <c r="D28" s="89"/>
    </row>
    <row r="29" spans="4:17" x14ac:dyDescent="0.2">
      <c r="D29" s="89"/>
    </row>
    <row r="32" spans="4:17" x14ac:dyDescent="0.2">
      <c r="P32" s="77"/>
      <c r="Q32" s="476"/>
    </row>
    <row r="33" spans="16:17" x14ac:dyDescent="0.2">
      <c r="P33" s="77"/>
      <c r="Q33" s="476"/>
    </row>
    <row r="34" spans="16:17" x14ac:dyDescent="0.2">
      <c r="P34" s="77"/>
      <c r="Q34" s="476"/>
    </row>
    <row r="35" spans="16:17" x14ac:dyDescent="0.2">
      <c r="P35" s="77"/>
      <c r="Q35" s="476"/>
    </row>
    <row r="36" spans="16:17" x14ac:dyDescent="0.2">
      <c r="P36" s="77"/>
      <c r="Q36" s="476"/>
    </row>
    <row r="37" spans="16:17" x14ac:dyDescent="0.2">
      <c r="P37" s="77"/>
      <c r="Q37" s="476"/>
    </row>
    <row r="38" spans="16:17" x14ac:dyDescent="0.2">
      <c r="P38" s="77"/>
      <c r="Q38" s="476"/>
    </row>
    <row r="39" spans="16:17" x14ac:dyDescent="0.2">
      <c r="P39" s="77"/>
    </row>
    <row r="40" spans="16:17" x14ac:dyDescent="0.2">
      <c r="P40" s="77"/>
    </row>
    <row r="41" spans="16:17" x14ac:dyDescent="0.2">
      <c r="P41" s="77"/>
    </row>
    <row r="42" spans="16:17" x14ac:dyDescent="0.2">
      <c r="P42" s="77"/>
    </row>
    <row r="43" spans="16:17" x14ac:dyDescent="0.2">
      <c r="P43" s="77"/>
    </row>
    <row r="44" spans="16:17" x14ac:dyDescent="0.2">
      <c r="P44" s="77"/>
    </row>
    <row r="45" spans="16:17" x14ac:dyDescent="0.2">
      <c r="P45" s="77"/>
    </row>
  </sheetData>
  <mergeCells count="1">
    <mergeCell ref="A1:B1"/>
  </mergeCells>
  <phoneticPr fontId="23"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6"/>
      <c r="I2"/>
    </row>
    <row r="3" spans="1:12" x14ac:dyDescent="0.2">
      <c r="A3"/>
      <c r="B3"/>
      <c r="C3"/>
      <c r="D3"/>
      <c r="E3"/>
      <c r="F3"/>
      <c r="G3"/>
      <c r="H3" s="128"/>
      <c r="I3"/>
    </row>
    <row r="4" spans="1:12" x14ac:dyDescent="0.2">
      <c r="A4"/>
      <c r="B4"/>
      <c r="C4"/>
      <c r="D4"/>
      <c r="E4"/>
      <c r="F4"/>
      <c r="G4"/>
      <c r="H4" s="128"/>
      <c r="I4"/>
    </row>
    <row r="5" spans="1:12" x14ac:dyDescent="0.2">
      <c r="A5"/>
      <c r="B5"/>
      <c r="C5"/>
      <c r="D5"/>
      <c r="E5"/>
      <c r="F5"/>
      <c r="G5"/>
      <c r="H5" s="128"/>
      <c r="I5"/>
    </row>
    <row r="6" spans="1:12" x14ac:dyDescent="0.2">
      <c r="A6"/>
      <c r="B6"/>
      <c r="C6"/>
      <c r="D6"/>
      <c r="E6"/>
      <c r="F6"/>
      <c r="G6"/>
      <c r="H6" s="128"/>
      <c r="I6"/>
    </row>
    <row r="7" spans="1:12" x14ac:dyDescent="0.2">
      <c r="A7"/>
      <c r="B7"/>
      <c r="C7"/>
      <c r="D7"/>
      <c r="E7"/>
      <c r="F7"/>
      <c r="G7"/>
      <c r="H7" s="128"/>
      <c r="I7"/>
      <c r="L7" s="44"/>
    </row>
    <row r="8" spans="1:12" x14ac:dyDescent="0.2">
      <c r="A8"/>
      <c r="B8"/>
      <c r="C8"/>
      <c r="D8"/>
      <c r="E8"/>
      <c r="F8"/>
      <c r="G8"/>
      <c r="H8" s="128"/>
      <c r="I8"/>
    </row>
    <row r="9" spans="1:12" x14ac:dyDescent="0.2">
      <c r="A9"/>
      <c r="B9"/>
      <c r="C9"/>
      <c r="D9"/>
      <c r="E9"/>
      <c r="F9"/>
      <c r="G9"/>
      <c r="H9" s="128"/>
      <c r="I9"/>
    </row>
    <row r="10" spans="1:12" x14ac:dyDescent="0.2">
      <c r="A10"/>
      <c r="B10"/>
      <c r="C10"/>
      <c r="D10"/>
      <c r="E10"/>
      <c r="F10"/>
      <c r="G10"/>
      <c r="H10" s="128"/>
      <c r="I10"/>
    </row>
    <row r="11" spans="1:12" x14ac:dyDescent="0.2">
      <c r="A11"/>
      <c r="B11"/>
      <c r="C11"/>
      <c r="D11"/>
      <c r="E11"/>
      <c r="F11"/>
      <c r="G11"/>
      <c r="H11" s="128"/>
      <c r="I11"/>
    </row>
    <row r="12" spans="1:12" x14ac:dyDescent="0.2">
      <c r="A12"/>
      <c r="B12"/>
      <c r="C12"/>
      <c r="D12"/>
      <c r="E12"/>
      <c r="F12"/>
      <c r="G12"/>
      <c r="H12" s="128"/>
      <c r="I12"/>
    </row>
    <row r="13" spans="1:12" x14ac:dyDescent="0.2">
      <c r="A13"/>
      <c r="B13"/>
      <c r="C13"/>
      <c r="D13"/>
      <c r="E13"/>
      <c r="F13"/>
      <c r="G13"/>
      <c r="H13" s="128"/>
      <c r="I13"/>
    </row>
  </sheetData>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892</v>
      </c>
      <c r="B1" s="448" t="s">
        <v>893</v>
      </c>
    </row>
    <row r="2" spans="1:3" x14ac:dyDescent="0.2">
      <c r="A2" s="44"/>
      <c r="B2" s="44"/>
    </row>
    <row r="3" spans="1:3" x14ac:dyDescent="0.2">
      <c r="A3" s="44" t="s">
        <v>582</v>
      </c>
      <c r="B3" s="44" t="s">
        <v>583</v>
      </c>
      <c r="C3" s="44" t="s">
        <v>894</v>
      </c>
    </row>
    <row r="4" spans="1:3" x14ac:dyDescent="0.2">
      <c r="A4" s="447">
        <v>-100</v>
      </c>
      <c r="B4" s="447">
        <v>392</v>
      </c>
      <c r="C4" s="446">
        <v>1.6</v>
      </c>
    </row>
    <row r="5" spans="1:3" x14ac:dyDescent="0.2">
      <c r="A5" s="447">
        <v>392</v>
      </c>
      <c r="B5" s="447">
        <v>752</v>
      </c>
      <c r="C5" s="446">
        <v>4</v>
      </c>
    </row>
    <row r="6" spans="1:3" x14ac:dyDescent="0.2">
      <c r="A6" s="447">
        <v>752</v>
      </c>
      <c r="B6" s="447">
        <v>1200</v>
      </c>
      <c r="C6" s="446">
        <v>3</v>
      </c>
    </row>
    <row r="7" spans="1:3" x14ac:dyDescent="0.2">
      <c r="A7" s="447">
        <v>1200</v>
      </c>
      <c r="B7" s="447">
        <v>2000</v>
      </c>
      <c r="C7" s="446">
        <v>4.0999999999999996</v>
      </c>
    </row>
    <row r="8" spans="1:3" x14ac:dyDescent="0.2">
      <c r="A8" s="447">
        <v>1800</v>
      </c>
      <c r="B8" s="447">
        <v>2200</v>
      </c>
      <c r="C8" s="446">
        <v>4.0999999999999996</v>
      </c>
    </row>
  </sheetData>
  <sheetProtection algorithmName="SHA-512" hashValue="3bjIOZhuZuuXlZ7XGgf6h81kL2jdVTzrNGUvPOxFLkb26MgK6cjQdRWLh3ukLQvBRKLWOXRxg6AdSBAWWh3tTg==" saltValue="nGu3mESEg3NQ7yDdGXSu2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13" sqref="D13"/>
    </sheetView>
  </sheetViews>
  <sheetFormatPr defaultColWidth="9.140625" defaultRowHeight="12.75" x14ac:dyDescent="0.2"/>
  <cols>
    <col min="1" max="1" width="16.85546875" style="220" customWidth="1"/>
    <col min="2" max="2" width="12.85546875" style="214" customWidth="1"/>
    <col min="3" max="3" width="16.5703125" style="219" customWidth="1"/>
    <col min="4" max="4" width="10.42578125" style="167" customWidth="1"/>
    <col min="5" max="5" width="10.28515625" style="167" customWidth="1"/>
    <col min="6" max="6" width="12.85546875" style="167" customWidth="1"/>
    <col min="7" max="7" width="17.7109375" style="167" customWidth="1"/>
    <col min="8" max="10" width="11.140625" style="167" customWidth="1"/>
    <col min="11" max="11" width="10.140625" style="167" bestFit="1" customWidth="1"/>
    <col min="12" max="12" width="11.7109375" style="167" bestFit="1" customWidth="1"/>
    <col min="13" max="13" width="19.85546875" style="167" customWidth="1"/>
    <col min="14" max="15" width="9.140625" style="167"/>
    <col min="16" max="16" width="16" style="167" customWidth="1"/>
    <col min="17" max="17" width="14.7109375" style="167" customWidth="1"/>
    <col min="18" max="18" width="10.140625" style="167" customWidth="1"/>
    <col min="19" max="19" width="12.140625" style="167" customWidth="1"/>
    <col min="20" max="20" width="3.5703125" style="351" customWidth="1"/>
    <col min="21" max="21" width="15.85546875" style="351" customWidth="1"/>
    <col min="22" max="22" width="13.5703125" style="351" customWidth="1"/>
    <col min="23" max="23" width="11.140625" style="351" customWidth="1"/>
    <col min="24" max="16384" width="9.140625" style="351"/>
  </cols>
  <sheetData>
    <row r="1" spans="1:26" ht="23.25" x14ac:dyDescent="0.35">
      <c r="A1" s="368" t="s">
        <v>934</v>
      </c>
      <c r="B1" s="369"/>
      <c r="C1" s="512" t="s">
        <v>55</v>
      </c>
      <c r="D1" s="513"/>
      <c r="E1" s="513"/>
      <c r="F1" s="513"/>
      <c r="G1" s="165" t="e" cm="1">
        <f t="array" ref="G1">GetFormattedWorkItemNumber(K14, D24)</f>
        <v>#VALUE!</v>
      </c>
      <c r="H1" s="165"/>
      <c r="I1" s="166"/>
      <c r="J1" s="351"/>
      <c r="K1" s="351"/>
      <c r="L1" s="351"/>
      <c r="M1" s="351"/>
      <c r="N1" s="351"/>
      <c r="O1" s="351"/>
      <c r="P1" s="351"/>
      <c r="Q1" s="351"/>
      <c r="R1" s="351"/>
      <c r="S1" s="351"/>
    </row>
    <row r="2" spans="1:26" ht="12.75" customHeight="1" x14ac:dyDescent="0.2">
      <c r="A2" s="370"/>
      <c r="B2" s="371"/>
      <c r="C2" s="351"/>
      <c r="D2" s="351"/>
      <c r="E2" s="372"/>
      <c r="F2" s="372"/>
      <c r="G2" s="371"/>
      <c r="H2" s="351"/>
      <c r="I2" s="351"/>
      <c r="J2" s="351"/>
      <c r="K2" s="351"/>
      <c r="L2" s="352"/>
      <c r="M2" s="352"/>
      <c r="N2" s="352"/>
      <c r="O2" s="352"/>
      <c r="P2" s="352"/>
      <c r="Q2" s="352"/>
      <c r="R2" s="352"/>
      <c r="S2" s="352"/>
      <c r="T2" s="352"/>
      <c r="U2" s="352"/>
      <c r="V2" s="352"/>
    </row>
    <row r="3" spans="1:26" x14ac:dyDescent="0.2">
      <c r="A3" s="370"/>
      <c r="B3" s="168"/>
      <c r="C3" s="169" t="s">
        <v>77</v>
      </c>
      <c r="D3" s="322"/>
      <c r="E3" s="351"/>
      <c r="F3" s="351"/>
      <c r="G3" s="351"/>
      <c r="H3" s="351"/>
      <c r="I3" s="351"/>
      <c r="J3" s="514" t="s">
        <v>107</v>
      </c>
      <c r="K3" s="515"/>
      <c r="L3" s="516"/>
      <c r="M3" s="351"/>
      <c r="N3" s="531" t="s">
        <v>96</v>
      </c>
      <c r="O3" s="531"/>
      <c r="P3" s="531"/>
      <c r="Q3" s="531"/>
      <c r="R3" s="531"/>
      <c r="S3" s="531"/>
      <c r="T3" s="352"/>
      <c r="U3" s="352"/>
      <c r="V3" s="352"/>
      <c r="W3" s="353"/>
      <c r="X3" s="353"/>
      <c r="Y3" s="353"/>
      <c r="Z3" s="353"/>
    </row>
    <row r="4" spans="1:26" x14ac:dyDescent="0.2">
      <c r="A4" s="370"/>
      <c r="B4" s="168"/>
      <c r="C4" s="169" t="s">
        <v>237</v>
      </c>
      <c r="D4" s="327" t="str">
        <f>IF(Condition="","",Condition)</f>
        <v>Used</v>
      </c>
      <c r="E4" s="351"/>
      <c r="F4" s="351"/>
      <c r="G4" s="351"/>
      <c r="H4" s="351"/>
      <c r="I4" s="351"/>
      <c r="J4" s="519" t="s">
        <v>4</v>
      </c>
      <c r="K4" s="520"/>
      <c r="L4" s="170">
        <f>IFERROR(Alerts!I2,0)</f>
        <v>102</v>
      </c>
      <c r="M4" s="351"/>
      <c r="N4" s="171" t="s">
        <v>95</v>
      </c>
      <c r="O4" s="172" t="s">
        <v>94</v>
      </c>
      <c r="P4" s="517" t="s">
        <v>105</v>
      </c>
      <c r="Q4" s="518"/>
      <c r="R4" s="171" t="s">
        <v>142</v>
      </c>
      <c r="S4" s="171" t="s">
        <v>146</v>
      </c>
      <c r="T4" s="352"/>
      <c r="U4" s="354"/>
      <c r="V4" s="354"/>
      <c r="W4" s="354"/>
      <c r="X4" s="354"/>
      <c r="Y4" s="354"/>
      <c r="Z4" s="354"/>
    </row>
    <row r="5" spans="1:26" x14ac:dyDescent="0.2">
      <c r="A5" s="370"/>
      <c r="B5" s="168"/>
      <c r="C5" s="169" t="s">
        <v>46</v>
      </c>
      <c r="D5" s="535" t="str">
        <f>IFERROR(companyName,NA())</f>
        <v>CHROME PLUS INT'L - WICHITA</v>
      </c>
      <c r="E5" s="536"/>
      <c r="F5" s="536"/>
      <c r="G5" s="536"/>
      <c r="H5" s="537"/>
      <c r="I5" s="328"/>
      <c r="J5" s="519" t="s">
        <v>5</v>
      </c>
      <c r="K5" s="520"/>
      <c r="L5" s="170">
        <f>IFERROR(Alerts!I3,0)</f>
        <v>100.3</v>
      </c>
      <c r="M5" s="351"/>
      <c r="N5" s="171">
        <v>1</v>
      </c>
      <c r="O5" s="173"/>
      <c r="P5" s="174" t="str">
        <f>VLOOKUP(N5+0,Alerts[],3,FALSE)</f>
        <v/>
      </c>
      <c r="Q5" s="175"/>
      <c r="R5" s="176" t="str" cm="1">
        <f t="array" ref="R5">IFZERO(VLOOKUP(N5+0,Alerts[],4,FALSE),"")</f>
        <v/>
      </c>
      <c r="S5" s="177" t="str" cm="1">
        <f t="array" ref="S5">IFZERO(VLOOKUP(N5+0,Alerts[],5,FALSE),"")</f>
        <v/>
      </c>
      <c r="T5" s="352"/>
      <c r="U5" s="354"/>
      <c r="V5" s="354"/>
      <c r="W5" s="354"/>
      <c r="X5" s="354" t="str">
        <f>IF(O5,1,"")</f>
        <v/>
      </c>
      <c r="Y5" s="354"/>
      <c r="Z5" s="354"/>
    </row>
    <row r="6" spans="1:26" x14ac:dyDescent="0.2">
      <c r="A6" s="370"/>
      <c r="B6" s="168"/>
      <c r="C6" s="169" t="s">
        <v>45</v>
      </c>
      <c r="D6" s="532" t="str">
        <f>VLOOKUP("assetName",WorkItemDetails[],2,FALSE)</f>
        <v>DESPATCH RS4HD Temperature Uniformity Survey, 10 points</v>
      </c>
      <c r="E6" s="533"/>
      <c r="F6" s="533"/>
      <c r="G6" s="533"/>
      <c r="H6" s="534"/>
      <c r="I6" s="319"/>
      <c r="J6" s="519" t="s">
        <v>106</v>
      </c>
      <c r="K6" s="520"/>
      <c r="L6" s="170">
        <f>IF(ISERROR(Access_Data!$A$52),0,Access_Data!$A$52)</f>
        <v>0</v>
      </c>
      <c r="M6" s="351"/>
      <c r="N6" s="171">
        <v>2</v>
      </c>
      <c r="O6" s="173"/>
      <c r="P6" s="174" t="str">
        <f>VLOOKUP(N6+0,Alerts[],3,FALSE)</f>
        <v>Low</v>
      </c>
      <c r="Q6" s="178"/>
      <c r="R6" s="176" cm="1">
        <f t="array" ref="R6">IFZERO(VLOOKUP(N6+0,Alerts[],4,FALSE),"")</f>
        <v>100.3</v>
      </c>
      <c r="S6" s="177" cm="1">
        <f t="array" ref="S6">IFZERO(VLOOKUP(N6+0,Alerts[],5,FALSE),"")</f>
        <v>0.40277777777777779</v>
      </c>
      <c r="T6" s="352"/>
      <c r="U6" s="354"/>
      <c r="V6" s="354"/>
      <c r="W6" s="354"/>
      <c r="X6" s="354" t="str">
        <f t="shared" ref="X6:X44" si="0">IF(O6,1,"")</f>
        <v/>
      </c>
      <c r="Y6" s="354"/>
      <c r="Z6" s="354"/>
    </row>
    <row r="7" spans="1:26" x14ac:dyDescent="0.2">
      <c r="A7" s="370"/>
      <c r="B7" s="179"/>
      <c r="C7" s="180" t="s">
        <v>32</v>
      </c>
      <c r="D7" s="450" t="str" cm="1">
        <f t="array" ref="D7">Employee[Name]</f>
        <v>Jeff Hall</v>
      </c>
      <c r="E7" s="351"/>
      <c r="F7" s="351"/>
      <c r="G7" s="351"/>
      <c r="H7" s="351"/>
      <c r="I7" s="351"/>
      <c r="J7" s="373"/>
      <c r="K7" s="373"/>
      <c r="L7" s="373"/>
      <c r="M7" s="351"/>
      <c r="N7" s="171">
        <v>3</v>
      </c>
      <c r="O7" s="173"/>
      <c r="P7" s="174" t="str">
        <f>VLOOKUP(N7+0,Alerts[],3,FALSE)</f>
        <v/>
      </c>
      <c r="Q7" s="175"/>
      <c r="R7" s="176" t="str" cm="1">
        <f t="array" ref="R7">IFZERO(VLOOKUP(N7+0,Alerts[],4,FALSE),"")</f>
        <v/>
      </c>
      <c r="S7" s="177" t="str" cm="1">
        <f t="array" ref="S7">IFZERO(VLOOKUP(N7+0,Alerts[],5,FALSE),"")</f>
        <v/>
      </c>
      <c r="T7" s="352"/>
      <c r="U7" s="354"/>
      <c r="V7" s="354"/>
      <c r="W7" s="354"/>
      <c r="X7" s="354" t="str">
        <f t="shared" si="0"/>
        <v/>
      </c>
      <c r="Y7" s="354"/>
      <c r="Z7" s="354"/>
    </row>
    <row r="8" spans="1:26" x14ac:dyDescent="0.2">
      <c r="A8" s="370"/>
      <c r="B8" s="366"/>
      <c r="C8" s="374"/>
      <c r="D8" s="375"/>
      <c r="E8" s="351"/>
      <c r="F8" s="376" t="str">
        <f>IF(N49="","CHECK TUNING CONSTANTS","")</f>
        <v/>
      </c>
      <c r="G8" s="351"/>
      <c r="H8" s="351"/>
      <c r="I8" s="351"/>
      <c r="J8" s="351"/>
      <c r="K8" s="351"/>
      <c r="L8" s="351"/>
      <c r="M8" s="351"/>
      <c r="N8" s="171">
        <v>4</v>
      </c>
      <c r="O8" s="173"/>
      <c r="P8" s="174" t="str">
        <f>VLOOKUP(N8+0,Alerts[],3,FALSE)</f>
        <v/>
      </c>
      <c r="Q8" s="178"/>
      <c r="R8" s="176" t="str" cm="1">
        <f t="array" ref="R8">IFZERO(VLOOKUP(N8+0,Alerts[],4,FALSE),"")</f>
        <v/>
      </c>
      <c r="S8" s="177" t="str" cm="1">
        <f t="array" ref="S8">IFZERO(VLOOKUP(N8+0,Alerts[],5,FALSE),"")</f>
        <v/>
      </c>
      <c r="T8" s="352"/>
      <c r="U8" s="354"/>
      <c r="V8" s="354"/>
      <c r="W8" s="354"/>
      <c r="X8" s="354" t="str">
        <f t="shared" si="0"/>
        <v/>
      </c>
      <c r="Y8" s="354"/>
      <c r="Z8" s="354"/>
    </row>
    <row r="9" spans="1:26" ht="12.75" customHeight="1" x14ac:dyDescent="0.2">
      <c r="A9" s="370"/>
      <c r="B9" s="168"/>
      <c r="C9" s="181" t="s">
        <v>71</v>
      </c>
      <c r="D9" s="324"/>
      <c r="E9" s="328" t="str" cm="1">
        <f t="array" ref="E9">IFERROR(
  _xlfn.XLOOKUP(
    Main!$D$9,
    _xlfn._xlws.FILTER(AssetPool[asset_tag], AssetPool[root_category_name]="DAQ Modules"),
    _xlfn._xlws.FILTER(AssetPool[asset_id], AssetPool[root_category_name]="DAQ Modules")
  ),
  ""
)</f>
        <v/>
      </c>
      <c r="F9" s="351"/>
      <c r="G9" s="351"/>
      <c r="H9" s="351"/>
      <c r="I9" s="351"/>
      <c r="J9" s="351"/>
      <c r="K9" s="351"/>
      <c r="L9" s="351"/>
      <c r="M9" s="351"/>
      <c r="N9" s="171">
        <v>5</v>
      </c>
      <c r="O9" s="173"/>
      <c r="P9" s="174" t="str">
        <f>VLOOKUP(N9+0,Alerts[],3,FALSE)</f>
        <v/>
      </c>
      <c r="Q9" s="175"/>
      <c r="R9" s="176" t="str" cm="1">
        <f t="array" ref="R9">IFZERO(VLOOKUP(N9+0,Alerts[],4,FALSE),"")</f>
        <v/>
      </c>
      <c r="S9" s="177" t="str" cm="1">
        <f t="array" ref="S9">IFZERO(VLOOKUP(N9+0,Alerts[],5,FALSE),"")</f>
        <v/>
      </c>
      <c r="T9" s="352"/>
      <c r="U9" s="354"/>
      <c r="V9" s="354"/>
      <c r="W9" s="354"/>
      <c r="X9" s="354" t="str">
        <f t="shared" si="0"/>
        <v/>
      </c>
      <c r="Y9" s="354"/>
      <c r="Z9" s="354"/>
    </row>
    <row r="10" spans="1:26" x14ac:dyDescent="0.2">
      <c r="A10" s="370"/>
      <c r="B10" s="366"/>
      <c r="C10" s="367"/>
      <c r="D10" s="351"/>
      <c r="E10" s="351"/>
      <c r="F10" s="351"/>
      <c r="G10" s="352" t="str">
        <f>IF(OR(ISNA(Access_Data!D33),ISBLANK(D19),ISBLANK(D16)),"",IF(OR(ABS(Access_Data!D33)&gt;D19,ABS(Access_Data!H33)&gt;D19),"!!!!! OVEN IS OOT !!!!!",""))</f>
        <v/>
      </c>
      <c r="H10" s="351"/>
      <c r="I10" s="351"/>
      <c r="J10" s="351"/>
      <c r="K10" s="351"/>
      <c r="L10" s="351"/>
      <c r="M10" s="351"/>
      <c r="N10" s="171">
        <v>6</v>
      </c>
      <c r="O10" s="173"/>
      <c r="P10" s="174" t="str">
        <f>VLOOKUP(N10+0,Alerts[],3,FALSE)</f>
        <v/>
      </c>
      <c r="Q10" s="178"/>
      <c r="R10" s="176" t="str" cm="1">
        <f t="array" ref="R10">IFZERO(VLOOKUP(N10+0,Alerts[],4,FALSE),"")</f>
        <v/>
      </c>
      <c r="S10" s="177" t="str" cm="1">
        <f t="array" ref="S10">IFZERO(VLOOKUP(N10+0,Alerts[],5,FALSE),"")</f>
        <v/>
      </c>
      <c r="T10" s="352"/>
      <c r="U10" s="354"/>
      <c r="V10" s="354"/>
      <c r="W10" s="354"/>
      <c r="X10" s="354" t="str">
        <f t="shared" si="0"/>
        <v/>
      </c>
      <c r="Y10" s="354"/>
      <c r="Z10" s="354"/>
    </row>
    <row r="11" spans="1:26" x14ac:dyDescent="0.2">
      <c r="A11" s="370"/>
      <c r="B11" s="168"/>
      <c r="C11" s="181" t="s">
        <v>58</v>
      </c>
      <c r="D11" s="321" t="str">
        <f>VLOOKUP("serial_number",DaqbookServiceRecord[], 2, FALSE)</f>
        <v>806337</v>
      </c>
      <c r="E11" s="351"/>
      <c r="F11" s="351"/>
      <c r="G11" s="352" t="str">
        <f>IF(OR(ISBLANK(D3),ISBLANK(D13)),"",IF(D13&lt;D3,"!!!!! DAQBOOK IS OUT OF CERTIFICATION !!!!!",""))</f>
        <v/>
      </c>
      <c r="H11" s="351"/>
      <c r="I11" s="351"/>
      <c r="J11" s="351"/>
      <c r="K11" s="351"/>
      <c r="L11" s="351"/>
      <c r="M11" s="351"/>
      <c r="N11" s="171">
        <v>7</v>
      </c>
      <c r="O11" s="173"/>
      <c r="P11" s="174" t="str">
        <f>VLOOKUP(N11+0,Alerts[],3,FALSE)</f>
        <v/>
      </c>
      <c r="Q11" s="178"/>
      <c r="R11" s="176" t="str" cm="1">
        <f t="array" ref="R11">IFZERO(VLOOKUP(N11+0,Alerts[],4,FALSE),"")</f>
        <v/>
      </c>
      <c r="S11" s="177" t="str" cm="1">
        <f t="array" ref="S11">IFZERO(VLOOKUP(N11+0,Alerts[],5,FALSE),"")</f>
        <v/>
      </c>
      <c r="T11" s="352"/>
      <c r="U11" s="354"/>
      <c r="V11" s="354"/>
      <c r="W11" s="354"/>
      <c r="X11" s="354" t="str">
        <f t="shared" si="0"/>
        <v/>
      </c>
      <c r="Y11" s="354"/>
      <c r="Z11" s="354"/>
    </row>
    <row r="12" spans="1:26" x14ac:dyDescent="0.2">
      <c r="A12" s="370"/>
      <c r="B12" s="168"/>
      <c r="C12" s="181" t="s">
        <v>92</v>
      </c>
      <c r="D12" s="320">
        <f>VLOOKUP("service_date",DaqbookServiceRecord[], 2, FALSE)</f>
        <v>45789</v>
      </c>
      <c r="E12" s="351"/>
      <c r="F12" s="351"/>
      <c r="G12" s="352" t="str">
        <f>IF(Access_Data!$B$52=1,"!!!!! OVEN OVERSHOT IN POINTS 1-14 !!!!!","")</f>
        <v/>
      </c>
      <c r="H12" s="351"/>
      <c r="I12" s="351"/>
      <c r="J12" s="373"/>
      <c r="K12" s="355"/>
      <c r="L12" s="373"/>
      <c r="M12" s="355"/>
      <c r="N12" s="171">
        <v>8</v>
      </c>
      <c r="O12" s="173"/>
      <c r="P12" s="174" t="str">
        <f>VLOOKUP(N12+0,Alerts[],3,FALSE)</f>
        <v/>
      </c>
      <c r="Q12" s="178"/>
      <c r="R12" s="176" t="str" cm="1">
        <f t="array" ref="R12">IFZERO(VLOOKUP(N12+0,Alerts[],4,FALSE),"")</f>
        <v/>
      </c>
      <c r="S12" s="177" t="str" cm="1">
        <f t="array" ref="S12">IFZERO(VLOOKUP(N12+0,Alerts[],5,FALSE),"")</f>
        <v/>
      </c>
      <c r="T12" s="352"/>
      <c r="U12" s="354"/>
      <c r="V12" s="354"/>
      <c r="W12" s="354"/>
      <c r="X12" s="354" t="str">
        <f t="shared" si="0"/>
        <v/>
      </c>
      <c r="Y12" s="354"/>
      <c r="Z12" s="354"/>
    </row>
    <row r="13" spans="1:26" x14ac:dyDescent="0.2">
      <c r="A13" s="370"/>
      <c r="B13" s="182"/>
      <c r="C13" s="183" t="s">
        <v>91</v>
      </c>
      <c r="D13" s="320">
        <f>VLOOKUP("next_service_date",DaqbookServiceRecord[], 2, FALSE)</f>
        <v>45881</v>
      </c>
      <c r="E13" s="351"/>
      <c r="F13" s="377"/>
      <c r="G13" s="367" t="str">
        <f>IF(Access_Data!$C$52=1,"!!!!! OVEN OVERSHOT IN POINTS 15-28 !!!!!","")</f>
        <v/>
      </c>
      <c r="H13" s="351"/>
      <c r="I13" s="351"/>
      <c r="J13" s="280" t="s">
        <v>332</v>
      </c>
      <c r="K13" s="529" t="str">
        <f>IFERROR(VLOOKUP("PoNumber",WorkItemDetails[],2,FALSE),"")</f>
        <v/>
      </c>
      <c r="L13" s="530"/>
      <c r="M13" s="351"/>
      <c r="N13" s="171">
        <v>9</v>
      </c>
      <c r="O13" s="173"/>
      <c r="P13" s="174" t="str">
        <f>VLOOKUP(N13+0,Alerts[],3,FALSE)</f>
        <v/>
      </c>
      <c r="Q13" s="175"/>
      <c r="R13" s="176" t="str" cm="1">
        <f t="array" ref="R13">IFZERO(VLOOKUP(N13+0,Alerts[],4,FALSE),"")</f>
        <v/>
      </c>
      <c r="S13" s="177" t="str" cm="1">
        <f t="array" ref="S13">IFZERO(VLOOKUP(N13+0,Alerts[],5,FALSE),"")</f>
        <v/>
      </c>
      <c r="T13" s="352"/>
      <c r="U13" s="354"/>
      <c r="V13" s="354"/>
      <c r="W13" s="354"/>
      <c r="X13" s="354" t="str">
        <f t="shared" si="0"/>
        <v/>
      </c>
      <c r="Y13" s="354"/>
      <c r="Z13" s="354"/>
    </row>
    <row r="14" spans="1:26" x14ac:dyDescent="0.2">
      <c r="A14" s="370"/>
      <c r="B14" s="168"/>
      <c r="C14" s="181" t="s">
        <v>93</v>
      </c>
      <c r="D14" s="321" t="str">
        <f>VLOOKUP("certificate_number",DaqbookServiceRecord[], 2, FALSE)</f>
        <v>J20525</v>
      </c>
      <c r="E14" s="351"/>
      <c r="F14" s="351"/>
      <c r="G14" s="352" t="str">
        <f>IF(Access_Data!$D$52=1,"!!!!! OVEN OVERSHOT IN POINTS 29-40","")</f>
        <v/>
      </c>
      <c r="H14" s="351"/>
      <c r="I14" s="351"/>
      <c r="J14" s="184" t="s">
        <v>141</v>
      </c>
      <c r="K14" s="538"/>
      <c r="L14" s="539"/>
      <c r="M14" s="351"/>
      <c r="N14" s="171">
        <v>10</v>
      </c>
      <c r="O14" s="173"/>
      <c r="P14" s="174" t="str">
        <f>VLOOKUP(N14+0,Alerts[],3,FALSE)</f>
        <v>High</v>
      </c>
      <c r="Q14" s="178"/>
      <c r="R14" s="176" cm="1">
        <f t="array" ref="R14">IFZERO(VLOOKUP(N14+0,Alerts[],4,FALSE),"")</f>
        <v>102</v>
      </c>
      <c r="S14" s="177" cm="1">
        <f t="array" ref="S14">IFZERO(VLOOKUP(N14+0,Alerts[],5,FALSE),"")</f>
        <v>0.4236111111111111</v>
      </c>
      <c r="T14" s="352"/>
      <c r="U14" s="354"/>
      <c r="V14" s="354"/>
      <c r="W14" s="354"/>
      <c r="X14" s="354" t="str">
        <f t="shared" si="0"/>
        <v/>
      </c>
      <c r="Y14" s="354"/>
      <c r="Z14" s="354"/>
    </row>
    <row r="15" spans="1:26" x14ac:dyDescent="0.2">
      <c r="A15" s="370"/>
      <c r="B15" s="225"/>
      <c r="C15" s="223" t="s">
        <v>70</v>
      </c>
      <c r="D15" s="344"/>
      <c r="E15" s="351"/>
      <c r="F15" s="351"/>
      <c r="G15" s="351"/>
      <c r="H15" s="373" t="b">
        <v>1</v>
      </c>
      <c r="I15" s="351"/>
      <c r="J15" s="185" t="s">
        <v>136</v>
      </c>
      <c r="K15" s="523"/>
      <c r="L15" s="524"/>
      <c r="M15" s="351"/>
      <c r="N15" s="171">
        <v>11</v>
      </c>
      <c r="O15" s="173"/>
      <c r="P15" s="174" t="str">
        <f>VLOOKUP(N15+0,Alerts[],3,FALSE)</f>
        <v/>
      </c>
      <c r="Q15" s="175"/>
      <c r="R15" s="176" t="str" cm="1">
        <f t="array" ref="R15">IFZERO(VLOOKUP(N15+0,Alerts[],4,FALSE),"")</f>
        <v/>
      </c>
      <c r="S15" s="177" t="str" cm="1">
        <f t="array" ref="S15">IFZERO(VLOOKUP(N15+0,Alerts[],5,FALSE),"")</f>
        <v/>
      </c>
      <c r="T15" s="352"/>
      <c r="U15" s="354"/>
      <c r="V15" s="354"/>
      <c r="W15" s="354"/>
      <c r="X15" s="354" t="str">
        <f t="shared" si="0"/>
        <v/>
      </c>
      <c r="Y15" s="354"/>
      <c r="Z15" s="354"/>
    </row>
    <row r="16" spans="1:26" x14ac:dyDescent="0.2">
      <c r="A16" s="370"/>
      <c r="B16" s="186"/>
      <c r="C16" s="224" t="s">
        <v>271</v>
      </c>
      <c r="D16" s="344"/>
      <c r="E16" s="351"/>
      <c r="F16" s="184" t="s">
        <v>82</v>
      </c>
      <c r="G16" s="478" t="s">
        <v>276</v>
      </c>
      <c r="H16" s="479"/>
      <c r="I16" s="351"/>
      <c r="J16" s="485" t="s">
        <v>170</v>
      </c>
      <c r="K16" s="486"/>
      <c r="L16" s="326"/>
      <c r="M16" s="351"/>
      <c r="N16" s="171">
        <v>12</v>
      </c>
      <c r="O16" s="173"/>
      <c r="P16" s="174" t="str">
        <f>VLOOKUP(N16+0,Alerts[],3,FALSE)</f>
        <v/>
      </c>
      <c r="Q16" s="178"/>
      <c r="R16" s="176" t="str" cm="1">
        <f t="array" ref="R16">IFZERO(VLOOKUP(N16+0,Alerts[],4,FALSE),"")</f>
        <v/>
      </c>
      <c r="S16" s="177" t="str" cm="1">
        <f t="array" ref="S16">IFZERO(VLOOKUP(N16+0,Alerts[],5,FALSE),"")</f>
        <v/>
      </c>
      <c r="T16" s="352"/>
      <c r="U16" s="354"/>
      <c r="V16" s="354"/>
      <c r="W16" s="354"/>
      <c r="X16" s="354" t="str">
        <f t="shared" si="0"/>
        <v/>
      </c>
      <c r="Y16" s="354"/>
      <c r="Z16" s="354"/>
    </row>
    <row r="17" spans="1:26" x14ac:dyDescent="0.2">
      <c r="A17" s="370"/>
      <c r="B17" s="168"/>
      <c r="C17" s="169" t="s">
        <v>69</v>
      </c>
      <c r="D17" s="345"/>
      <c r="E17" s="351"/>
      <c r="F17" s="185" t="s">
        <v>101</v>
      </c>
      <c r="G17" s="451" t="str">
        <f>IF(ISBLANK(Load),"",Load)</f>
        <v>Empty Rack</v>
      </c>
      <c r="H17" s="351"/>
      <c r="I17" s="352"/>
      <c r="J17" s="485" t="s">
        <v>171</v>
      </c>
      <c r="K17" s="486"/>
      <c r="L17" s="188" t="str">
        <f>IF(K15="SIM Load Hot",TEXT(D26,"hh:mm"),"")</f>
        <v/>
      </c>
      <c r="M17" s="351"/>
      <c r="N17" s="171">
        <v>13</v>
      </c>
      <c r="O17" s="173"/>
      <c r="P17" s="174" t="str">
        <f>VLOOKUP(N17+0,Alerts[],3,FALSE)</f>
        <v/>
      </c>
      <c r="Q17" s="175"/>
      <c r="R17" s="176" t="str" cm="1">
        <f t="array" ref="R17">IFZERO(VLOOKUP(N17+0,Alerts[],4,FALSE),"")</f>
        <v/>
      </c>
      <c r="S17" s="177" t="str" cm="1">
        <f t="array" ref="S17">IFZERO(VLOOKUP(N17+0,Alerts[],5,FALSE),"")</f>
        <v/>
      </c>
      <c r="T17" s="352"/>
      <c r="U17" s="354"/>
      <c r="V17" s="354"/>
      <c r="W17" s="354"/>
      <c r="X17" s="354" t="str">
        <f t="shared" si="0"/>
        <v/>
      </c>
      <c r="Y17" s="354"/>
      <c r="Z17" s="354"/>
    </row>
    <row r="18" spans="1:26" x14ac:dyDescent="0.2">
      <c r="A18" s="370"/>
      <c r="B18" s="182"/>
      <c r="C18" s="189" t="s">
        <v>72</v>
      </c>
      <c r="D18" s="324"/>
      <c r="E18" s="351"/>
      <c r="F18" s="190" t="s">
        <v>83</v>
      </c>
      <c r="G18" s="540" t="s">
        <v>24</v>
      </c>
      <c r="H18" s="541"/>
      <c r="I18" s="352"/>
      <c r="J18" s="378"/>
      <c r="K18" s="351"/>
      <c r="L18" s="352"/>
      <c r="M18" s="351"/>
      <c r="N18" s="171">
        <v>14</v>
      </c>
      <c r="O18" s="173"/>
      <c r="P18" s="174" t="str">
        <f>VLOOKUP(N18+0,Alerts[],3,FALSE)</f>
        <v/>
      </c>
      <c r="Q18" s="178"/>
      <c r="R18" s="176" t="str" cm="1">
        <f t="array" ref="R18">IFZERO(VLOOKUP(N18+0,Alerts[],4,FALSE),"")</f>
        <v/>
      </c>
      <c r="S18" s="177" t="str" cm="1">
        <f t="array" ref="S18">IFZERO(VLOOKUP(N18+0,Alerts[],5,FALSE),"")</f>
        <v/>
      </c>
      <c r="T18" s="352"/>
      <c r="U18" s="354"/>
      <c r="V18" s="354"/>
      <c r="W18" s="354"/>
      <c r="X18" s="354" t="str">
        <f t="shared" si="0"/>
        <v/>
      </c>
      <c r="Y18" s="354"/>
      <c r="Z18" s="354"/>
    </row>
    <row r="19" spans="1:26" x14ac:dyDescent="0.2">
      <c r="A19" s="370"/>
      <c r="B19" s="168"/>
      <c r="C19" s="169" t="s">
        <v>15</v>
      </c>
      <c r="D19" s="343"/>
      <c r="E19" s="351"/>
      <c r="F19" s="185" t="s">
        <v>84</v>
      </c>
      <c r="G19" s="521" t="str">
        <f>IF(K15="Salt",0, IF(OR(K15="Hot",K15="SIM Load Hot"),IF(OR(D26="",D28=""),"N/A",IF(ISBLANK(D26),"N/A",D28-D26)),"N/A"))</f>
        <v>N/A</v>
      </c>
      <c r="H19" s="522"/>
      <c r="I19" s="379" t="str">
        <f>IF(G19="N/A","N/A",IF(G19=0,"&lt;2",ROUND(IF(LEN(G19)&gt;3,G19*1440,RIGHT(TEXT(G19,"hh:mm"),2)),0))&amp;" MINUTES")</f>
        <v>N/A</v>
      </c>
      <c r="J19" s="378"/>
      <c r="K19" s="351"/>
      <c r="L19" s="352"/>
      <c r="M19" s="351"/>
      <c r="N19" s="171">
        <v>15</v>
      </c>
      <c r="O19" s="173"/>
      <c r="P19" s="174" t="str">
        <f>VLOOKUP(N19+0,Alerts[],3,FALSE)</f>
        <v/>
      </c>
      <c r="Q19" s="175"/>
      <c r="R19" s="176" t="str" cm="1">
        <f t="array" ref="R19">IFZERO(VLOOKUP(N19+0,Alerts[],4,FALSE),"")</f>
        <v/>
      </c>
      <c r="S19" s="177" t="str" cm="1">
        <f t="array" ref="S19">IFZERO(VLOOKUP(N19+0,Alerts[],5,FALSE),"")</f>
        <v/>
      </c>
      <c r="T19" s="352"/>
      <c r="U19" s="354"/>
      <c r="V19" s="354"/>
      <c r="W19" s="354"/>
      <c r="X19" s="354" t="str">
        <f t="shared" si="0"/>
        <v/>
      </c>
      <c r="Y19" s="354"/>
      <c r="Z19" s="354"/>
    </row>
    <row r="20" spans="1:26" ht="13.7" customHeight="1" x14ac:dyDescent="0.2">
      <c r="B20" s="525" t="str">
        <f>IF(E20=TRUE,"SAT Tolerance (per AMS2750):","SAT Tolerance (per BAC5621):")</f>
        <v>SAT Tolerance (per BAC5621):</v>
      </c>
      <c r="C20" s="526"/>
      <c r="D20" s="449" t="e">
        <f>G94</f>
        <v>#N/A</v>
      </c>
      <c r="E20" s="656" t="b">
        <v>0</v>
      </c>
      <c r="F20" s="351"/>
      <c r="G20" s="351"/>
      <c r="H20" s="351"/>
      <c r="I20" s="352"/>
      <c r="J20" s="351"/>
      <c r="K20" s="351"/>
      <c r="L20" s="352"/>
      <c r="M20" s="351"/>
      <c r="N20" s="171">
        <v>16</v>
      </c>
      <c r="O20" s="173"/>
      <c r="P20" s="174" t="str">
        <f>VLOOKUP(N20+0,Alerts[],3,FALSE)</f>
        <v/>
      </c>
      <c r="Q20" s="178"/>
      <c r="R20" s="176" t="str" cm="1">
        <f t="array" ref="R20">IFZERO(VLOOKUP(N20+0,Alerts[],4,FALSE),"")</f>
        <v/>
      </c>
      <c r="S20" s="177" t="str" cm="1">
        <f t="array" ref="S20">IFZERO(VLOOKUP(N20+0,Alerts[],5,FALSE),"")</f>
        <v/>
      </c>
      <c r="T20" s="352"/>
      <c r="U20" s="354"/>
      <c r="V20" s="354"/>
      <c r="W20" s="354"/>
      <c r="X20" s="354" t="str">
        <f t="shared" si="0"/>
        <v/>
      </c>
      <c r="Y20" s="354"/>
      <c r="Z20" s="354"/>
    </row>
    <row r="21" spans="1:26" x14ac:dyDescent="0.2">
      <c r="A21" s="370"/>
      <c r="B21" s="366"/>
      <c r="C21" s="380"/>
      <c r="D21" s="375"/>
      <c r="E21" s="351"/>
      <c r="F21" s="351"/>
      <c r="G21" s="351"/>
      <c r="H21" s="351"/>
      <c r="I21" s="352"/>
      <c r="J21" s="351"/>
      <c r="K21" s="351"/>
      <c r="L21" s="352"/>
      <c r="M21" s="351"/>
      <c r="N21" s="171">
        <v>17</v>
      </c>
      <c r="O21" s="173"/>
      <c r="P21" s="174" t="str">
        <f>VLOOKUP(N21+0,Alerts[],3,FALSE)</f>
        <v/>
      </c>
      <c r="Q21" s="175"/>
      <c r="R21" s="176" t="str" cm="1">
        <f t="array" ref="R21">IFZERO(VLOOKUP(N21+0,Alerts[],4,FALSE),"")</f>
        <v/>
      </c>
      <c r="S21" s="177" t="str" cm="1">
        <f t="array" ref="S21">IFZERO(VLOOKUP(N21+0,Alerts[],5,FALSE),"")</f>
        <v/>
      </c>
      <c r="T21" s="352"/>
      <c r="U21" s="354"/>
      <c r="V21" s="354"/>
      <c r="W21" s="354"/>
      <c r="X21" s="354" t="str">
        <f t="shared" si="0"/>
        <v/>
      </c>
      <c r="Y21" s="354"/>
      <c r="Z21" s="354"/>
    </row>
    <row r="22" spans="1:26" x14ac:dyDescent="0.2">
      <c r="A22" s="370"/>
      <c r="B22" s="186"/>
      <c r="C22" s="187" t="s">
        <v>47</v>
      </c>
      <c r="D22" s="323"/>
      <c r="E22" s="351"/>
      <c r="F22" s="381"/>
      <c r="G22" s="351"/>
      <c r="H22" s="351"/>
      <c r="I22" s="352"/>
      <c r="J22" s="351"/>
      <c r="K22" s="351"/>
      <c r="L22" s="352"/>
      <c r="M22" s="351"/>
      <c r="N22" s="171">
        <v>18</v>
      </c>
      <c r="O22" s="173"/>
      <c r="P22" s="174" t="str">
        <f>VLOOKUP(N22+0,Alerts[],3,FALSE)</f>
        <v/>
      </c>
      <c r="Q22" s="178"/>
      <c r="R22" s="176" t="str" cm="1">
        <f t="array" ref="R22">IFZERO(VLOOKUP(N22+0,Alerts[],4,FALSE),"")</f>
        <v/>
      </c>
      <c r="S22" s="177" t="str" cm="1">
        <f t="array" ref="S22">IFZERO(VLOOKUP(N22+0,Alerts[],5,FALSE),"")</f>
        <v/>
      </c>
      <c r="T22" s="352"/>
      <c r="U22" s="354"/>
      <c r="V22" s="354"/>
      <c r="W22" s="354"/>
      <c r="X22" s="354" t="str">
        <f t="shared" si="0"/>
        <v/>
      </c>
      <c r="Y22" s="354"/>
      <c r="Z22" s="354"/>
    </row>
    <row r="23" spans="1:26" x14ac:dyDescent="0.2">
      <c r="A23" s="370"/>
      <c r="B23" s="168"/>
      <c r="C23" s="481" t="s">
        <v>953</v>
      </c>
      <c r="D23" s="324"/>
      <c r="E23" s="351"/>
      <c r="F23" s="191" t="s">
        <v>102</v>
      </c>
      <c r="G23" s="502" t="s">
        <v>385</v>
      </c>
      <c r="H23" s="503"/>
      <c r="I23" s="503"/>
      <c r="J23" s="503"/>
      <c r="K23" s="504"/>
      <c r="L23" s="352"/>
      <c r="M23" s="351"/>
      <c r="N23" s="171">
        <v>19</v>
      </c>
      <c r="O23" s="173"/>
      <c r="P23" s="174" t="str">
        <f>VLOOKUP(N23+0,Alerts[],3,FALSE)</f>
        <v/>
      </c>
      <c r="Q23" s="175"/>
      <c r="R23" s="176" t="str" cm="1">
        <f t="array" ref="R23">IFZERO(VLOOKUP(N23+0,Alerts[],4,FALSE),"")</f>
        <v/>
      </c>
      <c r="S23" s="177" t="str" cm="1">
        <f t="array" ref="S23">IFZERO(VLOOKUP(N23+0,Alerts[],5,FALSE),"")</f>
        <v/>
      </c>
      <c r="T23" s="352"/>
      <c r="U23" s="354"/>
      <c r="V23" s="354"/>
      <c r="W23" s="354"/>
      <c r="X23" s="354" t="str">
        <f t="shared" si="0"/>
        <v/>
      </c>
      <c r="Y23" s="354">
        <v>10</v>
      </c>
      <c r="Z23" s="354" t="s">
        <v>380</v>
      </c>
    </row>
    <row r="24" spans="1:26" x14ac:dyDescent="0.2">
      <c r="A24" s="370"/>
      <c r="B24" s="527" t="s">
        <v>569</v>
      </c>
      <c r="C24" s="528"/>
      <c r="D24" s="324">
        <v>1</v>
      </c>
      <c r="E24" s="351"/>
      <c r="F24" s="191" t="s">
        <v>103</v>
      </c>
      <c r="G24" s="505"/>
      <c r="H24" s="506"/>
      <c r="I24" s="506"/>
      <c r="J24" s="506"/>
      <c r="K24" s="507"/>
      <c r="L24" s="352"/>
      <c r="M24" s="351"/>
      <c r="N24" s="171">
        <v>20</v>
      </c>
      <c r="O24" s="173"/>
      <c r="P24" s="174" t="str">
        <f>VLOOKUP(N24+0,Alerts[],3,FALSE)</f>
        <v/>
      </c>
      <c r="Q24" s="178"/>
      <c r="R24" s="176" t="str" cm="1">
        <f t="array" ref="R24">IFZERO(VLOOKUP(N24+0,Alerts[],4,FALSE),"")</f>
        <v/>
      </c>
      <c r="S24" s="177" t="str" cm="1">
        <f t="array" ref="S24">IFZERO(VLOOKUP(N24+0,Alerts[],5,FALSE),"")</f>
        <v/>
      </c>
      <c r="T24" s="352"/>
      <c r="U24" s="354"/>
      <c r="V24" s="354"/>
      <c r="W24" s="354"/>
      <c r="X24" s="354" t="str">
        <f t="shared" si="0"/>
        <v/>
      </c>
      <c r="Y24" s="354">
        <v>11</v>
      </c>
      <c r="Z24" s="354" t="s">
        <v>381</v>
      </c>
    </row>
    <row r="25" spans="1:26" x14ac:dyDescent="0.2">
      <c r="A25" s="370"/>
      <c r="B25" s="366"/>
      <c r="C25" s="367"/>
      <c r="D25" s="375"/>
      <c r="E25" s="351"/>
      <c r="F25" s="191" t="s">
        <v>104</v>
      </c>
      <c r="G25" s="505"/>
      <c r="H25" s="506"/>
      <c r="I25" s="506"/>
      <c r="J25" s="506"/>
      <c r="K25" s="507"/>
      <c r="L25" s="352"/>
      <c r="M25" s="351"/>
      <c r="N25" s="171">
        <v>21</v>
      </c>
      <c r="O25" s="173"/>
      <c r="P25" s="174" t="str">
        <f>VLOOKUP(N25+0,Alerts[],3,FALSE)</f>
        <v/>
      </c>
      <c r="Q25" s="175"/>
      <c r="R25" s="176" t="str" cm="1">
        <f t="array" ref="R25">IFZERO(VLOOKUP(N25+0,Alerts[],4,FALSE),"")</f>
        <v/>
      </c>
      <c r="S25" s="177" t="str" cm="1">
        <f t="array" ref="S25">IFZERO(VLOOKUP(N25+0,Alerts[],5,FALSE),"")</f>
        <v/>
      </c>
      <c r="T25" s="352"/>
      <c r="U25" s="354"/>
      <c r="V25" s="354"/>
      <c r="W25" s="354"/>
      <c r="X25" s="354" t="str">
        <f t="shared" si="0"/>
        <v/>
      </c>
      <c r="Y25" s="354">
        <v>12</v>
      </c>
      <c r="Z25" s="354" t="s">
        <v>382</v>
      </c>
    </row>
    <row r="26" spans="1:26" x14ac:dyDescent="0.2">
      <c r="A26" s="370"/>
      <c r="B26" s="186"/>
      <c r="C26" s="187" t="s">
        <v>65</v>
      </c>
      <c r="D26" s="335"/>
      <c r="E26" s="353" t="str">
        <f>TEXT(D26,"hh:mm")</f>
        <v>00:00</v>
      </c>
      <c r="F26" s="352"/>
      <c r="G26" s="352"/>
      <c r="H26" s="352"/>
      <c r="I26" s="352"/>
      <c r="J26" s="352"/>
      <c r="K26" s="352"/>
      <c r="L26" s="352"/>
      <c r="M26" s="351"/>
      <c r="N26" s="171">
        <v>22</v>
      </c>
      <c r="O26" s="173"/>
      <c r="P26" s="174" t="str">
        <f>VLOOKUP(N26+0,Alerts[],3,FALSE)</f>
        <v/>
      </c>
      <c r="Q26" s="178"/>
      <c r="R26" s="176" t="str" cm="1">
        <f t="array" ref="R26">IFZERO(VLOOKUP(N26+0,Alerts[],4,FALSE),"")</f>
        <v/>
      </c>
      <c r="S26" s="177" t="str" cm="1">
        <f t="array" ref="S26">IFZERO(VLOOKUP(N26+0,Alerts[],5,FALSE),"")</f>
        <v/>
      </c>
      <c r="T26" s="352"/>
      <c r="U26" s="354"/>
      <c r="V26" s="354"/>
      <c r="W26" s="354"/>
      <c r="X26" s="354" t="str">
        <f t="shared" si="0"/>
        <v/>
      </c>
      <c r="Y26" s="354">
        <v>13</v>
      </c>
      <c r="Z26" s="354" t="s">
        <v>383</v>
      </c>
    </row>
    <row r="27" spans="1:26" x14ac:dyDescent="0.2">
      <c r="A27" s="370"/>
      <c r="B27" s="192">
        <v>10</v>
      </c>
      <c r="C27" s="169" t="s">
        <v>66</v>
      </c>
      <c r="D27" s="335"/>
      <c r="E27" s="353"/>
      <c r="F27" s="280" t="s">
        <v>279</v>
      </c>
      <c r="G27" s="279" t="str">
        <f>G28</f>
        <v>Cal by Customer</v>
      </c>
      <c r="H27" s="500" t="str">
        <f>IF(ISBLANK(D6),"",IF(CheckRec="x","CHECK INSTRUMENT CAL DATES!!!!             CHECK INSTRUMENT CAL DATES!!!!",""))</f>
        <v/>
      </c>
      <c r="I27" s="501"/>
      <c r="J27" s="501"/>
      <c r="K27" s="501"/>
      <c r="L27" s="352"/>
      <c r="M27" s="351"/>
      <c r="N27" s="171">
        <v>23</v>
      </c>
      <c r="O27" s="173"/>
      <c r="P27" s="174" t="str">
        <f>VLOOKUP(N27+0,Alerts[],3,FALSE)</f>
        <v/>
      </c>
      <c r="Q27" s="175"/>
      <c r="R27" s="176" t="str" cm="1">
        <f t="array" ref="R27">IFZERO(VLOOKUP(N27+0,Alerts[],4,FALSE),"")</f>
        <v/>
      </c>
      <c r="S27" s="177" t="str" cm="1">
        <f t="array" ref="S27">IFZERO(VLOOKUP(N27+0,Alerts[],5,FALSE),"")</f>
        <v/>
      </c>
      <c r="T27" s="352"/>
      <c r="U27" s="354"/>
      <c r="V27" s="354"/>
      <c r="W27" s="354"/>
      <c r="X27" s="354" t="str">
        <f t="shared" si="0"/>
        <v/>
      </c>
      <c r="Y27" s="354">
        <v>14</v>
      </c>
      <c r="Z27" s="354" t="s">
        <v>384</v>
      </c>
    </row>
    <row r="28" spans="1:26" x14ac:dyDescent="0.2">
      <c r="A28" s="370"/>
      <c r="B28" s="193">
        <v>30</v>
      </c>
      <c r="C28" s="189" t="s">
        <v>67</v>
      </c>
      <c r="D28" s="335"/>
      <c r="E28" s="353"/>
      <c r="F28" s="280" t="s">
        <v>280</v>
      </c>
      <c r="G28" s="279" t="str">
        <f>IF(CheckRec="y","Cal by Customer",IF(D$3,D$3,""))</f>
        <v>Cal by Customer</v>
      </c>
      <c r="H28" s="500"/>
      <c r="I28" s="501"/>
      <c r="J28" s="501"/>
      <c r="K28" s="501"/>
      <c r="L28" s="352"/>
      <c r="M28" s="351"/>
      <c r="N28" s="171">
        <v>24</v>
      </c>
      <c r="O28" s="173"/>
      <c r="P28" s="174" t="str">
        <f>VLOOKUP(N28+0,Alerts[],3,FALSE)</f>
        <v/>
      </c>
      <c r="Q28" s="178"/>
      <c r="R28" s="176" t="str" cm="1">
        <f t="array" ref="R28">IFZERO(VLOOKUP(N28+0,Alerts[],4,FALSE),"")</f>
        <v/>
      </c>
      <c r="S28" s="177" t="str" cm="1">
        <f t="array" ref="S28">IFZERO(VLOOKUP(N28+0,Alerts[],5,FALSE),"")</f>
        <v/>
      </c>
      <c r="T28" s="352"/>
      <c r="U28" s="354"/>
      <c r="V28" s="354"/>
      <c r="W28" s="354"/>
      <c r="X28" s="354" t="str">
        <f t="shared" si="0"/>
        <v/>
      </c>
      <c r="Y28" s="354"/>
      <c r="Z28" s="354"/>
    </row>
    <row r="29" spans="1:26" x14ac:dyDescent="0.2">
      <c r="A29" s="370"/>
      <c r="B29" s="192">
        <v>40</v>
      </c>
      <c r="C29" s="169" t="s">
        <v>78</v>
      </c>
      <c r="D29" s="194" t="str">
        <f>(IF(OR(D27="",D28=""),"",IF(ISBLANK(D27),"",D28-D27)))</f>
        <v/>
      </c>
      <c r="E29" s="382" t="str">
        <f>IFERROR(IF(D29=0,"&lt;2",ROUND(IF(LEN(D29)&gt;3,D29*1440,TEXT(D29,"hh:mm")),0)) &amp;" MINUTES","")</f>
        <v/>
      </c>
      <c r="F29" s="355" t="s">
        <v>281</v>
      </c>
      <c r="G29" s="352"/>
      <c r="H29" s="352"/>
      <c r="I29" s="352"/>
      <c r="J29" s="352"/>
      <c r="K29" s="352"/>
      <c r="L29" s="352"/>
      <c r="M29" s="351"/>
      <c r="N29" s="171">
        <v>25</v>
      </c>
      <c r="O29" s="173"/>
      <c r="P29" s="174" t="str">
        <f>VLOOKUP(N29+0,Alerts[],3,FALSE)</f>
        <v/>
      </c>
      <c r="Q29" s="175"/>
      <c r="R29" s="176" t="str" cm="1">
        <f t="array" ref="R29">IFZERO(VLOOKUP(N29+0,Alerts[],4,FALSE),"")</f>
        <v/>
      </c>
      <c r="S29" s="177" t="str" cm="1">
        <f t="array" ref="S29">IFZERO(VLOOKUP(N29+0,Alerts[],5,FALSE),"")</f>
        <v/>
      </c>
      <c r="T29" s="352"/>
      <c r="U29" s="354"/>
      <c r="V29" s="354"/>
      <c r="W29" s="354"/>
      <c r="X29" s="354" t="str">
        <f t="shared" si="0"/>
        <v/>
      </c>
      <c r="Y29" s="354">
        <v>10</v>
      </c>
      <c r="Z29" s="354" t="s">
        <v>386</v>
      </c>
    </row>
    <row r="30" spans="1:26" x14ac:dyDescent="0.2">
      <c r="A30" s="370"/>
      <c r="B30" s="287">
        <v>45</v>
      </c>
      <c r="C30" s="189" t="s">
        <v>68</v>
      </c>
      <c r="D30" s="445"/>
      <c r="E30" s="383" t="str">
        <f>IF(ISBLANK(D30), "", TEXT(D30, "H:mm"))</f>
        <v/>
      </c>
      <c r="F30" s="351"/>
      <c r="G30" s="354">
        <f>IF(D29="",0,D29)</f>
        <v>0</v>
      </c>
      <c r="H30" s="384">
        <f>D28-D26</f>
        <v>0</v>
      </c>
      <c r="I30" s="352"/>
      <c r="J30" s="352"/>
      <c r="K30" s="352"/>
      <c r="L30" s="385"/>
      <c r="M30" s="351"/>
      <c r="N30" s="171">
        <v>26</v>
      </c>
      <c r="O30" s="173"/>
      <c r="P30" s="174" t="str">
        <f>VLOOKUP(N30+0,Alerts[],3,FALSE)</f>
        <v/>
      </c>
      <c r="Q30" s="178"/>
      <c r="R30" s="176" t="str" cm="1">
        <f t="array" ref="R30">IFZERO(VLOOKUP(N30+0,Alerts[],4,FALSE),"")</f>
        <v/>
      </c>
      <c r="S30" s="177" t="str" cm="1">
        <f t="array" ref="S30">IFZERO(VLOOKUP(N30+0,Alerts[],5,FALSE),"")</f>
        <v/>
      </c>
      <c r="T30" s="352"/>
      <c r="U30" s="354" t="b">
        <v>0</v>
      </c>
      <c r="V30" s="354"/>
      <c r="W30" s="354"/>
      <c r="X30" s="354" t="str">
        <f t="shared" si="0"/>
        <v/>
      </c>
      <c r="Y30" s="354">
        <v>11</v>
      </c>
      <c r="Z30" s="354" t="s">
        <v>387</v>
      </c>
    </row>
    <row r="31" spans="1:26" x14ac:dyDescent="0.2">
      <c r="A31" s="370"/>
      <c r="B31" s="168"/>
      <c r="C31" s="169" t="s">
        <v>57</v>
      </c>
      <c r="D31" s="317">
        <f>D30+TIME(0,D32,0)</f>
        <v>0</v>
      </c>
      <c r="E31" s="351"/>
      <c r="F31" s="386" t="str">
        <f>IF(AND(LagLimit&gt;0,G30&gt;LagLimit),"LAG TIME TOO HIGH!!!","")</f>
        <v/>
      </c>
      <c r="G31" s="352"/>
      <c r="H31" s="387" t="str">
        <f>IF(AND(RecoveryLimit&gt;0,H30&gt;RecoveryLimit),"RECOVERY TIME TOO HIGH!!!!","")</f>
        <v/>
      </c>
      <c r="I31" s="352"/>
      <c r="J31" s="352"/>
      <c r="K31" s="352"/>
      <c r="L31" s="388"/>
      <c r="M31" s="388"/>
      <c r="N31" s="171">
        <v>27</v>
      </c>
      <c r="O31" s="173"/>
      <c r="P31" s="174" t="str">
        <f>VLOOKUP(N31+0,Alerts[],3,FALSE)</f>
        <v/>
      </c>
      <c r="Q31" s="175"/>
      <c r="R31" s="176" t="str" cm="1">
        <f t="array" ref="R31">IFZERO(VLOOKUP(N31+0,Alerts[],4,FALSE),"")</f>
        <v/>
      </c>
      <c r="S31" s="177" t="str" cm="1">
        <f t="array" ref="S31">IFZERO(VLOOKUP(N31+0,Alerts[],5,FALSE),"")</f>
        <v/>
      </c>
      <c r="T31" s="352"/>
      <c r="U31" s="354"/>
      <c r="V31" s="354"/>
      <c r="W31" s="354"/>
      <c r="X31" s="354" t="str">
        <f t="shared" si="0"/>
        <v/>
      </c>
      <c r="Y31" s="354">
        <v>12</v>
      </c>
      <c r="Z31" s="354" t="s">
        <v>388</v>
      </c>
    </row>
    <row r="32" spans="1:26" x14ac:dyDescent="0.2">
      <c r="A32" s="380"/>
      <c r="B32" s="195"/>
      <c r="C32" s="196" t="s">
        <v>86</v>
      </c>
      <c r="D32" s="325"/>
      <c r="E32" s="351"/>
      <c r="F32" s="352" t="str">
        <f>IF(COUNTIF(Comparison_Report!R1:R8, 1) &gt; 0, "CHECK COMPARISON REPORT!!!", "")</f>
        <v/>
      </c>
      <c r="G32" s="352"/>
      <c r="H32" s="352"/>
      <c r="I32" s="352"/>
      <c r="J32" s="352"/>
      <c r="K32" s="352"/>
      <c r="L32" s="352"/>
      <c r="M32" s="351"/>
      <c r="N32" s="171">
        <v>28</v>
      </c>
      <c r="O32" s="173"/>
      <c r="P32" s="174" t="str">
        <f>VLOOKUP(N32+0,Alerts[],3,FALSE)</f>
        <v/>
      </c>
      <c r="Q32" s="178"/>
      <c r="R32" s="176" t="str" cm="1">
        <f t="array" ref="R32">IFZERO(VLOOKUP(N32+0,Alerts[],4,FALSE),"")</f>
        <v/>
      </c>
      <c r="S32" s="177" t="str" cm="1">
        <f t="array" ref="S32">IFZERO(VLOOKUP(N32+0,Alerts[],5,FALSE),"")</f>
        <v/>
      </c>
      <c r="T32" s="352"/>
      <c r="U32" s="354"/>
      <c r="V32" s="354"/>
      <c r="W32" s="354"/>
      <c r="X32" s="354" t="str">
        <f t="shared" si="0"/>
        <v/>
      </c>
      <c r="Y32" s="354"/>
      <c r="Z32" s="354"/>
    </row>
    <row r="33" spans="1:26" x14ac:dyDescent="0.2">
      <c r="A33" s="370"/>
      <c r="B33" s="366"/>
      <c r="C33" s="389"/>
      <c r="D33" s="390"/>
      <c r="E33" s="390"/>
      <c r="F33" s="352"/>
      <c r="G33" s="352"/>
      <c r="H33" s="352"/>
      <c r="I33" s="352"/>
      <c r="J33" s="352"/>
      <c r="K33" s="352"/>
      <c r="L33" s="352"/>
      <c r="M33" s="351"/>
      <c r="N33" s="171">
        <v>29</v>
      </c>
      <c r="O33" s="173"/>
      <c r="P33" s="174" t="str">
        <f>VLOOKUP(N33+0,Alerts[],3,FALSE)</f>
        <v/>
      </c>
      <c r="Q33" s="175"/>
      <c r="R33" s="176" t="str" cm="1">
        <f t="array" ref="R33">IFZERO(VLOOKUP(N33+0,Alerts[],4,FALSE),"")</f>
        <v/>
      </c>
      <c r="S33" s="177" t="str" cm="1">
        <f t="array" ref="S33">IFZERO(VLOOKUP(N33+0,Alerts[],5,FALSE),"")</f>
        <v/>
      </c>
      <c r="T33" s="352"/>
      <c r="U33" s="354"/>
      <c r="V33" s="354"/>
      <c r="W33" s="354"/>
      <c r="X33" s="354" t="str">
        <f t="shared" si="0"/>
        <v/>
      </c>
      <c r="Y33" s="354"/>
      <c r="Z33" s="354"/>
    </row>
    <row r="34" spans="1:26" ht="12.75" customHeight="1" x14ac:dyDescent="0.2">
      <c r="A34" s="370"/>
      <c r="B34" s="514" t="s">
        <v>54</v>
      </c>
      <c r="C34" s="515"/>
      <c r="D34" s="515"/>
      <c r="E34" s="515"/>
      <c r="F34" s="515"/>
      <c r="G34" s="515"/>
      <c r="H34" s="515"/>
      <c r="I34" s="515"/>
      <c r="J34" s="515"/>
      <c r="K34" s="515"/>
      <c r="L34" s="516"/>
      <c r="M34" s="351"/>
      <c r="N34" s="171">
        <v>30</v>
      </c>
      <c r="O34" s="173"/>
      <c r="P34" s="174" t="str">
        <f>VLOOKUP(N34+0,Alerts[],3,FALSE)</f>
        <v/>
      </c>
      <c r="Q34" s="178"/>
      <c r="R34" s="176" t="str" cm="1">
        <f t="array" ref="R34">IFZERO(VLOOKUP(N34+0,Alerts[],4,FALSE),"")</f>
        <v/>
      </c>
      <c r="S34" s="177" t="str" cm="1">
        <f t="array" ref="S34">IFZERO(VLOOKUP(N34+0,Alerts[],5,FALSE),"")</f>
        <v/>
      </c>
      <c r="T34" s="353"/>
      <c r="U34" s="354"/>
      <c r="V34" s="354"/>
      <c r="W34" s="354"/>
      <c r="X34" s="354" t="str">
        <f t="shared" si="0"/>
        <v/>
      </c>
      <c r="Y34" s="354"/>
      <c r="Z34" s="354"/>
    </row>
    <row r="35" spans="1:26" ht="12.75" customHeight="1" x14ac:dyDescent="0.2">
      <c r="A35" s="370"/>
      <c r="B35" s="197"/>
      <c r="C35" s="198"/>
      <c r="D35" s="199" t="str">
        <f>IF($D$30,D30,"")</f>
        <v/>
      </c>
      <c r="E35" s="200" t="str">
        <f>IF($D$30,IF($D$18=4,D35+TIME(0,4,0),D35+TIME(0,10,0)),"")</f>
        <v/>
      </c>
      <c r="F35" s="200" t="str">
        <f>IF($D$30,IF($D$18=4,E35+TIME(0,4,0),E35+TIME(0,10,0)),"")</f>
        <v/>
      </c>
      <c r="G35" s="200" t="str">
        <f>IF($D$30,IF($D$18=4,F35+TIME(0,4,0),F35+TIME(0,10,0)),"")</f>
        <v/>
      </c>
      <c r="H35" s="200" t="str">
        <f>IF($D$30,IF($D$18=4,G35+TIME(0,4,0),""),"")</f>
        <v/>
      </c>
      <c r="I35" s="200" t="str">
        <f>IF($D$30,IF($D$18=4,H35+TIME(0,4,0),""),"")</f>
        <v/>
      </c>
      <c r="J35" s="200" t="str">
        <f>IF($D$30,IF($D$18=4,I35+TIME(0,4,0),""),"")</f>
        <v/>
      </c>
      <c r="K35" s="200" t="str">
        <f>IF($D$30,IF($D$18=4,J35+TIME(0,4,0),""),"")</f>
        <v/>
      </c>
      <c r="L35" s="200" t="str">
        <f>IF($D$30,IF($D$18=4,K35+TIME(0,2,0),""),"")</f>
        <v/>
      </c>
      <c r="M35" s="351"/>
      <c r="N35" s="171">
        <v>31</v>
      </c>
      <c r="O35" s="173"/>
      <c r="P35" s="174" t="str">
        <f>VLOOKUP(N35+0,Alerts[],3,FALSE)</f>
        <v/>
      </c>
      <c r="Q35" s="175"/>
      <c r="R35" s="176" t="str" cm="1">
        <f t="array" ref="R35">IFZERO(VLOOKUP(N35+0,Alerts[],4,FALSE),"")</f>
        <v/>
      </c>
      <c r="S35" s="177" t="str" cm="1">
        <f t="array" ref="S35">IFZERO(VLOOKUP(N35+0,Alerts[],5,FALSE),"")</f>
        <v/>
      </c>
      <c r="T35" s="353"/>
      <c r="U35" s="354"/>
      <c r="V35" s="354"/>
      <c r="W35" s="354"/>
      <c r="X35" s="354" t="str">
        <f t="shared" si="0"/>
        <v/>
      </c>
      <c r="Y35" s="354"/>
      <c r="Z35" s="354"/>
    </row>
    <row r="36" spans="1:26" ht="13.5" thickBot="1" x14ac:dyDescent="0.25">
      <c r="A36" s="391"/>
      <c r="B36" s="201" t="s">
        <v>17</v>
      </c>
      <c r="C36" s="202" t="s">
        <v>53</v>
      </c>
      <c r="D36" s="203" t="s">
        <v>48</v>
      </c>
      <c r="E36" s="203" t="s">
        <v>49</v>
      </c>
      <c r="F36" s="203" t="s">
        <v>50</v>
      </c>
      <c r="G36" s="203" t="s">
        <v>51</v>
      </c>
      <c r="H36" s="203" t="str">
        <f>IF(D18=4,"Reading 5","")</f>
        <v/>
      </c>
      <c r="I36" s="203" t="str">
        <f>IF(D18=4,"Reading 6","")</f>
        <v/>
      </c>
      <c r="J36" s="203" t="str">
        <f>IF(D18=4,"Reading 7","")</f>
        <v/>
      </c>
      <c r="K36" s="203" t="str">
        <f>IF(D18=4,"Reading 8","")</f>
        <v/>
      </c>
      <c r="L36" s="203" t="str">
        <f>IF(D18=4,"Reading 9","")</f>
        <v/>
      </c>
      <c r="M36" s="351"/>
      <c r="N36" s="171">
        <v>32</v>
      </c>
      <c r="O36" s="173"/>
      <c r="P36" s="174" t="str">
        <f>VLOOKUP(N36+0,Alerts[],3,FALSE)</f>
        <v/>
      </c>
      <c r="Q36" s="178"/>
      <c r="R36" s="176" t="str" cm="1">
        <f t="array" ref="R36">IFZERO(VLOOKUP(N36+0,Alerts[],4,FALSE),"")</f>
        <v/>
      </c>
      <c r="S36" s="177" t="str" cm="1">
        <f t="array" ref="S36">IFZERO(VLOOKUP(N36+0,Alerts[],5,FALSE),"")</f>
        <v/>
      </c>
      <c r="T36" s="353"/>
      <c r="U36" s="354"/>
      <c r="V36" s="354"/>
      <c r="W36" s="354"/>
      <c r="X36" s="354" t="str">
        <f t="shared" si="0"/>
        <v/>
      </c>
      <c r="Y36" s="354"/>
      <c r="Z36" s="354"/>
    </row>
    <row r="37" spans="1:26" x14ac:dyDescent="0.2">
      <c r="A37" s="370"/>
      <c r="B37" s="230"/>
      <c r="C37" s="221"/>
      <c r="D37" s="231"/>
      <c r="E37" s="231"/>
      <c r="F37" s="231"/>
      <c r="G37" s="231"/>
      <c r="H37" s="231"/>
      <c r="I37" s="204"/>
      <c r="J37" s="204"/>
      <c r="K37" s="204"/>
      <c r="L37" s="204"/>
      <c r="M37" s="351"/>
      <c r="N37" s="171">
        <v>33</v>
      </c>
      <c r="O37" s="173"/>
      <c r="P37" s="174" t="str">
        <f>VLOOKUP(N37+0,Alerts[],3,FALSE)</f>
        <v/>
      </c>
      <c r="Q37" s="175"/>
      <c r="R37" s="176" t="str" cm="1">
        <f t="array" ref="R37">IFZERO(VLOOKUP(N37+0,Alerts[],4,FALSE),"")</f>
        <v/>
      </c>
      <c r="S37" s="177" t="str" cm="1">
        <f t="array" ref="S37">IFZERO(VLOOKUP(N37+0,Alerts[],5,FALSE),"")</f>
        <v/>
      </c>
      <c r="T37" s="353"/>
      <c r="U37" s="354"/>
      <c r="V37" s="354"/>
      <c r="W37" s="354"/>
      <c r="X37" s="354" t="str">
        <f t="shared" si="0"/>
        <v/>
      </c>
      <c r="Y37" s="354"/>
      <c r="Z37" s="354"/>
    </row>
    <row r="38" spans="1:26" x14ac:dyDescent="0.2">
      <c r="A38" s="370"/>
      <c r="B38" s="232"/>
      <c r="C38" s="222"/>
      <c r="D38" s="231"/>
      <c r="E38" s="231"/>
      <c r="F38" s="231"/>
      <c r="G38" s="231"/>
      <c r="H38" s="231"/>
      <c r="I38" s="204"/>
      <c r="J38" s="204"/>
      <c r="K38" s="204"/>
      <c r="L38" s="204"/>
      <c r="M38" s="351"/>
      <c r="N38" s="171">
        <v>34</v>
      </c>
      <c r="O38" s="173"/>
      <c r="P38" s="174" t="str">
        <f>VLOOKUP(N38+0,Alerts[],3,FALSE)</f>
        <v/>
      </c>
      <c r="Q38" s="178"/>
      <c r="R38" s="176" t="str" cm="1">
        <f t="array" ref="R38">IFZERO(VLOOKUP(N38+0,Alerts[],4,FALSE),"")</f>
        <v/>
      </c>
      <c r="S38" s="177" t="str" cm="1">
        <f t="array" ref="S38">IFZERO(VLOOKUP(N38+0,Alerts[],5,FALSE),"")</f>
        <v/>
      </c>
      <c r="T38" s="353"/>
      <c r="U38" s="354"/>
      <c r="V38" s="354"/>
      <c r="W38" s="354"/>
      <c r="X38" s="354" t="str">
        <f t="shared" si="0"/>
        <v/>
      </c>
      <c r="Y38" s="354"/>
      <c r="Z38" s="354"/>
    </row>
    <row r="39" spans="1:26" x14ac:dyDescent="0.2">
      <c r="A39" s="370"/>
      <c r="B39" s="232"/>
      <c r="C39" s="222"/>
      <c r="D39" s="231"/>
      <c r="E39" s="231"/>
      <c r="F39" s="231"/>
      <c r="G39" s="231"/>
      <c r="H39" s="204"/>
      <c r="I39" s="204"/>
      <c r="J39" s="204"/>
      <c r="K39" s="204"/>
      <c r="L39" s="204"/>
      <c r="M39" s="351"/>
      <c r="N39" s="171">
        <v>35</v>
      </c>
      <c r="O39" s="173"/>
      <c r="P39" s="174" t="str">
        <f>VLOOKUP(N39+0,Alerts[],3,FALSE)</f>
        <v/>
      </c>
      <c r="Q39" s="175"/>
      <c r="R39" s="176" t="str" cm="1">
        <f t="array" ref="R39">IFZERO(VLOOKUP(N39+0,Alerts[],4,FALSE),"")</f>
        <v/>
      </c>
      <c r="S39" s="177" t="str" cm="1">
        <f t="array" ref="S39">IFZERO(VLOOKUP(N39+0,Alerts[],5,FALSE),"")</f>
        <v/>
      </c>
      <c r="T39" s="353"/>
      <c r="U39" s="354"/>
      <c r="V39" s="354"/>
      <c r="W39" s="354"/>
      <c r="X39" s="354" t="str">
        <f t="shared" si="0"/>
        <v/>
      </c>
      <c r="Y39" s="354"/>
      <c r="Z39" s="354"/>
    </row>
    <row r="40" spans="1:26" x14ac:dyDescent="0.2">
      <c r="A40" s="370"/>
      <c r="B40" s="232"/>
      <c r="C40" s="222"/>
      <c r="D40" s="231"/>
      <c r="E40" s="231"/>
      <c r="F40" s="231"/>
      <c r="G40" s="231"/>
      <c r="H40" s="204"/>
      <c r="I40" s="204"/>
      <c r="J40" s="204"/>
      <c r="K40" s="204"/>
      <c r="L40" s="204"/>
      <c r="M40" s="351"/>
      <c r="N40" s="171">
        <v>36</v>
      </c>
      <c r="O40" s="173"/>
      <c r="P40" s="174" t="str">
        <f>VLOOKUP(N40+0,Alerts[],3,FALSE)</f>
        <v/>
      </c>
      <c r="Q40" s="178"/>
      <c r="R40" s="176" t="str" cm="1">
        <f t="array" ref="R40">IFZERO(VLOOKUP(N40+0,Alerts[],4,FALSE),"")</f>
        <v/>
      </c>
      <c r="S40" s="177" t="str" cm="1">
        <f t="array" ref="S40">IFZERO(VLOOKUP(N40+0,Alerts[],5,FALSE),"")</f>
        <v/>
      </c>
      <c r="T40" s="353"/>
      <c r="U40" s="354"/>
      <c r="V40" s="354"/>
      <c r="W40" s="354"/>
      <c r="X40" s="354" t="str">
        <f t="shared" si="0"/>
        <v/>
      </c>
      <c r="Y40" s="354"/>
      <c r="Z40" s="354"/>
    </row>
    <row r="41" spans="1:26" x14ac:dyDescent="0.2">
      <c r="A41" s="370"/>
      <c r="B41" s="205"/>
      <c r="C41" s="206"/>
      <c r="D41" s="207"/>
      <c r="E41" s="207"/>
      <c r="F41" s="207"/>
      <c r="G41" s="207"/>
      <c r="H41" s="207"/>
      <c r="I41" s="207"/>
      <c r="J41" s="207"/>
      <c r="K41" s="207"/>
      <c r="L41" s="207"/>
      <c r="M41" s="351"/>
      <c r="N41" s="171">
        <v>37</v>
      </c>
      <c r="O41" s="173"/>
      <c r="P41" s="174" t="str">
        <f>VLOOKUP(N41+0,Alerts[],3,FALSE)</f>
        <v/>
      </c>
      <c r="Q41" s="175"/>
      <c r="R41" s="176" t="str" cm="1">
        <f t="array" ref="R41">IFZERO(VLOOKUP(N41+0,Alerts[],4,FALSE),"")</f>
        <v/>
      </c>
      <c r="S41" s="177" t="str" cm="1">
        <f t="array" ref="S41">IFZERO(VLOOKUP(N41+0,Alerts[],5,FALSE),"")</f>
        <v/>
      </c>
      <c r="T41" s="353"/>
      <c r="U41" s="354"/>
      <c r="V41" s="354"/>
      <c r="W41" s="354"/>
      <c r="X41" s="354" t="str">
        <f t="shared" si="0"/>
        <v/>
      </c>
      <c r="Y41" s="354"/>
      <c r="Z41" s="354"/>
    </row>
    <row r="42" spans="1:26" x14ac:dyDescent="0.2">
      <c r="A42" s="370"/>
      <c r="B42" s="205"/>
      <c r="C42" s="206"/>
      <c r="D42" s="207"/>
      <c r="E42" s="207"/>
      <c r="F42" s="207"/>
      <c r="G42" s="207"/>
      <c r="H42" s="207"/>
      <c r="I42" s="207"/>
      <c r="J42" s="207"/>
      <c r="K42" s="207"/>
      <c r="L42" s="207"/>
      <c r="M42" s="351"/>
      <c r="N42" s="171">
        <v>38</v>
      </c>
      <c r="O42" s="173"/>
      <c r="P42" s="174" t="str">
        <f>VLOOKUP(N42+0,Alerts[],3,FALSE)</f>
        <v/>
      </c>
      <c r="Q42" s="178"/>
      <c r="R42" s="176" t="str" cm="1">
        <f t="array" ref="R42">IFZERO(VLOOKUP(N42+0,Alerts[],4,FALSE),"")</f>
        <v/>
      </c>
      <c r="S42" s="177" t="str" cm="1">
        <f t="array" ref="S42">IFZERO(VLOOKUP(N42+0,Alerts[],5,FALSE),"")</f>
        <v/>
      </c>
      <c r="T42" s="353"/>
      <c r="U42" s="354"/>
      <c r="V42" s="354"/>
      <c r="W42" s="354"/>
      <c r="X42" s="354" t="str">
        <f t="shared" si="0"/>
        <v/>
      </c>
      <c r="Y42" s="354"/>
      <c r="Z42" s="354"/>
    </row>
    <row r="43" spans="1:26" x14ac:dyDescent="0.2">
      <c r="A43" s="370"/>
      <c r="B43" s="205"/>
      <c r="C43" s="206"/>
      <c r="D43" s="207"/>
      <c r="E43" s="207"/>
      <c r="F43" s="207"/>
      <c r="G43" s="207"/>
      <c r="H43" s="207"/>
      <c r="I43" s="207"/>
      <c r="J43" s="207"/>
      <c r="K43" s="207"/>
      <c r="L43" s="207"/>
      <c r="M43" s="351"/>
      <c r="N43" s="171">
        <v>39</v>
      </c>
      <c r="O43" s="173"/>
      <c r="P43" s="174" t="str">
        <f>VLOOKUP(N43+0,Alerts[],3,FALSE)</f>
        <v/>
      </c>
      <c r="Q43" s="175"/>
      <c r="R43" s="176" t="str" cm="1">
        <f t="array" ref="R43">IFZERO(VLOOKUP(N43+0,Alerts[],4,FALSE),"")</f>
        <v/>
      </c>
      <c r="S43" s="177" t="str" cm="1">
        <f t="array" ref="S43">IFZERO(VLOOKUP(N43+0,Alerts[],5,FALSE),"")</f>
        <v/>
      </c>
      <c r="T43" s="353"/>
      <c r="U43" s="354"/>
      <c r="V43" s="354"/>
      <c r="W43" s="354"/>
      <c r="X43" s="354" t="str">
        <f t="shared" si="0"/>
        <v/>
      </c>
      <c r="Y43" s="354"/>
      <c r="Z43" s="354"/>
    </row>
    <row r="44" spans="1:26" x14ac:dyDescent="0.2">
      <c r="A44" s="370"/>
      <c r="B44" s="205"/>
      <c r="C44" s="206"/>
      <c r="D44" s="207"/>
      <c r="E44" s="207"/>
      <c r="F44" s="207"/>
      <c r="G44" s="207"/>
      <c r="H44" s="207"/>
      <c r="I44" s="207"/>
      <c r="J44" s="207"/>
      <c r="K44" s="207"/>
      <c r="L44" s="207"/>
      <c r="M44" s="351"/>
      <c r="N44" s="171">
        <v>40</v>
      </c>
      <c r="O44" s="173"/>
      <c r="P44" s="174" t="str">
        <f>IF(Access_Data!$K76=0,"",Access_Data!$K76)</f>
        <v/>
      </c>
      <c r="Q44" s="178"/>
      <c r="R44" s="176" t="str" cm="1">
        <f t="array" ref="R44">IFZERO(VLOOKUP(N44+0,Alerts[],4,FALSE),"")</f>
        <v/>
      </c>
      <c r="S44" s="177" t="str" cm="1">
        <f t="array" ref="S44">IFZERO(VLOOKUP(N44+0,Alerts[],5,FALSE),"")</f>
        <v/>
      </c>
      <c r="T44" s="353"/>
      <c r="U44" s="354"/>
      <c r="V44" s="354"/>
      <c r="W44" s="354"/>
      <c r="X44" s="354" t="str">
        <f t="shared" si="0"/>
        <v/>
      </c>
      <c r="Y44" s="354"/>
      <c r="Z44" s="354"/>
    </row>
    <row r="45" spans="1:26" x14ac:dyDescent="0.2">
      <c r="A45" s="370"/>
      <c r="B45" s="392"/>
      <c r="C45" s="393"/>
      <c r="D45" s="351"/>
      <c r="E45" s="351"/>
      <c r="F45" s="351"/>
      <c r="G45" s="351"/>
      <c r="H45" s="351"/>
      <c r="I45" s="351"/>
      <c r="J45" s="351"/>
      <c r="K45" s="394"/>
      <c r="L45" s="351"/>
      <c r="M45" s="351"/>
      <c r="N45" s="353"/>
      <c r="O45" s="353"/>
      <c r="P45" s="353"/>
      <c r="Q45" s="353"/>
      <c r="R45" s="353"/>
      <c r="S45" s="353"/>
      <c r="T45" s="353"/>
      <c r="U45" s="354"/>
      <c r="V45" s="354"/>
      <c r="W45" s="354"/>
      <c r="X45" s="354" t="str">
        <f>IF(O45,1,"")</f>
        <v/>
      </c>
      <c r="Y45" s="354"/>
      <c r="Z45" s="354"/>
    </row>
    <row r="46" spans="1:26" x14ac:dyDescent="0.2">
      <c r="A46" s="374"/>
      <c r="B46" s="395"/>
      <c r="C46" s="396"/>
      <c r="D46" s="482" t="s">
        <v>38</v>
      </c>
      <c r="E46" s="483"/>
      <c r="F46" s="483"/>
      <c r="G46" s="483"/>
      <c r="H46" s="483"/>
      <c r="I46" s="484"/>
      <c r="J46" s="397"/>
      <c r="K46" s="397"/>
      <c r="L46" s="397"/>
      <c r="M46" s="508" t="s">
        <v>337</v>
      </c>
      <c r="N46" s="509"/>
      <c r="O46" s="510"/>
      <c r="P46" s="511"/>
      <c r="Q46" s="355"/>
      <c r="R46" s="355"/>
      <c r="S46" s="355"/>
      <c r="T46" s="355"/>
      <c r="U46" s="355"/>
    </row>
    <row r="47" spans="1:26" x14ac:dyDescent="0.2">
      <c r="A47" s="374"/>
      <c r="B47" s="395"/>
      <c r="C47" s="466" t="s">
        <v>64</v>
      </c>
      <c r="D47" s="331" t="str">
        <f>IF(D48="","",""""&amp;_xlfn.XLOOKUP(D$48,WireSets[serial_number],WireSets[type],"",0)&amp;"""")</f>
        <v/>
      </c>
      <c r="E47" s="331" t="str">
        <f>IF(E48="","",""""&amp;_xlfn.XLOOKUP(E$48,WireSets[serial_number],WireSets[type],"",0)&amp;"""")</f>
        <v/>
      </c>
      <c r="F47" s="331" t="str">
        <f>IF(F48="","",""""&amp;_xlfn.XLOOKUP(F$48,WireSets[serial_number],WireSets[type],"",0)&amp;"""")</f>
        <v/>
      </c>
      <c r="G47" s="331" t="str">
        <f>IF(G48="","",""""&amp;_xlfn.XLOOKUP(G$48,WireSets[serial_number],WireSets[type],"",0)&amp;"""")</f>
        <v/>
      </c>
      <c r="H47" s="331" t="str">
        <f>IF(H48="","",""""&amp;_xlfn.XLOOKUP(H$48,WireSets[serial_number],WireSets[type],"",0)&amp;"""")</f>
        <v/>
      </c>
      <c r="I47" s="331" t="str">
        <f>IF(I48="","",""""&amp;_xlfn.XLOOKUP(I$48,WireSets[serial_number],WireSets[type],"",0)&amp;"""")</f>
        <v/>
      </c>
      <c r="J47" s="397"/>
      <c r="K47" s="397"/>
      <c r="L47" s="351"/>
      <c r="M47" s="280" t="s">
        <v>338</v>
      </c>
      <c r="N47" s="349" t="s">
        <v>339</v>
      </c>
      <c r="O47" s="398"/>
      <c r="P47" s="489" t="s">
        <v>340</v>
      </c>
      <c r="Q47" s="489"/>
      <c r="R47" s="469" t="s">
        <v>341</v>
      </c>
      <c r="S47" s="355"/>
      <c r="T47" s="355"/>
      <c r="U47" s="355"/>
    </row>
    <row r="48" spans="1:26" x14ac:dyDescent="0.2">
      <c r="A48" s="370"/>
      <c r="B48" s="395"/>
      <c r="C48" s="467" t="s">
        <v>39</v>
      </c>
      <c r="D48" s="332"/>
      <c r="E48" s="332"/>
      <c r="F48" s="332"/>
      <c r="G48" s="332"/>
      <c r="H48" s="332"/>
      <c r="I48" s="332"/>
      <c r="J48" s="397"/>
      <c r="K48" s="397"/>
      <c r="L48" s="397"/>
      <c r="M48" s="490" t="s">
        <v>342</v>
      </c>
      <c r="N48" s="490"/>
      <c r="O48" s="399"/>
      <c r="P48" s="491" t="s">
        <v>397</v>
      </c>
      <c r="Q48" s="492"/>
      <c r="R48" s="493"/>
      <c r="S48" s="400"/>
      <c r="T48" s="356"/>
      <c r="U48" s="491" t="s">
        <v>400</v>
      </c>
      <c r="V48" s="492"/>
      <c r="W48" s="493"/>
    </row>
    <row r="49" spans="1:24" x14ac:dyDescent="0.2">
      <c r="A49" s="370"/>
      <c r="B49" s="401"/>
      <c r="C49" s="466" t="s">
        <v>40</v>
      </c>
      <c r="D49" s="330" t="str">
        <f>_xlfn.XLOOKUP(D$48,WireSets[serial_number],WireSets[service_date],"",0)</f>
        <v/>
      </c>
      <c r="E49" s="330" t="str">
        <f>_xlfn.XLOOKUP(E$48,WireSets[serial_number],WireSets[service_date],"",0)</f>
        <v/>
      </c>
      <c r="F49" s="330" t="str">
        <f>_xlfn.XLOOKUP(F$48,WireSets[serial_number],WireSets[service_date],"",0)</f>
        <v/>
      </c>
      <c r="G49" s="330" t="str">
        <f>_xlfn.XLOOKUP(G$48,WireSets[serial_number],WireSets[service_date],"",0)</f>
        <v/>
      </c>
      <c r="H49" s="330" t="str">
        <f>_xlfn.XLOOKUP(H$48,WireSets[serial_number],WireSets[service_date],"",0)</f>
        <v/>
      </c>
      <c r="I49" s="330" t="str">
        <f>_xlfn.XLOOKUP(I$48,WireSets[serial_number],WireSets[service_date],"",0)</f>
        <v/>
      </c>
      <c r="J49" s="397"/>
      <c r="K49" s="397" t="s">
        <v>891</v>
      </c>
      <c r="L49" s="397"/>
      <c r="M49" s="280" t="s">
        <v>343</v>
      </c>
      <c r="N49" s="348" t="str">
        <f>IF(PB="","",PB)</f>
        <v>Unavailable</v>
      </c>
      <c r="O49" s="365"/>
      <c r="P49" s="494" t="s">
        <v>402</v>
      </c>
      <c r="Q49" s="495"/>
      <c r="R49" s="496"/>
      <c r="S49" s="470"/>
      <c r="T49" s="357"/>
      <c r="U49" s="494" t="s">
        <v>401</v>
      </c>
      <c r="V49" s="495"/>
      <c r="W49" s="496"/>
      <c r="X49" s="334"/>
    </row>
    <row r="50" spans="1:24" x14ac:dyDescent="0.2">
      <c r="A50" s="370"/>
      <c r="B50" s="402"/>
      <c r="C50" s="466" t="s">
        <v>41</v>
      </c>
      <c r="D50" s="330" t="str">
        <f>_xlfn.XLOOKUP(D$48,WireSets[serial_number],WireSets[next_service_date],"",0)</f>
        <v/>
      </c>
      <c r="E50" s="330" t="str">
        <f>_xlfn.XLOOKUP(E$48,WireSets[serial_number],WireSets[next_service_date],"",0)</f>
        <v/>
      </c>
      <c r="F50" s="330" t="str">
        <f>_xlfn.XLOOKUP(F$48,WireSets[serial_number],WireSets[next_service_date],"",0)</f>
        <v/>
      </c>
      <c r="G50" s="330" t="str">
        <f>_xlfn.XLOOKUP(G$48,WireSets[serial_number],WireSets[next_service_date],"",0)</f>
        <v/>
      </c>
      <c r="H50" s="330" t="str">
        <f>_xlfn.XLOOKUP(H$48,WireSets[serial_number],WireSets[next_service_date],"",0)</f>
        <v/>
      </c>
      <c r="I50" s="330" t="str">
        <f>_xlfn.XLOOKUP(I$48,WireSets[serial_number],WireSets[next_service_date],"",0)</f>
        <v/>
      </c>
      <c r="J50" s="397"/>
      <c r="K50" s="397"/>
      <c r="L50" s="397"/>
      <c r="M50" s="280" t="s">
        <v>344</v>
      </c>
      <c r="N50" s="348" t="str">
        <f>IF(Integral="","",Integral)</f>
        <v/>
      </c>
      <c r="O50" s="365"/>
      <c r="P50" s="497" t="s">
        <v>345</v>
      </c>
      <c r="Q50" s="498"/>
      <c r="R50" s="499"/>
      <c r="S50" s="403"/>
      <c r="T50" s="358"/>
      <c r="U50" s="497" t="s">
        <v>345</v>
      </c>
      <c r="V50" s="498"/>
      <c r="W50" s="499"/>
      <c r="X50" s="355"/>
    </row>
    <row r="51" spans="1:24" x14ac:dyDescent="0.2">
      <c r="A51" s="370"/>
      <c r="B51" s="404"/>
      <c r="C51" s="466" t="s">
        <v>62</v>
      </c>
      <c r="D51" s="332"/>
      <c r="E51" s="332"/>
      <c r="F51" s="332"/>
      <c r="G51" s="332"/>
      <c r="H51" s="332"/>
      <c r="I51" s="332"/>
      <c r="J51" s="397"/>
      <c r="K51" s="405"/>
      <c r="L51" s="397"/>
      <c r="M51" s="453" t="s">
        <v>346</v>
      </c>
      <c r="N51" s="348" t="str">
        <f>IF(Derivative="","",Derivative)</f>
        <v/>
      </c>
      <c r="O51" s="351"/>
      <c r="P51" s="494" t="s">
        <v>398</v>
      </c>
      <c r="Q51" s="495"/>
      <c r="R51" s="496"/>
      <c r="S51" s="470"/>
      <c r="T51" s="359"/>
      <c r="U51" s="494" t="s">
        <v>403</v>
      </c>
      <c r="V51" s="495"/>
      <c r="W51" s="496"/>
      <c r="X51" s="334"/>
    </row>
    <row r="52" spans="1:24" x14ac:dyDescent="0.2">
      <c r="A52" s="370"/>
      <c r="B52" s="395"/>
      <c r="C52" s="466" t="s">
        <v>352</v>
      </c>
      <c r="D52" s="332"/>
      <c r="E52" s="332"/>
      <c r="F52" s="332"/>
      <c r="G52" s="332"/>
      <c r="H52" s="332"/>
      <c r="I52" s="332"/>
      <c r="J52" s="397"/>
      <c r="K52" s="405"/>
      <c r="L52" s="397"/>
      <c r="M52" s="453" t="s">
        <v>347</v>
      </c>
      <c r="N52" s="348" t="str">
        <f>IF(Other1="","",Other1)</f>
        <v/>
      </c>
      <c r="O52" s="365"/>
      <c r="P52" s="497" t="s">
        <v>345</v>
      </c>
      <c r="Q52" s="498"/>
      <c r="R52" s="499"/>
      <c r="S52" s="403"/>
      <c r="T52" s="360"/>
      <c r="U52" s="497" t="s">
        <v>345</v>
      </c>
      <c r="V52" s="498"/>
      <c r="W52" s="499"/>
      <c r="X52" s="355"/>
    </row>
    <row r="53" spans="1:24" ht="12.75" customHeight="1" x14ac:dyDescent="0.2">
      <c r="A53" s="370"/>
      <c r="B53" s="395"/>
      <c r="C53" s="466" t="s">
        <v>63</v>
      </c>
      <c r="D53" s="342"/>
      <c r="E53" s="342"/>
      <c r="F53" s="342"/>
      <c r="G53" s="342"/>
      <c r="H53" s="342"/>
      <c r="I53" s="342"/>
      <c r="J53" s="397"/>
      <c r="K53" s="406"/>
      <c r="L53" s="406"/>
      <c r="M53" s="454" t="s">
        <v>347</v>
      </c>
      <c r="N53" s="348" t="str">
        <f>IF(Other2="","",Other2)</f>
        <v/>
      </c>
      <c r="O53" s="365"/>
      <c r="P53" s="542" t="s">
        <v>399</v>
      </c>
      <c r="Q53" s="543"/>
      <c r="R53" s="544"/>
      <c r="S53" s="471"/>
      <c r="T53" s="361"/>
      <c r="U53" s="542" t="s">
        <v>404</v>
      </c>
      <c r="V53" s="543"/>
      <c r="W53" s="544"/>
      <c r="X53" s="452"/>
    </row>
    <row r="54" spans="1:24" x14ac:dyDescent="0.2">
      <c r="A54" s="370"/>
      <c r="B54" s="395"/>
      <c r="C54" s="468" t="s">
        <v>87</v>
      </c>
      <c r="D54" s="341" t="str">
        <f>_xlfn.XLOOKUP(D$48,WireSets[serial_number],WireSets[certificate_number],"",0)</f>
        <v/>
      </c>
      <c r="E54" s="341" t="str">
        <f>_xlfn.XLOOKUP(E$48,WireSets[serial_number],WireSets[certificate_number],"",0)</f>
        <v/>
      </c>
      <c r="F54" s="341" t="str">
        <f>_xlfn.XLOOKUP(F$48,WireSets[serial_number],WireSets[certificate_number],"",0)</f>
        <v/>
      </c>
      <c r="G54" s="341" t="str">
        <f>_xlfn.XLOOKUP(G$48,WireSets[serial_number],WireSets[certificate_number],"",0)</f>
        <v/>
      </c>
      <c r="H54" s="341" t="str">
        <f>_xlfn.XLOOKUP(H$48,WireSets[serial_number],WireSets[certificate_number],"",0)</f>
        <v/>
      </c>
      <c r="I54" s="341" t="str">
        <f>_xlfn.XLOOKUP(I$48,WireSets[serial_number],WireSets[certificate_number],"",0)</f>
        <v/>
      </c>
      <c r="J54" s="407"/>
      <c r="K54" s="455"/>
      <c r="L54" s="456"/>
      <c r="M54" s="457" t="s">
        <v>374</v>
      </c>
      <c r="N54" s="347">
        <v>0</v>
      </c>
      <c r="O54" s="353"/>
      <c r="P54" s="545"/>
      <c r="Q54" s="546"/>
      <c r="R54" s="547"/>
      <c r="S54" s="408"/>
      <c r="T54" s="362"/>
      <c r="U54" s="545"/>
      <c r="V54" s="546"/>
      <c r="W54" s="547"/>
    </row>
    <row r="55" spans="1:24" x14ac:dyDescent="0.2">
      <c r="A55" s="370"/>
      <c r="B55" s="395"/>
      <c r="C55" s="468" t="s">
        <v>157</v>
      </c>
      <c r="D55" s="333" t="str">
        <f>_xlfn.XLOOKUP(D$48,WireSets[serial_number],WireSets[wire_roll_cert_number],"",0)</f>
        <v/>
      </c>
      <c r="E55" s="333" t="str">
        <f>_xlfn.XLOOKUP(E$48,WireSets[serial_number],WireSets[wire_roll_cert_number],"",0)</f>
        <v/>
      </c>
      <c r="F55" s="333" t="str">
        <f>_xlfn.XLOOKUP(F$48,WireSets[serial_number],WireSets[wire_roll_cert_number],"",0)</f>
        <v/>
      </c>
      <c r="G55" s="333" t="str">
        <f>_xlfn.XLOOKUP(G$48,WireSets[serial_number],WireSets[wire_roll_cert_number],"",0)</f>
        <v/>
      </c>
      <c r="H55" s="333" t="str">
        <f>_xlfn.XLOOKUP(H$48,WireSets[serial_number],WireSets[wire_roll_cert_number],"",0)</f>
        <v/>
      </c>
      <c r="I55" s="333" t="str">
        <f>_xlfn.XLOOKUP(I$48,WireSets[serial_number],WireSets[wire_roll_cert_number],"",0)</f>
        <v/>
      </c>
      <c r="J55" s="409"/>
      <c r="K55" s="458"/>
      <c r="L55" s="459"/>
      <c r="M55" s="460" t="s">
        <v>375</v>
      </c>
      <c r="N55" s="347">
        <v>0</v>
      </c>
      <c r="O55" s="353"/>
      <c r="P55" s="283" t="s">
        <v>348</v>
      </c>
      <c r="Q55" s="283" t="s">
        <v>19</v>
      </c>
      <c r="R55" s="291" t="s">
        <v>349</v>
      </c>
      <c r="S55" s="410"/>
      <c r="T55" s="363"/>
      <c r="U55" s="350" t="s">
        <v>350</v>
      </c>
      <c r="V55" s="283" t="s">
        <v>19</v>
      </c>
      <c r="W55" s="283" t="s">
        <v>351</v>
      </c>
    </row>
    <row r="56" spans="1:24" x14ac:dyDescent="0.2">
      <c r="A56" s="370"/>
      <c r="B56" s="411"/>
      <c r="C56" s="468" t="s">
        <v>158</v>
      </c>
      <c r="D56" s="332"/>
      <c r="E56" s="332"/>
      <c r="F56" s="332"/>
      <c r="G56" s="332"/>
      <c r="H56" s="332"/>
      <c r="I56" s="332"/>
      <c r="J56" s="412"/>
      <c r="K56" s="461"/>
      <c r="L56" s="462"/>
      <c r="M56" s="460" t="s">
        <v>376</v>
      </c>
      <c r="N56" s="347">
        <v>0</v>
      </c>
      <c r="O56" s="353"/>
      <c r="P56" s="472"/>
      <c r="Q56" s="473"/>
      <c r="R56" s="474"/>
      <c r="S56" s="413"/>
      <c r="T56" s="364"/>
      <c r="U56" s="475"/>
      <c r="V56" s="473"/>
      <c r="W56" s="472"/>
    </row>
    <row r="57" spans="1:24" x14ac:dyDescent="0.2">
      <c r="A57" s="370"/>
      <c r="B57" s="392"/>
      <c r="C57" s="280" t="s">
        <v>353</v>
      </c>
      <c r="D57" s="334"/>
      <c r="E57" s="334"/>
      <c r="F57" s="334"/>
      <c r="G57" s="334"/>
      <c r="H57" s="334"/>
      <c r="I57" s="334"/>
      <c r="J57" s="351"/>
      <c r="K57" s="463"/>
      <c r="L57" s="464"/>
      <c r="M57" s="465" t="s">
        <v>377</v>
      </c>
      <c r="N57" s="347">
        <v>0</v>
      </c>
      <c r="O57" s="353"/>
      <c r="P57" s="351"/>
      <c r="Q57" s="351"/>
      <c r="R57" s="351"/>
      <c r="S57" s="351"/>
    </row>
    <row r="58" spans="1:24" x14ac:dyDescent="0.2">
      <c r="A58" s="370"/>
      <c r="B58" s="392"/>
      <c r="C58" s="482" t="s">
        <v>163</v>
      </c>
      <c r="D58" s="483"/>
      <c r="E58" s="483"/>
      <c r="F58" s="483"/>
      <c r="G58" s="483"/>
      <c r="H58" s="483"/>
      <c r="I58" s="483"/>
      <c r="J58" s="483"/>
      <c r="K58" s="487"/>
      <c r="L58" s="488"/>
      <c r="M58" s="355"/>
      <c r="N58" s="355"/>
      <c r="O58" s="355"/>
      <c r="P58" s="355"/>
      <c r="Q58" s="355"/>
      <c r="R58" s="355"/>
      <c r="S58" s="355"/>
      <c r="T58" s="355"/>
      <c r="U58" s="355"/>
    </row>
    <row r="59" spans="1:24" x14ac:dyDescent="0.2">
      <c r="A59" s="370"/>
      <c r="B59" s="392"/>
      <c r="C59" s="482" t="s">
        <v>168</v>
      </c>
      <c r="D59" s="483"/>
      <c r="E59" s="483"/>
      <c r="F59" s="483"/>
      <c r="G59" s="483"/>
      <c r="H59" s="483"/>
      <c r="I59" s="483"/>
      <c r="J59" s="483"/>
      <c r="K59" s="483"/>
      <c r="L59" s="484"/>
      <c r="M59" s="355"/>
      <c r="N59" s="365" t="str">
        <f>"DOORS OPENED FOR " &amp;L16&amp; " SECONDS TO SIMULATE LOAD ENTRY AT " &amp;L17&amp; "."</f>
        <v>DOORS OPENED FOR  SECONDS TO SIMULATE LOAD ENTRY AT .</v>
      </c>
      <c r="O59" s="365"/>
      <c r="P59" s="365"/>
      <c r="Q59" s="365"/>
      <c r="R59" s="365"/>
      <c r="S59" s="365"/>
      <c r="T59" s="365"/>
      <c r="U59" s="365"/>
      <c r="V59" s="365"/>
    </row>
    <row r="60" spans="1:24" x14ac:dyDescent="0.2">
      <c r="A60" s="414"/>
      <c r="B60" s="401"/>
      <c r="C60" s="208"/>
      <c r="D60" s="209" t="s">
        <v>166</v>
      </c>
      <c r="E60" s="346"/>
      <c r="F60" s="210" t="s">
        <v>164</v>
      </c>
      <c r="G60" s="211"/>
      <c r="H60" s="211"/>
      <c r="I60" s="211"/>
      <c r="J60" s="212"/>
      <c r="K60" s="346"/>
      <c r="L60" s="213" t="s">
        <v>165</v>
      </c>
      <c r="M60" s="397"/>
      <c r="N60" s="415" t="str">
        <f>"AFTER TUS, HIGH LIMIT SET AT " &amp;E60&amp; "°F AND OVEN SETPOINT RAISED UNTIL HIGH LIMIT SYSTEM ACTIVATED AT " &amp;K60&amp; "°F."</f>
        <v>AFTER TUS, HIGH LIMIT SET AT °F AND OVEN SETPOINT RAISED UNTIL HIGH LIMIT SYSTEM ACTIVATED AT °F.</v>
      </c>
      <c r="O60" s="415"/>
      <c r="P60" s="365"/>
      <c r="Q60" s="365"/>
      <c r="R60" s="365"/>
      <c r="S60" s="365"/>
      <c r="T60" s="365"/>
      <c r="U60" s="365"/>
      <c r="V60" s="365"/>
    </row>
    <row r="61" spans="1:24" x14ac:dyDescent="0.2">
      <c r="A61" s="374"/>
      <c r="B61" s="366"/>
      <c r="C61" s="209"/>
      <c r="D61" s="209" t="s">
        <v>167</v>
      </c>
      <c r="E61" s="346"/>
      <c r="F61" s="215" t="s">
        <v>169</v>
      </c>
      <c r="G61" s="216"/>
      <c r="H61" s="216"/>
      <c r="I61" s="217"/>
      <c r="J61" s="346"/>
      <c r="K61" s="218" t="s">
        <v>165</v>
      </c>
      <c r="L61" s="351"/>
      <c r="M61" s="355"/>
      <c r="N61" s="415" t="str">
        <f>"AFTER TUS, HIGH LIMIT READING " &amp;E61&amp; "°F AND HIGH LIMIT SETPOINT LOWERED UNTIL ACTIVATION AT " &amp;J61&amp; "°F."</f>
        <v>AFTER TUS, HIGH LIMIT READING °F AND HIGH LIMIT SETPOINT LOWERED UNTIL ACTIVATION AT °F.</v>
      </c>
      <c r="O61" s="416"/>
      <c r="P61" s="365"/>
      <c r="Q61" s="365"/>
      <c r="R61" s="365"/>
      <c r="S61" s="365"/>
      <c r="T61" s="365"/>
      <c r="U61" s="365"/>
      <c r="V61" s="365"/>
    </row>
    <row r="62" spans="1:24" x14ac:dyDescent="0.2">
      <c r="A62" s="374"/>
      <c r="B62" s="366"/>
      <c r="C62" s="367"/>
      <c r="D62" s="351"/>
      <c r="E62" s="351"/>
      <c r="F62" s="355" t="s">
        <v>372</v>
      </c>
      <c r="G62" s="390"/>
      <c r="H62" s="390"/>
      <c r="I62" s="390"/>
      <c r="J62" s="351"/>
      <c r="K62" s="351"/>
      <c r="L62" s="351"/>
      <c r="M62" s="417"/>
      <c r="N62" s="416"/>
      <c r="O62" s="416"/>
      <c r="P62" s="365"/>
      <c r="Q62" s="365"/>
      <c r="R62" s="365"/>
      <c r="S62" s="365"/>
      <c r="T62" s="365"/>
      <c r="U62" s="365"/>
      <c r="V62" s="365"/>
    </row>
    <row r="63" spans="1:24" x14ac:dyDescent="0.2">
      <c r="A63" s="374"/>
      <c r="B63" s="366"/>
      <c r="C63" s="389"/>
      <c r="D63" s="390"/>
      <c r="E63" s="390"/>
      <c r="F63" s="390"/>
      <c r="G63" s="390"/>
      <c r="H63" s="390"/>
      <c r="I63" s="390"/>
      <c r="J63" s="351"/>
      <c r="K63" s="351"/>
      <c r="L63" s="351"/>
      <c r="M63" s="355"/>
      <c r="N63" s="397"/>
      <c r="O63" s="397"/>
      <c r="P63" s="355"/>
      <c r="Q63" s="355"/>
      <c r="R63" s="355"/>
      <c r="S63" s="355"/>
      <c r="T63" s="355"/>
      <c r="U63" s="355"/>
    </row>
    <row r="64" spans="1:24" x14ac:dyDescent="0.2">
      <c r="A64" s="418"/>
      <c r="B64" s="366"/>
      <c r="C64" s="389"/>
      <c r="D64" s="390"/>
      <c r="E64" s="390"/>
      <c r="F64" s="390"/>
      <c r="G64" s="390"/>
      <c r="H64" s="390"/>
      <c r="I64" s="390"/>
      <c r="J64" s="351"/>
      <c r="K64" s="351"/>
      <c r="L64" s="351"/>
      <c r="M64" s="355"/>
      <c r="N64" s="397"/>
      <c r="O64" s="397"/>
      <c r="P64" s="355"/>
      <c r="Q64" s="355"/>
      <c r="R64" s="355"/>
      <c r="S64" s="355"/>
      <c r="T64" s="355"/>
      <c r="U64" s="355"/>
    </row>
    <row r="65" spans="1:19" x14ac:dyDescent="0.2">
      <c r="A65" s="419"/>
      <c r="B65" s="366"/>
      <c r="C65" s="389"/>
      <c r="D65" s="390"/>
      <c r="E65" s="390"/>
      <c r="F65" s="390"/>
      <c r="G65" s="390"/>
      <c r="H65" s="390"/>
      <c r="I65" s="390"/>
      <c r="J65" s="351"/>
      <c r="K65" s="351"/>
      <c r="L65" s="351"/>
      <c r="M65" s="351"/>
      <c r="N65" s="420"/>
      <c r="O65" s="420"/>
      <c r="P65" s="351"/>
      <c r="Q65" s="351"/>
      <c r="R65" s="351"/>
      <c r="S65" s="351"/>
    </row>
    <row r="66" spans="1:19" x14ac:dyDescent="0.2">
      <c r="A66" s="421"/>
      <c r="B66" s="366"/>
      <c r="C66" s="389"/>
      <c r="D66" s="390"/>
      <c r="E66" s="390"/>
      <c r="F66" s="390"/>
      <c r="G66" s="390"/>
      <c r="H66" s="390"/>
      <c r="I66" s="390"/>
      <c r="J66" s="351"/>
      <c r="K66" s="351"/>
      <c r="L66" s="351"/>
      <c r="M66" s="351"/>
      <c r="N66" s="422"/>
      <c r="O66" s="422"/>
      <c r="P66" s="351"/>
      <c r="Q66" s="351"/>
      <c r="R66" s="351"/>
      <c r="S66" s="351"/>
    </row>
    <row r="67" spans="1:19" x14ac:dyDescent="0.2">
      <c r="A67" s="374"/>
      <c r="B67" s="366"/>
      <c r="C67" s="389"/>
      <c r="D67" s="390"/>
      <c r="E67" s="390"/>
      <c r="F67" s="390"/>
      <c r="G67" s="390"/>
      <c r="H67" s="390"/>
      <c r="I67" s="390"/>
      <c r="J67" s="351"/>
      <c r="K67" s="351"/>
      <c r="L67" s="351"/>
      <c r="M67" s="351"/>
      <c r="N67" s="422"/>
      <c r="O67" s="422"/>
      <c r="P67" s="351"/>
      <c r="Q67" s="351"/>
      <c r="R67" s="351"/>
      <c r="S67" s="351"/>
    </row>
    <row r="68" spans="1:19" x14ac:dyDescent="0.2">
      <c r="A68" s="374"/>
      <c r="B68" s="366"/>
      <c r="C68" s="389"/>
      <c r="D68" s="390"/>
      <c r="E68" s="390"/>
      <c r="F68" s="390"/>
      <c r="G68" s="390"/>
      <c r="H68" s="390"/>
      <c r="I68" s="390"/>
      <c r="J68" s="351"/>
      <c r="K68" s="351"/>
      <c r="L68" s="351"/>
      <c r="M68" s="351"/>
      <c r="N68" s="422"/>
      <c r="O68" s="422"/>
      <c r="P68" s="351"/>
      <c r="Q68" s="351"/>
      <c r="R68" s="351"/>
      <c r="S68" s="351"/>
    </row>
    <row r="69" spans="1:19" ht="24.75" customHeight="1" x14ac:dyDescent="0.2">
      <c r="A69" s="374"/>
      <c r="B69" s="366"/>
      <c r="C69" s="389"/>
      <c r="D69" s="390"/>
      <c r="E69" s="390"/>
      <c r="F69" s="390"/>
      <c r="G69" s="390"/>
      <c r="H69" s="390"/>
      <c r="I69" s="390"/>
      <c r="J69" s="351"/>
      <c r="K69" s="351"/>
      <c r="L69" s="351"/>
      <c r="M69" s="351"/>
      <c r="N69" s="422"/>
      <c r="O69" s="422"/>
      <c r="P69" s="351"/>
      <c r="Q69" s="351"/>
      <c r="R69" s="351"/>
      <c r="S69" s="351"/>
    </row>
    <row r="70" spans="1:19" x14ac:dyDescent="0.2">
      <c r="A70" s="374"/>
      <c r="B70" s="366"/>
      <c r="C70" s="367"/>
      <c r="D70" s="351"/>
      <c r="E70" s="351"/>
      <c r="F70" s="351"/>
      <c r="G70" s="351"/>
      <c r="H70" s="351"/>
      <c r="I70" s="351"/>
      <c r="J70" s="351"/>
      <c r="K70" s="351"/>
      <c r="L70" s="351"/>
      <c r="M70" s="351"/>
      <c r="N70" s="396"/>
      <c r="O70" s="396"/>
      <c r="P70" s="351"/>
      <c r="Q70" s="351"/>
      <c r="R70" s="351"/>
      <c r="S70" s="351"/>
    </row>
    <row r="71" spans="1:19" x14ac:dyDescent="0.2">
      <c r="A71" s="423"/>
      <c r="B71" s="366"/>
      <c r="C71" s="367"/>
      <c r="D71" s="351"/>
      <c r="E71" s="351"/>
      <c r="F71" s="351"/>
      <c r="G71" s="351"/>
      <c r="H71" s="351"/>
      <c r="I71" s="351"/>
      <c r="J71" s="351"/>
      <c r="K71" s="351"/>
      <c r="L71" s="351"/>
      <c r="M71" s="351"/>
      <c r="N71" s="351"/>
      <c r="O71" s="396"/>
      <c r="P71" s="351"/>
      <c r="Q71" s="351"/>
      <c r="R71" s="351"/>
      <c r="S71" s="351"/>
    </row>
    <row r="72" spans="1:19" x14ac:dyDescent="0.2">
      <c r="A72" s="424"/>
      <c r="B72" s="425"/>
      <c r="C72" s="426"/>
      <c r="D72" s="427"/>
      <c r="E72" s="427"/>
      <c r="F72" s="427"/>
      <c r="G72" s="427"/>
      <c r="H72" s="427"/>
      <c r="I72" s="427"/>
      <c r="J72" s="427"/>
      <c r="K72" s="427"/>
      <c r="L72" s="427"/>
      <c r="M72" s="427"/>
      <c r="N72" s="428"/>
      <c r="O72" s="428"/>
      <c r="P72" s="428"/>
      <c r="Q72" s="427"/>
      <c r="R72" s="351"/>
      <c r="S72" s="351"/>
    </row>
    <row r="73" spans="1:19" x14ac:dyDescent="0.2">
      <c r="A73" s="424"/>
      <c r="B73" s="425"/>
      <c r="C73" s="426"/>
      <c r="D73" s="427"/>
      <c r="E73" s="427"/>
      <c r="F73" s="427"/>
      <c r="G73" s="427"/>
      <c r="H73" s="427"/>
      <c r="I73" s="427"/>
      <c r="J73" s="427"/>
      <c r="K73" s="427"/>
      <c r="L73" s="427"/>
      <c r="M73" s="427"/>
      <c r="N73" s="428"/>
      <c r="O73" s="428"/>
      <c r="P73" s="428"/>
      <c r="Q73" s="427"/>
      <c r="R73" s="351"/>
      <c r="S73" s="351"/>
    </row>
    <row r="74" spans="1:19" x14ac:dyDescent="0.2">
      <c r="A74" s="424"/>
      <c r="B74" s="425"/>
      <c r="C74" s="426"/>
      <c r="D74" s="427"/>
      <c r="E74" s="427"/>
      <c r="F74" s="427"/>
      <c r="G74" s="427"/>
      <c r="H74" s="427"/>
      <c r="I74" s="427"/>
      <c r="J74" s="427"/>
      <c r="K74" s="427"/>
      <c r="L74" s="427"/>
      <c r="M74" s="427"/>
      <c r="N74" s="428"/>
      <c r="O74" s="428"/>
      <c r="P74" s="428"/>
      <c r="Q74" s="427"/>
      <c r="R74" s="351"/>
      <c r="S74" s="351"/>
    </row>
    <row r="75" spans="1:19" x14ac:dyDescent="0.2">
      <c r="A75" s="424"/>
      <c r="B75" s="425"/>
      <c r="C75" s="426"/>
      <c r="D75" s="427"/>
      <c r="E75" s="427"/>
      <c r="F75" s="427"/>
      <c r="G75" s="427"/>
      <c r="H75" s="427"/>
      <c r="I75" s="427"/>
      <c r="J75" s="427"/>
      <c r="K75" s="427"/>
      <c r="L75" s="427"/>
      <c r="M75" s="427"/>
      <c r="N75" s="428"/>
      <c r="O75" s="428"/>
      <c r="P75" s="428"/>
      <c r="Q75" s="427"/>
      <c r="R75" s="351"/>
      <c r="S75" s="351"/>
    </row>
    <row r="76" spans="1:19" x14ac:dyDescent="0.2">
      <c r="A76" s="424"/>
      <c r="B76" s="425"/>
      <c r="C76" s="426"/>
      <c r="D76" s="427"/>
      <c r="E76" s="427"/>
      <c r="F76" s="427"/>
      <c r="G76" s="427"/>
      <c r="H76" s="427"/>
      <c r="I76" s="427"/>
      <c r="J76" s="427"/>
      <c r="K76" s="427"/>
      <c r="L76" s="427"/>
      <c r="M76" s="427"/>
      <c r="N76" s="428"/>
      <c r="O76" s="428"/>
      <c r="P76" s="428"/>
      <c r="Q76" s="427"/>
      <c r="R76" s="351"/>
      <c r="S76" s="351"/>
    </row>
    <row r="77" spans="1:19" x14ac:dyDescent="0.2">
      <c r="A77" s="424"/>
      <c r="B77" s="425"/>
      <c r="C77" s="426"/>
      <c r="D77" s="427"/>
      <c r="E77" s="427"/>
      <c r="F77" s="427"/>
      <c r="G77" s="427"/>
      <c r="H77" s="427"/>
      <c r="I77" s="427"/>
      <c r="J77" s="427"/>
      <c r="K77" s="427"/>
      <c r="L77" s="427"/>
      <c r="M77" s="427"/>
      <c r="N77" s="428"/>
      <c r="O77" s="428"/>
      <c r="P77" s="428"/>
      <c r="Q77" s="427"/>
      <c r="R77" s="351"/>
      <c r="S77" s="351"/>
    </row>
    <row r="78" spans="1:19" x14ac:dyDescent="0.2">
      <c r="A78" s="424"/>
      <c r="B78" s="425"/>
      <c r="C78" s="426"/>
      <c r="D78" s="427"/>
      <c r="E78" s="427"/>
      <c r="F78" s="427"/>
      <c r="G78" s="427"/>
      <c r="H78" s="427"/>
      <c r="I78" s="427"/>
      <c r="J78" s="427"/>
      <c r="K78" s="427"/>
      <c r="L78" s="427"/>
      <c r="M78" s="427"/>
      <c r="N78" s="428"/>
      <c r="O78" s="428"/>
      <c r="P78" s="428"/>
      <c r="Q78" s="427"/>
      <c r="R78" s="351"/>
      <c r="S78" s="351"/>
    </row>
    <row r="79" spans="1:19" x14ac:dyDescent="0.2">
      <c r="A79" s="424"/>
      <c r="B79" s="425"/>
      <c r="C79" s="426"/>
      <c r="D79" s="427"/>
      <c r="E79" s="427"/>
      <c r="F79" s="427"/>
      <c r="G79" s="427"/>
      <c r="H79" s="427"/>
      <c r="I79" s="427"/>
      <c r="J79" s="427"/>
      <c r="K79" s="427"/>
      <c r="L79" s="427"/>
      <c r="M79" s="427"/>
      <c r="N79" s="428"/>
      <c r="O79" s="428"/>
      <c r="P79" s="428"/>
      <c r="Q79" s="427"/>
      <c r="R79" s="351"/>
      <c r="S79" s="351"/>
    </row>
    <row r="80" spans="1:19" x14ac:dyDescent="0.2">
      <c r="A80" s="424"/>
      <c r="B80" s="425"/>
      <c r="C80" s="426"/>
      <c r="D80" s="427"/>
      <c r="E80" s="427"/>
      <c r="F80" s="427"/>
      <c r="G80" s="427"/>
      <c r="H80" s="427"/>
      <c r="I80" s="427"/>
      <c r="J80" s="427"/>
      <c r="K80" s="427"/>
      <c r="L80" s="427"/>
      <c r="M80" s="427"/>
      <c r="N80" s="428"/>
      <c r="O80" s="428"/>
      <c r="P80" s="428"/>
      <c r="Q80" s="427"/>
      <c r="R80" s="351"/>
      <c r="S80" s="351"/>
    </row>
    <row r="81" spans="1:19" x14ac:dyDescent="0.2">
      <c r="A81" s="424"/>
      <c r="B81" s="425"/>
      <c r="C81" s="426"/>
      <c r="D81" s="427"/>
      <c r="E81" s="427"/>
      <c r="F81" s="427"/>
      <c r="G81" s="427"/>
      <c r="H81" s="427"/>
      <c r="I81" s="427"/>
      <c r="J81" s="427"/>
      <c r="K81" s="427"/>
      <c r="L81" s="427"/>
      <c r="M81" s="427"/>
      <c r="N81" s="428"/>
      <c r="O81" s="428"/>
      <c r="P81" s="428"/>
      <c r="Q81" s="427"/>
      <c r="R81" s="351"/>
      <c r="S81" s="351"/>
    </row>
    <row r="82" spans="1:19" x14ac:dyDescent="0.2">
      <c r="A82" s="424"/>
      <c r="B82" s="425"/>
      <c r="C82" s="426"/>
      <c r="D82" s="427"/>
      <c r="E82" s="427"/>
      <c r="F82" s="427"/>
      <c r="G82" s="427"/>
      <c r="I82" s="427"/>
      <c r="J82" s="427"/>
      <c r="K82" s="427"/>
      <c r="L82" s="427"/>
      <c r="M82" s="427"/>
      <c r="N82" s="428"/>
      <c r="O82" s="428"/>
      <c r="P82" s="428"/>
      <c r="Q82" s="427"/>
      <c r="R82" s="351"/>
      <c r="S82" s="351"/>
    </row>
    <row r="83" spans="1:19" x14ac:dyDescent="0.2">
      <c r="A83" s="424"/>
      <c r="B83" s="425"/>
      <c r="C83" s="426"/>
      <c r="D83" s="427"/>
      <c r="E83" s="429"/>
      <c r="F83" s="430"/>
      <c r="G83" s="355" t="s">
        <v>941</v>
      </c>
      <c r="H83" s="658">
        <f>MAX(Temperature/1000,1)</f>
        <v>1</v>
      </c>
      <c r="I83" s="429"/>
      <c r="J83" s="430"/>
      <c r="K83" s="431"/>
      <c r="L83" s="432"/>
      <c r="M83" s="427"/>
      <c r="N83" s="428"/>
      <c r="O83" s="428"/>
      <c r="P83" s="428"/>
      <c r="Q83" s="427"/>
      <c r="R83" s="351"/>
      <c r="S83" s="351"/>
    </row>
    <row r="84" spans="1:19" x14ac:dyDescent="0.2">
      <c r="A84" s="424"/>
      <c r="B84" s="425"/>
      <c r="C84" s="426"/>
      <c r="D84" s="427"/>
      <c r="E84" s="433"/>
      <c r="F84" s="434"/>
      <c r="G84" s="435"/>
      <c r="H84" s="436"/>
      <c r="I84" s="437"/>
      <c r="J84" s="430"/>
      <c r="K84" s="431"/>
      <c r="L84" s="432"/>
      <c r="M84" s="427"/>
      <c r="N84" s="428"/>
      <c r="O84" s="428"/>
      <c r="P84" s="428"/>
      <c r="Q84" s="427"/>
      <c r="R84" s="351"/>
      <c r="S84" s="351"/>
    </row>
    <row r="85" spans="1:19" x14ac:dyDescent="0.2">
      <c r="A85" s="424"/>
      <c r="B85" s="425"/>
      <c r="C85" s="426"/>
      <c r="D85" s="427"/>
      <c r="E85" s="433"/>
      <c r="F85" t="s">
        <v>939</v>
      </c>
      <c r="G85" t="s">
        <v>156</v>
      </c>
      <c r="H85" t="s">
        <v>155</v>
      </c>
      <c r="I85" s="44" t="s">
        <v>940</v>
      </c>
      <c r="J85" s="431"/>
      <c r="K85" s="432"/>
      <c r="L85" s="427"/>
      <c r="M85" s="428"/>
      <c r="N85" s="428"/>
      <c r="O85" s="428"/>
      <c r="P85" s="427"/>
      <c r="Q85" s="351"/>
      <c r="R85" s="351"/>
      <c r="S85" s="351"/>
    </row>
    <row r="86" spans="1:19" x14ac:dyDescent="0.2">
      <c r="A86" s="424"/>
      <c r="B86" s="425"/>
      <c r="C86" s="426"/>
      <c r="D86" s="427"/>
      <c r="E86" s="433"/>
      <c r="F86">
        <v>1</v>
      </c>
      <c r="G86" s="447">
        <v>5</v>
      </c>
      <c r="H86" s="447">
        <f>$H$83*Table18[[#This Row],[SAT Multiplier]]</f>
        <v>2</v>
      </c>
      <c r="I86">
        <v>2</v>
      </c>
      <c r="J86" s="431"/>
      <c r="K86" s="432"/>
      <c r="L86" s="427"/>
      <c r="M86" s="428"/>
      <c r="N86" s="428"/>
      <c r="O86" s="428"/>
      <c r="P86" s="427"/>
      <c r="Q86" s="351"/>
      <c r="R86" s="351"/>
      <c r="S86" s="351"/>
    </row>
    <row r="87" spans="1:19" x14ac:dyDescent="0.2">
      <c r="A87" s="424"/>
      <c r="B87" s="425"/>
      <c r="C87" s="426"/>
      <c r="D87" s="427"/>
      <c r="E87" s="433"/>
      <c r="F87">
        <v>2</v>
      </c>
      <c r="G87" s="447">
        <v>10</v>
      </c>
      <c r="H87" s="447">
        <f>$H$83*Table18[[#This Row],[SAT Multiplier]]</f>
        <v>3</v>
      </c>
      <c r="I87">
        <v>3</v>
      </c>
      <c r="J87" s="431"/>
      <c r="K87" s="432"/>
      <c r="L87" s="427"/>
      <c r="M87" s="428"/>
      <c r="N87" s="428"/>
      <c r="O87" s="428"/>
      <c r="P87" s="427"/>
      <c r="Q87" s="351"/>
      <c r="R87" s="351"/>
      <c r="S87" s="351"/>
    </row>
    <row r="88" spans="1:19" x14ac:dyDescent="0.2">
      <c r="A88" s="424"/>
      <c r="B88" s="425"/>
      <c r="C88" s="426"/>
      <c r="D88" s="427"/>
      <c r="E88" s="433"/>
      <c r="F88">
        <v>3</v>
      </c>
      <c r="G88" s="447">
        <v>15</v>
      </c>
      <c r="H88" s="447">
        <f>$H$83*Table18[[#This Row],[SAT Multiplier]]</f>
        <v>4</v>
      </c>
      <c r="I88">
        <v>4</v>
      </c>
      <c r="J88" s="431"/>
      <c r="K88" s="432"/>
      <c r="L88" s="427"/>
      <c r="M88" s="428"/>
      <c r="N88" s="428"/>
      <c r="O88" s="428"/>
      <c r="P88" s="427"/>
      <c r="Q88" s="351"/>
      <c r="R88" s="351"/>
      <c r="S88" s="351"/>
    </row>
    <row r="89" spans="1:19" x14ac:dyDescent="0.2">
      <c r="A89" s="424"/>
      <c r="B89" s="425"/>
      <c r="C89" s="426"/>
      <c r="D89" s="427"/>
      <c r="E89" s="433"/>
      <c r="F89">
        <v>4</v>
      </c>
      <c r="G89" s="447">
        <v>20</v>
      </c>
      <c r="H89" s="447">
        <f>$H$83*Table18[[#This Row],[SAT Multiplier]]</f>
        <v>4</v>
      </c>
      <c r="I89">
        <v>4</v>
      </c>
      <c r="J89" s="431"/>
      <c r="K89" s="432"/>
      <c r="L89" s="427"/>
      <c r="M89" s="428"/>
      <c r="N89" s="428"/>
      <c r="O89" s="428"/>
      <c r="P89" s="427"/>
      <c r="Q89" s="351"/>
      <c r="R89" s="351"/>
      <c r="S89" s="351"/>
    </row>
    <row r="90" spans="1:19" x14ac:dyDescent="0.2">
      <c r="A90" s="424"/>
      <c r="B90" s="425"/>
      <c r="C90" s="426"/>
      <c r="D90" s="427"/>
      <c r="E90" s="433"/>
      <c r="F90">
        <v>5</v>
      </c>
      <c r="G90" s="447">
        <v>25</v>
      </c>
      <c r="H90" s="447">
        <f>$H$83*Table18[[#This Row],[SAT Multiplier]]</f>
        <v>5</v>
      </c>
      <c r="I90">
        <v>5</v>
      </c>
      <c r="J90" s="431"/>
      <c r="K90" s="432"/>
      <c r="L90" s="427"/>
      <c r="M90" s="428"/>
      <c r="N90" s="428"/>
      <c r="O90" s="428"/>
      <c r="P90" s="427"/>
      <c r="Q90" s="351"/>
      <c r="R90" s="351"/>
      <c r="S90" s="351"/>
    </row>
    <row r="91" spans="1:19" x14ac:dyDescent="0.2">
      <c r="A91" s="424"/>
      <c r="B91" s="425"/>
      <c r="C91" s="426"/>
      <c r="D91" s="427"/>
      <c r="E91" s="433"/>
      <c r="F91">
        <v>6</v>
      </c>
      <c r="G91" s="447">
        <v>50</v>
      </c>
      <c r="H91" s="447">
        <f>$H$83*Table18[[#This Row],[SAT Multiplier]]</f>
        <v>10</v>
      </c>
      <c r="I91">
        <v>10</v>
      </c>
      <c r="J91" s="431"/>
      <c r="K91" s="432"/>
      <c r="L91" s="427"/>
      <c r="M91" s="428"/>
      <c r="N91" s="428"/>
      <c r="O91" s="428"/>
      <c r="P91" s="427"/>
      <c r="Q91" s="351"/>
      <c r="R91" s="351"/>
      <c r="S91" s="351"/>
    </row>
    <row r="92" spans="1:19" x14ac:dyDescent="0.2">
      <c r="A92" s="424"/>
      <c r="B92" s="425"/>
      <c r="C92" s="426"/>
      <c r="D92" s="427"/>
      <c r="E92" s="433"/>
      <c r="F92" s="434"/>
      <c r="G92" s="435"/>
      <c r="H92" s="436"/>
      <c r="I92" s="437"/>
      <c r="J92" s="430"/>
      <c r="K92" s="431"/>
      <c r="L92" s="432"/>
      <c r="M92" s="427"/>
      <c r="N92" s="428"/>
      <c r="O92" s="428"/>
      <c r="P92" s="428"/>
      <c r="Q92" s="427"/>
      <c r="R92" s="351"/>
      <c r="S92" s="351"/>
    </row>
    <row r="93" spans="1:19" x14ac:dyDescent="0.2">
      <c r="A93" s="424"/>
      <c r="B93" s="425"/>
      <c r="C93" s="426"/>
      <c r="D93" s="427"/>
      <c r="E93" s="433"/>
      <c r="F93" s="434" t="s">
        <v>272</v>
      </c>
      <c r="G93" s="435" t="e">
        <f>VLOOKUP(D19,G86:H91,2,FALSE)</f>
        <v>#N/A</v>
      </c>
      <c r="H93" s="436" t="s">
        <v>273</v>
      </c>
      <c r="I93" s="437"/>
      <c r="J93" s="430"/>
      <c r="K93" s="431"/>
      <c r="L93" s="432"/>
      <c r="M93" s="427"/>
      <c r="N93" s="428"/>
      <c r="O93" s="428"/>
      <c r="P93" s="428"/>
      <c r="Q93" s="427"/>
      <c r="R93" s="351"/>
      <c r="S93" s="351"/>
    </row>
    <row r="94" spans="1:19" x14ac:dyDescent="0.2">
      <c r="A94" s="424"/>
      <c r="B94" s="425"/>
      <c r="C94" s="426"/>
      <c r="D94" s="427"/>
      <c r="E94" s="433"/>
      <c r="F94" s="438"/>
      <c r="G94" s="439" t="e">
        <f>F93&amp;G93&amp;H93</f>
        <v>#N/A</v>
      </c>
      <c r="H94" s="440"/>
      <c r="J94" s="430"/>
      <c r="K94" s="431"/>
      <c r="L94" s="432"/>
      <c r="M94" s="427"/>
      <c r="N94" s="428"/>
      <c r="O94" s="428"/>
      <c r="P94" s="428"/>
      <c r="Q94" s="427"/>
      <c r="R94" s="351"/>
      <c r="S94" s="351"/>
    </row>
    <row r="95" spans="1:19" x14ac:dyDescent="0.2">
      <c r="A95" s="424"/>
      <c r="B95" s="425"/>
      <c r="C95" s="426"/>
      <c r="D95" s="427"/>
      <c r="E95" s="429"/>
      <c r="F95" s="430"/>
      <c r="G95" s="431" t="e">
        <f>ROUNDDOWN(G93,2-(1+INT(LOG10(ABS(G93)))))</f>
        <v>#N/A</v>
      </c>
      <c r="H95" s="432"/>
      <c r="I95" s="429"/>
      <c r="J95" s="430"/>
      <c r="K95" s="431"/>
      <c r="L95" s="432"/>
      <c r="M95" s="427"/>
      <c r="N95" s="428"/>
      <c r="O95" s="428"/>
      <c r="P95" s="428"/>
      <c r="Q95" s="427"/>
      <c r="R95" s="351"/>
      <c r="S95" s="351"/>
    </row>
    <row r="96" spans="1:19" x14ac:dyDescent="0.2">
      <c r="A96" s="424"/>
      <c r="B96" s="425"/>
      <c r="C96" s="426"/>
      <c r="D96" s="427"/>
      <c r="E96" s="424"/>
      <c r="F96" s="425"/>
      <c r="G96" s="426"/>
      <c r="H96" s="427"/>
      <c r="I96" s="424"/>
      <c r="J96" s="425"/>
      <c r="K96" s="426"/>
      <c r="L96" s="427"/>
      <c r="M96" s="427"/>
      <c r="N96" s="428"/>
      <c r="O96" s="428"/>
      <c r="P96" s="428"/>
      <c r="Q96" s="427"/>
      <c r="R96" s="351"/>
      <c r="S96" s="351"/>
    </row>
    <row r="97" spans="1:19" x14ac:dyDescent="0.2">
      <c r="A97" s="424"/>
      <c r="B97" s="425"/>
      <c r="C97" s="426"/>
      <c r="D97" s="427"/>
      <c r="E97" s="424"/>
      <c r="F97" s="425"/>
      <c r="G97" s="426"/>
      <c r="H97" s="427"/>
      <c r="I97" s="424"/>
      <c r="J97" s="425"/>
      <c r="K97" s="426"/>
      <c r="L97" s="427"/>
      <c r="M97" s="427"/>
      <c r="N97" s="428"/>
      <c r="O97" s="428"/>
      <c r="P97" s="428"/>
      <c r="Q97" s="427"/>
      <c r="R97" s="351"/>
      <c r="S97" s="351"/>
    </row>
    <row r="98" spans="1:19" x14ac:dyDescent="0.2">
      <c r="A98" s="424"/>
      <c r="B98" s="425"/>
      <c r="C98" s="426"/>
      <c r="D98" s="427"/>
      <c r="E98" s="427"/>
      <c r="F98" s="427"/>
      <c r="G98" s="427"/>
      <c r="H98" s="427"/>
      <c r="I98" s="427"/>
      <c r="J98" s="427"/>
      <c r="K98" s="427"/>
      <c r="L98" s="427"/>
      <c r="M98" s="427"/>
      <c r="N98" s="428"/>
      <c r="O98" s="428"/>
      <c r="P98" s="428"/>
      <c r="Q98" s="427"/>
      <c r="R98" s="351"/>
      <c r="S98" s="351"/>
    </row>
    <row r="99" spans="1:19" x14ac:dyDescent="0.2">
      <c r="A99" s="424"/>
      <c r="B99" s="425"/>
      <c r="C99" s="426"/>
      <c r="D99" s="427"/>
      <c r="E99" s="427"/>
      <c r="F99" s="427"/>
      <c r="G99" s="427"/>
      <c r="H99" s="427"/>
      <c r="I99" s="427"/>
      <c r="J99" s="427"/>
      <c r="K99" s="427"/>
      <c r="L99" s="427"/>
      <c r="M99" s="427"/>
      <c r="N99" s="428"/>
      <c r="O99" s="428"/>
      <c r="P99" s="428"/>
      <c r="Q99" s="427"/>
      <c r="R99" s="351"/>
      <c r="S99" s="351"/>
    </row>
    <row r="100" spans="1:19" x14ac:dyDescent="0.2">
      <c r="A100" s="424"/>
      <c r="B100" s="425"/>
      <c r="C100" s="426"/>
      <c r="D100" s="427"/>
      <c r="E100" s="427"/>
      <c r="F100" s="427"/>
      <c r="G100" s="427"/>
      <c r="H100" s="427"/>
      <c r="I100" s="427"/>
      <c r="J100" s="427"/>
      <c r="K100" s="427"/>
      <c r="L100" s="427"/>
      <c r="M100" s="427"/>
      <c r="N100" s="428"/>
      <c r="O100" s="428"/>
      <c r="P100" s="428"/>
      <c r="Q100" s="427"/>
      <c r="R100" s="351"/>
      <c r="S100" s="351"/>
    </row>
    <row r="101" spans="1:19" x14ac:dyDescent="0.2">
      <c r="A101" s="424"/>
      <c r="B101" s="425"/>
      <c r="C101" s="426"/>
      <c r="D101" s="427"/>
      <c r="E101" s="427"/>
      <c r="F101" s="427"/>
      <c r="G101" s="427"/>
      <c r="H101" s="427"/>
      <c r="I101" s="427"/>
      <c r="J101" s="427"/>
      <c r="K101" s="427"/>
      <c r="L101" s="427"/>
      <c r="M101" s="427"/>
      <c r="N101" s="428"/>
      <c r="O101" s="428"/>
      <c r="P101" s="428"/>
      <c r="Q101" s="427"/>
      <c r="R101" s="351"/>
      <c r="S101" s="351"/>
    </row>
    <row r="102" spans="1:19" x14ac:dyDescent="0.2">
      <c r="A102" s="424"/>
      <c r="B102" s="425"/>
      <c r="C102" s="426"/>
      <c r="D102" s="427"/>
      <c r="E102" s="427"/>
      <c r="F102" s="427"/>
      <c r="G102" s="427"/>
      <c r="H102" s="427"/>
      <c r="I102" s="427"/>
      <c r="J102" s="427"/>
      <c r="K102" s="427"/>
      <c r="L102" s="427"/>
      <c r="M102" s="427"/>
      <c r="N102" s="428"/>
      <c r="O102" s="428"/>
      <c r="P102" s="428"/>
      <c r="Q102" s="427"/>
      <c r="R102" s="351"/>
      <c r="S102" s="351"/>
    </row>
    <row r="103" spans="1:19" x14ac:dyDescent="0.2">
      <c r="A103" s="424"/>
      <c r="B103" s="425"/>
      <c r="C103" s="426"/>
      <c r="D103" s="427"/>
      <c r="E103" s="427"/>
      <c r="F103" s="427"/>
      <c r="G103" s="427"/>
      <c r="H103" s="427"/>
      <c r="I103" s="427"/>
      <c r="J103" s="427"/>
      <c r="K103" s="427"/>
      <c r="L103" s="427"/>
      <c r="M103" s="427"/>
      <c r="N103" s="428"/>
      <c r="O103" s="428"/>
      <c r="P103" s="428"/>
      <c r="Q103" s="427"/>
      <c r="R103" s="351"/>
      <c r="S103" s="351"/>
    </row>
    <row r="104" spans="1:19" x14ac:dyDescent="0.2">
      <c r="A104" s="424"/>
      <c r="B104" s="425"/>
      <c r="C104" s="426"/>
      <c r="D104" s="427"/>
      <c r="E104" s="427"/>
      <c r="F104" s="427"/>
      <c r="G104" s="427"/>
      <c r="H104" s="427"/>
      <c r="I104" s="427"/>
      <c r="J104" s="427"/>
      <c r="K104" s="427"/>
      <c r="L104" s="427"/>
      <c r="M104" s="427"/>
      <c r="N104" s="428"/>
      <c r="O104" s="428"/>
      <c r="P104" s="428"/>
      <c r="Q104" s="427"/>
      <c r="R104" s="351"/>
      <c r="S104" s="351"/>
    </row>
    <row r="105" spans="1:19" x14ac:dyDescent="0.2">
      <c r="A105" s="424"/>
      <c r="B105" s="425"/>
      <c r="C105" s="426"/>
      <c r="D105" s="427"/>
      <c r="E105" s="427"/>
      <c r="F105" s="427"/>
      <c r="G105" s="427"/>
      <c r="H105" s="427"/>
      <c r="I105" s="427"/>
      <c r="J105" s="427"/>
      <c r="K105" s="427"/>
      <c r="L105" s="427"/>
      <c r="M105" s="427"/>
      <c r="N105" s="428"/>
      <c r="O105" s="428"/>
      <c r="P105" s="428"/>
      <c r="Q105" s="427"/>
      <c r="R105" s="351"/>
      <c r="S105" s="351"/>
    </row>
    <row r="106" spans="1:19" x14ac:dyDescent="0.2">
      <c r="A106" s="424"/>
      <c r="B106" s="425"/>
      <c r="C106" s="426"/>
      <c r="D106" s="427"/>
      <c r="E106" s="427"/>
      <c r="F106" s="427"/>
      <c r="G106" s="427"/>
      <c r="H106" s="427"/>
      <c r="I106" s="427"/>
      <c r="J106" s="427"/>
      <c r="K106" s="427"/>
      <c r="L106" s="427"/>
      <c r="M106" s="427"/>
      <c r="N106" s="428"/>
      <c r="O106" s="428"/>
      <c r="P106" s="428"/>
      <c r="Q106" s="427"/>
      <c r="R106" s="351"/>
      <c r="S106" s="351"/>
    </row>
    <row r="107" spans="1:19" x14ac:dyDescent="0.2">
      <c r="A107" s="424"/>
      <c r="B107" s="425"/>
      <c r="C107" s="426"/>
      <c r="D107" s="427"/>
      <c r="E107" s="427"/>
      <c r="F107" s="427"/>
      <c r="G107" s="427"/>
      <c r="H107" s="427"/>
      <c r="I107" s="427"/>
      <c r="J107" s="427"/>
      <c r="K107" s="427"/>
      <c r="L107" s="427"/>
      <c r="M107" s="427"/>
      <c r="N107" s="428"/>
      <c r="O107" s="428"/>
      <c r="P107" s="428"/>
      <c r="Q107" s="427"/>
      <c r="R107" s="351"/>
      <c r="S107" s="351"/>
    </row>
    <row r="108" spans="1:19" x14ac:dyDescent="0.2">
      <c r="A108" s="424"/>
      <c r="B108" s="425"/>
      <c r="C108" s="426"/>
      <c r="D108" s="427"/>
      <c r="E108" s="427"/>
      <c r="F108" s="427"/>
      <c r="G108" s="427"/>
      <c r="H108" s="427"/>
      <c r="I108" s="427"/>
      <c r="J108" s="427"/>
      <c r="K108" s="427"/>
      <c r="L108" s="427"/>
      <c r="M108" s="427"/>
      <c r="N108" s="428"/>
      <c r="O108" s="428"/>
      <c r="P108" s="428"/>
      <c r="Q108" s="427"/>
      <c r="R108" s="351"/>
      <c r="S108" s="351"/>
    </row>
    <row r="109" spans="1:19" x14ac:dyDescent="0.2">
      <c r="A109" s="424"/>
      <c r="B109" s="425"/>
      <c r="C109" s="426"/>
      <c r="D109" s="427"/>
      <c r="E109" s="427"/>
      <c r="F109" s="427"/>
      <c r="G109" s="427"/>
      <c r="H109" s="427"/>
      <c r="I109" s="427"/>
      <c r="J109" s="427"/>
      <c r="K109" s="427"/>
      <c r="L109" s="427"/>
      <c r="M109" s="427"/>
      <c r="N109" s="428"/>
      <c r="O109" s="428"/>
      <c r="P109" s="428"/>
      <c r="Q109" s="427"/>
      <c r="R109" s="351"/>
      <c r="S109" s="351"/>
    </row>
    <row r="110" spans="1:19" x14ac:dyDescent="0.2">
      <c r="A110" s="424"/>
      <c r="B110" s="425"/>
      <c r="C110" s="426"/>
      <c r="D110" s="427"/>
      <c r="E110" s="427"/>
      <c r="F110" s="427"/>
      <c r="G110" s="427"/>
      <c r="H110" s="427"/>
      <c r="I110" s="427"/>
      <c r="J110" s="427"/>
      <c r="K110" s="427"/>
      <c r="L110" s="427"/>
      <c r="M110" s="427"/>
      <c r="N110" s="428"/>
      <c r="O110" s="428"/>
      <c r="P110" s="428"/>
      <c r="Q110" s="427"/>
      <c r="R110" s="351"/>
      <c r="S110" s="351"/>
    </row>
    <row r="111" spans="1:19" x14ac:dyDescent="0.2">
      <c r="A111" s="424"/>
      <c r="B111" s="425"/>
      <c r="C111" s="426"/>
      <c r="D111" s="427"/>
      <c r="E111" s="427"/>
      <c r="F111" s="427"/>
      <c r="G111" s="427"/>
      <c r="H111" s="427"/>
      <c r="I111" s="427"/>
      <c r="J111" s="427"/>
      <c r="K111" s="427"/>
      <c r="L111" s="427"/>
      <c r="M111" s="427"/>
      <c r="N111" s="428"/>
      <c r="O111" s="428"/>
      <c r="P111" s="428"/>
      <c r="Q111" s="427"/>
      <c r="R111" s="351"/>
      <c r="S111" s="351"/>
    </row>
    <row r="112" spans="1:19" x14ac:dyDescent="0.2">
      <c r="A112" s="424"/>
      <c r="B112" s="425"/>
      <c r="C112" s="426"/>
      <c r="D112" s="427"/>
      <c r="E112" s="427"/>
      <c r="F112" s="427"/>
      <c r="G112" s="427"/>
      <c r="H112" s="427"/>
      <c r="I112" s="427"/>
      <c r="J112" s="427"/>
      <c r="K112" s="427"/>
      <c r="L112" s="427"/>
      <c r="M112" s="427"/>
      <c r="N112" s="441"/>
      <c r="O112" s="441"/>
      <c r="P112" s="441"/>
      <c r="Q112" s="427"/>
      <c r="R112" s="351"/>
      <c r="S112" s="351"/>
    </row>
    <row r="113" spans="1:19" x14ac:dyDescent="0.2">
      <c r="A113" s="424"/>
      <c r="B113" s="425"/>
      <c r="C113" s="426"/>
      <c r="D113" s="427"/>
      <c r="E113" s="427"/>
      <c r="F113" s="427"/>
      <c r="G113" s="427"/>
      <c r="H113" s="427"/>
      <c r="I113" s="427"/>
      <c r="J113" s="427"/>
      <c r="K113" s="427"/>
      <c r="L113" s="427"/>
      <c r="M113" s="427"/>
      <c r="N113" s="441"/>
      <c r="O113" s="441"/>
      <c r="P113" s="441"/>
      <c r="Q113" s="427"/>
      <c r="R113" s="351"/>
      <c r="S113" s="351"/>
    </row>
    <row r="114" spans="1:19" x14ac:dyDescent="0.2">
      <c r="A114" s="424"/>
      <c r="B114" s="425"/>
      <c r="C114" s="426"/>
      <c r="D114" s="427"/>
      <c r="E114" s="427"/>
      <c r="F114" s="427"/>
      <c r="G114" s="427"/>
      <c r="H114" s="427"/>
      <c r="I114" s="427"/>
      <c r="J114" s="427"/>
      <c r="K114" s="427"/>
      <c r="L114" s="427"/>
      <c r="M114" s="427"/>
      <c r="N114" s="441"/>
      <c r="O114" s="441"/>
      <c r="P114" s="441"/>
      <c r="Q114" s="427"/>
      <c r="R114" s="351"/>
      <c r="S114" s="351"/>
    </row>
    <row r="115" spans="1:19" x14ac:dyDescent="0.2">
      <c r="A115" s="424"/>
      <c r="B115" s="425"/>
      <c r="C115" s="426"/>
      <c r="D115" s="427"/>
      <c r="E115" s="427"/>
      <c r="F115" s="427"/>
      <c r="G115" s="427"/>
      <c r="H115" s="427"/>
      <c r="I115" s="427"/>
      <c r="J115" s="427"/>
      <c r="K115" s="427"/>
      <c r="L115" s="427"/>
      <c r="M115" s="427"/>
      <c r="N115" s="441"/>
      <c r="O115" s="441"/>
      <c r="P115" s="441"/>
      <c r="Q115" s="427"/>
      <c r="R115" s="351"/>
      <c r="S115" s="351"/>
    </row>
    <row r="116" spans="1:19" x14ac:dyDescent="0.2">
      <c r="A116" s="424"/>
      <c r="B116" s="425"/>
      <c r="C116" s="426"/>
      <c r="D116" s="427"/>
      <c r="E116" s="427"/>
      <c r="F116" s="427"/>
      <c r="G116" s="427"/>
      <c r="H116" s="427"/>
      <c r="I116" s="427"/>
      <c r="J116" s="427"/>
      <c r="K116" s="427"/>
      <c r="L116" s="427"/>
      <c r="M116" s="427"/>
      <c r="N116" s="427"/>
      <c r="O116" s="427"/>
      <c r="P116" s="427"/>
      <c r="Q116" s="427"/>
      <c r="R116" s="351"/>
      <c r="S116" s="351"/>
    </row>
    <row r="117" spans="1:19" x14ac:dyDescent="0.2">
      <c r="A117" s="442"/>
      <c r="B117" s="443"/>
      <c r="C117" s="444"/>
      <c r="D117" s="353"/>
      <c r="E117" s="353"/>
      <c r="F117" s="353"/>
      <c r="G117" s="353"/>
      <c r="H117" s="353"/>
      <c r="I117" s="353"/>
      <c r="J117" s="351"/>
      <c r="K117" s="351"/>
      <c r="L117" s="351"/>
      <c r="M117" s="351"/>
      <c r="N117" s="351"/>
      <c r="O117" s="351"/>
      <c r="P117" s="351"/>
      <c r="Q117" s="351"/>
      <c r="R117" s="351"/>
      <c r="S117" s="351"/>
    </row>
    <row r="118" spans="1:19" x14ac:dyDescent="0.2">
      <c r="A118" s="442"/>
      <c r="B118" s="443"/>
      <c r="C118" s="444"/>
      <c r="D118" s="353"/>
      <c r="E118" s="353"/>
      <c r="F118" s="353"/>
      <c r="G118" s="353"/>
      <c r="H118" s="353"/>
      <c r="I118" s="353"/>
      <c r="J118" s="351"/>
      <c r="K118" s="351"/>
      <c r="L118" s="351"/>
      <c r="M118" s="351"/>
      <c r="N118" s="351"/>
      <c r="O118" s="351"/>
      <c r="P118" s="351"/>
      <c r="Q118" s="351"/>
      <c r="R118" s="351"/>
      <c r="S118" s="351"/>
    </row>
    <row r="119" spans="1:19" x14ac:dyDescent="0.2">
      <c r="A119" s="442"/>
      <c r="B119" s="443"/>
      <c r="C119" s="444"/>
      <c r="D119" s="353"/>
      <c r="E119" s="353"/>
      <c r="F119" s="353"/>
      <c r="G119" s="353"/>
      <c r="H119" s="353"/>
      <c r="I119" s="353"/>
      <c r="J119" s="351"/>
      <c r="K119" s="351"/>
      <c r="L119" s="351"/>
      <c r="M119" s="351"/>
      <c r="N119" s="351"/>
      <c r="O119" s="351"/>
      <c r="P119" s="351"/>
      <c r="Q119" s="351"/>
      <c r="R119" s="351"/>
      <c r="S119" s="351"/>
    </row>
  </sheetData>
  <sheetProtection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A3" sqref="A3"/>
    </sheetView>
  </sheetViews>
  <sheetFormatPr defaultColWidth="9.140625" defaultRowHeight="12.75" x14ac:dyDescent="0.2"/>
  <cols>
    <col min="1" max="1" width="8.140625" style="480" bestFit="1" customWidth="1"/>
    <col min="2" max="13" width="6" style="70" customWidth="1"/>
    <col min="14" max="14" width="6" style="69" customWidth="1"/>
    <col min="15" max="15" width="6" style="70" customWidth="1"/>
    <col min="16" max="16" width="2.140625" style="70" customWidth="1"/>
    <col min="17" max="17" width="7.85546875" style="480" bestFit="1" customWidth="1"/>
    <col min="18" max="31" width="6" style="70" customWidth="1"/>
    <col min="32" max="32" width="2.140625" style="70" customWidth="1"/>
    <col min="33" max="33" width="7.85546875" style="480" bestFit="1" customWidth="1"/>
    <col min="34" max="45" width="6" style="70" customWidth="1"/>
    <col min="46" max="16384" width="9.140625" style="70"/>
  </cols>
  <sheetData>
    <row r="1" spans="1:45" s="649" customFormat="1" ht="24.75" customHeight="1" x14ac:dyDescent="0.25"/>
    <row r="2" spans="1:45" s="654" customFormat="1" x14ac:dyDescent="0.2">
      <c r="A2" s="650" t="s">
        <v>19</v>
      </c>
      <c r="B2" s="651" t="s">
        <v>922</v>
      </c>
      <c r="C2" s="651" t="s">
        <v>923</v>
      </c>
      <c r="D2" s="651" t="s">
        <v>924</v>
      </c>
      <c r="E2" s="651" t="s">
        <v>412</v>
      </c>
      <c r="F2" s="651" t="s">
        <v>925</v>
      </c>
      <c r="G2" s="651" t="s">
        <v>926</v>
      </c>
      <c r="H2" s="651" t="s">
        <v>927</v>
      </c>
      <c r="I2" s="651" t="s">
        <v>928</v>
      </c>
      <c r="J2" s="651" t="s">
        <v>929</v>
      </c>
      <c r="K2" s="651" t="s">
        <v>413</v>
      </c>
      <c r="L2" s="651" t="s">
        <v>930</v>
      </c>
      <c r="M2" s="651" t="s">
        <v>931</v>
      </c>
      <c r="N2" s="651" t="s">
        <v>932</v>
      </c>
      <c r="O2" s="651" t="s">
        <v>933</v>
      </c>
      <c r="P2" s="652"/>
      <c r="Q2" s="650" t="s">
        <v>19</v>
      </c>
      <c r="R2" s="651" t="s">
        <v>908</v>
      </c>
      <c r="S2" s="651" t="s">
        <v>909</v>
      </c>
      <c r="T2" s="651" t="s">
        <v>910</v>
      </c>
      <c r="U2" s="651" t="s">
        <v>911</v>
      </c>
      <c r="V2" s="651" t="s">
        <v>912</v>
      </c>
      <c r="W2" s="651" t="s">
        <v>913</v>
      </c>
      <c r="X2" s="651" t="s">
        <v>914</v>
      </c>
      <c r="Y2" s="651" t="s">
        <v>915</v>
      </c>
      <c r="Z2" s="651" t="s">
        <v>916</v>
      </c>
      <c r="AA2" s="651" t="s">
        <v>917</v>
      </c>
      <c r="AB2" s="651" t="s">
        <v>918</v>
      </c>
      <c r="AC2" s="651" t="s">
        <v>919</v>
      </c>
      <c r="AD2" s="651" t="s">
        <v>920</v>
      </c>
      <c r="AE2" s="651" t="s">
        <v>921</v>
      </c>
      <c r="AF2" s="652"/>
      <c r="AG2" s="650" t="s">
        <v>19</v>
      </c>
      <c r="AH2" s="653" t="s">
        <v>896</v>
      </c>
      <c r="AI2" s="653" t="s">
        <v>897</v>
      </c>
      <c r="AJ2" s="653" t="s">
        <v>898</v>
      </c>
      <c r="AK2" s="653" t="s">
        <v>899</v>
      </c>
      <c r="AL2" s="653" t="s">
        <v>900</v>
      </c>
      <c r="AM2" s="653" t="s">
        <v>901</v>
      </c>
      <c r="AN2" s="653" t="s">
        <v>902</v>
      </c>
      <c r="AO2" s="653" t="s">
        <v>903</v>
      </c>
      <c r="AP2" s="653" t="s">
        <v>904</v>
      </c>
      <c r="AQ2" s="653" t="s">
        <v>905</v>
      </c>
      <c r="AR2" s="653" t="s">
        <v>906</v>
      </c>
      <c r="AS2" s="653" t="s">
        <v>907</v>
      </c>
    </row>
    <row r="3" spans="1:45" x14ac:dyDescent="0.2">
      <c r="A3" s="647"/>
      <c r="B3" s="648"/>
      <c r="C3" s="648"/>
      <c r="D3" s="648"/>
      <c r="E3" s="648"/>
      <c r="F3" s="648"/>
      <c r="G3" s="648"/>
      <c r="H3" s="648"/>
      <c r="I3" s="648"/>
      <c r="J3" s="648"/>
      <c r="K3" s="648"/>
      <c r="L3" s="61"/>
      <c r="M3" s="61"/>
      <c r="N3" s="61"/>
      <c r="O3" s="62"/>
      <c r="Q3" s="647"/>
      <c r="R3" s="61"/>
      <c r="S3" s="61"/>
      <c r="T3" s="61"/>
      <c r="U3" s="61"/>
      <c r="V3" s="61"/>
      <c r="W3" s="61"/>
      <c r="X3" s="61"/>
      <c r="Y3" s="61"/>
      <c r="Z3" s="61"/>
      <c r="AA3" s="61"/>
      <c r="AB3" s="106"/>
      <c r="AC3" s="106"/>
      <c r="AD3" s="68"/>
      <c r="AE3" s="62"/>
      <c r="AG3" s="655"/>
      <c r="AH3" s="106"/>
      <c r="AI3" s="106"/>
      <c r="AJ3" s="106"/>
      <c r="AK3" s="106"/>
      <c r="AL3" s="106"/>
      <c r="AM3" s="106"/>
      <c r="AN3" s="106"/>
      <c r="AO3" s="106"/>
      <c r="AP3" s="106"/>
      <c r="AQ3" s="106"/>
      <c r="AR3" s="106"/>
      <c r="AS3" s="106"/>
    </row>
  </sheetData>
  <sheetProtection algorithmName="SHA-512" hashValue="3NN32O1Ebx58G3UnDQbDX0wUX+UfvEUfILw7u4YRl6VY5MqV1PTswPlo7A7lC/vQxWNfM6C4LYUddgaK3QUhZQ==" saltValue="+gHZwWIJzP4JQP7CofSgbQ=="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2" t="s">
        <v>121</v>
      </c>
    </row>
    <row r="2" spans="3:8" x14ac:dyDescent="0.2">
      <c r="E2" s="93" t="s">
        <v>122</v>
      </c>
    </row>
    <row r="3" spans="3:8" x14ac:dyDescent="0.2">
      <c r="E3" s="93" t="s">
        <v>123</v>
      </c>
    </row>
    <row r="6" spans="3:8" ht="26.25" x14ac:dyDescent="0.4">
      <c r="E6" s="99" t="s">
        <v>124</v>
      </c>
    </row>
    <row r="8" spans="3:8" ht="20.25" x14ac:dyDescent="0.3">
      <c r="C8" s="104"/>
      <c r="D8" s="96"/>
      <c r="E8" s="96"/>
    </row>
    <row r="9" spans="3:8" ht="15.75" x14ac:dyDescent="0.25">
      <c r="C9" s="97" t="s">
        <v>46</v>
      </c>
      <c r="D9" s="98" t="str">
        <f>Main!D5</f>
        <v>CHROME PLUS INT'L - WICHITA</v>
      </c>
    </row>
    <row r="10" spans="3:8" ht="15.75" x14ac:dyDescent="0.25">
      <c r="C10" s="97" t="s">
        <v>125</v>
      </c>
      <c r="D10" s="550">
        <f>Main!D3</f>
        <v>0</v>
      </c>
      <c r="E10" s="550"/>
      <c r="F10" s="550"/>
    </row>
    <row r="11" spans="3:8" ht="15.75" x14ac:dyDescent="0.25">
      <c r="C11" s="97" t="s">
        <v>238</v>
      </c>
      <c r="D11" s="100" t="str">
        <f>Main!D6</f>
        <v>DESPATCH RS4HD Temperature Uniformity Survey, 10 points</v>
      </c>
    </row>
    <row r="14" spans="3:8" ht="15.75" x14ac:dyDescent="0.25">
      <c r="C14" s="102" t="s">
        <v>126</v>
      </c>
      <c r="E14" s="100"/>
      <c r="F14" s="101" t="s">
        <v>127</v>
      </c>
      <c r="G14" s="100"/>
      <c r="H14" s="100"/>
    </row>
    <row r="15" spans="3:8" ht="15.75" customHeight="1" x14ac:dyDescent="0.2">
      <c r="C15" s="155"/>
      <c r="D15" s="95"/>
      <c r="E15" s="549" t="s">
        <v>390</v>
      </c>
      <c r="F15" s="549"/>
      <c r="G15" s="549"/>
      <c r="H15" s="549"/>
    </row>
    <row r="16" spans="3:8" ht="15" x14ac:dyDescent="0.2">
      <c r="C16" s="155"/>
      <c r="D16" s="94"/>
      <c r="E16" s="329" t="s">
        <v>129</v>
      </c>
      <c r="F16" s="329"/>
      <c r="G16" s="329"/>
      <c r="H16" s="329"/>
    </row>
    <row r="17" spans="3:8" ht="15" x14ac:dyDescent="0.2">
      <c r="C17" s="155"/>
      <c r="D17" s="94"/>
      <c r="E17" s="548" t="s">
        <v>130</v>
      </c>
      <c r="F17" s="548"/>
      <c r="G17" s="548"/>
      <c r="H17" s="548"/>
    </row>
    <row r="18" spans="3:8" ht="15" x14ac:dyDescent="0.2">
      <c r="C18" s="155"/>
      <c r="D18" s="94"/>
      <c r="E18" s="548" t="s">
        <v>11</v>
      </c>
      <c r="F18" s="548"/>
      <c r="G18" s="548"/>
      <c r="H18" s="548"/>
    </row>
    <row r="19" spans="3:8" ht="15" x14ac:dyDescent="0.2">
      <c r="C19" s="155"/>
      <c r="D19" s="94"/>
      <c r="E19" s="548" t="s">
        <v>135</v>
      </c>
      <c r="F19" s="548"/>
      <c r="G19" s="548"/>
      <c r="H19" s="548"/>
    </row>
    <row r="20" spans="3:8" ht="15" x14ac:dyDescent="0.2">
      <c r="C20" s="155"/>
      <c r="D20" s="94"/>
      <c r="E20" s="548" t="s">
        <v>132</v>
      </c>
      <c r="F20" s="548"/>
      <c r="G20" s="548"/>
      <c r="H20" s="548"/>
    </row>
    <row r="21" spans="3:8" ht="15" x14ac:dyDescent="0.2">
      <c r="C21" s="155"/>
      <c r="D21" s="94"/>
      <c r="E21" s="548" t="s">
        <v>133</v>
      </c>
      <c r="F21" s="548"/>
      <c r="G21" s="548"/>
      <c r="H21" s="548"/>
    </row>
    <row r="22" spans="3:8" ht="15" x14ac:dyDescent="0.2">
      <c r="C22" s="155"/>
      <c r="D22" s="94"/>
      <c r="E22" s="548" t="s">
        <v>111</v>
      </c>
      <c r="F22" s="548"/>
      <c r="G22" s="548"/>
      <c r="H22" s="548"/>
    </row>
    <row r="23" spans="3:8" ht="15" x14ac:dyDescent="0.2">
      <c r="C23" s="155"/>
      <c r="D23" s="94"/>
      <c r="E23" s="548" t="s">
        <v>134</v>
      </c>
      <c r="F23" s="548"/>
      <c r="G23" s="548"/>
      <c r="H23" s="548"/>
    </row>
    <row r="24" spans="3:8" ht="15" x14ac:dyDescent="0.2">
      <c r="C24" s="103"/>
      <c r="D24" s="94"/>
      <c r="E24" s="548" t="s">
        <v>154</v>
      </c>
      <c r="F24" s="548"/>
      <c r="G24" s="548"/>
      <c r="H24" s="548"/>
    </row>
    <row r="25" spans="3:8" ht="15" x14ac:dyDescent="0.2">
      <c r="C25" s="103"/>
      <c r="D25" s="94"/>
      <c r="E25" s="548"/>
      <c r="F25" s="548"/>
      <c r="G25" s="548"/>
      <c r="H25" s="548"/>
    </row>
    <row r="26" spans="3:8" ht="15" x14ac:dyDescent="0.2">
      <c r="C26" s="103"/>
      <c r="D26" s="94"/>
      <c r="E26" s="548"/>
      <c r="F26" s="548"/>
      <c r="G26" s="548"/>
      <c r="H26" s="548"/>
    </row>
    <row r="27" spans="3:8" ht="15" x14ac:dyDescent="0.2">
      <c r="C27" s="103"/>
      <c r="D27" s="94"/>
      <c r="E27" s="548"/>
      <c r="F27" s="548"/>
      <c r="G27" s="548"/>
      <c r="H27" s="548"/>
    </row>
    <row r="28" spans="3:8" ht="15" x14ac:dyDescent="0.2">
      <c r="C28" s="103"/>
      <c r="D28" s="94"/>
      <c r="E28" s="548"/>
      <c r="F28" s="548"/>
      <c r="G28" s="548"/>
      <c r="H28" s="548"/>
    </row>
    <row r="29" spans="3:8" ht="15" x14ac:dyDescent="0.2">
      <c r="C29" s="103"/>
      <c r="D29" s="94"/>
      <c r="E29" s="548"/>
      <c r="F29" s="548"/>
      <c r="G29" s="548"/>
      <c r="H29" s="548"/>
    </row>
    <row r="30" spans="3:8" ht="15" x14ac:dyDescent="0.2">
      <c r="C30" s="103"/>
      <c r="D30" s="94"/>
      <c r="E30" s="548"/>
      <c r="F30" s="548"/>
      <c r="G30" s="548"/>
      <c r="H30" s="548"/>
    </row>
    <row r="31" spans="3:8" ht="15" x14ac:dyDescent="0.2">
      <c r="C31" s="288" t="s">
        <v>391</v>
      </c>
      <c r="E31" s="548"/>
      <c r="F31" s="548"/>
      <c r="G31" s="548"/>
      <c r="H31" s="548"/>
    </row>
    <row r="32" spans="3:8" ht="15" x14ac:dyDescent="0.2">
      <c r="C32" s="103"/>
      <c r="D32" s="94"/>
      <c r="E32" s="548"/>
      <c r="F32" s="548"/>
      <c r="G32" s="548"/>
      <c r="H32" s="548"/>
    </row>
    <row r="33" spans="3:8" ht="15" x14ac:dyDescent="0.2">
      <c r="C33" s="103"/>
      <c r="D33" s="94"/>
      <c r="E33" s="548"/>
      <c r="F33" s="548"/>
      <c r="G33" s="548"/>
      <c r="H33" s="548"/>
    </row>
    <row r="34" spans="3:8" ht="15" x14ac:dyDescent="0.2">
      <c r="C34" s="103"/>
      <c r="D34" s="94"/>
      <c r="E34" s="548"/>
      <c r="F34" s="548"/>
      <c r="G34" s="548"/>
      <c r="H34" s="548"/>
    </row>
    <row r="35" spans="3:8" ht="15" x14ac:dyDescent="0.2">
      <c r="C35" s="103"/>
      <c r="D35" s="94"/>
      <c r="E35" s="548"/>
      <c r="F35" s="548"/>
      <c r="G35" s="548"/>
      <c r="H35" s="548"/>
    </row>
    <row r="36" spans="3:8" ht="15" x14ac:dyDescent="0.2">
      <c r="C36" s="94"/>
      <c r="D36" s="94"/>
      <c r="E36" s="548"/>
      <c r="F36" s="548"/>
      <c r="G36" s="548"/>
      <c r="H36" s="548"/>
    </row>
    <row r="37" spans="3:8" x14ac:dyDescent="0.2">
      <c r="C37" s="94"/>
      <c r="D37" s="94"/>
      <c r="E37" s="94"/>
    </row>
    <row r="38" spans="3:8" x14ac:dyDescent="0.2">
      <c r="C38" s="94"/>
      <c r="D38" s="94"/>
      <c r="E38" s="94"/>
    </row>
    <row r="39" spans="3:8" x14ac:dyDescent="0.2">
      <c r="C39" s="94"/>
      <c r="D39" s="94"/>
      <c r="E39" s="94"/>
    </row>
    <row r="40" spans="3:8" x14ac:dyDescent="0.2">
      <c r="C40" s="94"/>
      <c r="D40" s="94"/>
      <c r="E40" s="94"/>
    </row>
    <row r="41" spans="3:8" x14ac:dyDescent="0.2">
      <c r="C41" s="94"/>
      <c r="D41" s="94"/>
      <c r="E41" s="94"/>
    </row>
    <row r="42" spans="3:8" x14ac:dyDescent="0.2">
      <c r="D42" s="94"/>
      <c r="E42" s="94"/>
    </row>
    <row r="43" spans="3:8" x14ac:dyDescent="0.2">
      <c r="D43" s="94"/>
      <c r="E43" s="94"/>
    </row>
    <row r="44" spans="3:8" x14ac:dyDescent="0.2">
      <c r="D44" s="94"/>
      <c r="E44" s="94"/>
    </row>
    <row r="45" spans="3:8" x14ac:dyDescent="0.2">
      <c r="D45" s="94"/>
    </row>
    <row r="46" spans="3:8" x14ac:dyDescent="0.2">
      <c r="D46" s="94"/>
    </row>
  </sheetData>
  <sheetProtection algorithmName="SHA-512" hashValue="Bb2lcNdTKLjtxihWw27nDhlAnl5b+t9PpDf3hKW8Jz4tKm9/FNwxv2HxxfwheBNhkXMwLefJhxmJikakjWkTyg==" saltValue="iN7K+nzwSnapODFcl2zD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1" sqref="T6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69"/>
      <c r="D1" s="574" t="s">
        <v>121</v>
      </c>
      <c r="E1" s="574"/>
      <c r="F1" s="574"/>
      <c r="G1" s="574"/>
      <c r="H1" s="574"/>
      <c r="I1" s="574"/>
      <c r="J1" s="574"/>
      <c r="K1" s="574"/>
      <c r="L1" s="574"/>
      <c r="M1" s="574"/>
    </row>
    <row r="2" spans="1:18" ht="23.25" customHeight="1" x14ac:dyDescent="0.3">
      <c r="C2" s="270"/>
      <c r="D2" s="270" t="s">
        <v>330</v>
      </c>
      <c r="E2" s="270"/>
      <c r="F2" s="270"/>
      <c r="G2" s="270"/>
      <c r="H2" s="270"/>
      <c r="I2" s="270"/>
      <c r="J2" s="270"/>
      <c r="K2" s="270"/>
      <c r="L2" s="270"/>
      <c r="M2" s="270"/>
    </row>
    <row r="3" spans="1:18" ht="23.25" x14ac:dyDescent="0.35">
      <c r="C3" s="575"/>
      <c r="D3" s="575"/>
      <c r="E3" s="575"/>
      <c r="F3" s="575"/>
      <c r="G3" s="575"/>
      <c r="H3" s="575"/>
      <c r="I3" s="575"/>
      <c r="J3" s="575"/>
      <c r="K3" s="575"/>
      <c r="L3" s="575"/>
      <c r="M3" s="575"/>
    </row>
    <row r="4" spans="1:18" ht="23.25" x14ac:dyDescent="0.35">
      <c r="C4" s="254"/>
      <c r="D4" s="254"/>
      <c r="E4" s="254"/>
      <c r="F4" s="254"/>
      <c r="G4" s="254"/>
      <c r="H4" s="254"/>
      <c r="I4" s="254"/>
      <c r="J4" s="254"/>
      <c r="K4" s="254"/>
      <c r="L4" s="254"/>
      <c r="M4" s="254"/>
    </row>
    <row r="5" spans="1:18" ht="23.25" x14ac:dyDescent="0.35">
      <c r="C5" s="571" t="s">
        <v>11</v>
      </c>
      <c r="D5" s="571"/>
      <c r="E5" s="571"/>
      <c r="F5" s="571"/>
      <c r="G5" s="571"/>
      <c r="H5" s="571"/>
      <c r="I5" s="571"/>
      <c r="J5" s="571"/>
      <c r="K5" s="571"/>
      <c r="L5" s="571"/>
      <c r="M5" s="571"/>
    </row>
    <row r="6" spans="1:18" ht="23.25" x14ac:dyDescent="0.35">
      <c r="C6" s="255"/>
      <c r="D6" s="255"/>
      <c r="E6" s="590" t="str">
        <f>IFERROR(CONCATENATE("Report Number: ", WorkItemNumber),"")</f>
        <v/>
      </c>
      <c r="F6" s="590"/>
      <c r="G6" s="590"/>
      <c r="H6" s="590"/>
      <c r="I6" s="590"/>
      <c r="J6" s="590"/>
      <c r="K6" s="590"/>
      <c r="L6" s="255"/>
      <c r="M6" s="255"/>
    </row>
    <row r="7" spans="1:18" ht="18.75" customHeight="1" x14ac:dyDescent="0.3">
      <c r="G7" s="572"/>
      <c r="H7" s="572"/>
      <c r="I7" s="229"/>
      <c r="R7" t="str">
        <f>CONCATENATE("Page ",Main!L9," of ",Main!L10)</f>
        <v xml:space="preserve">Page  of </v>
      </c>
    </row>
    <row r="8" spans="1:18" ht="18" customHeight="1" x14ac:dyDescent="0.25">
      <c r="G8" s="584"/>
      <c r="H8" s="584"/>
      <c r="J8" s="100"/>
      <c r="K8" s="256" t="s">
        <v>327</v>
      </c>
      <c r="L8" s="594" t="str">
        <f>FormNumber</f>
        <v>40100 Revision C 12-26-19</v>
      </c>
      <c r="M8" s="594"/>
      <c r="N8" s="594"/>
      <c r="O8" s="594"/>
    </row>
    <row r="9" spans="1:18" ht="18" customHeight="1" x14ac:dyDescent="0.25">
      <c r="A9" s="256" t="s">
        <v>284</v>
      </c>
      <c r="B9" s="38" t="str">
        <f>Main!D5</f>
        <v>CHROME PLUS INT'L - WICHITA</v>
      </c>
      <c r="J9" s="100"/>
      <c r="K9" s="256" t="s">
        <v>328</v>
      </c>
      <c r="L9" s="586" t="str">
        <f>CalMethod</f>
        <v>JGI WP4100, AMS 2750H</v>
      </c>
      <c r="M9" s="586"/>
      <c r="N9" s="586"/>
      <c r="O9" s="586"/>
    </row>
    <row r="10" spans="1:18" ht="18" customHeight="1" x14ac:dyDescent="0.25">
      <c r="A10" s="109"/>
      <c r="B10" s="251" t="str" cm="1">
        <f t="array" ref="B10">IFERROR(_xlfn.XLOOKUP(clientCompanyId,customers_table[company_id],customers_table[Address1]),"")</f>
        <v>3939 W 29Th St S</v>
      </c>
      <c r="J10" s="100"/>
      <c r="K10" s="256"/>
      <c r="L10" s="586"/>
      <c r="M10" s="586"/>
      <c r="N10" s="586"/>
      <c r="O10" s="586"/>
    </row>
    <row r="11" spans="1:18" ht="18" customHeight="1" x14ac:dyDescent="0.25">
      <c r="A11" s="109"/>
      <c r="B11" s="251" t="str" cm="1">
        <f t="array" ref="B11">IFERROR(_xlfn.XLOOKUP(clientCompanyId,customers_table[company_id],customers_table[Merged]),"")</f>
        <v>Wichita, KS, 67217</v>
      </c>
      <c r="J11" s="100"/>
      <c r="K11" s="256" t="s">
        <v>329</v>
      </c>
      <c r="L11" s="594" t="str">
        <f>TolSource</f>
        <v>SPECIFICATION</v>
      </c>
      <c r="M11" s="594"/>
      <c r="N11" s="594"/>
      <c r="O11" s="594"/>
    </row>
    <row r="12" spans="1:18" ht="18" customHeight="1" x14ac:dyDescent="0.25">
      <c r="A12" s="109"/>
      <c r="B12" s="251" t="str" cm="1">
        <f t="array" ref="B12">IFZERO(AddressLine3,"")</f>
        <v/>
      </c>
      <c r="J12" s="100"/>
      <c r="K12" s="256"/>
      <c r="L12" s="257"/>
      <c r="M12" s="257"/>
      <c r="N12" s="257"/>
      <c r="O12" s="257"/>
    </row>
    <row r="13" spans="1:18" ht="8.1" customHeight="1" x14ac:dyDescent="0.2">
      <c r="A13" s="109"/>
      <c r="K13" s="244"/>
    </row>
    <row r="14" spans="1:18" ht="18" customHeight="1" x14ac:dyDescent="0.25">
      <c r="A14" s="261" t="s">
        <v>285</v>
      </c>
      <c r="B14" s="258" t="str">
        <f>Item</f>
        <v>OVEN NO. 10</v>
      </c>
      <c r="C14" s="259"/>
      <c r="D14" s="259"/>
      <c r="E14" s="259"/>
      <c r="F14" s="233"/>
      <c r="G14" s="247" t="s">
        <v>290</v>
      </c>
      <c r="H14" s="258" t="str">
        <f>Range</f>
        <v>100°F/180°F</v>
      </c>
      <c r="I14" s="233"/>
      <c r="J14" s="233"/>
      <c r="K14" s="233"/>
      <c r="L14" s="233"/>
      <c r="M14" s="247" t="s">
        <v>295</v>
      </c>
      <c r="N14" s="258" t="str">
        <f>Main!D7</f>
        <v>Jeff Hall</v>
      </c>
      <c r="O14" s="234"/>
    </row>
    <row r="15" spans="1:18" ht="18" customHeight="1" x14ac:dyDescent="0.25">
      <c r="A15" s="262" t="s">
        <v>286</v>
      </c>
      <c r="B15" s="260" t="str">
        <f>ModelNumber</f>
        <v>DESPATCH RS4HD</v>
      </c>
      <c r="C15" s="251"/>
      <c r="D15" s="251"/>
      <c r="E15" s="251"/>
      <c r="G15" s="256" t="s">
        <v>291</v>
      </c>
      <c r="H15" s="260" t="str">
        <f>Tolerance</f>
        <v>±10.0°F</v>
      </c>
      <c r="M15" s="256" t="s">
        <v>296</v>
      </c>
      <c r="N15" s="264">
        <f>Main!D3</f>
        <v>0</v>
      </c>
      <c r="O15" s="235"/>
    </row>
    <row r="16" spans="1:18" ht="18" customHeight="1" x14ac:dyDescent="0.25">
      <c r="A16" s="262" t="s">
        <v>287</v>
      </c>
      <c r="B16" s="587">
        <f>SerialNumber</f>
        <v>70773</v>
      </c>
      <c r="C16" s="587"/>
      <c r="D16" s="587"/>
      <c r="E16" s="587"/>
      <c r="G16" s="256" t="s">
        <v>292</v>
      </c>
      <c r="H16" s="260" t="str">
        <f>HeatingMethod</f>
        <v>GAS PROPORTIONAL</v>
      </c>
      <c r="M16" s="256" t="s">
        <v>297</v>
      </c>
      <c r="N16" s="264">
        <f>IF(CalInterval="N/A", "N/A", EDATE(N15, CHOOSE(MATCH(CalInterval, {"M","2 Mo","Q","4 Mo","6 Mo","A","2Yr","3Yr"}, 0), 1, 2, 3, 4, 6, 12, 24, 36)))</f>
        <v>31</v>
      </c>
      <c r="O16" s="235"/>
    </row>
    <row r="17" spans="1:19" ht="18" customHeight="1" x14ac:dyDescent="0.25">
      <c r="A17" s="262" t="s">
        <v>288</v>
      </c>
      <c r="B17" s="285" t="str">
        <f>UnitNumber</f>
        <v>W-CPI-3049</v>
      </c>
      <c r="C17" s="251"/>
      <c r="D17" s="251"/>
      <c r="E17" s="251"/>
      <c r="G17" s="256" t="s">
        <v>293</v>
      </c>
      <c r="H17" s="260" t="str">
        <f>WorkingZoneSize</f>
        <v>48" X 66" X 66"</v>
      </c>
      <c r="M17" s="256" t="str">
        <f>IF(Main!K13="","","PO:")</f>
        <v/>
      </c>
      <c r="N17" s="260" t="str">
        <f>IF(Main!K13="","",Main!K13)</f>
        <v/>
      </c>
      <c r="O17" s="235"/>
    </row>
    <row r="18" spans="1:19" ht="18" customHeight="1" x14ac:dyDescent="0.25">
      <c r="A18" s="262" t="s">
        <v>289</v>
      </c>
      <c r="B18" s="578" t="str">
        <f>Class</f>
        <v>2D per AMS 2750H</v>
      </c>
      <c r="C18" s="578"/>
      <c r="D18" s="578"/>
      <c r="E18" s="578"/>
      <c r="G18" s="256" t="s">
        <v>294</v>
      </c>
      <c r="H18" s="260">
        <f>CubicFeet</f>
        <v>121</v>
      </c>
      <c r="M18" s="256" t="s">
        <v>298</v>
      </c>
      <c r="N18" s="260" t="str">
        <f>Main!G18</f>
        <v>ACCEPTED</v>
      </c>
      <c r="O18" s="235"/>
    </row>
    <row r="19" spans="1:19" ht="18" customHeight="1" x14ac:dyDescent="0.25">
      <c r="A19" s="246"/>
      <c r="B19" s="579"/>
      <c r="C19" s="579"/>
      <c r="D19" s="579"/>
      <c r="E19" s="579"/>
      <c r="F19" s="236"/>
      <c r="G19" s="248"/>
      <c r="H19" s="263"/>
      <c r="I19" s="236"/>
      <c r="J19" s="236"/>
      <c r="K19" s="236"/>
      <c r="L19" s="236"/>
      <c r="M19" s="248"/>
      <c r="N19" s="263"/>
      <c r="O19" s="237"/>
    </row>
    <row r="20" spans="1:19" ht="8.1" customHeight="1" x14ac:dyDescent="0.2">
      <c r="A20" s="44"/>
      <c r="B20" s="240"/>
      <c r="C20" s="240"/>
      <c r="D20" s="240"/>
      <c r="N20" s="243"/>
    </row>
    <row r="21" spans="1:19" ht="18" customHeight="1" x14ac:dyDescent="0.25">
      <c r="A21" s="261" t="s">
        <v>299</v>
      </c>
      <c r="B21" s="588" t="str">
        <f>Controller</f>
        <v>Barber-Colman 7SD</v>
      </c>
      <c r="C21" s="588"/>
      <c r="D21" s="588"/>
      <c r="E21" s="588"/>
      <c r="F21" s="247" t="s">
        <v>301</v>
      </c>
      <c r="G21" s="588">
        <f>ContSN</f>
        <v>5.25</v>
      </c>
      <c r="H21" s="588"/>
      <c r="I21" s="588"/>
      <c r="J21" s="247" t="s">
        <v>302</v>
      </c>
      <c r="K21" s="259" t="str">
        <f>ContTol</f>
        <v>±2.0°F</v>
      </c>
      <c r="L21" s="233"/>
      <c r="M21" s="247" t="s">
        <v>303</v>
      </c>
      <c r="N21" s="272" t="str">
        <f>Main!G27</f>
        <v>Cal by Customer</v>
      </c>
      <c r="O21" s="234"/>
    </row>
    <row r="22" spans="1:19" ht="18" customHeight="1" x14ac:dyDescent="0.25">
      <c r="A22" s="265" t="s">
        <v>300</v>
      </c>
      <c r="B22" s="589" t="str">
        <f>_xlnm.Recorder</f>
        <v>Eurotherm Chessel 6100A</v>
      </c>
      <c r="C22" s="589"/>
      <c r="D22" s="589"/>
      <c r="E22" s="589"/>
      <c r="F22" s="248" t="s">
        <v>301</v>
      </c>
      <c r="G22" s="589">
        <f>RecSN</f>
        <v>5256764</v>
      </c>
      <c r="H22" s="589"/>
      <c r="I22" s="589"/>
      <c r="J22" s="248" t="s">
        <v>302</v>
      </c>
      <c r="K22" s="271" t="str">
        <f>RecTol</f>
        <v>±2.0°F</v>
      </c>
      <c r="L22" s="236"/>
      <c r="M22" s="248" t="s">
        <v>303</v>
      </c>
      <c r="N22" s="273" t="str">
        <f>Main!G28</f>
        <v>Cal by Customer</v>
      </c>
      <c r="O22" s="237"/>
    </row>
    <row r="23" spans="1:19" ht="8.1" customHeight="1" x14ac:dyDescent="0.25">
      <c r="A23" s="100"/>
      <c r="B23" s="251"/>
      <c r="C23" s="251"/>
      <c r="D23" s="251"/>
      <c r="E23" s="240"/>
    </row>
    <row r="24" spans="1:19" ht="18" customHeight="1" x14ac:dyDescent="0.25">
      <c r="A24" s="261" t="s">
        <v>304</v>
      </c>
      <c r="B24" s="267">
        <f>Temperature</f>
        <v>0</v>
      </c>
      <c r="C24" s="259"/>
      <c r="D24" s="259"/>
      <c r="E24" s="241"/>
      <c r="F24" s="233"/>
      <c r="G24" s="247" t="s">
        <v>307</v>
      </c>
      <c r="H24" s="249">
        <f>Main!D26</f>
        <v>0</v>
      </c>
      <c r="I24" s="233"/>
      <c r="J24" s="233"/>
      <c r="K24" s="233"/>
      <c r="L24" s="245"/>
      <c r="M24" s="247" t="s">
        <v>310</v>
      </c>
      <c r="N24" s="259" t="str">
        <f>TEXT(Alerts!I2,"0.0") &amp; "°F / " &amp; TEXT(Alerts!I3,"0.0") &amp; "°F"</f>
        <v>102.0°F / 100.3°F</v>
      </c>
      <c r="O24" s="234"/>
    </row>
    <row r="25" spans="1:19" ht="18" customHeight="1" x14ac:dyDescent="0.25">
      <c r="A25" s="262" t="s">
        <v>305</v>
      </c>
      <c r="B25" s="268">
        <f>Main!D15</f>
        <v>0</v>
      </c>
      <c r="C25" s="251"/>
      <c r="D25" s="251"/>
      <c r="E25" s="240"/>
      <c r="G25" s="256" t="s">
        <v>308</v>
      </c>
      <c r="H25" s="250" t="str">
        <f>Main!E29</f>
        <v/>
      </c>
      <c r="L25" s="100"/>
      <c r="M25" s="256" t="s">
        <v>311</v>
      </c>
      <c r="N25" s="251" t="str">
        <f>IF(Main!H15=TRUE,Main!G17,"VERIFY LOAD!!!")</f>
        <v>Empty Rack</v>
      </c>
      <c r="O25" s="235"/>
      <c r="R25" s="164"/>
      <c r="S25" s="94"/>
    </row>
    <row r="26" spans="1:19" ht="18" customHeight="1" x14ac:dyDescent="0.25">
      <c r="A26" s="262" t="s">
        <v>306</v>
      </c>
      <c r="B26" s="251" t="s">
        <v>276</v>
      </c>
      <c r="C26" s="251"/>
      <c r="D26" s="251"/>
      <c r="E26" s="240"/>
      <c r="G26" s="256" t="s">
        <v>309</v>
      </c>
      <c r="H26" s="251" t="str">
        <f>Main!I19</f>
        <v>N/A</v>
      </c>
      <c r="L26" s="100"/>
      <c r="M26" s="256" t="str">
        <f>"Uncertainty @ k="&amp;ROUND(k,1)&amp;":"</f>
        <v>Uncertainty @ k=2:</v>
      </c>
      <c r="N26" s="251" t="str">
        <f>TEXT(Uncertainty!B9,"0.0") &amp; "°F"</f>
        <v>1.6°F</v>
      </c>
      <c r="O26" s="235"/>
    </row>
    <row r="27" spans="1:19" ht="18" customHeight="1" x14ac:dyDescent="0.2">
      <c r="A27" s="266"/>
      <c r="B27" s="236"/>
      <c r="C27" s="585" t="s">
        <v>312</v>
      </c>
      <c r="D27" s="585"/>
      <c r="E27" s="585"/>
      <c r="F27" s="585"/>
      <c r="G27" s="585"/>
      <c r="H27" s="585"/>
      <c r="I27" s="585"/>
      <c r="J27" s="585"/>
      <c r="K27" s="585"/>
      <c r="L27" s="585"/>
      <c r="M27" s="585"/>
      <c r="N27" s="236"/>
      <c r="O27" s="237"/>
    </row>
    <row r="28" spans="1:19" ht="8.1" customHeight="1" x14ac:dyDescent="0.2"/>
    <row r="29" spans="1:19" ht="18" customHeight="1" x14ac:dyDescent="0.2">
      <c r="A29" s="581" t="s">
        <v>282</v>
      </c>
      <c r="B29" s="582"/>
      <c r="C29" s="583"/>
      <c r="D29" s="581" t="s">
        <v>313</v>
      </c>
      <c r="E29" s="582"/>
      <c r="F29" s="582"/>
      <c r="G29" s="583"/>
      <c r="H29" s="581" t="s">
        <v>283</v>
      </c>
      <c r="I29" s="582"/>
      <c r="J29" s="582"/>
      <c r="K29" s="583"/>
      <c r="L29" s="581" t="s">
        <v>264</v>
      </c>
      <c r="M29" s="582"/>
      <c r="N29" s="582"/>
      <c r="O29" s="583"/>
    </row>
    <row r="30" spans="1:19" ht="18" customHeight="1" x14ac:dyDescent="0.2">
      <c r="A30" s="252"/>
      <c r="B30" s="242" t="str">
        <f>TestLocation</f>
        <v>On-Site</v>
      </c>
      <c r="C30" s="253"/>
      <c r="D30" s="558" t="str">
        <f>CONCATENATE(Main!D22,"°F"," / ",Main!D23,"% RH")</f>
        <v>°F / % RH</v>
      </c>
      <c r="E30" s="559"/>
      <c r="F30" s="559"/>
      <c r="G30" s="560"/>
      <c r="H30" s="558" t="str">
        <f>OvenLocation</f>
        <v>PRODUCTION - Tested on Site</v>
      </c>
      <c r="I30" s="559"/>
      <c r="J30" s="559"/>
      <c r="K30" s="560"/>
      <c r="L30" s="558" t="str">
        <f>Condition</f>
        <v>Used</v>
      </c>
      <c r="M30" s="559"/>
      <c r="N30" s="559"/>
      <c r="O30" s="560"/>
    </row>
    <row r="31" spans="1:19" ht="18" customHeight="1" x14ac:dyDescent="0.2"/>
    <row r="32" spans="1:19" ht="18" customHeight="1" x14ac:dyDescent="0.25">
      <c r="A32" s="275" t="s">
        <v>314</v>
      </c>
      <c r="B32" s="573" t="s">
        <v>315</v>
      </c>
      <c r="C32" s="573"/>
      <c r="D32" s="275" t="s">
        <v>278</v>
      </c>
      <c r="E32" s="275" t="s">
        <v>277</v>
      </c>
      <c r="F32" s="275" t="s">
        <v>316</v>
      </c>
      <c r="G32" s="100"/>
      <c r="H32" s="100"/>
      <c r="I32" s="275" t="s">
        <v>314</v>
      </c>
      <c r="J32" s="573" t="s">
        <v>315</v>
      </c>
      <c r="K32" s="573"/>
      <c r="L32" s="275" t="s">
        <v>278</v>
      </c>
      <c r="M32" s="275" t="s">
        <v>277</v>
      </c>
      <c r="N32" s="275" t="s">
        <v>316</v>
      </c>
    </row>
    <row r="33" spans="1:14" ht="18" customHeight="1" x14ac:dyDescent="0.2">
      <c r="A33" s="276" t="str">
        <f>IF(B33="","",1)</f>
        <v/>
      </c>
      <c r="B33" s="572" t="str">
        <f>IF(Main!O5="","",Main!O5)</f>
        <v/>
      </c>
      <c r="C33" s="572"/>
      <c r="D33" s="277" t="str">
        <f>IF(Access_Data!B27="","",Access_Data!B27)</f>
        <v/>
      </c>
      <c r="E33" s="277" t="str">
        <f>IF(Access_Data!B29="","",Access_Data!B29)</f>
        <v/>
      </c>
      <c r="F33" s="277">
        <f>IF(Access_Data!B31="","",Access_Data!B31)</f>
        <v>0</v>
      </c>
      <c r="G33" s="100"/>
      <c r="H33" s="100"/>
      <c r="I33" s="276" t="str">
        <f>IF(J33="","",21)</f>
        <v/>
      </c>
      <c r="J33" s="572" t="str">
        <f>IF(Main!O25="","",Main!O25)</f>
        <v/>
      </c>
      <c r="K33" s="572"/>
      <c r="L33" s="277" t="str">
        <f>IF(Access_Data!AB27="","",Access_Data!AB27)</f>
        <v/>
      </c>
      <c r="M33" s="277" t="str">
        <f>IF(Access_Data!AB29="","",Access_Data!AB29)</f>
        <v/>
      </c>
      <c r="N33" s="277">
        <f>IF(Access_Data!AB31="","",Access_Data!AB31)</f>
        <v>0</v>
      </c>
    </row>
    <row r="34" spans="1:14" ht="18" customHeight="1" x14ac:dyDescent="0.2">
      <c r="A34" s="276" t="str">
        <f>IF(B34="","",2)</f>
        <v/>
      </c>
      <c r="B34" s="572" t="str">
        <f>IF(Main!O6="","",Main!O6)</f>
        <v/>
      </c>
      <c r="C34" s="572"/>
      <c r="D34" s="277" t="str">
        <f>IF(Access_Data!C27="","",Access_Data!C27)</f>
        <v/>
      </c>
      <c r="E34" s="277" t="str">
        <f>IF(Access_Data!C29="","",Access_Data!C29)</f>
        <v/>
      </c>
      <c r="F34" s="277">
        <f>IF(Access_Data!C31="","",Access_Data!C31)</f>
        <v>0</v>
      </c>
      <c r="G34" s="100"/>
      <c r="H34" s="100"/>
      <c r="I34" s="276" t="str">
        <f>IF(J34="","",22)</f>
        <v/>
      </c>
      <c r="J34" s="572" t="str">
        <f>IF(Main!O26="","",Main!O26)</f>
        <v/>
      </c>
      <c r="K34" s="572"/>
      <c r="L34" s="277" t="str">
        <f>IF(Access_Data!AC27="","",Access_Data!AC27)</f>
        <v/>
      </c>
      <c r="M34" s="277" t="str">
        <f>IF(Access_Data!AC29="","",Access_Data!AC29)</f>
        <v/>
      </c>
      <c r="N34" s="277">
        <f>IF(Access_Data!AC31="","",Access_Data!AC31)</f>
        <v>0</v>
      </c>
    </row>
    <row r="35" spans="1:14" ht="18" customHeight="1" x14ac:dyDescent="0.2">
      <c r="A35" s="276" t="str">
        <f>IF(B35="","",3)</f>
        <v/>
      </c>
      <c r="B35" s="572" t="str">
        <f>IF(Main!O7="","",Main!O7)</f>
        <v/>
      </c>
      <c r="C35" s="572"/>
      <c r="D35" s="277" t="str">
        <f>IF(Access_Data!D27="","",Access_Data!D27)</f>
        <v/>
      </c>
      <c r="E35" s="277" t="str">
        <f>IF(Access_Data!D29="","",Access_Data!D29)</f>
        <v/>
      </c>
      <c r="F35" s="277">
        <f>IF(Access_Data!D31="","",Access_Data!D31)</f>
        <v>0</v>
      </c>
      <c r="G35" s="100"/>
      <c r="H35" s="100"/>
      <c r="I35" s="276" t="str">
        <f>IF(J35="","",23)</f>
        <v/>
      </c>
      <c r="J35" s="572" t="str">
        <f>IF(Main!O27="","",Main!O27)</f>
        <v/>
      </c>
      <c r="K35" s="572"/>
      <c r="L35" s="277" t="str">
        <f>IF(Access_Data!AD27="","",Access_Data!AD27)</f>
        <v/>
      </c>
      <c r="M35" s="277" t="str">
        <f>IF(Access_Data!AD29="","",Access_Data!AD29)</f>
        <v/>
      </c>
      <c r="N35" s="277">
        <f>IF(Access_Data!AD31="","",Access_Data!AD31)</f>
        <v>0</v>
      </c>
    </row>
    <row r="36" spans="1:14" ht="18" customHeight="1" x14ac:dyDescent="0.2">
      <c r="A36" s="276" t="str">
        <f>IF(B36="","",4)</f>
        <v/>
      </c>
      <c r="B36" s="572" t="str">
        <f>IF(Main!O8="","",Main!O8)</f>
        <v/>
      </c>
      <c r="C36" s="572"/>
      <c r="D36" s="277" t="str">
        <f>IF(Access_Data!E27="","",Access_Data!E27)</f>
        <v/>
      </c>
      <c r="E36" s="277" t="str">
        <f>IF(Access_Data!E29="","",Access_Data!E29)</f>
        <v/>
      </c>
      <c r="F36" s="277">
        <f>IF(Access_Data!E31="","",Access_Data!E31)</f>
        <v>0</v>
      </c>
      <c r="G36" s="100"/>
      <c r="H36" s="100"/>
      <c r="I36" s="276" t="str">
        <f>IF(J36="","",24)</f>
        <v/>
      </c>
      <c r="J36" s="572" t="str">
        <f>IF(Main!O28="","",Main!O28)</f>
        <v/>
      </c>
      <c r="K36" s="572"/>
      <c r="L36" s="277" t="str">
        <f>IF(Access_Data!AE27="","",Access_Data!AE27)</f>
        <v/>
      </c>
      <c r="M36" s="277" t="str">
        <f>IF(Access_Data!AE29="","",Access_Data!AE29)</f>
        <v/>
      </c>
      <c r="N36" s="277">
        <f>IF(Access_Data!AE31="","",Access_Data!AE31)</f>
        <v>0</v>
      </c>
    </row>
    <row r="37" spans="1:14" ht="18" customHeight="1" x14ac:dyDescent="0.2">
      <c r="A37" s="276" t="str">
        <f>IF(B37="","",5)</f>
        <v/>
      </c>
      <c r="B37" s="572" t="str">
        <f>IF(Main!O9="","",Main!O9)</f>
        <v/>
      </c>
      <c r="C37" s="572"/>
      <c r="D37" s="277" t="str">
        <f>IF(Access_Data!F27="","",Access_Data!F27)</f>
        <v/>
      </c>
      <c r="E37" s="277" t="str">
        <f>IF(Access_Data!F29="","",Access_Data!F29)</f>
        <v/>
      </c>
      <c r="F37" s="277">
        <f>IF(Access_Data!F31="","",Access_Data!F31)</f>
        <v>0</v>
      </c>
      <c r="G37" s="100"/>
      <c r="H37" s="100"/>
      <c r="I37" s="276" t="str">
        <f>IF(J37="","",25)</f>
        <v/>
      </c>
      <c r="J37" s="572" t="str">
        <f>IF(Main!O29="","",Main!O29)</f>
        <v/>
      </c>
      <c r="K37" s="572"/>
      <c r="L37" s="277" t="str">
        <f>IF(Access_Data!AF27="","",Access_Data!AF27)</f>
        <v/>
      </c>
      <c r="M37" s="277" t="str">
        <f>IF(Access_Data!AF29="","",Access_Data!AF29)</f>
        <v/>
      </c>
      <c r="N37" s="277">
        <f>IF(Access_Data!AF31="","",Access_Data!AF31)</f>
        <v>0</v>
      </c>
    </row>
    <row r="38" spans="1:14" ht="18" customHeight="1" x14ac:dyDescent="0.2">
      <c r="A38" s="276" t="str">
        <f>IF(B38="","",6)</f>
        <v/>
      </c>
      <c r="B38" s="572" t="str">
        <f>IF(Main!O10="","",Main!O10)</f>
        <v/>
      </c>
      <c r="C38" s="572"/>
      <c r="D38" s="277" t="str">
        <f>IF(Access_Data!G27="","",Access_Data!G27)</f>
        <v/>
      </c>
      <c r="E38" s="277" t="str">
        <f>IF(Access_Data!G29="","",Access_Data!G29)</f>
        <v/>
      </c>
      <c r="F38" s="277">
        <f>IF(Access_Data!G31="","",Access_Data!G31)</f>
        <v>0</v>
      </c>
      <c r="G38" s="100"/>
      <c r="H38" s="100"/>
      <c r="I38" s="276" t="str">
        <f>IF(J38="","",26)</f>
        <v/>
      </c>
      <c r="J38" s="572" t="str">
        <f>IF(Main!O30="","",Main!O30)</f>
        <v/>
      </c>
      <c r="K38" s="572"/>
      <c r="L38" s="277" t="str">
        <f>IF(Access_Data!AG27="","",Access_Data!AG27)</f>
        <v/>
      </c>
      <c r="M38" s="277" t="str">
        <f>IF(Access_Data!AG29="","",Access_Data!AG29)</f>
        <v/>
      </c>
      <c r="N38" s="277">
        <f>IF(Access_Data!AG31="","",Access_Data!AG31)</f>
        <v>0</v>
      </c>
    </row>
    <row r="39" spans="1:14" ht="18" customHeight="1" x14ac:dyDescent="0.2">
      <c r="A39" s="276" t="str">
        <f>IF(B39="","",7)</f>
        <v/>
      </c>
      <c r="B39" s="572" t="str">
        <f>IF(Main!O11="","",Main!O11)</f>
        <v/>
      </c>
      <c r="C39" s="572"/>
      <c r="D39" s="277" t="str">
        <f>IF(Access_Data!H27="","",Access_Data!H27)</f>
        <v/>
      </c>
      <c r="E39" s="277" t="str">
        <f>IF(Access_Data!H29="","",Access_Data!H29)</f>
        <v/>
      </c>
      <c r="F39" s="277">
        <f>IF(Access_Data!H31="","",Access_Data!H31)</f>
        <v>0</v>
      </c>
      <c r="G39" s="100"/>
      <c r="H39" s="100"/>
      <c r="I39" s="276" t="str">
        <f>IF(J39="","",27)</f>
        <v/>
      </c>
      <c r="J39" s="572" t="str">
        <f>IF(Main!O31="","",Main!O31)</f>
        <v/>
      </c>
      <c r="K39" s="572"/>
      <c r="L39" s="277" t="str">
        <f>IF(Access_Data!AH27="","",Access_Data!AH27)</f>
        <v/>
      </c>
      <c r="M39" s="277" t="str">
        <f>IF(Access_Data!AH29="","",Access_Data!AH29)</f>
        <v/>
      </c>
      <c r="N39" s="277">
        <f>IF(Access_Data!AH31="","",Access_Data!AH31)</f>
        <v>0</v>
      </c>
    </row>
    <row r="40" spans="1:14" ht="18" customHeight="1" x14ac:dyDescent="0.2">
      <c r="A40" s="276" t="str">
        <f>IF(B40="","",8)</f>
        <v/>
      </c>
      <c r="B40" s="572" t="str">
        <f>IF(Main!O12="","",Main!O12)</f>
        <v/>
      </c>
      <c r="C40" s="572"/>
      <c r="D40" s="277" t="str">
        <f>IF(Access_Data!I27="","",Access_Data!I27)</f>
        <v/>
      </c>
      <c r="E40" s="277" t="str">
        <f>IF(Access_Data!I29="","",Access_Data!I29)</f>
        <v/>
      </c>
      <c r="F40" s="277">
        <f>IF(Access_Data!I31="","",Access_Data!I31)</f>
        <v>0</v>
      </c>
      <c r="G40" s="100"/>
      <c r="H40" s="100"/>
      <c r="I40" s="276" t="str">
        <f>IF(J40="","",28)</f>
        <v/>
      </c>
      <c r="J40" s="572" t="str">
        <f>IF(Main!O32="","",Main!O32)</f>
        <v/>
      </c>
      <c r="K40" s="572"/>
      <c r="L40" s="277" t="str">
        <f>IF(Access_Data!AI27="","",Access_Data!AI27)</f>
        <v/>
      </c>
      <c r="M40" s="277" t="str">
        <f>IF(Access_Data!AI29="","",Access_Data!AI29)</f>
        <v/>
      </c>
      <c r="N40" s="277">
        <f>IF(Access_Data!AI31="","",Access_Data!AI31)</f>
        <v>0</v>
      </c>
    </row>
    <row r="41" spans="1:14" ht="18" customHeight="1" x14ac:dyDescent="0.2">
      <c r="A41" s="276" t="str">
        <f>IF(B41="","",9)</f>
        <v/>
      </c>
      <c r="B41" s="572" t="str">
        <f>IF(Main!O13="","",Main!O13)</f>
        <v/>
      </c>
      <c r="C41" s="572"/>
      <c r="D41" s="277" t="str">
        <f>IF(Access_Data!J27="","",Access_Data!J27)</f>
        <v/>
      </c>
      <c r="E41" s="277" t="str">
        <f>IF(Access_Data!J29="","",Access_Data!J29)</f>
        <v/>
      </c>
      <c r="F41" s="277">
        <f>IF(Access_Data!J31="","",Access_Data!J31)</f>
        <v>0</v>
      </c>
      <c r="G41" s="100"/>
      <c r="H41" s="100"/>
      <c r="I41" s="276" t="str">
        <f>IF(J41="","",29)</f>
        <v/>
      </c>
      <c r="J41" s="572" t="str">
        <f>IF(Main!O33="","",Main!O33)</f>
        <v/>
      </c>
      <c r="K41" s="572"/>
      <c r="L41" s="277" t="str">
        <f>IF(Access_Data!AP27="","",Access_Data!AP27)</f>
        <v/>
      </c>
      <c r="M41" s="277" t="str">
        <f>IF(Access_Data!AP29="","",Access_Data!AP29)</f>
        <v/>
      </c>
      <c r="N41" s="277">
        <f>IF(Access_Data!AP31="","",Access_Data!AP31)</f>
        <v>0</v>
      </c>
    </row>
    <row r="42" spans="1:14" ht="18" customHeight="1" x14ac:dyDescent="0.2">
      <c r="A42" s="276" t="str">
        <f>IF(B42="","",10)</f>
        <v/>
      </c>
      <c r="B42" s="572" t="str">
        <f>IF(Main!O14="","",Main!O14)</f>
        <v/>
      </c>
      <c r="C42" s="572"/>
      <c r="D42" s="277" t="str">
        <f>IF(Access_Data!K27="","",Access_Data!K27)</f>
        <v/>
      </c>
      <c r="E42" s="277" t="str">
        <f>IF(Access_Data!K29="","",Access_Data!K29)</f>
        <v/>
      </c>
      <c r="F42" s="277">
        <f>IF(Access_Data!K31="","",Access_Data!K31)</f>
        <v>0</v>
      </c>
      <c r="G42" s="100"/>
      <c r="H42" s="100"/>
      <c r="I42" s="276" t="str">
        <f>IF(J42="","",30)</f>
        <v/>
      </c>
      <c r="J42" s="572" t="str">
        <f>IF(Main!O34="","",Main!O34)</f>
        <v/>
      </c>
      <c r="K42" s="572"/>
      <c r="L42" s="277" t="str">
        <f>IF(Access_Data!AQ27="","",Access_Data!AQ27)</f>
        <v/>
      </c>
      <c r="M42" s="277" t="str">
        <f>IF(Access_Data!AQ29="","",Access_Data!AQ29)</f>
        <v/>
      </c>
      <c r="N42" s="277">
        <f>IF(Access_Data!AQ31="","",Access_Data!AQ31)</f>
        <v>0</v>
      </c>
    </row>
    <row r="43" spans="1:14" ht="18" customHeight="1" x14ac:dyDescent="0.2">
      <c r="A43" s="276" t="str">
        <f>IF(B43="","",11)</f>
        <v/>
      </c>
      <c r="B43" s="572" t="str">
        <f>IF(Main!O15="","",Main!O15)</f>
        <v/>
      </c>
      <c r="C43" s="572"/>
      <c r="D43" s="277" t="str">
        <f>IF(Access_Data!L27="","",Access_Data!L27)</f>
        <v/>
      </c>
      <c r="E43" s="277" t="str">
        <f>IF(Access_Data!L29="","",Access_Data!L29)</f>
        <v/>
      </c>
      <c r="F43" s="277">
        <f>IF(Access_Data!L31="","",Access_Data!L31)</f>
        <v>0</v>
      </c>
      <c r="G43" s="100"/>
      <c r="H43" s="100"/>
      <c r="I43" s="276" t="str">
        <f>IF(J43="","",31)</f>
        <v/>
      </c>
      <c r="J43" s="572" t="str">
        <f>IF(Main!O35="","",Main!O35)</f>
        <v/>
      </c>
      <c r="K43" s="572"/>
      <c r="L43" s="277" t="str">
        <f>IF(Access_Data!AR27="","",Access_Data!AR27)</f>
        <v/>
      </c>
      <c r="M43" s="277" t="str">
        <f>IF(Access_Data!AR29="","",Access_Data!AR29)</f>
        <v/>
      </c>
      <c r="N43" s="277">
        <f>IF(Access_Data!AR31="","",Access_Data!AR31)</f>
        <v>0</v>
      </c>
    </row>
    <row r="44" spans="1:14" ht="18" customHeight="1" x14ac:dyDescent="0.2">
      <c r="A44" s="276" t="str">
        <f>IF(B44="","",12)</f>
        <v/>
      </c>
      <c r="B44" s="572" t="str">
        <f>IF(Main!O16="","",Main!O16)</f>
        <v/>
      </c>
      <c r="C44" s="572"/>
      <c r="D44" s="277" t="str">
        <f>IF(Access_Data!M27="","",Access_Data!M27)</f>
        <v/>
      </c>
      <c r="E44" s="277" t="str">
        <f>IF(Access_Data!M29="","",Access_Data!M29)</f>
        <v/>
      </c>
      <c r="F44" s="277">
        <f>IF(Access_Data!M31="","",Access_Data!M31)</f>
        <v>0</v>
      </c>
      <c r="G44" s="100"/>
      <c r="H44" s="100"/>
      <c r="I44" s="276" t="str">
        <f>IF(J44="","",32)</f>
        <v/>
      </c>
      <c r="J44" s="572" t="str">
        <f>IF(Main!O36="","",Main!O36)</f>
        <v/>
      </c>
      <c r="K44" s="572"/>
      <c r="L44" s="277" t="str">
        <f>IF(Access_Data!AS27="","",Access_Data!AS27)</f>
        <v/>
      </c>
      <c r="M44" s="277" t="str">
        <f>IF(Access_Data!AS29="","",Access_Data!AS29)</f>
        <v/>
      </c>
      <c r="N44" s="277">
        <f>IF(Access_Data!AS31="","",Access_Data!AS31)</f>
        <v>0</v>
      </c>
    </row>
    <row r="45" spans="1:14" ht="18" customHeight="1" x14ac:dyDescent="0.2">
      <c r="A45" s="276" t="str">
        <f>IF(B45="","",13)</f>
        <v/>
      </c>
      <c r="B45" s="572" t="str">
        <f>IF(Main!O17="","",Main!O17)</f>
        <v/>
      </c>
      <c r="C45" s="572"/>
      <c r="D45" s="277" t="str">
        <f>IF(Access_Data!N27="","",Access_Data!N27)</f>
        <v/>
      </c>
      <c r="E45" s="277" t="str">
        <f>IF(Access_Data!N29="","",Access_Data!N29)</f>
        <v/>
      </c>
      <c r="F45" s="277">
        <f>IF(Access_Data!N31="","",Access_Data!N31)</f>
        <v>0</v>
      </c>
      <c r="G45" s="100"/>
      <c r="H45" s="100"/>
      <c r="I45" s="276" t="str">
        <f>IF(J45="","",33)</f>
        <v/>
      </c>
      <c r="J45" s="572" t="str">
        <f>IF(Main!O37="","",Main!O37)</f>
        <v/>
      </c>
      <c r="K45" s="572"/>
      <c r="L45" s="277" t="str">
        <f>IF(Access_Data!AT27="","",Access_Data!AT27)</f>
        <v/>
      </c>
      <c r="M45" s="277" t="str">
        <f>IF(Access_Data!AT29="","",Access_Data!AT29)</f>
        <v/>
      </c>
      <c r="N45" s="277">
        <f>IF(Access_Data!AT31="","",Access_Data!AT31)</f>
        <v>0</v>
      </c>
    </row>
    <row r="46" spans="1:14" ht="18" customHeight="1" x14ac:dyDescent="0.2">
      <c r="A46" s="276" t="str">
        <f>IF(B46="","",14)</f>
        <v/>
      </c>
      <c r="B46" s="572" t="str">
        <f>IF(Main!O18="","",Main!O18)</f>
        <v/>
      </c>
      <c r="C46" s="572"/>
      <c r="D46" s="277" t="str">
        <f>IF(Access_Data!O27="","",Access_Data!O27)</f>
        <v/>
      </c>
      <c r="E46" s="277" t="str">
        <f>IF(Access_Data!O29="","",Access_Data!O29)</f>
        <v/>
      </c>
      <c r="F46" s="277">
        <f>IF(Access_Data!O31="","",Access_Data!O31)</f>
        <v>0</v>
      </c>
      <c r="G46" s="100"/>
      <c r="H46" s="100"/>
      <c r="I46" s="276" t="str">
        <f>IF(J46="","",34)</f>
        <v/>
      </c>
      <c r="J46" s="572" t="str">
        <f>IF(Main!O38="","",Main!O38)</f>
        <v/>
      </c>
      <c r="K46" s="572"/>
      <c r="L46" s="277" t="str">
        <f>IF(Access_Data!AU27="","",Access_Data!AU27)</f>
        <v/>
      </c>
      <c r="M46" s="277" t="str">
        <f>IF(Access_Data!AU29="","",Access_Data!AU29)</f>
        <v/>
      </c>
      <c r="N46" s="277">
        <f>IF(Access_Data!AU31="","",Access_Data!AU31)</f>
        <v>0</v>
      </c>
    </row>
    <row r="47" spans="1:14" ht="18" customHeight="1" x14ac:dyDescent="0.2">
      <c r="A47" s="276" t="str">
        <f>IF(B47="","",15)</f>
        <v/>
      </c>
      <c r="B47" s="572" t="str">
        <f>IF(Main!O19="","",Main!O19)</f>
        <v/>
      </c>
      <c r="C47" s="572"/>
      <c r="D47" s="277" t="str">
        <f>IF(Access_Data!V27="","",Access_Data!V27)</f>
        <v/>
      </c>
      <c r="E47" s="277" t="str">
        <f>IF(Access_Data!V29="","",Access_Data!V29)</f>
        <v/>
      </c>
      <c r="F47" s="277">
        <f>IF(Access_Data!V31="","",Access_Data!V31)</f>
        <v>0</v>
      </c>
      <c r="G47" s="100"/>
      <c r="H47" s="100"/>
      <c r="I47" s="276" t="str">
        <f>IF(J47="","",35)</f>
        <v/>
      </c>
      <c r="J47" s="572" t="str">
        <f>IF(Main!O39="","",Main!O39)</f>
        <v/>
      </c>
      <c r="K47" s="572"/>
      <c r="L47" s="277" t="str">
        <f>IF(Access_Data!AV27="","",Access_Data!AV27)</f>
        <v/>
      </c>
      <c r="M47" s="277" t="str">
        <f>IF(Access_Data!AV29="","",Access_Data!AV29)</f>
        <v/>
      </c>
      <c r="N47" s="277">
        <f>IF(Access_Data!AV31="","",Access_Data!AV31)</f>
        <v>0</v>
      </c>
    </row>
    <row r="48" spans="1:14" ht="18" customHeight="1" x14ac:dyDescent="0.2">
      <c r="A48" s="276" t="str">
        <f>IF(B48="","",16)</f>
        <v/>
      </c>
      <c r="B48" s="572" t="str">
        <f>IF(Main!O20="","",Main!O20)</f>
        <v/>
      </c>
      <c r="C48" s="572"/>
      <c r="D48" s="277" t="str">
        <f>IF(Access_Data!W27="","",Access_Data!W27)</f>
        <v/>
      </c>
      <c r="E48" s="277" t="str">
        <f>IF(Access_Data!W29="","",Access_Data!W29)</f>
        <v/>
      </c>
      <c r="F48" s="277">
        <f>IF(Access_Data!W31="","",Access_Data!W31)</f>
        <v>0</v>
      </c>
      <c r="G48" s="100"/>
      <c r="H48" s="100"/>
      <c r="I48" s="276" t="str">
        <f>IF(J48="","",36)</f>
        <v/>
      </c>
      <c r="J48" s="572" t="str">
        <f>IF(Main!O40="","",Main!O40)</f>
        <v/>
      </c>
      <c r="K48" s="572"/>
      <c r="L48" s="277" t="str">
        <f>IF(Access_Data!AW27="","",Access_Data!AW27)</f>
        <v/>
      </c>
      <c r="M48" s="277" t="str">
        <f>IF(Access_Data!AW29="","",Access_Data!AW29)</f>
        <v/>
      </c>
      <c r="N48" s="277">
        <f>IF(Access_Data!AW31="","",Access_Data!AW31)</f>
        <v>0</v>
      </c>
    </row>
    <row r="49" spans="1:20" ht="18" customHeight="1" x14ac:dyDescent="0.2">
      <c r="A49" s="276" t="str">
        <f>IF(B49="","",17)</f>
        <v/>
      </c>
      <c r="B49" s="572" t="str">
        <f>IF(Main!O21="","",Main!O21)</f>
        <v/>
      </c>
      <c r="C49" s="572"/>
      <c r="D49" s="277" t="str">
        <f>IF(Access_Data!X27="","",Access_Data!X27)</f>
        <v/>
      </c>
      <c r="E49" s="277" t="str">
        <f>IF(Access_Data!X29="","",Access_Data!X29)</f>
        <v/>
      </c>
      <c r="F49" s="277">
        <f>IF(Access_Data!X31="","",Access_Data!X31)</f>
        <v>0</v>
      </c>
      <c r="G49" s="100"/>
      <c r="H49" s="100"/>
      <c r="I49" s="276" t="str">
        <f>IF(J49="","",37)</f>
        <v/>
      </c>
      <c r="J49" s="572" t="str">
        <f>IF(Main!O41="","",Main!O41)</f>
        <v/>
      </c>
      <c r="K49" s="572"/>
      <c r="L49" s="277" t="str">
        <f>IF(Access_Data!AX27="","",Access_Data!AX27)</f>
        <v/>
      </c>
      <c r="M49" s="277" t="str">
        <f>IF(Access_Data!AX29="","",Access_Data!AX29)</f>
        <v/>
      </c>
      <c r="N49" s="277">
        <f>IF(Access_Data!AX31="","",Access_Data!AX31)</f>
        <v>0</v>
      </c>
    </row>
    <row r="50" spans="1:20" ht="18" customHeight="1" x14ac:dyDescent="0.2">
      <c r="A50" s="276" t="str">
        <f>IF(B50="","",18)</f>
        <v/>
      </c>
      <c r="B50" s="572" t="str">
        <f>IF(Main!O22="","",Main!O22)</f>
        <v/>
      </c>
      <c r="C50" s="572"/>
      <c r="D50" s="277" t="str">
        <f>IF(Access_Data!Y27="","",Access_Data!Y27)</f>
        <v/>
      </c>
      <c r="E50" s="277" t="str">
        <f>IF(Access_Data!Y29="","",Access_Data!Y29)</f>
        <v/>
      </c>
      <c r="F50" s="277">
        <f>IF(Access_Data!Y31="","",Access_Data!Y31)</f>
        <v>0</v>
      </c>
      <c r="G50" s="100"/>
      <c r="H50" s="100"/>
      <c r="I50" s="276" t="str">
        <f>IF(J50="","",38)</f>
        <v/>
      </c>
      <c r="J50" s="572" t="str">
        <f>IF(Main!O42="","",Main!O42)</f>
        <v/>
      </c>
      <c r="K50" s="572"/>
      <c r="L50" s="277" t="str">
        <f>IF(Access_Data!AY27="","",Access_Data!AY27)</f>
        <v/>
      </c>
      <c r="M50" s="277" t="str">
        <f>IF(Access_Data!AY29="","",Access_Data!AY29)</f>
        <v/>
      </c>
      <c r="N50" s="277">
        <f>IF(Access_Data!AY31="","",Access_Data!AY31)</f>
        <v>0</v>
      </c>
    </row>
    <row r="51" spans="1:20" ht="18" customHeight="1" x14ac:dyDescent="0.2">
      <c r="A51" s="276" t="str">
        <f>IF(B51="","",19)</f>
        <v/>
      </c>
      <c r="B51" s="572" t="str">
        <f>IF(Main!O23="","",Main!O23)</f>
        <v/>
      </c>
      <c r="C51" s="572"/>
      <c r="D51" s="277" t="str">
        <f>IF(Access_Data!Z27="","",Access_Data!X27)</f>
        <v/>
      </c>
      <c r="E51" s="277" t="str">
        <f>IF(Access_Data!Z29="","",Access_Data!Z29)</f>
        <v/>
      </c>
      <c r="F51" s="277">
        <f>IF(Access_Data!Z31="","",Access_Data!Z31)</f>
        <v>0</v>
      </c>
      <c r="G51" s="100"/>
      <c r="H51" s="100"/>
      <c r="I51" s="276" t="str">
        <f>IF(J51="","",39)</f>
        <v/>
      </c>
      <c r="J51" s="572" t="str">
        <f>IF(Main!O43="","",Main!O43)</f>
        <v/>
      </c>
      <c r="K51" s="572"/>
      <c r="L51" s="277" t="str">
        <f>IF(Access_Data!AZ27="","",Access_Data!AZ27)</f>
        <v/>
      </c>
      <c r="M51" s="277" t="str">
        <f>IF(Access_Data!AZ29="","",Access_Data!AZ29)</f>
        <v/>
      </c>
      <c r="N51" s="277">
        <f>IF(Access_Data!AZ31="","",Access_Data!AZ31)</f>
        <v>0</v>
      </c>
    </row>
    <row r="52" spans="1:20" ht="18" customHeight="1" x14ac:dyDescent="0.2">
      <c r="A52" s="276" t="str">
        <f>IF(B52="","",20)</f>
        <v/>
      </c>
      <c r="B52" s="572" t="str">
        <f>IF(Main!O24="","",Main!O24)</f>
        <v/>
      </c>
      <c r="C52" s="572"/>
      <c r="D52" s="277" t="str">
        <f>IF(Access_Data!AA27="","",Access_Data!AA27)</f>
        <v/>
      </c>
      <c r="E52" s="277" t="str">
        <f>IF(Access_Data!AA29="","",Access_Data!AA29)</f>
        <v/>
      </c>
      <c r="F52" s="277">
        <f>IF(Access_Data!AA31="","",Access_Data!AA31)</f>
        <v>0</v>
      </c>
      <c r="G52" s="100"/>
      <c r="H52" s="100"/>
      <c r="I52" s="276" t="str">
        <f>IF(J52="","",40)</f>
        <v/>
      </c>
      <c r="J52" s="572" t="str">
        <f>IF(Main!O44="","",Main!O44)</f>
        <v/>
      </c>
      <c r="K52" s="572"/>
      <c r="L52" s="277" t="str">
        <f>IF(Access_Data!BA27="","",Access_Data!BA27)</f>
        <v/>
      </c>
      <c r="M52" s="277" t="str">
        <f>IF(Access_Data!BA29="","",Access_Data!BA29)</f>
        <v/>
      </c>
      <c r="N52" s="277">
        <f>IF(Access_Data!BA31="","",Access_Data!BA31)</f>
        <v>0</v>
      </c>
    </row>
    <row r="53" spans="1:20" ht="18" customHeight="1" x14ac:dyDescent="0.2">
      <c r="B53" s="577" t="s">
        <v>317</v>
      </c>
      <c r="C53" s="577"/>
      <c r="D53" s="577"/>
      <c r="E53" s="577"/>
      <c r="F53" s="577"/>
      <c r="G53" s="577"/>
      <c r="H53" s="577"/>
      <c r="I53" s="577"/>
      <c r="J53" s="577"/>
      <c r="K53" s="577"/>
      <c r="L53" s="577"/>
      <c r="M53" s="577"/>
      <c r="N53" s="577"/>
    </row>
    <row r="54" spans="1:20" ht="18" customHeight="1" x14ac:dyDescent="0.25">
      <c r="A54" s="278" t="s">
        <v>318</v>
      </c>
      <c r="B54" s="586" t="str">
        <f>CONCATENATE(Main!G23,"  ",FurnaceSpecificComments)</f>
        <v xml:space="preserve">Found in tolerance.  No adjustment required.  </v>
      </c>
      <c r="C54" s="586"/>
      <c r="D54" s="586"/>
      <c r="E54" s="586"/>
      <c r="F54" s="586"/>
      <c r="G54" s="586"/>
      <c r="H54" s="586"/>
      <c r="I54" s="586"/>
      <c r="J54" s="586"/>
      <c r="K54" s="586"/>
      <c r="L54" s="586"/>
      <c r="M54" s="586"/>
      <c r="N54" s="586"/>
      <c r="O54" s="586"/>
    </row>
    <row r="55" spans="1:20" ht="18" customHeight="1" x14ac:dyDescent="0.25">
      <c r="A55" s="97"/>
      <c r="B55" s="586"/>
      <c r="C55" s="586"/>
      <c r="D55" s="586"/>
      <c r="E55" s="586"/>
      <c r="F55" s="586"/>
      <c r="G55" s="586"/>
      <c r="H55" s="586"/>
      <c r="I55" s="586"/>
      <c r="J55" s="586"/>
      <c r="K55" s="586"/>
      <c r="L55" s="586"/>
      <c r="M55" s="586"/>
      <c r="N55" s="586"/>
      <c r="O55" s="586"/>
    </row>
    <row r="56" spans="1:20" ht="18" customHeight="1" x14ac:dyDescent="0.25">
      <c r="A56" s="97"/>
      <c r="B56" s="586"/>
      <c r="C56" s="586"/>
      <c r="D56" s="586"/>
      <c r="E56" s="586"/>
      <c r="F56" s="586"/>
      <c r="G56" s="586"/>
      <c r="H56" s="586"/>
      <c r="I56" s="586"/>
      <c r="J56" s="586"/>
      <c r="K56" s="586"/>
      <c r="L56" s="586"/>
      <c r="M56" s="586"/>
      <c r="N56" s="586"/>
      <c r="O56" s="586"/>
    </row>
    <row r="57" spans="1:20" ht="18" customHeight="1" x14ac:dyDescent="0.25">
      <c r="A57" s="97"/>
      <c r="B57" s="586"/>
      <c r="C57" s="586"/>
      <c r="D57" s="586"/>
      <c r="E57" s="586"/>
      <c r="F57" s="586"/>
      <c r="G57" s="586"/>
      <c r="H57" s="586"/>
      <c r="I57" s="586"/>
      <c r="J57" s="586"/>
      <c r="K57" s="586"/>
      <c r="L57" s="586"/>
      <c r="M57" s="586"/>
      <c r="N57" s="586"/>
      <c r="O57" s="586"/>
    </row>
    <row r="58" spans="1:20" ht="18" customHeight="1" x14ac:dyDescent="0.25">
      <c r="A58" s="97"/>
      <c r="B58" s="586"/>
      <c r="C58" s="586"/>
      <c r="D58" s="586"/>
      <c r="E58" s="586"/>
      <c r="F58" s="586"/>
      <c r="G58" s="586"/>
      <c r="H58" s="586"/>
      <c r="I58" s="586"/>
      <c r="J58" s="586"/>
      <c r="K58" s="586"/>
      <c r="L58" s="586"/>
      <c r="M58" s="586"/>
      <c r="N58" s="586"/>
      <c r="O58" s="586"/>
    </row>
    <row r="59" spans="1:20" ht="18" customHeight="1" x14ac:dyDescent="0.25">
      <c r="A59" s="97"/>
      <c r="B59" s="586"/>
      <c r="C59" s="586"/>
      <c r="D59" s="586"/>
      <c r="E59" s="586"/>
      <c r="F59" s="586"/>
      <c r="G59" s="586"/>
      <c r="H59" s="586"/>
      <c r="I59" s="586"/>
      <c r="J59" s="586"/>
      <c r="K59" s="586"/>
      <c r="L59" s="586"/>
      <c r="M59" s="586"/>
      <c r="N59" s="586"/>
      <c r="O59" s="586"/>
    </row>
    <row r="60" spans="1:20" ht="18" customHeight="1" x14ac:dyDescent="0.2">
      <c r="A60" s="576" t="s">
        <v>326</v>
      </c>
      <c r="B60" s="576"/>
      <c r="C60" s="576"/>
      <c r="D60" s="576"/>
      <c r="E60" s="576"/>
      <c r="F60" s="576"/>
      <c r="G60" s="576"/>
      <c r="H60" s="576"/>
      <c r="I60" s="576"/>
      <c r="J60" s="576"/>
      <c r="K60" s="576"/>
      <c r="L60" s="576"/>
      <c r="M60" s="576"/>
      <c r="N60" s="576"/>
      <c r="O60" s="576"/>
    </row>
    <row r="61" spans="1:20" ht="18" customHeight="1" x14ac:dyDescent="0.2">
      <c r="A61" s="580" t="s">
        <v>319</v>
      </c>
      <c r="B61" s="580"/>
      <c r="C61" s="580"/>
      <c r="D61" s="580"/>
      <c r="E61" s="580"/>
      <c r="F61" s="593" t="s">
        <v>320</v>
      </c>
      <c r="G61" s="593"/>
      <c r="H61" s="593"/>
      <c r="I61" s="593" t="s">
        <v>321</v>
      </c>
      <c r="J61" s="593"/>
      <c r="K61" s="593" t="s">
        <v>322</v>
      </c>
      <c r="L61" s="593"/>
      <c r="M61" s="593" t="s">
        <v>323</v>
      </c>
      <c r="N61" s="593"/>
      <c r="O61" s="593"/>
      <c r="R61" s="44" t="s">
        <v>889</v>
      </c>
      <c r="T61" s="44" t="s">
        <v>890</v>
      </c>
    </row>
    <row r="62" spans="1:20" ht="18" customHeight="1" x14ac:dyDescent="0.2">
      <c r="A62" s="561" t="str">
        <f>IF(F62="","",CONCATENATE(T62," - ",R62))</f>
        <v/>
      </c>
      <c r="B62" s="562"/>
      <c r="C62" s="562"/>
      <c r="D62" s="562"/>
      <c r="E62" s="563"/>
      <c r="F62" s="561" t="str" cm="1">
        <f t="array" ref="F62">IFERROR(
  _xlfn.XLOOKUP(
    Main!D9,
    _xlfn._xlws.FILTER(AssetPool[asset_tag], AssetPool[root_category_name]="DAQ Modules"),
    _xlfn._xlws.FILTER(AssetPool[serial_number], AssetPool[root_category_name]="DAQ Modules")
  ),
  ""
)</f>
        <v/>
      </c>
      <c r="G62" s="562"/>
      <c r="H62" s="563"/>
      <c r="I62" s="591" t="str">
        <f>IF(F62="","",Main!D12)</f>
        <v/>
      </c>
      <c r="J62" s="592"/>
      <c r="K62" s="591" t="str">
        <f>IF(F62="","",Main!D13)</f>
        <v/>
      </c>
      <c r="L62" s="592"/>
      <c r="M62" s="555" t="str">
        <f>IF(F62="","",REPLACE(Main!D14,3,1,""))</f>
        <v/>
      </c>
      <c r="N62" s="556"/>
      <c r="O62" s="557"/>
      <c r="Q62" t="str">
        <f>IF(CERT!F62="","",1)</f>
        <v/>
      </c>
      <c r="R62" s="233" t="str">
        <f>IF(Main!D9="", "", _xlfn.XLOOKUP(Main!D9,AssetPool[asset_tag],AssetPool[manufacturer_part_number]))</f>
        <v/>
      </c>
      <c r="T62" s="233" t="str">
        <f>IF(Main!D9="", "", _xlfn.XLOOKUP(Main!D9,AssetPool[asset_tag],AssetPool[category_name]))</f>
        <v/>
      </c>
    </row>
    <row r="63" spans="1:20" ht="18" customHeight="1" x14ac:dyDescent="0.2">
      <c r="A63" s="552" t="str">
        <f t="shared" ref="A63:A68" si="0">IF(Q63="","",CONCATENATE(T63," - ",R63))</f>
        <v/>
      </c>
      <c r="B63" s="553"/>
      <c r="C63" s="553"/>
      <c r="D63" s="553"/>
      <c r="E63" s="554"/>
      <c r="F63" s="552" t="str">
        <f>IF(Main!D48,Main!D48,"")</f>
        <v/>
      </c>
      <c r="G63" s="553"/>
      <c r="H63" s="554"/>
      <c r="I63" s="569" t="str">
        <f>IF(Q63="","",Main!D49)</f>
        <v/>
      </c>
      <c r="J63" s="570"/>
      <c r="K63" s="569" t="str">
        <f>IF(Q63="","",Main!D50)</f>
        <v/>
      </c>
      <c r="L63" s="570"/>
      <c r="M63" s="552" t="str">
        <f>IF(Q63="","",Main!D54)</f>
        <v/>
      </c>
      <c r="N63" s="553"/>
      <c r="O63" s="554"/>
      <c r="Q63" t="str">
        <f>IF(CERT!F63="","",2)</f>
        <v/>
      </c>
      <c r="R63" s="233" t="str">
        <f>IFERROR(_xlfn.XLOOKUP(F63,AssetPool[serial_number],AssetPool[manufacturer_part_number]),"")</f>
        <v>Generic 3436</v>
      </c>
      <c r="T63" s="233" t="str">
        <f>IFERROR(_xlfn.XLOOKUP(F63,AssetPool[serial_number],AssetPool[category_name]),"")</f>
        <v>TC Wire</v>
      </c>
    </row>
    <row r="64" spans="1:20" ht="18" customHeight="1" x14ac:dyDescent="0.2">
      <c r="A64" s="552" t="str">
        <f t="shared" si="0"/>
        <v/>
      </c>
      <c r="B64" s="553"/>
      <c r="C64" s="553"/>
      <c r="D64" s="553"/>
      <c r="E64" s="554"/>
      <c r="F64" s="552" t="str">
        <f>IF(Main!E48,Main!E48,"")</f>
        <v/>
      </c>
      <c r="G64" s="553"/>
      <c r="H64" s="554"/>
      <c r="I64" s="569" t="str">
        <f>IF(Q64="","",Main!E49)</f>
        <v/>
      </c>
      <c r="J64" s="570"/>
      <c r="K64" s="569" t="str">
        <f>IF(Q64="","",Main!E50)</f>
        <v/>
      </c>
      <c r="L64" s="570"/>
      <c r="M64" s="552" t="str">
        <f>IF(Q64="","",Main!E54)</f>
        <v/>
      </c>
      <c r="N64" s="553"/>
      <c r="O64" s="554"/>
      <c r="Q64" t="str">
        <f>IF(CERT!F64="","",3)</f>
        <v/>
      </c>
      <c r="R64" s="233" t="str">
        <f>IFERROR(_xlfn.XLOOKUP(F64,AssetPool[serial_number],AssetPool[manufacturer_part_number]),"")</f>
        <v>Generic 3436</v>
      </c>
      <c r="T64" s="233" t="str">
        <f>IFERROR(_xlfn.XLOOKUP(F64,AssetPool[serial_number],AssetPool[category_name]),"")</f>
        <v>TC Wire</v>
      </c>
    </row>
    <row r="65" spans="1:20" ht="18" customHeight="1" x14ac:dyDescent="0.2">
      <c r="A65" s="552" t="str">
        <f t="shared" si="0"/>
        <v/>
      </c>
      <c r="B65" s="553"/>
      <c r="C65" s="553"/>
      <c r="D65" s="553"/>
      <c r="E65" s="554"/>
      <c r="F65" s="552" t="str">
        <f>IF(Main!F48,Main!F48,"")</f>
        <v/>
      </c>
      <c r="G65" s="553"/>
      <c r="H65" s="554"/>
      <c r="I65" s="569" t="str">
        <f>IF(Q65="","",Main!F49)</f>
        <v/>
      </c>
      <c r="J65" s="570"/>
      <c r="K65" s="569" t="str">
        <f>IF(Q65="","",Main!F50)</f>
        <v/>
      </c>
      <c r="L65" s="570"/>
      <c r="M65" s="552" t="str">
        <f>IF(Q65="","",Main!F54)</f>
        <v/>
      </c>
      <c r="N65" s="553"/>
      <c r="O65" s="554"/>
      <c r="Q65" t="str">
        <f>IF(CERT!F65="","",4)</f>
        <v/>
      </c>
      <c r="R65" s="233" t="str">
        <f>IFERROR(_xlfn.XLOOKUP(F65,AssetPool[serial_number],AssetPool[manufacturer_part_number]),"")</f>
        <v>Generic 3436</v>
      </c>
      <c r="T65" s="233" t="str">
        <f>IFERROR(_xlfn.XLOOKUP(F65,AssetPool[serial_number],AssetPool[category_name]),"")</f>
        <v>TC Wire</v>
      </c>
    </row>
    <row r="66" spans="1:20" ht="18" customHeight="1" x14ac:dyDescent="0.2">
      <c r="A66" s="552" t="str">
        <f t="shared" si="0"/>
        <v/>
      </c>
      <c r="B66" s="553"/>
      <c r="C66" s="553"/>
      <c r="D66" s="553"/>
      <c r="E66" s="554"/>
      <c r="F66" s="552" t="str">
        <f>IF(Main!G48,Main!G48,"")</f>
        <v/>
      </c>
      <c r="G66" s="553"/>
      <c r="H66" s="554"/>
      <c r="I66" s="569" t="str">
        <f>IF(Q66="","",Main!G49)</f>
        <v/>
      </c>
      <c r="J66" s="570"/>
      <c r="K66" s="569" t="str">
        <f>IF(Q66="","",Main!G50)</f>
        <v/>
      </c>
      <c r="L66" s="570"/>
      <c r="M66" s="552" t="str">
        <f>IF(Q66="","",Main!G54)</f>
        <v/>
      </c>
      <c r="N66" s="553"/>
      <c r="O66" s="554"/>
      <c r="Q66" t="str">
        <f>IF(CERT!F66="","",5)</f>
        <v/>
      </c>
      <c r="R66" s="233" t="str">
        <f>IFERROR(_xlfn.XLOOKUP(F66,AssetPool[serial_number],AssetPool[manufacturer_part_number]),"")</f>
        <v>Generic 3436</v>
      </c>
      <c r="T66" s="233" t="str">
        <f>IFERROR(_xlfn.XLOOKUP(F66,AssetPool[serial_number],AssetPool[category_name]),"")</f>
        <v>TC Wire</v>
      </c>
    </row>
    <row r="67" spans="1:20" ht="18" customHeight="1" x14ac:dyDescent="0.2">
      <c r="A67" s="552" t="str">
        <f t="shared" si="0"/>
        <v/>
      </c>
      <c r="B67" s="553"/>
      <c r="C67" s="553"/>
      <c r="D67" s="553"/>
      <c r="E67" s="554"/>
      <c r="F67" s="552" t="str">
        <f>IF(Main!H48,Main!H48,"")</f>
        <v/>
      </c>
      <c r="G67" s="553"/>
      <c r="H67" s="554"/>
      <c r="I67" s="569" t="str">
        <f>IF(Q67="","",Main!H49)</f>
        <v/>
      </c>
      <c r="J67" s="570"/>
      <c r="K67" s="569" t="str">
        <f>IF(Q67="","",Main!H50)</f>
        <v/>
      </c>
      <c r="L67" s="570"/>
      <c r="M67" s="552" t="str">
        <f>IF(Q67="","",Main!H54)</f>
        <v/>
      </c>
      <c r="N67" s="553"/>
      <c r="O67" s="554"/>
      <c r="Q67" t="str">
        <f>IF(CERT!F67="","",6)</f>
        <v/>
      </c>
      <c r="R67" s="233" t="str">
        <f>IFERROR(_xlfn.XLOOKUP(F67,AssetPool[serial_number],AssetPool[manufacturer_part_number]),"")</f>
        <v>Generic 3436</v>
      </c>
      <c r="T67" s="233" t="str">
        <f>IFERROR(_xlfn.XLOOKUP(F67,AssetPool[serial_number],AssetPool[category_name]),"")</f>
        <v>TC Wire</v>
      </c>
    </row>
    <row r="68" spans="1:20" ht="18" customHeight="1" x14ac:dyDescent="0.2">
      <c r="A68" s="552" t="str">
        <f t="shared" si="0"/>
        <v/>
      </c>
      <c r="B68" s="553"/>
      <c r="C68" s="553"/>
      <c r="D68" s="553"/>
      <c r="E68" s="554"/>
      <c r="F68" s="552" t="str">
        <f>IF(Main!I48,Main!I48,"")</f>
        <v/>
      </c>
      <c r="G68" s="553"/>
      <c r="H68" s="554"/>
      <c r="I68" s="569" t="str">
        <f>IF(Q68="","",Main!I49)</f>
        <v/>
      </c>
      <c r="J68" s="570"/>
      <c r="K68" s="569" t="str">
        <f>IF(Q68="","",Main!I50)</f>
        <v/>
      </c>
      <c r="L68" s="570"/>
      <c r="M68" s="552" t="str">
        <f>IF(Q68="","",Main!I54)</f>
        <v/>
      </c>
      <c r="N68" s="553"/>
      <c r="O68" s="554"/>
      <c r="Q68" t="str">
        <f>IF(CERT!F68="","",7)</f>
        <v/>
      </c>
      <c r="R68" s="233" t="str">
        <f>IFERROR(_xlfn.XLOOKUP(F68,AssetPool[serial_number],AssetPool[manufacturer_part_number]),"")</f>
        <v>Generic 3436</v>
      </c>
      <c r="T68" s="233" t="str">
        <f>IFERROR(_xlfn.XLOOKUP(F68,AssetPool[serial_number],AssetPool[category_name]),"")</f>
        <v>TC Wire</v>
      </c>
    </row>
    <row r="69" spans="1:20" ht="18" customHeight="1" x14ac:dyDescent="0.2">
      <c r="A69" s="558" t="str">
        <f>IF(T69="","",CONCATENATE(T69," - ",R69))</f>
        <v/>
      </c>
      <c r="B69" s="559"/>
      <c r="C69" s="559"/>
      <c r="D69" s="559"/>
      <c r="E69" s="560"/>
      <c r="F69" s="564" t="str">
        <f>IF(W69,W69,"")</f>
        <v/>
      </c>
      <c r="G69" s="565"/>
      <c r="H69" s="566"/>
      <c r="I69" s="567"/>
      <c r="J69" s="568"/>
      <c r="K69" s="567"/>
      <c r="L69" s="568"/>
      <c r="M69" s="558"/>
      <c r="N69" s="559"/>
      <c r="O69" s="560"/>
    </row>
    <row r="70" spans="1:20" ht="18" customHeight="1" x14ac:dyDescent="0.2">
      <c r="B70" s="238"/>
      <c r="C70" s="238"/>
      <c r="D70" s="238"/>
      <c r="E70" s="238"/>
      <c r="F70" s="238"/>
      <c r="G70" s="238"/>
      <c r="H70" s="238"/>
      <c r="I70" s="239"/>
      <c r="J70" s="239"/>
      <c r="K70" s="239"/>
      <c r="L70" s="239"/>
      <c r="M70" s="238"/>
      <c r="N70" s="238"/>
      <c r="O70" s="238"/>
    </row>
    <row r="71" spans="1:20" ht="18" customHeight="1" x14ac:dyDescent="0.2">
      <c r="A71" s="551" t="s">
        <v>378</v>
      </c>
      <c r="B71" s="551"/>
      <c r="C71" s="551"/>
      <c r="D71" s="551"/>
      <c r="E71" s="551"/>
      <c r="F71" s="551"/>
      <c r="G71" s="551"/>
      <c r="H71" s="551"/>
      <c r="I71" s="551"/>
      <c r="J71" s="551"/>
      <c r="K71" s="551"/>
      <c r="L71" s="551"/>
      <c r="M71" s="551"/>
      <c r="N71" s="551"/>
      <c r="O71" s="551"/>
    </row>
    <row r="72" spans="1:20" ht="18" customHeight="1" x14ac:dyDescent="0.2">
      <c r="A72" s="551"/>
      <c r="B72" s="551"/>
      <c r="C72" s="551"/>
      <c r="D72" s="551"/>
      <c r="E72" s="551"/>
      <c r="F72" s="551"/>
      <c r="G72" s="551"/>
      <c r="H72" s="551"/>
      <c r="I72" s="551"/>
      <c r="J72" s="551"/>
      <c r="K72" s="551"/>
      <c r="L72" s="551"/>
      <c r="M72" s="551"/>
      <c r="N72" s="551"/>
      <c r="O72" s="551"/>
    </row>
    <row r="73" spans="1:20" ht="18" customHeight="1" x14ac:dyDescent="0.2">
      <c r="A73" s="551"/>
      <c r="B73" s="551"/>
      <c r="C73" s="551"/>
      <c r="D73" s="551"/>
      <c r="E73" s="551"/>
      <c r="F73" s="551"/>
      <c r="G73" s="551"/>
      <c r="H73" s="551"/>
      <c r="I73" s="551"/>
      <c r="J73" s="551"/>
      <c r="K73" s="551"/>
      <c r="L73" s="551"/>
      <c r="M73" s="551"/>
      <c r="N73" s="551"/>
      <c r="O73" s="551"/>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0"/>
    </row>
    <row r="79" spans="1:20" ht="18" customHeight="1" x14ac:dyDescent="0.2"/>
    <row r="80" spans="1:20" ht="18" customHeight="1" x14ac:dyDescent="0.2">
      <c r="A80" s="274" t="s">
        <v>324</v>
      </c>
      <c r="N80" s="274" t="s">
        <v>325</v>
      </c>
    </row>
    <row r="81" ht="15" customHeight="1" x14ac:dyDescent="0.2"/>
    <row r="82" ht="15" customHeight="1" x14ac:dyDescent="0.2"/>
  </sheetData>
  <sheetProtection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BG27" sqref="BG2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_xlfn.XLOOKUP(AssetId,Header_Info[AssetId],Header_Info[],"")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875</v>
      </c>
      <c r="T1" t="s">
        <v>872</v>
      </c>
      <c r="U1" t="s">
        <v>876</v>
      </c>
      <c r="V1" t="s">
        <v>877</v>
      </c>
      <c r="W1" t="s">
        <v>874</v>
      </c>
      <c r="X1" t="s">
        <v>878</v>
      </c>
      <c r="Y1" t="s">
        <v>879</v>
      </c>
      <c r="Z1" t="s">
        <v>880</v>
      </c>
      <c r="AA1" t="s">
        <v>881</v>
      </c>
      <c r="AB1" t="s">
        <v>882</v>
      </c>
      <c r="AC1" t="s">
        <v>883</v>
      </c>
      <c r="AD1" t="s">
        <v>884</v>
      </c>
      <c r="AE1" t="s">
        <v>885</v>
      </c>
      <c r="AF1" t="s">
        <v>886</v>
      </c>
      <c r="AG1" t="s">
        <v>887</v>
      </c>
      <c r="AH1" t="s">
        <v>888</v>
      </c>
      <c r="AI1" t="s">
        <v>873</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39">
        <f>Main!$D$16</f>
        <v>0</v>
      </c>
      <c r="C1" s="133">
        <f>$B$1-$B$2</f>
        <v>0</v>
      </c>
      <c r="D1" s="133"/>
      <c r="E1" s="133">
        <f>B1-D2</f>
        <v>0</v>
      </c>
      <c r="F1" s="141" t="s">
        <v>81</v>
      </c>
      <c r="G1" s="140"/>
      <c r="H1" s="140"/>
      <c r="I1" s="140"/>
      <c r="J1" s="140"/>
      <c r="K1" s="140"/>
      <c r="L1" s="140"/>
      <c r="M1" s="140"/>
      <c r="N1" s="140"/>
      <c r="O1" s="140"/>
      <c r="P1" s="339" t="str">
        <f>IF(Main!$E$30="","A10",ADDRESS(13+(MATCH(Main!$E$30,Data_Sheet!$A$14:$A$903,0)),1,4))</f>
        <v>A10</v>
      </c>
      <c r="Q1" s="339">
        <f>VALUE(MID(P1, 2, LEN(P1)-1))</f>
        <v>10</v>
      </c>
    </row>
    <row r="2" spans="1:18" x14ac:dyDescent="0.2">
      <c r="B2" s="139">
        <f>Main!$D$19</f>
        <v>0</v>
      </c>
      <c r="C2" s="133">
        <f>$B$1+$B$2</f>
        <v>0</v>
      </c>
      <c r="D2" s="133">
        <f>(Main!$D$19)/2</f>
        <v>0</v>
      </c>
      <c r="E2" s="133">
        <f>B1+D2</f>
        <v>0</v>
      </c>
      <c r="F2" s="140"/>
      <c r="G2" s="140"/>
      <c r="H2" s="140"/>
      <c r="I2" s="163" t="s">
        <v>232</v>
      </c>
      <c r="J2" s="140"/>
      <c r="K2" s="140"/>
      <c r="L2" s="140"/>
      <c r="M2" s="598" t="s">
        <v>108</v>
      </c>
      <c r="N2" s="598"/>
      <c r="O2" s="598"/>
      <c r="P2" s="340" t="str">
        <f>IF(Main!$E$30="","A10",ADDRESS(13+Standards_Info!W2+(MATCH(Main!$E$30,Data_Sheet!$A$14:$A$903,0)),1,4))</f>
        <v>A10</v>
      </c>
      <c r="Q2" s="339">
        <f>VALUE(MID(P2, 2, LEN(P2)-1))</f>
        <v>10</v>
      </c>
    </row>
    <row r="3" spans="1:18" ht="14.25" x14ac:dyDescent="0.2">
      <c r="B3" s="143" t="s">
        <v>0</v>
      </c>
      <c r="C3" s="138"/>
      <c r="D3" s="125"/>
      <c r="E3" s="125"/>
      <c r="F3" s="125"/>
      <c r="G3" s="125"/>
      <c r="H3" s="125"/>
      <c r="I3" s="125"/>
      <c r="J3" s="125"/>
      <c r="K3" s="125"/>
      <c r="L3" s="125"/>
      <c r="M3" s="599" t="s">
        <v>109</v>
      </c>
      <c r="N3" s="600"/>
      <c r="O3" s="601"/>
      <c r="P3" s="125"/>
      <c r="Q3" s="125"/>
    </row>
    <row r="4" spans="1:18" ht="15" x14ac:dyDescent="0.25">
      <c r="B4" s="135" t="s">
        <v>30</v>
      </c>
      <c r="C4" s="80"/>
      <c r="D4" s="44"/>
      <c r="E4" s="44"/>
      <c r="F4" s="44"/>
      <c r="G4" s="44"/>
      <c r="H4" s="44"/>
      <c r="I4" s="44"/>
      <c r="J4" s="44"/>
      <c r="K4" s="44"/>
      <c r="L4" s="44"/>
      <c r="M4" s="602" t="s">
        <v>150</v>
      </c>
      <c r="N4" s="603"/>
      <c r="O4" s="604"/>
      <c r="P4" s="107"/>
    </row>
    <row r="5" spans="1:18" x14ac:dyDescent="0.2">
      <c r="B5" s="136" t="s">
        <v>31</v>
      </c>
      <c r="C5" s="74">
        <f>Main!D3</f>
        <v>0</v>
      </c>
      <c r="D5" s="44"/>
      <c r="E5" s="44"/>
      <c r="F5" s="44"/>
      <c r="G5" s="44"/>
      <c r="H5" s="44"/>
      <c r="I5" s="72" t="s">
        <v>7</v>
      </c>
      <c r="J5" s="44" t="str">
        <f>Main!D5</f>
        <v>CHROME PLUS INT'L - WICHITA</v>
      </c>
      <c r="L5" s="44"/>
      <c r="M5" s="605" t="s">
        <v>149</v>
      </c>
      <c r="N5" s="606"/>
      <c r="O5" s="607"/>
      <c r="P5" s="154"/>
    </row>
    <row r="6" spans="1:18" ht="13.5" thickBot="1" x14ac:dyDescent="0.25">
      <c r="B6" s="136" t="s">
        <v>6</v>
      </c>
      <c r="C6" s="75" t="str">
        <f>Main!D6</f>
        <v>DESPATCH RS4HD Temperature Uniformity Survey, 10 points</v>
      </c>
      <c r="D6" s="44"/>
      <c r="E6" s="44"/>
      <c r="F6" s="44"/>
      <c r="G6" s="44"/>
      <c r="H6" s="44"/>
      <c r="I6" s="72" t="s">
        <v>8</v>
      </c>
      <c r="J6" s="71">
        <f>Main!D16</f>
        <v>0</v>
      </c>
      <c r="L6" s="44"/>
      <c r="M6" s="608" t="s">
        <v>148</v>
      </c>
      <c r="N6" s="609"/>
      <c r="O6" s="610"/>
      <c r="P6" s="108"/>
    </row>
    <row r="7" spans="1:18" ht="13.5" thickBot="1" x14ac:dyDescent="0.25">
      <c r="B7" s="136" t="s">
        <v>32</v>
      </c>
      <c r="C7" s="75" t="str">
        <f>Main!D7</f>
        <v>Jeff Hall</v>
      </c>
      <c r="D7" s="44"/>
      <c r="E7" s="44"/>
      <c r="F7" s="44"/>
      <c r="G7" s="44"/>
      <c r="H7" s="44"/>
      <c r="I7" s="77" t="s">
        <v>174</v>
      </c>
      <c r="J7" s="596">
        <f>Main!$D$30</f>
        <v>0</v>
      </c>
      <c r="K7" s="597"/>
      <c r="L7" s="122"/>
      <c r="M7" s="595" t="s">
        <v>147</v>
      </c>
      <c r="N7" s="595"/>
      <c r="O7" s="595"/>
      <c r="P7" s="52"/>
    </row>
    <row r="8" spans="1:18" x14ac:dyDescent="0.2">
      <c r="B8" s="136"/>
      <c r="C8" s="142"/>
      <c r="D8" s="44"/>
      <c r="E8" s="44"/>
      <c r="F8" s="44"/>
      <c r="G8" s="44"/>
      <c r="H8" s="44"/>
      <c r="I8" s="77"/>
      <c r="J8" s="145"/>
      <c r="K8" s="145"/>
      <c r="L8" s="122"/>
      <c r="M8" s="146"/>
      <c r="N8" s="146"/>
      <c r="O8" s="146"/>
      <c r="P8" s="52"/>
    </row>
    <row r="9" spans="1:18" x14ac:dyDescent="0.2">
      <c r="B9" s="136"/>
      <c r="C9" s="75"/>
      <c r="D9" s="44"/>
      <c r="E9" s="44"/>
      <c r="F9" s="44"/>
      <c r="G9" s="44"/>
      <c r="H9" s="44"/>
      <c r="I9" s="149" t="str">
        <f>IF(Main!K15="SIM Load Hot",Main!N59,"")</f>
        <v/>
      </c>
      <c r="J9" s="145"/>
      <c r="K9" s="145"/>
      <c r="L9" s="122"/>
      <c r="M9" s="146"/>
      <c r="N9" s="146"/>
      <c r="O9" s="146"/>
      <c r="P9" s="52"/>
    </row>
    <row r="10" spans="1:18" s="82" customFormat="1" x14ac:dyDescent="0.2">
      <c r="A10" s="123"/>
      <c r="B10" s="157"/>
      <c r="C10" s="158"/>
      <c r="I10" s="149" t="str">
        <f>IF(AND(Main!E60 &lt;&gt; "", Main!K60 &lt;&gt;""),Main!N60,IF(AND(Main!E61&lt;&gt;"",Main!K61&lt;&gt;""),Main!N61,""))</f>
        <v/>
      </c>
      <c r="J10" s="159"/>
      <c r="K10" s="159"/>
      <c r="L10" s="137"/>
      <c r="M10" s="160"/>
      <c r="N10" s="160"/>
      <c r="O10" s="160"/>
      <c r="P10" s="161"/>
    </row>
    <row r="11" spans="1:18" x14ac:dyDescent="0.2">
      <c r="R11" s="53"/>
    </row>
    <row r="12" spans="1:18" s="660" customFormat="1" x14ac:dyDescent="0.2">
      <c r="A12" s="659"/>
      <c r="B12" s="145" t="str" cm="1">
        <f t="array" ref="B12:P12">_xlfn.LET(
  _xlpm.tbl, DataForChannels1to14[],
  _xlpm.hdrs, DataForChannels1to14[#Headers],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8" s="82" customFormat="1" x14ac:dyDescent="0.2">
      <c r="A13" s="123"/>
      <c r="B13" s="122"/>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2" customFormat="1" x14ac:dyDescent="0.2">
      <c r="A14" s="123" t="str" cm="1">
        <f t="array" ref="A14:A903">TEXT(B14:B903, "h:mm")</f>
        <v>0:00</v>
      </c>
      <c r="B14" s="122" cm="1">
        <f t="array" ref="B14:P14">DataForChannels1to14[]</f>
        <v>0</v>
      </c>
      <c r="C14" s="144">
        <v>0</v>
      </c>
      <c r="D14" s="144">
        <v>0</v>
      </c>
      <c r="E14" s="144">
        <v>0</v>
      </c>
      <c r="F14" s="144">
        <v>0</v>
      </c>
      <c r="G14" s="144">
        <v>0</v>
      </c>
      <c r="H14" s="144">
        <v>0</v>
      </c>
      <c r="I14" s="144">
        <v>0</v>
      </c>
      <c r="J14" s="144">
        <v>0</v>
      </c>
      <c r="K14" s="144">
        <v>0</v>
      </c>
      <c r="L14" s="144">
        <v>0</v>
      </c>
      <c r="M14" s="144">
        <v>0</v>
      </c>
      <c r="N14" s="144">
        <v>0</v>
      </c>
      <c r="O14" s="144">
        <v>0</v>
      </c>
      <c r="P14" s="144">
        <v>0</v>
      </c>
    </row>
    <row r="15" spans="1:18" s="82" customFormat="1" x14ac:dyDescent="0.2">
      <c r="A15" s="123" t="str">
        <v>0:00</v>
      </c>
      <c r="B15" s="122"/>
      <c r="C15" s="144"/>
      <c r="D15" s="144"/>
      <c r="E15" s="144"/>
      <c r="F15" s="144"/>
      <c r="G15" s="144"/>
      <c r="H15" s="144"/>
      <c r="I15" s="144"/>
      <c r="J15" s="144"/>
      <c r="K15" s="144"/>
      <c r="L15" s="144"/>
      <c r="M15" s="144"/>
      <c r="N15" s="144"/>
      <c r="O15" s="144"/>
      <c r="P15" s="144"/>
    </row>
    <row r="16" spans="1:18"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6" customFormat="1" x14ac:dyDescent="0.2">
      <c r="A66" s="85" t="str">
        <v>0:00</v>
      </c>
      <c r="B66" s="122"/>
      <c r="C66" s="144"/>
      <c r="D66" s="144"/>
      <c r="E66" s="144"/>
      <c r="F66" s="144"/>
      <c r="G66" s="144"/>
      <c r="H66" s="144"/>
      <c r="I66" s="144"/>
      <c r="J66" s="144"/>
      <c r="K66" s="144"/>
      <c r="L66" s="144"/>
      <c r="M66" s="144"/>
      <c r="N66" s="144"/>
      <c r="O66" s="144"/>
      <c r="P66" s="144"/>
    </row>
    <row r="67" spans="1:16" s="86" customFormat="1" x14ac:dyDescent="0.2">
      <c r="A67" s="85" t="str">
        <v>0:00</v>
      </c>
      <c r="B67" s="122"/>
      <c r="C67" s="144"/>
      <c r="D67" s="144"/>
      <c r="E67" s="144"/>
      <c r="F67" s="144"/>
      <c r="G67" s="144"/>
      <c r="H67" s="144"/>
      <c r="I67" s="144"/>
      <c r="J67" s="144"/>
      <c r="K67" s="144"/>
      <c r="L67" s="144"/>
      <c r="M67" s="144"/>
      <c r="N67" s="144"/>
      <c r="O67" s="144"/>
      <c r="P67" s="144"/>
    </row>
    <row r="68" spans="1:16" s="86" customFormat="1" x14ac:dyDescent="0.2">
      <c r="A68" s="85" t="str">
        <v>0:00</v>
      </c>
      <c r="B68" s="122"/>
      <c r="C68" s="144"/>
      <c r="D68" s="144"/>
      <c r="E68" s="144"/>
      <c r="F68" s="144"/>
      <c r="G68" s="144"/>
      <c r="H68" s="144"/>
      <c r="I68" s="144"/>
      <c r="J68" s="144"/>
      <c r="K68" s="144"/>
      <c r="L68" s="144"/>
      <c r="M68" s="144"/>
      <c r="N68" s="144"/>
      <c r="O68" s="144"/>
      <c r="P68" s="144"/>
    </row>
    <row r="69" spans="1:16" s="86" customFormat="1" x14ac:dyDescent="0.2">
      <c r="A69" s="85" t="str">
        <v>0:00</v>
      </c>
      <c r="B69" s="122"/>
      <c r="C69" s="144"/>
      <c r="D69" s="144"/>
      <c r="E69" s="144"/>
      <c r="F69" s="144"/>
      <c r="G69" s="144"/>
      <c r="H69" s="144"/>
      <c r="I69" s="144"/>
      <c r="J69" s="144"/>
      <c r="K69" s="144"/>
      <c r="L69" s="144"/>
      <c r="M69" s="144"/>
      <c r="N69" s="144"/>
      <c r="O69" s="144"/>
      <c r="P69" s="144"/>
    </row>
    <row r="70" spans="1:16" s="86" customFormat="1" x14ac:dyDescent="0.2">
      <c r="A70" s="85" t="str">
        <v>0:00</v>
      </c>
      <c r="B70" s="122"/>
      <c r="C70" s="144"/>
      <c r="D70" s="144"/>
      <c r="E70" s="144"/>
      <c r="F70" s="144"/>
      <c r="G70" s="144"/>
      <c r="H70" s="144"/>
      <c r="I70" s="144"/>
      <c r="J70" s="144"/>
      <c r="K70" s="144"/>
      <c r="L70" s="144"/>
      <c r="M70" s="144"/>
      <c r="N70" s="144"/>
      <c r="O70" s="144"/>
      <c r="P70" s="144"/>
    </row>
    <row r="71" spans="1:16" s="86" customFormat="1" x14ac:dyDescent="0.2">
      <c r="A71" s="85" t="str">
        <v>0:00</v>
      </c>
      <c r="B71" s="122"/>
      <c r="C71" s="144"/>
      <c r="D71" s="144"/>
      <c r="E71" s="144"/>
      <c r="F71" s="144"/>
      <c r="G71" s="144"/>
      <c r="H71" s="144"/>
      <c r="I71" s="144"/>
      <c r="J71" s="144"/>
      <c r="K71" s="144"/>
      <c r="L71" s="144"/>
      <c r="M71" s="144"/>
      <c r="N71" s="144"/>
      <c r="O71" s="144"/>
      <c r="P71" s="144"/>
    </row>
    <row r="72" spans="1:16" s="86" customFormat="1" x14ac:dyDescent="0.2">
      <c r="A72" s="85" t="str">
        <v>0:00</v>
      </c>
      <c r="B72" s="122"/>
      <c r="C72" s="144"/>
      <c r="D72" s="144"/>
      <c r="E72" s="144"/>
      <c r="F72" s="144"/>
      <c r="G72" s="144"/>
      <c r="H72" s="144"/>
      <c r="I72" s="144"/>
      <c r="J72" s="144"/>
      <c r="K72" s="144"/>
      <c r="L72" s="144"/>
      <c r="M72" s="144"/>
      <c r="N72" s="144"/>
      <c r="O72" s="144"/>
      <c r="P72" s="144"/>
    </row>
    <row r="73" spans="1:16" s="86" customFormat="1" x14ac:dyDescent="0.2">
      <c r="A73" s="85" t="str">
        <v>0:00</v>
      </c>
      <c r="B73" s="122"/>
      <c r="C73" s="144"/>
      <c r="D73" s="144"/>
      <c r="E73" s="144"/>
      <c r="F73" s="144"/>
      <c r="G73" s="144"/>
      <c r="H73" s="144"/>
      <c r="I73" s="144"/>
      <c r="J73" s="144"/>
      <c r="K73" s="144"/>
      <c r="L73" s="144"/>
      <c r="M73" s="144"/>
      <c r="N73" s="144"/>
      <c r="O73" s="144"/>
      <c r="P73" s="144"/>
    </row>
    <row r="74" spans="1:16" s="86" customFormat="1" x14ac:dyDescent="0.2">
      <c r="A74" s="85" t="str">
        <v>0:00</v>
      </c>
      <c r="B74" s="122"/>
      <c r="C74" s="144"/>
      <c r="D74" s="144"/>
      <c r="E74" s="144"/>
      <c r="F74" s="144"/>
      <c r="G74" s="144"/>
      <c r="H74" s="144"/>
      <c r="I74" s="144"/>
      <c r="J74" s="144"/>
      <c r="K74" s="144"/>
      <c r="L74" s="144"/>
      <c r="M74" s="144"/>
      <c r="N74" s="144"/>
      <c r="O74" s="144"/>
      <c r="P74" s="144"/>
    </row>
    <row r="75" spans="1:16" s="86" customFormat="1" x14ac:dyDescent="0.2">
      <c r="A75" s="85" t="str">
        <v>0:00</v>
      </c>
      <c r="B75" s="122"/>
      <c r="C75" s="144"/>
      <c r="D75" s="144"/>
      <c r="E75" s="144"/>
      <c r="F75" s="144"/>
      <c r="G75" s="144"/>
      <c r="H75" s="144"/>
      <c r="I75" s="144"/>
      <c r="J75" s="144"/>
      <c r="K75" s="144"/>
      <c r="L75" s="144"/>
      <c r="M75" s="144"/>
      <c r="N75" s="144"/>
      <c r="O75" s="144"/>
      <c r="P75" s="144"/>
    </row>
    <row r="76" spans="1:16" s="86" customFormat="1" x14ac:dyDescent="0.2">
      <c r="A76" s="87" t="str">
        <v>0:00</v>
      </c>
      <c r="B76" s="122"/>
      <c r="C76" s="144"/>
      <c r="D76" s="144"/>
      <c r="E76" s="144"/>
      <c r="F76" s="144"/>
      <c r="G76" s="144"/>
      <c r="H76" s="144"/>
      <c r="I76" s="144"/>
      <c r="J76" s="144"/>
      <c r="K76" s="144"/>
      <c r="L76" s="144"/>
      <c r="M76" s="144"/>
      <c r="N76" s="144"/>
      <c r="O76" s="144"/>
      <c r="P76" s="144"/>
    </row>
    <row r="77" spans="1:16" s="86" customFormat="1" x14ac:dyDescent="0.2">
      <c r="A77" s="87" t="str">
        <v>0:00</v>
      </c>
      <c r="B77" s="122"/>
      <c r="C77" s="144"/>
      <c r="D77" s="144"/>
      <c r="E77" s="144"/>
      <c r="F77" s="144"/>
      <c r="G77" s="144"/>
      <c r="H77" s="144"/>
      <c r="I77" s="144"/>
      <c r="J77" s="144"/>
      <c r="K77" s="144"/>
      <c r="L77" s="144"/>
      <c r="M77" s="144"/>
      <c r="N77" s="144"/>
      <c r="O77" s="144"/>
      <c r="P77" s="144"/>
    </row>
    <row r="78" spans="1:16" s="86" customFormat="1" x14ac:dyDescent="0.2">
      <c r="A78" s="87" t="str">
        <v>0:00</v>
      </c>
      <c r="B78" s="122"/>
      <c r="C78" s="144"/>
      <c r="D78" s="144"/>
      <c r="E78" s="144"/>
      <c r="F78" s="144"/>
      <c r="G78" s="144"/>
      <c r="H78" s="144"/>
      <c r="I78" s="144"/>
      <c r="J78" s="144"/>
      <c r="K78" s="144"/>
      <c r="L78" s="144"/>
      <c r="M78" s="144"/>
      <c r="N78" s="144"/>
      <c r="O78" s="144"/>
      <c r="P78" s="144"/>
    </row>
    <row r="79" spans="1:16" s="86" customFormat="1" x14ac:dyDescent="0.2">
      <c r="A79" s="87" t="str">
        <v>0:00</v>
      </c>
      <c r="B79" s="122"/>
      <c r="C79" s="144"/>
      <c r="D79" s="144"/>
      <c r="E79" s="144"/>
      <c r="F79" s="144"/>
      <c r="G79" s="144"/>
      <c r="H79" s="144"/>
      <c r="I79" s="144"/>
      <c r="J79" s="144"/>
      <c r="K79" s="144"/>
      <c r="L79" s="144"/>
      <c r="M79" s="144"/>
      <c r="N79" s="144"/>
      <c r="O79" s="144"/>
      <c r="P79" s="144"/>
    </row>
    <row r="80" spans="1:16" s="86" customFormat="1" x14ac:dyDescent="0.2">
      <c r="A80" s="87" t="str">
        <v>0:00</v>
      </c>
      <c r="B80" s="122"/>
      <c r="C80" s="144"/>
      <c r="D80" s="144"/>
      <c r="E80" s="144"/>
      <c r="F80" s="144"/>
      <c r="G80" s="144"/>
      <c r="H80" s="144"/>
      <c r="I80" s="144"/>
      <c r="J80" s="144"/>
      <c r="K80" s="144"/>
      <c r="L80" s="144"/>
      <c r="M80" s="144"/>
      <c r="N80" s="144"/>
      <c r="O80" s="144"/>
      <c r="P80" s="144"/>
    </row>
    <row r="81" spans="1:16" s="86" customFormat="1" x14ac:dyDescent="0.2">
      <c r="A81" s="87" t="str">
        <v>0:00</v>
      </c>
      <c r="B81" s="122"/>
      <c r="C81" s="144"/>
      <c r="D81" s="144"/>
      <c r="E81" s="144"/>
      <c r="F81" s="144"/>
      <c r="G81" s="144"/>
      <c r="H81" s="144"/>
      <c r="I81" s="144"/>
      <c r="J81" s="144"/>
      <c r="K81" s="144"/>
      <c r="L81" s="144"/>
      <c r="M81" s="144"/>
      <c r="N81" s="144"/>
      <c r="O81" s="144"/>
      <c r="P81" s="144"/>
    </row>
    <row r="82" spans="1:16" s="82" customFormat="1" x14ac:dyDescent="0.2">
      <c r="A82" s="81" t="str">
        <v>0:00</v>
      </c>
      <c r="B82" s="122"/>
      <c r="C82" s="144"/>
      <c r="D82" s="144"/>
      <c r="E82" s="144"/>
      <c r="F82" s="144"/>
      <c r="G82" s="144"/>
      <c r="H82" s="144"/>
      <c r="I82" s="144"/>
      <c r="J82" s="144"/>
      <c r="K82" s="144"/>
      <c r="L82" s="144"/>
      <c r="M82" s="144"/>
      <c r="N82" s="144"/>
      <c r="O82" s="144"/>
      <c r="P82" s="144"/>
    </row>
    <row r="83" spans="1:16" s="82" customFormat="1" x14ac:dyDescent="0.2">
      <c r="A83" s="81" t="str">
        <v>0:00</v>
      </c>
      <c r="B83" s="122"/>
      <c r="C83" s="144"/>
      <c r="D83" s="144"/>
      <c r="E83" s="144"/>
      <c r="F83" s="144"/>
      <c r="G83" s="144"/>
      <c r="H83" s="144"/>
      <c r="I83" s="144"/>
      <c r="J83" s="144"/>
      <c r="K83" s="144"/>
      <c r="L83" s="144"/>
      <c r="M83" s="144"/>
      <c r="N83" s="144"/>
      <c r="O83" s="144"/>
      <c r="P83" s="144"/>
    </row>
    <row r="84" spans="1:16" s="82" customFormat="1" x14ac:dyDescent="0.2">
      <c r="A84" s="81" t="str">
        <v>0:00</v>
      </c>
      <c r="B84" s="122"/>
      <c r="C84" s="144"/>
      <c r="D84" s="144"/>
      <c r="E84" s="144"/>
      <c r="F84" s="144"/>
      <c r="G84" s="144"/>
      <c r="H84" s="144"/>
      <c r="I84" s="144"/>
      <c r="J84" s="144"/>
      <c r="K84" s="144"/>
      <c r="L84" s="144"/>
      <c r="M84" s="144"/>
      <c r="N84" s="144"/>
      <c r="O84" s="144"/>
      <c r="P84" s="144"/>
    </row>
    <row r="85" spans="1:16" s="82" customFormat="1" x14ac:dyDescent="0.2">
      <c r="A85" s="81" t="str">
        <v>0:00</v>
      </c>
      <c r="B85" s="122"/>
      <c r="C85" s="144"/>
      <c r="D85" s="144"/>
      <c r="E85" s="144"/>
      <c r="F85" s="144"/>
      <c r="G85" s="144"/>
      <c r="H85" s="144"/>
      <c r="I85" s="144"/>
      <c r="J85" s="144"/>
      <c r="K85" s="144"/>
      <c r="L85" s="144"/>
      <c r="M85" s="144"/>
      <c r="N85" s="144"/>
      <c r="O85" s="144"/>
      <c r="P85" s="144"/>
    </row>
    <row r="86" spans="1:16" s="82" customFormat="1" x14ac:dyDescent="0.2">
      <c r="A86" s="81" t="str">
        <v>0:00</v>
      </c>
      <c r="B86" s="122"/>
      <c r="C86" s="144"/>
      <c r="D86" s="144"/>
      <c r="E86" s="144"/>
      <c r="F86" s="144"/>
      <c r="G86" s="144"/>
      <c r="H86" s="144"/>
      <c r="I86" s="144"/>
      <c r="J86" s="144"/>
      <c r="K86" s="144"/>
      <c r="L86" s="144"/>
      <c r="M86" s="144"/>
      <c r="N86" s="144"/>
      <c r="O86" s="144"/>
      <c r="P86" s="144"/>
    </row>
    <row r="87" spans="1:16" s="82" customFormat="1" x14ac:dyDescent="0.2">
      <c r="A87" s="81" t="str">
        <v>0:00</v>
      </c>
      <c r="B87" s="122"/>
      <c r="C87" s="144"/>
      <c r="D87" s="144"/>
      <c r="E87" s="144"/>
      <c r="F87" s="144"/>
      <c r="G87" s="144"/>
      <c r="H87" s="144"/>
      <c r="I87" s="144"/>
      <c r="J87" s="144"/>
      <c r="K87" s="144"/>
      <c r="L87" s="144"/>
      <c r="M87" s="144"/>
      <c r="N87" s="144"/>
      <c r="O87" s="144"/>
      <c r="P87" s="144"/>
    </row>
    <row r="88" spans="1:16" s="82" customFormat="1" x14ac:dyDescent="0.2">
      <c r="A88" s="81" t="str">
        <v>0:00</v>
      </c>
      <c r="B88" s="122"/>
      <c r="C88" s="144"/>
      <c r="D88" s="144"/>
      <c r="E88" s="144"/>
      <c r="F88" s="144"/>
      <c r="G88" s="144"/>
      <c r="H88" s="144"/>
      <c r="I88" s="144"/>
      <c r="J88" s="144"/>
      <c r="K88" s="144"/>
      <c r="L88" s="144"/>
      <c r="M88" s="144"/>
      <c r="N88" s="144"/>
      <c r="O88" s="144"/>
      <c r="P88" s="144"/>
    </row>
    <row r="89" spans="1:16" s="82" customFormat="1" x14ac:dyDescent="0.2">
      <c r="A89" s="81" t="str">
        <v>0:00</v>
      </c>
      <c r="B89" s="122"/>
      <c r="C89" s="144"/>
      <c r="D89" s="144"/>
      <c r="E89" s="144"/>
      <c r="F89" s="144"/>
      <c r="G89" s="144"/>
      <c r="H89" s="144"/>
      <c r="I89" s="144"/>
      <c r="J89" s="144"/>
      <c r="K89" s="144"/>
      <c r="L89" s="144"/>
      <c r="M89" s="144"/>
      <c r="N89" s="144"/>
      <c r="O89" s="144"/>
      <c r="P89" s="144"/>
    </row>
    <row r="90" spans="1:16" s="82" customFormat="1" x14ac:dyDescent="0.2">
      <c r="A90" s="81" t="str">
        <v>0:00</v>
      </c>
      <c r="B90" s="122"/>
      <c r="C90" s="144"/>
      <c r="D90" s="144"/>
      <c r="E90" s="144"/>
      <c r="F90" s="144"/>
      <c r="G90" s="144"/>
      <c r="H90" s="144"/>
      <c r="I90" s="144"/>
      <c r="J90" s="144"/>
      <c r="K90" s="144"/>
      <c r="L90" s="144"/>
      <c r="M90" s="144"/>
      <c r="N90" s="144"/>
      <c r="O90" s="144"/>
      <c r="P90" s="144"/>
    </row>
    <row r="91" spans="1:16" s="82" customFormat="1" x14ac:dyDescent="0.2">
      <c r="A91" s="81" t="str">
        <v>0:00</v>
      </c>
      <c r="B91" s="122"/>
      <c r="C91" s="144"/>
      <c r="D91" s="144"/>
      <c r="E91" s="144"/>
      <c r="F91" s="144"/>
      <c r="G91" s="144"/>
      <c r="H91" s="144"/>
      <c r="I91" s="144"/>
      <c r="J91" s="144"/>
      <c r="K91" s="144"/>
      <c r="L91" s="144"/>
      <c r="M91" s="144"/>
      <c r="N91" s="144"/>
      <c r="O91" s="144"/>
      <c r="P91" s="144"/>
    </row>
    <row r="92" spans="1:16" s="82" customFormat="1" x14ac:dyDescent="0.2">
      <c r="A92" s="81"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44"/>
      <c r="D501" s="44"/>
      <c r="E501" s="44"/>
      <c r="F501" s="44"/>
      <c r="G501" s="44"/>
      <c r="H501" s="44"/>
      <c r="I501" s="44"/>
      <c r="J501" s="44"/>
      <c r="K501" s="44"/>
      <c r="L501" s="44"/>
      <c r="M501" s="44"/>
      <c r="N501" s="44"/>
      <c r="O501" s="44"/>
      <c r="P501" s="44"/>
    </row>
    <row r="502" spans="1:16" x14ac:dyDescent="0.2">
      <c r="A502" s="58" t="str">
        <v>0:00</v>
      </c>
      <c r="B502" s="122"/>
      <c r="C502" s="44"/>
      <c r="D502" s="44"/>
      <c r="E502" s="44"/>
      <c r="F502" s="44"/>
      <c r="G502" s="44"/>
      <c r="H502" s="44"/>
      <c r="I502" s="44"/>
      <c r="J502" s="44"/>
      <c r="K502" s="44"/>
      <c r="L502" s="44"/>
      <c r="M502" s="44"/>
      <c r="N502" s="44"/>
      <c r="O502" s="44"/>
      <c r="P502" s="44"/>
    </row>
    <row r="503" spans="1:16" x14ac:dyDescent="0.2">
      <c r="A503" s="58" t="str">
        <v>0:00</v>
      </c>
      <c r="B503" s="122"/>
      <c r="C503" s="44"/>
      <c r="D503" s="44"/>
      <c r="E503" s="44"/>
      <c r="F503" s="44"/>
      <c r="G503" s="44"/>
      <c r="H503" s="44"/>
      <c r="I503" s="44"/>
      <c r="J503" s="44"/>
      <c r="K503" s="44"/>
      <c r="L503" s="44"/>
      <c r="M503" s="44"/>
      <c r="N503" s="44"/>
      <c r="O503" s="44"/>
      <c r="P503" s="44"/>
    </row>
    <row r="504" spans="1:16" x14ac:dyDescent="0.2">
      <c r="A504" s="58" t="str">
        <v>0:00</v>
      </c>
      <c r="B504" s="122"/>
      <c r="C504" s="44"/>
      <c r="D504" s="44"/>
      <c r="E504" s="44"/>
      <c r="F504" s="44"/>
      <c r="G504" s="44"/>
      <c r="H504" s="44"/>
      <c r="I504" s="44"/>
      <c r="J504" s="44"/>
      <c r="K504" s="44"/>
      <c r="L504" s="44"/>
      <c r="M504" s="44"/>
      <c r="N504" s="44"/>
      <c r="O504" s="44"/>
      <c r="P504" s="44"/>
    </row>
    <row r="505" spans="1:16" x14ac:dyDescent="0.2">
      <c r="A505" s="58" t="str">
        <v>0:00</v>
      </c>
      <c r="B505" s="122"/>
      <c r="C505" s="44"/>
      <c r="D505" s="44"/>
      <c r="E505" s="44"/>
      <c r="F505" s="44"/>
      <c r="G505" s="44"/>
      <c r="H505" s="44"/>
      <c r="I505" s="44"/>
      <c r="J505" s="44"/>
      <c r="K505" s="44"/>
      <c r="L505" s="44"/>
      <c r="M505" s="44"/>
      <c r="N505" s="44"/>
      <c r="O505" s="44"/>
      <c r="P505" s="44"/>
    </row>
    <row r="506" spans="1:16" x14ac:dyDescent="0.2">
      <c r="A506" s="58" t="str">
        <v>0:00</v>
      </c>
      <c r="B506" s="122"/>
      <c r="C506" s="44"/>
      <c r="D506" s="44"/>
      <c r="E506" s="44"/>
      <c r="F506" s="44"/>
      <c r="G506" s="44"/>
      <c r="H506" s="44"/>
      <c r="I506" s="44"/>
      <c r="J506" s="44"/>
      <c r="K506" s="44"/>
      <c r="L506" s="44"/>
      <c r="M506" s="44"/>
      <c r="N506" s="44"/>
      <c r="O506" s="44"/>
      <c r="P506" s="44"/>
    </row>
    <row r="507" spans="1:16" x14ac:dyDescent="0.2">
      <c r="A507" s="58" t="str">
        <v>0:00</v>
      </c>
      <c r="B507" s="122"/>
      <c r="C507" s="44"/>
      <c r="D507" s="44"/>
      <c r="E507" s="44"/>
      <c r="F507" s="44"/>
      <c r="G507" s="44"/>
      <c r="H507" s="44"/>
      <c r="I507" s="44"/>
      <c r="J507" s="44"/>
      <c r="K507" s="44"/>
      <c r="L507" s="44"/>
      <c r="M507" s="44"/>
      <c r="N507" s="44"/>
      <c r="O507" s="44"/>
      <c r="P507" s="44"/>
    </row>
    <row r="508" spans="1:16" x14ac:dyDescent="0.2">
      <c r="A508" s="58" t="str">
        <v>0:00</v>
      </c>
      <c r="B508" s="122"/>
      <c r="C508" s="44"/>
      <c r="D508" s="44"/>
      <c r="E508" s="44"/>
      <c r="F508" s="44"/>
      <c r="G508" s="44"/>
      <c r="H508" s="44"/>
      <c r="I508" s="44"/>
      <c r="J508" s="44"/>
      <c r="K508" s="44"/>
      <c r="L508" s="44"/>
      <c r="M508" s="44"/>
      <c r="N508" s="44"/>
      <c r="O508" s="44"/>
      <c r="P508" s="44"/>
    </row>
    <row r="509" spans="1:16" x14ac:dyDescent="0.2">
      <c r="A509" s="58" t="str">
        <v>0:00</v>
      </c>
      <c r="B509" s="122"/>
      <c r="C509" s="44"/>
      <c r="D509" s="44"/>
      <c r="E509" s="44"/>
      <c r="F509" s="44"/>
      <c r="G509" s="44"/>
      <c r="H509" s="44"/>
      <c r="I509" s="44"/>
      <c r="J509" s="44"/>
      <c r="K509" s="44"/>
      <c r="L509" s="44"/>
      <c r="M509" s="44"/>
      <c r="N509" s="44"/>
      <c r="O509" s="44"/>
      <c r="P509" s="44"/>
    </row>
    <row r="510" spans="1:16" x14ac:dyDescent="0.2">
      <c r="A510" s="58" t="str">
        <v>0:00</v>
      </c>
      <c r="B510" s="122"/>
      <c r="C510" s="44"/>
      <c r="D510" s="44"/>
      <c r="E510" s="44"/>
      <c r="F510" s="44"/>
      <c r="G510" s="44"/>
      <c r="H510" s="44"/>
      <c r="I510" s="44"/>
      <c r="J510" s="44"/>
      <c r="K510" s="44"/>
      <c r="L510" s="44"/>
      <c r="M510" s="44"/>
      <c r="N510" s="44"/>
      <c r="O510" s="44"/>
      <c r="P510" s="44"/>
    </row>
    <row r="511" spans="1:16" x14ac:dyDescent="0.2">
      <c r="A511" s="58" t="str">
        <v>0:00</v>
      </c>
      <c r="B511" s="122"/>
      <c r="C511" s="44"/>
      <c r="D511" s="44"/>
      <c r="E511" s="44"/>
      <c r="F511" s="44"/>
      <c r="G511" s="44"/>
      <c r="H511" s="44"/>
      <c r="I511" s="44"/>
      <c r="J511" s="44"/>
      <c r="K511" s="44"/>
      <c r="L511" s="44"/>
      <c r="M511" s="44"/>
      <c r="N511" s="44"/>
      <c r="O511" s="44"/>
      <c r="P511" s="44"/>
    </row>
    <row r="512" spans="1:16" x14ac:dyDescent="0.2">
      <c r="A512" s="58" t="str">
        <v>0:00</v>
      </c>
      <c r="B512" s="122"/>
      <c r="C512" s="44"/>
      <c r="D512" s="44"/>
      <c r="E512" s="44"/>
      <c r="F512" s="44"/>
      <c r="G512" s="44"/>
      <c r="H512" s="44"/>
      <c r="I512" s="44"/>
      <c r="J512" s="44"/>
      <c r="K512" s="44"/>
      <c r="L512" s="44"/>
      <c r="M512" s="44"/>
      <c r="N512" s="44"/>
      <c r="O512" s="44"/>
      <c r="P512" s="44"/>
    </row>
    <row r="513" spans="1:16" x14ac:dyDescent="0.2">
      <c r="A513" s="58" t="str">
        <v>0:00</v>
      </c>
      <c r="B513" s="122"/>
      <c r="C513" s="44"/>
      <c r="D513" s="44"/>
      <c r="E513" s="44"/>
      <c r="F513" s="44"/>
      <c r="G513" s="44"/>
      <c r="H513" s="44"/>
      <c r="I513" s="44"/>
      <c r="J513" s="44"/>
      <c r="K513" s="44"/>
      <c r="L513" s="44"/>
      <c r="M513" s="44"/>
      <c r="N513" s="44"/>
      <c r="O513" s="44"/>
      <c r="P513" s="44"/>
    </row>
    <row r="514" spans="1:16" x14ac:dyDescent="0.2">
      <c r="A514" s="58" t="str">
        <v>0:00</v>
      </c>
      <c r="B514" s="122"/>
      <c r="C514" s="44"/>
      <c r="D514" s="44"/>
      <c r="E514" s="44"/>
      <c r="F514" s="44"/>
      <c r="G514" s="44"/>
      <c r="H514" s="44"/>
      <c r="I514" s="44"/>
      <c r="J514" s="44"/>
      <c r="K514" s="44"/>
      <c r="L514" s="44"/>
      <c r="M514" s="44"/>
      <c r="N514" s="44"/>
      <c r="O514" s="44"/>
      <c r="P514" s="44"/>
    </row>
    <row r="515" spans="1:16" x14ac:dyDescent="0.2">
      <c r="A515" s="58" t="str">
        <v>0:00</v>
      </c>
      <c r="B515" s="122"/>
      <c r="C515" s="44"/>
      <c r="D515" s="44"/>
      <c r="E515" s="44"/>
      <c r="F515" s="44"/>
      <c r="G515" s="44"/>
      <c r="H515" s="44"/>
      <c r="I515" s="44"/>
      <c r="J515" s="44"/>
      <c r="K515" s="44"/>
      <c r="L515" s="44"/>
      <c r="M515" s="44"/>
      <c r="N515" s="44"/>
      <c r="O515" s="44"/>
      <c r="P515" s="44"/>
    </row>
    <row r="516" spans="1:16" x14ac:dyDescent="0.2">
      <c r="A516" s="58" t="str">
        <v>0:00</v>
      </c>
      <c r="B516" s="122"/>
      <c r="C516" s="44"/>
      <c r="D516" s="44"/>
      <c r="E516" s="44"/>
      <c r="F516" s="44"/>
      <c r="G516" s="44"/>
      <c r="H516" s="44"/>
      <c r="I516" s="44"/>
      <c r="J516" s="44"/>
      <c r="K516" s="44"/>
      <c r="L516" s="44"/>
      <c r="M516" s="44"/>
      <c r="N516" s="44"/>
      <c r="O516" s="44"/>
      <c r="P516" s="44"/>
    </row>
    <row r="517" spans="1:16" x14ac:dyDescent="0.2">
      <c r="A517" s="58" t="str">
        <v>0:00</v>
      </c>
      <c r="B517" s="122"/>
      <c r="C517" s="44"/>
      <c r="D517" s="44"/>
      <c r="E517" s="44"/>
      <c r="F517" s="44"/>
      <c r="G517" s="44"/>
      <c r="H517" s="44"/>
      <c r="I517" s="44"/>
      <c r="J517" s="44"/>
      <c r="K517" s="44"/>
      <c r="L517" s="44"/>
      <c r="M517" s="44"/>
      <c r="N517" s="44"/>
      <c r="O517" s="44"/>
      <c r="P517" s="44"/>
    </row>
    <row r="518" spans="1:16" x14ac:dyDescent="0.2">
      <c r="A518" s="58" t="str">
        <v>0:00</v>
      </c>
      <c r="B518" s="122"/>
      <c r="C518" s="44"/>
      <c r="D518" s="44"/>
      <c r="E518" s="44"/>
      <c r="F518" s="44"/>
      <c r="G518" s="44"/>
      <c r="H518" s="44"/>
      <c r="I518" s="44"/>
      <c r="J518" s="44"/>
      <c r="K518" s="44"/>
      <c r="L518" s="44"/>
      <c r="M518" s="44"/>
      <c r="N518" s="44"/>
      <c r="O518" s="44"/>
      <c r="P518" s="44"/>
    </row>
    <row r="519" spans="1:16" x14ac:dyDescent="0.2">
      <c r="A519" s="58" t="str">
        <v>0:00</v>
      </c>
      <c r="B519" s="122"/>
      <c r="C519" s="44"/>
      <c r="D519" s="44"/>
      <c r="E519" s="44"/>
      <c r="F519" s="44"/>
      <c r="G519" s="44"/>
      <c r="H519" s="44"/>
      <c r="I519" s="44"/>
      <c r="J519" s="44"/>
      <c r="K519" s="44"/>
      <c r="L519" s="44"/>
      <c r="M519" s="44"/>
      <c r="N519" s="44"/>
      <c r="O519" s="44"/>
      <c r="P519" s="44"/>
    </row>
    <row r="520" spans="1:16" x14ac:dyDescent="0.2">
      <c r="A520" s="58" t="str">
        <v>0:00</v>
      </c>
      <c r="B520" s="122"/>
      <c r="C520" s="44"/>
      <c r="D520" s="44"/>
      <c r="E520" s="44"/>
      <c r="F520" s="44"/>
      <c r="G520" s="44"/>
      <c r="H520" s="44"/>
      <c r="I520" s="44"/>
      <c r="J520" s="44"/>
      <c r="K520" s="44"/>
      <c r="L520" s="44"/>
      <c r="M520" s="44"/>
      <c r="N520" s="44"/>
      <c r="O520" s="44"/>
      <c r="P520" s="44"/>
    </row>
    <row r="521" spans="1:16" x14ac:dyDescent="0.2">
      <c r="A521" s="58" t="str">
        <v>0:00</v>
      </c>
      <c r="B521" s="122"/>
      <c r="C521" s="44"/>
      <c r="D521" s="44"/>
      <c r="E521" s="44"/>
      <c r="F521" s="44"/>
      <c r="G521" s="44"/>
      <c r="H521" s="44"/>
      <c r="I521" s="44"/>
      <c r="J521" s="44"/>
      <c r="K521" s="44"/>
      <c r="L521" s="44"/>
      <c r="M521" s="44"/>
      <c r="N521" s="44"/>
      <c r="O521" s="44"/>
      <c r="P521" s="44"/>
    </row>
    <row r="522" spans="1:16" x14ac:dyDescent="0.2">
      <c r="A522" s="58" t="str">
        <v>0:00</v>
      </c>
      <c r="B522" s="122"/>
      <c r="C522" s="44"/>
      <c r="D522" s="44"/>
      <c r="E522" s="44"/>
      <c r="F522" s="44"/>
      <c r="G522" s="44"/>
      <c r="H522" s="44"/>
      <c r="I522" s="44"/>
      <c r="J522" s="44"/>
      <c r="K522" s="44"/>
      <c r="L522" s="44"/>
      <c r="M522" s="44"/>
      <c r="N522" s="44"/>
      <c r="O522" s="44"/>
      <c r="P522" s="44"/>
    </row>
    <row r="523" spans="1:16" x14ac:dyDescent="0.2">
      <c r="A523" s="58" t="str">
        <v>0:00</v>
      </c>
      <c r="B523" s="122"/>
      <c r="C523" s="44"/>
      <c r="D523" s="44"/>
      <c r="E523" s="44"/>
      <c r="F523" s="44"/>
      <c r="G523" s="44"/>
      <c r="H523" s="44"/>
      <c r="I523" s="44"/>
      <c r="J523" s="44"/>
      <c r="K523" s="44"/>
      <c r="L523" s="44"/>
      <c r="M523" s="44"/>
      <c r="N523" s="44"/>
      <c r="O523" s="44"/>
      <c r="P523" s="44"/>
    </row>
    <row r="524" spans="1:16" x14ac:dyDescent="0.2">
      <c r="A524" s="58" t="str">
        <v>0:00</v>
      </c>
      <c r="B524" s="122"/>
      <c r="C524" s="44"/>
      <c r="D524" s="44"/>
      <c r="E524" s="44"/>
      <c r="F524" s="44"/>
      <c r="G524" s="44"/>
      <c r="H524" s="44"/>
      <c r="I524" s="44"/>
      <c r="J524" s="44"/>
      <c r="K524" s="44"/>
      <c r="L524" s="44"/>
      <c r="M524" s="44"/>
      <c r="N524" s="44"/>
      <c r="O524" s="44"/>
      <c r="P524" s="44"/>
    </row>
    <row r="525" spans="1:16" x14ac:dyDescent="0.2">
      <c r="A525" s="58" t="str">
        <v>0:00</v>
      </c>
      <c r="B525" s="122"/>
      <c r="C525" s="44"/>
      <c r="D525" s="44"/>
      <c r="E525" s="44"/>
      <c r="F525" s="44"/>
      <c r="G525" s="44"/>
      <c r="H525" s="44"/>
      <c r="I525" s="44"/>
      <c r="J525" s="44"/>
      <c r="K525" s="44"/>
      <c r="L525" s="44"/>
      <c r="M525" s="44"/>
      <c r="N525" s="44"/>
      <c r="O525" s="44"/>
      <c r="P525" s="44"/>
    </row>
    <row r="526" spans="1:16" x14ac:dyDescent="0.2">
      <c r="A526" s="58" t="str">
        <v>0:00</v>
      </c>
      <c r="B526" s="122"/>
      <c r="C526" s="44"/>
      <c r="D526" s="44"/>
      <c r="E526" s="44"/>
      <c r="F526" s="44"/>
      <c r="G526" s="44"/>
      <c r="H526" s="44"/>
      <c r="I526" s="44"/>
      <c r="J526" s="44"/>
      <c r="K526" s="44"/>
      <c r="L526" s="44"/>
      <c r="M526" s="44"/>
      <c r="N526" s="44"/>
      <c r="O526" s="44"/>
      <c r="P526" s="44"/>
    </row>
    <row r="527" spans="1:16" x14ac:dyDescent="0.2">
      <c r="A527" s="58" t="str">
        <v>0:00</v>
      </c>
      <c r="B527" s="122"/>
      <c r="C527" s="44"/>
      <c r="D527" s="44"/>
      <c r="E527" s="44"/>
      <c r="F527" s="44"/>
      <c r="G527" s="44"/>
      <c r="H527" s="44"/>
      <c r="I527" s="44"/>
      <c r="J527" s="44"/>
      <c r="K527" s="44"/>
      <c r="L527" s="44"/>
      <c r="M527" s="44"/>
      <c r="N527" s="44"/>
      <c r="O527" s="44"/>
      <c r="P527" s="44"/>
    </row>
    <row r="528" spans="1:16" x14ac:dyDescent="0.2">
      <c r="A528" s="58" t="str">
        <v>0:00</v>
      </c>
      <c r="B528" s="122"/>
      <c r="C528" s="44"/>
      <c r="D528" s="44"/>
      <c r="E528" s="44"/>
      <c r="F528" s="44"/>
      <c r="G528" s="44"/>
      <c r="H528" s="44"/>
      <c r="I528" s="44"/>
      <c r="J528" s="44"/>
      <c r="K528" s="44"/>
      <c r="L528" s="44"/>
      <c r="M528" s="44"/>
      <c r="N528" s="44"/>
      <c r="O528" s="44"/>
      <c r="P528" s="44"/>
    </row>
    <row r="529" spans="1:16" x14ac:dyDescent="0.2">
      <c r="A529" s="58" t="str">
        <v>0:00</v>
      </c>
      <c r="B529" s="122"/>
      <c r="C529" s="44"/>
      <c r="D529" s="44"/>
      <c r="E529" s="44"/>
      <c r="F529" s="44"/>
      <c r="G529" s="44"/>
      <c r="H529" s="44"/>
      <c r="I529" s="44"/>
      <c r="J529" s="44"/>
      <c r="K529" s="44"/>
      <c r="L529" s="44"/>
      <c r="M529" s="44"/>
      <c r="N529" s="44"/>
      <c r="O529" s="44"/>
      <c r="P529" s="44"/>
    </row>
    <row r="530" spans="1:16" x14ac:dyDescent="0.2">
      <c r="A530" s="58" t="str">
        <v>0:00</v>
      </c>
      <c r="B530" s="122"/>
      <c r="C530" s="44"/>
      <c r="D530" s="44"/>
      <c r="E530" s="44"/>
      <c r="F530" s="44"/>
      <c r="G530" s="44"/>
      <c r="H530" s="44"/>
      <c r="I530" s="44"/>
      <c r="J530" s="44"/>
      <c r="K530" s="44"/>
      <c r="L530" s="44"/>
      <c r="M530" s="44"/>
      <c r="N530" s="44"/>
      <c r="O530" s="44"/>
      <c r="P530" s="44"/>
    </row>
    <row r="531" spans="1:16" x14ac:dyDescent="0.2">
      <c r="A531" s="58" t="str">
        <v>0:00</v>
      </c>
      <c r="B531" s="122"/>
      <c r="C531" s="44"/>
      <c r="D531" s="44"/>
      <c r="E531" s="44"/>
      <c r="F531" s="44"/>
      <c r="G531" s="44"/>
      <c r="H531" s="44"/>
      <c r="I531" s="44"/>
      <c r="J531" s="44"/>
      <c r="K531" s="44"/>
      <c r="L531" s="44"/>
      <c r="M531" s="44"/>
      <c r="N531" s="44"/>
      <c r="O531" s="44"/>
      <c r="P531" s="44"/>
    </row>
    <row r="532" spans="1:16" x14ac:dyDescent="0.2">
      <c r="A532" s="58" t="str">
        <v>0:00</v>
      </c>
      <c r="B532" s="122"/>
      <c r="C532" s="44"/>
      <c r="D532" s="44"/>
      <c r="E532" s="44"/>
      <c r="F532" s="44"/>
      <c r="G532" s="44"/>
      <c r="H532" s="44"/>
      <c r="I532" s="44"/>
      <c r="J532" s="44"/>
      <c r="K532" s="44"/>
      <c r="L532" s="44"/>
      <c r="M532" s="44"/>
      <c r="N532" s="44"/>
      <c r="O532" s="44"/>
      <c r="P532" s="44"/>
    </row>
    <row r="533" spans="1:16" x14ac:dyDescent="0.2">
      <c r="A533" s="58" t="str">
        <v>0:00</v>
      </c>
      <c r="B533" s="122"/>
      <c r="C533" s="44"/>
      <c r="D533" s="44"/>
      <c r="E533" s="44"/>
      <c r="F533" s="44"/>
      <c r="G533" s="44"/>
      <c r="H533" s="44"/>
      <c r="I533" s="44"/>
      <c r="J533" s="44"/>
      <c r="K533" s="44"/>
      <c r="L533" s="44"/>
      <c r="M533" s="44"/>
      <c r="N533" s="44"/>
      <c r="O533" s="44"/>
      <c r="P533" s="44"/>
    </row>
    <row r="534" spans="1:16" x14ac:dyDescent="0.2">
      <c r="A534" s="58" t="str">
        <v>0:00</v>
      </c>
      <c r="B534" s="122"/>
      <c r="C534" s="44"/>
      <c r="D534" s="44"/>
      <c r="E534" s="44"/>
      <c r="F534" s="44"/>
      <c r="G534" s="44"/>
      <c r="H534" s="44"/>
      <c r="I534" s="44"/>
      <c r="J534" s="44"/>
      <c r="K534" s="44"/>
      <c r="L534" s="44"/>
      <c r="M534" s="44"/>
      <c r="N534" s="44"/>
      <c r="O534" s="44"/>
      <c r="P534" s="44"/>
    </row>
    <row r="535" spans="1:16" x14ac:dyDescent="0.2">
      <c r="A535" s="58" t="str">
        <v>0:00</v>
      </c>
      <c r="B535" s="122"/>
      <c r="C535" s="44"/>
      <c r="D535" s="44"/>
      <c r="E535" s="44"/>
      <c r="F535" s="44"/>
      <c r="G535" s="44"/>
      <c r="H535" s="44"/>
      <c r="I535" s="44"/>
      <c r="J535" s="44"/>
      <c r="K535" s="44"/>
      <c r="L535" s="44"/>
      <c r="M535" s="44"/>
      <c r="N535" s="44"/>
      <c r="O535" s="44"/>
      <c r="P535" s="44"/>
    </row>
    <row r="536" spans="1:16" x14ac:dyDescent="0.2">
      <c r="A536" s="58" t="str">
        <v>0:00</v>
      </c>
      <c r="B536" s="122"/>
      <c r="C536" s="44"/>
      <c r="D536" s="44"/>
      <c r="E536" s="44"/>
      <c r="F536" s="44"/>
      <c r="G536" s="44"/>
      <c r="H536" s="44"/>
      <c r="I536" s="44"/>
      <c r="J536" s="44"/>
      <c r="K536" s="44"/>
      <c r="L536" s="44"/>
      <c r="M536" s="44"/>
      <c r="N536" s="44"/>
      <c r="O536" s="44"/>
      <c r="P536" s="44"/>
    </row>
    <row r="537" spans="1:16" x14ac:dyDescent="0.2">
      <c r="A537" s="58" t="str">
        <v>0:00</v>
      </c>
      <c r="B537" s="122"/>
      <c r="C537" s="44"/>
      <c r="D537" s="44"/>
      <c r="E537" s="44"/>
      <c r="F537" s="44"/>
      <c r="G537" s="44"/>
      <c r="H537" s="44"/>
      <c r="I537" s="44"/>
      <c r="J537" s="44"/>
      <c r="K537" s="44"/>
      <c r="L537" s="44"/>
      <c r="M537" s="44"/>
      <c r="N537" s="44"/>
      <c r="O537" s="44"/>
      <c r="P537" s="44"/>
    </row>
    <row r="538" spans="1:16" x14ac:dyDescent="0.2">
      <c r="A538" s="58" t="str">
        <v>0:00</v>
      </c>
      <c r="B538" s="122"/>
      <c r="C538" s="44"/>
      <c r="D538" s="44"/>
      <c r="E538" s="44"/>
      <c r="F538" s="44"/>
      <c r="G538" s="44"/>
      <c r="H538" s="44"/>
      <c r="I538" s="44"/>
      <c r="J538" s="44"/>
      <c r="K538" s="44"/>
      <c r="L538" s="44"/>
      <c r="M538" s="44"/>
      <c r="N538" s="44"/>
      <c r="O538" s="44"/>
      <c r="P538" s="44"/>
    </row>
    <row r="539" spans="1:16" x14ac:dyDescent="0.2">
      <c r="A539" s="58" t="str">
        <v>0:00</v>
      </c>
      <c r="B539" s="122"/>
      <c r="C539" s="44"/>
      <c r="D539" s="44"/>
      <c r="E539" s="44"/>
      <c r="F539" s="44"/>
      <c r="G539" s="44"/>
      <c r="H539" s="44"/>
      <c r="I539" s="44"/>
      <c r="J539" s="44"/>
      <c r="K539" s="44"/>
      <c r="L539" s="44"/>
      <c r="M539" s="44"/>
      <c r="N539" s="44"/>
      <c r="O539" s="44"/>
      <c r="P539" s="44"/>
    </row>
    <row r="540" spans="1:16" x14ac:dyDescent="0.2">
      <c r="A540" s="58" t="str">
        <v>0:00</v>
      </c>
      <c r="B540" s="122"/>
      <c r="C540" s="44"/>
      <c r="D540" s="44"/>
      <c r="E540" s="44"/>
      <c r="F540" s="44"/>
      <c r="G540" s="44"/>
      <c r="H540" s="44"/>
      <c r="I540" s="44"/>
      <c r="J540" s="44"/>
      <c r="K540" s="44"/>
      <c r="L540" s="44"/>
      <c r="M540" s="44"/>
      <c r="N540" s="44"/>
      <c r="O540" s="44"/>
      <c r="P540" s="44"/>
    </row>
    <row r="541" spans="1:16" x14ac:dyDescent="0.2">
      <c r="A541" s="58" t="str">
        <v>0:00</v>
      </c>
      <c r="B541" s="122"/>
      <c r="C541" s="44"/>
      <c r="D541" s="44"/>
      <c r="E541" s="44"/>
      <c r="F541" s="44"/>
      <c r="G541" s="44"/>
      <c r="H541" s="44"/>
      <c r="I541" s="44"/>
      <c r="J541" s="44"/>
      <c r="K541" s="44"/>
      <c r="L541" s="44"/>
      <c r="M541" s="44"/>
      <c r="N541" s="44"/>
      <c r="O541" s="44"/>
      <c r="P541" s="44"/>
    </row>
    <row r="542" spans="1:16" x14ac:dyDescent="0.2">
      <c r="A542" s="58" t="str">
        <v>0:00</v>
      </c>
      <c r="B542" s="122"/>
      <c r="C542" s="44"/>
      <c r="D542" s="44"/>
      <c r="E542" s="44"/>
      <c r="F542" s="44"/>
      <c r="G542" s="44"/>
      <c r="H542" s="44"/>
      <c r="I542" s="44"/>
      <c r="J542" s="44"/>
      <c r="K542" s="44"/>
      <c r="L542" s="44"/>
      <c r="M542" s="44"/>
      <c r="N542" s="44"/>
      <c r="O542" s="44"/>
      <c r="P542" s="44"/>
    </row>
    <row r="543" spans="1:16" x14ac:dyDescent="0.2">
      <c r="A543" s="58" t="str">
        <v>0:00</v>
      </c>
      <c r="B543" s="122"/>
      <c r="C543" s="44"/>
      <c r="D543" s="44"/>
      <c r="E543" s="44"/>
      <c r="F543" s="44"/>
      <c r="G543" s="44"/>
      <c r="H543" s="44"/>
      <c r="I543" s="44"/>
      <c r="J543" s="44"/>
      <c r="K543" s="44"/>
      <c r="L543" s="44"/>
      <c r="M543" s="44"/>
      <c r="N543" s="44"/>
      <c r="O543" s="44"/>
      <c r="P543" s="44"/>
    </row>
    <row r="544" spans="1:16" x14ac:dyDescent="0.2">
      <c r="A544" s="58" t="str">
        <v>0:00</v>
      </c>
      <c r="B544" s="122"/>
      <c r="C544" s="44"/>
      <c r="D544" s="44"/>
      <c r="E544" s="44"/>
      <c r="F544" s="44"/>
      <c r="G544" s="44"/>
      <c r="H544" s="44"/>
      <c r="I544" s="44"/>
      <c r="J544" s="44"/>
      <c r="K544" s="44"/>
      <c r="L544" s="44"/>
      <c r="M544" s="44"/>
      <c r="N544" s="44"/>
      <c r="O544" s="44"/>
      <c r="P544" s="44"/>
    </row>
    <row r="545" spans="1:16" x14ac:dyDescent="0.2">
      <c r="A545" s="58" t="str">
        <v>0:00</v>
      </c>
      <c r="B545" s="122"/>
      <c r="C545" s="44"/>
      <c r="D545" s="44"/>
      <c r="E545" s="44"/>
      <c r="F545" s="44"/>
      <c r="G545" s="44"/>
      <c r="H545" s="44"/>
      <c r="I545" s="44"/>
      <c r="J545" s="44"/>
      <c r="K545" s="44"/>
      <c r="L545" s="44"/>
      <c r="M545" s="44"/>
      <c r="N545" s="44"/>
      <c r="O545" s="44"/>
      <c r="P545" s="44"/>
    </row>
    <row r="546" spans="1:16" x14ac:dyDescent="0.2">
      <c r="A546" s="58" t="str">
        <v>0:00</v>
      </c>
      <c r="B546" s="122"/>
      <c r="C546" s="44"/>
      <c r="D546" s="44"/>
      <c r="E546" s="44"/>
      <c r="F546" s="44"/>
      <c r="G546" s="44"/>
      <c r="H546" s="44"/>
      <c r="I546" s="44"/>
      <c r="J546" s="44"/>
      <c r="K546" s="44"/>
      <c r="L546" s="44"/>
      <c r="M546" s="44"/>
      <c r="N546" s="44"/>
      <c r="O546" s="44"/>
      <c r="P546" s="44"/>
    </row>
    <row r="547" spans="1:16" x14ac:dyDescent="0.2">
      <c r="A547" s="58" t="str">
        <v>0:00</v>
      </c>
      <c r="B547" s="122"/>
      <c r="C547" s="44"/>
      <c r="D547" s="44"/>
      <c r="E547" s="44"/>
      <c r="F547" s="44"/>
      <c r="G547" s="44"/>
      <c r="H547" s="44"/>
      <c r="I547" s="44"/>
      <c r="J547" s="44"/>
      <c r="K547" s="44"/>
      <c r="L547" s="44"/>
      <c r="M547" s="44"/>
      <c r="N547" s="44"/>
      <c r="O547" s="44"/>
      <c r="P547" s="44"/>
    </row>
    <row r="548" spans="1:16" x14ac:dyDescent="0.2">
      <c r="A548" s="58" t="str">
        <v>0:00</v>
      </c>
      <c r="B548" s="122"/>
      <c r="C548" s="44"/>
      <c r="D548" s="44"/>
      <c r="E548" s="44"/>
      <c r="F548" s="44"/>
      <c r="G548" s="44"/>
      <c r="H548" s="44"/>
      <c r="I548" s="44"/>
      <c r="J548" s="44"/>
      <c r="K548" s="44"/>
      <c r="L548" s="44"/>
      <c r="M548" s="44"/>
      <c r="N548" s="44"/>
      <c r="O548" s="44"/>
      <c r="P548" s="44"/>
    </row>
    <row r="549" spans="1:16" x14ac:dyDescent="0.2">
      <c r="A549" s="58" t="str">
        <v>0:00</v>
      </c>
      <c r="B549" s="122"/>
      <c r="C549" s="44"/>
      <c r="D549" s="44"/>
      <c r="E549" s="44"/>
      <c r="F549" s="44"/>
      <c r="G549" s="44"/>
      <c r="H549" s="44"/>
      <c r="I549" s="44"/>
      <c r="J549" s="44"/>
      <c r="K549" s="44"/>
      <c r="L549" s="44"/>
      <c r="M549" s="44"/>
      <c r="N549" s="44"/>
      <c r="O549" s="44"/>
      <c r="P549" s="44"/>
    </row>
    <row r="550" spans="1:16" x14ac:dyDescent="0.2">
      <c r="A550" s="58" t="str">
        <v>0:00</v>
      </c>
      <c r="B550" s="122"/>
      <c r="C550" s="44"/>
      <c r="D550" s="44"/>
      <c r="E550" s="44"/>
      <c r="F550" s="44"/>
      <c r="G550" s="44"/>
      <c r="H550" s="44"/>
      <c r="I550" s="44"/>
      <c r="J550" s="44"/>
      <c r="K550" s="44"/>
      <c r="L550" s="44"/>
      <c r="M550" s="44"/>
      <c r="N550" s="44"/>
      <c r="O550" s="44"/>
      <c r="P550" s="44"/>
    </row>
    <row r="551" spans="1:16" x14ac:dyDescent="0.2">
      <c r="A551" s="58" t="str">
        <v>0:00</v>
      </c>
      <c r="B551" s="122"/>
      <c r="C551" s="44"/>
      <c r="D551" s="44"/>
      <c r="E551" s="44"/>
      <c r="F551" s="44"/>
      <c r="G551" s="44"/>
      <c r="H551" s="44"/>
      <c r="I551" s="44"/>
      <c r="J551" s="44"/>
      <c r="K551" s="44"/>
      <c r="L551" s="44"/>
      <c r="M551" s="44"/>
      <c r="N551" s="44"/>
      <c r="O551" s="44"/>
      <c r="P551" s="44"/>
    </row>
    <row r="552" spans="1:16" x14ac:dyDescent="0.2">
      <c r="A552" s="58" t="str">
        <v>0:00</v>
      </c>
      <c r="B552" s="122"/>
      <c r="C552" s="44"/>
      <c r="D552" s="44"/>
      <c r="E552" s="44"/>
      <c r="F552" s="44"/>
      <c r="G552" s="44"/>
      <c r="H552" s="44"/>
      <c r="I552" s="44"/>
      <c r="J552" s="44"/>
      <c r="K552" s="44"/>
      <c r="L552" s="44"/>
      <c r="M552" s="44"/>
      <c r="N552" s="44"/>
      <c r="O552" s="44"/>
      <c r="P552" s="44"/>
    </row>
    <row r="553" spans="1:16" x14ac:dyDescent="0.2">
      <c r="A553" s="58" t="str">
        <v>0:00</v>
      </c>
      <c r="B553" s="122"/>
      <c r="C553" s="44"/>
      <c r="D553" s="44"/>
      <c r="E553" s="44"/>
      <c r="F553" s="44"/>
      <c r="G553" s="44"/>
      <c r="H553" s="44"/>
      <c r="I553" s="44"/>
      <c r="J553" s="44"/>
      <c r="K553" s="44"/>
      <c r="L553" s="44"/>
      <c r="M553" s="44"/>
      <c r="N553" s="44"/>
      <c r="O553" s="44"/>
      <c r="P553" s="44"/>
    </row>
    <row r="554" spans="1:16" x14ac:dyDescent="0.2">
      <c r="A554" s="58" t="str">
        <v>0:00</v>
      </c>
      <c r="B554" s="122"/>
      <c r="C554" s="44"/>
      <c r="D554" s="44"/>
      <c r="E554" s="44"/>
      <c r="F554" s="44"/>
      <c r="G554" s="44"/>
      <c r="H554" s="44"/>
      <c r="I554" s="44"/>
      <c r="J554" s="44"/>
      <c r="K554" s="44"/>
      <c r="L554" s="44"/>
      <c r="M554" s="44"/>
      <c r="N554" s="44"/>
      <c r="O554" s="44"/>
      <c r="P554" s="44"/>
    </row>
    <row r="555" spans="1:16" x14ac:dyDescent="0.2">
      <c r="A555" s="58" t="str">
        <v>0:00</v>
      </c>
      <c r="B555" s="122"/>
      <c r="C555" s="44"/>
      <c r="D555" s="44"/>
      <c r="E555" s="44"/>
      <c r="F555" s="44"/>
      <c r="G555" s="44"/>
      <c r="H555" s="44"/>
      <c r="I555" s="44"/>
      <c r="J555" s="44"/>
      <c r="K555" s="44"/>
      <c r="L555" s="44"/>
      <c r="M555" s="44"/>
      <c r="N555" s="44"/>
      <c r="O555" s="44"/>
      <c r="P555" s="44"/>
    </row>
    <row r="556" spans="1:16" x14ac:dyDescent="0.2">
      <c r="A556" s="58" t="str">
        <v>0:00</v>
      </c>
      <c r="B556" s="122"/>
      <c r="C556" s="44"/>
      <c r="D556" s="44"/>
      <c r="E556" s="44"/>
      <c r="F556" s="44"/>
      <c r="G556" s="44"/>
      <c r="H556" s="44"/>
      <c r="I556" s="44"/>
      <c r="J556" s="44"/>
      <c r="K556" s="44"/>
      <c r="L556" s="44"/>
      <c r="M556" s="44"/>
      <c r="N556" s="44"/>
      <c r="O556" s="44"/>
      <c r="P556" s="44"/>
    </row>
    <row r="557" spans="1:16" x14ac:dyDescent="0.2">
      <c r="A557" s="58" t="str">
        <v>0:00</v>
      </c>
      <c r="B557" s="122"/>
      <c r="C557" s="44"/>
      <c r="D557" s="44"/>
      <c r="E557" s="44"/>
      <c r="F557" s="44"/>
      <c r="G557" s="44"/>
      <c r="H557" s="44"/>
      <c r="I557" s="44"/>
      <c r="J557" s="44"/>
      <c r="K557" s="44"/>
      <c r="L557" s="44"/>
      <c r="M557" s="44"/>
      <c r="N557" s="44"/>
      <c r="O557" s="44"/>
      <c r="P557" s="44"/>
    </row>
    <row r="558" spans="1:16" x14ac:dyDescent="0.2">
      <c r="A558" s="58" t="str">
        <v>0:00</v>
      </c>
      <c r="B558" s="122"/>
      <c r="C558" s="44"/>
      <c r="D558" s="44"/>
      <c r="E558" s="44"/>
      <c r="F558" s="44"/>
      <c r="G558" s="44"/>
      <c r="H558" s="44"/>
      <c r="I558" s="44"/>
      <c r="J558" s="44"/>
      <c r="K558" s="44"/>
      <c r="L558" s="44"/>
      <c r="M558" s="44"/>
      <c r="N558" s="44"/>
      <c r="O558" s="44"/>
      <c r="P558" s="44"/>
    </row>
    <row r="559" spans="1:16" x14ac:dyDescent="0.2">
      <c r="A559" s="58" t="str">
        <v>0:00</v>
      </c>
      <c r="B559" s="122"/>
      <c r="C559" s="44"/>
      <c r="D559" s="44"/>
      <c r="E559" s="44"/>
      <c r="F559" s="44"/>
      <c r="G559" s="44"/>
      <c r="H559" s="44"/>
      <c r="I559" s="44"/>
      <c r="J559" s="44"/>
      <c r="K559" s="44"/>
      <c r="L559" s="44"/>
      <c r="M559" s="44"/>
      <c r="N559" s="44"/>
      <c r="O559" s="44"/>
      <c r="P559" s="44"/>
    </row>
    <row r="560" spans="1:16" x14ac:dyDescent="0.2">
      <c r="A560" s="58" t="str">
        <v>0:00</v>
      </c>
      <c r="B560" s="122"/>
      <c r="C560" s="44"/>
      <c r="D560" s="44"/>
      <c r="E560" s="44"/>
      <c r="F560" s="44"/>
      <c r="G560" s="44"/>
      <c r="H560" s="44"/>
      <c r="I560" s="44"/>
      <c r="J560" s="44"/>
      <c r="K560" s="44"/>
      <c r="L560" s="44"/>
      <c r="M560" s="44"/>
      <c r="N560" s="44"/>
      <c r="O560" s="44"/>
      <c r="P560" s="44"/>
    </row>
    <row r="561" spans="1:16" x14ac:dyDescent="0.2">
      <c r="A561" s="58" t="str">
        <v>0:00</v>
      </c>
      <c r="B561" s="122"/>
      <c r="C561" s="44"/>
      <c r="D561" s="44"/>
      <c r="E561" s="44"/>
      <c r="F561" s="44"/>
      <c r="G561" s="44"/>
      <c r="H561" s="44"/>
      <c r="I561" s="44"/>
      <c r="J561" s="44"/>
      <c r="K561" s="44"/>
      <c r="L561" s="44"/>
      <c r="M561" s="44"/>
      <c r="N561" s="44"/>
      <c r="O561" s="44"/>
      <c r="P561" s="44"/>
    </row>
    <row r="562" spans="1:16" x14ac:dyDescent="0.2">
      <c r="A562" s="58" t="str">
        <v>0:00</v>
      </c>
      <c r="B562" s="122"/>
      <c r="C562" s="44"/>
      <c r="D562" s="44"/>
      <c r="E562" s="44"/>
      <c r="F562" s="44"/>
      <c r="G562" s="44"/>
      <c r="H562" s="44"/>
      <c r="I562" s="44"/>
      <c r="J562" s="44"/>
      <c r="K562" s="44"/>
      <c r="L562" s="44"/>
      <c r="M562" s="44"/>
      <c r="N562" s="44"/>
      <c r="O562" s="44"/>
      <c r="P562" s="44"/>
    </row>
    <row r="563" spans="1:16" x14ac:dyDescent="0.2">
      <c r="A563" s="58" t="str">
        <v>0:00</v>
      </c>
      <c r="B563" s="122"/>
      <c r="C563" s="44"/>
      <c r="D563" s="44"/>
      <c r="E563" s="44"/>
      <c r="F563" s="44"/>
      <c r="G563" s="44"/>
      <c r="H563" s="44"/>
      <c r="I563" s="44"/>
      <c r="J563" s="44"/>
      <c r="K563" s="44"/>
      <c r="L563" s="44"/>
      <c r="M563" s="44"/>
      <c r="N563" s="44"/>
      <c r="O563" s="44"/>
      <c r="P563" s="44"/>
    </row>
    <row r="564" spans="1:16" x14ac:dyDescent="0.2">
      <c r="A564" s="58" t="str">
        <v>0:00</v>
      </c>
      <c r="B564" s="122"/>
      <c r="C564" s="44"/>
      <c r="D564" s="44"/>
      <c r="E564" s="44"/>
      <c r="F564" s="44"/>
      <c r="G564" s="44"/>
      <c r="H564" s="44"/>
      <c r="I564" s="44"/>
      <c r="J564" s="44"/>
      <c r="K564" s="44"/>
      <c r="L564" s="44"/>
      <c r="M564" s="44"/>
      <c r="N564" s="44"/>
      <c r="O564" s="44"/>
      <c r="P564" s="44"/>
    </row>
    <row r="565" spans="1:16" x14ac:dyDescent="0.2">
      <c r="A565" s="58" t="str">
        <v>0:00</v>
      </c>
      <c r="B565" s="122"/>
      <c r="C565" s="44"/>
      <c r="D565" s="44"/>
      <c r="E565" s="44"/>
      <c r="F565" s="44"/>
      <c r="G565" s="44"/>
      <c r="H565" s="44"/>
      <c r="I565" s="44"/>
      <c r="J565" s="44"/>
      <c r="K565" s="44"/>
      <c r="L565" s="44"/>
      <c r="M565" s="44"/>
      <c r="N565" s="44"/>
      <c r="O565" s="44"/>
      <c r="P565" s="44"/>
    </row>
    <row r="566" spans="1:16" x14ac:dyDescent="0.2">
      <c r="A566" s="58" t="str">
        <v>0:00</v>
      </c>
      <c r="B566" s="122"/>
      <c r="C566" s="44"/>
      <c r="D566" s="44"/>
      <c r="E566" s="44"/>
      <c r="F566" s="44"/>
      <c r="G566" s="44"/>
      <c r="H566" s="44"/>
      <c r="I566" s="44"/>
      <c r="J566" s="44"/>
      <c r="K566" s="44"/>
      <c r="L566" s="44"/>
      <c r="M566" s="44"/>
      <c r="N566" s="44"/>
      <c r="O566" s="44"/>
      <c r="P566" s="44"/>
    </row>
    <row r="567" spans="1:16" x14ac:dyDescent="0.2">
      <c r="A567" s="58" t="str">
        <v>0:00</v>
      </c>
      <c r="B567" s="122"/>
      <c r="C567" s="44"/>
      <c r="D567" s="44"/>
      <c r="E567" s="44"/>
      <c r="F567" s="44"/>
      <c r="G567" s="44"/>
      <c r="H567" s="44"/>
      <c r="I567" s="44"/>
      <c r="J567" s="44"/>
      <c r="K567" s="44"/>
      <c r="L567" s="44"/>
      <c r="M567" s="44"/>
      <c r="N567" s="44"/>
      <c r="O567" s="44"/>
      <c r="P567" s="44"/>
    </row>
    <row r="568" spans="1:16" x14ac:dyDescent="0.2">
      <c r="A568" s="58" t="str">
        <v>0:00</v>
      </c>
      <c r="B568" s="122"/>
      <c r="C568" s="44"/>
      <c r="D568" s="44"/>
      <c r="E568" s="44"/>
      <c r="F568" s="44"/>
      <c r="G568" s="44"/>
      <c r="H568" s="44"/>
      <c r="I568" s="44"/>
      <c r="J568" s="44"/>
      <c r="K568" s="44"/>
      <c r="L568" s="44"/>
      <c r="M568" s="44"/>
      <c r="N568" s="44"/>
      <c r="O568" s="44"/>
      <c r="P568" s="44"/>
    </row>
    <row r="569" spans="1:16" x14ac:dyDescent="0.2">
      <c r="A569" s="58" t="str">
        <v>0:00</v>
      </c>
      <c r="B569" s="122"/>
      <c r="C569" s="44"/>
      <c r="D569" s="44"/>
      <c r="E569" s="44"/>
      <c r="F569" s="44"/>
      <c r="G569" s="44"/>
      <c r="H569" s="44"/>
      <c r="I569" s="44"/>
      <c r="J569" s="44"/>
      <c r="K569" s="44"/>
      <c r="L569" s="44"/>
      <c r="M569" s="44"/>
      <c r="N569" s="44"/>
      <c r="O569" s="44"/>
      <c r="P569" s="44"/>
    </row>
    <row r="570" spans="1:16" x14ac:dyDescent="0.2">
      <c r="A570" s="58" t="str">
        <v>0:00</v>
      </c>
      <c r="B570" s="122"/>
      <c r="C570" s="44"/>
      <c r="D570" s="44"/>
      <c r="E570" s="44"/>
      <c r="F570" s="44"/>
      <c r="G570" s="44"/>
      <c r="H570" s="44"/>
      <c r="I570" s="44"/>
      <c r="J570" s="44"/>
      <c r="K570" s="44"/>
      <c r="L570" s="44"/>
      <c r="M570" s="44"/>
      <c r="N570" s="44"/>
      <c r="O570" s="44"/>
      <c r="P570" s="44"/>
    </row>
    <row r="571" spans="1:16" x14ac:dyDescent="0.2">
      <c r="A571" s="58" t="str">
        <v>0:00</v>
      </c>
      <c r="B571" s="122"/>
      <c r="C571" s="44"/>
      <c r="D571" s="44"/>
      <c r="E571" s="44"/>
      <c r="F571" s="44"/>
      <c r="G571" s="44"/>
      <c r="H571" s="44"/>
      <c r="I571" s="44"/>
      <c r="J571" s="44"/>
      <c r="K571" s="44"/>
      <c r="L571" s="44"/>
      <c r="M571" s="44"/>
      <c r="N571" s="44"/>
      <c r="O571" s="44"/>
      <c r="P571" s="44"/>
    </row>
    <row r="572" spans="1:16" x14ac:dyDescent="0.2">
      <c r="A572" s="58" t="str">
        <v>0:00</v>
      </c>
      <c r="B572" s="122"/>
      <c r="C572" s="44"/>
      <c r="D572" s="44"/>
      <c r="E572" s="44"/>
      <c r="F572" s="44"/>
      <c r="G572" s="44"/>
      <c r="H572" s="44"/>
      <c r="I572" s="44"/>
      <c r="J572" s="44"/>
      <c r="K572" s="44"/>
      <c r="L572" s="44"/>
      <c r="M572" s="44"/>
      <c r="N572" s="44"/>
      <c r="O572" s="44"/>
      <c r="P572" s="44"/>
    </row>
    <row r="573" spans="1:16" x14ac:dyDescent="0.2">
      <c r="A573" s="58" t="str">
        <v>0:00</v>
      </c>
      <c r="B573" s="122"/>
      <c r="C573" s="44"/>
      <c r="D573" s="44"/>
      <c r="E573" s="44"/>
      <c r="F573" s="44"/>
      <c r="G573" s="44"/>
      <c r="H573" s="44"/>
      <c r="I573" s="44"/>
      <c r="J573" s="44"/>
      <c r="K573" s="44"/>
      <c r="L573" s="44"/>
      <c r="M573" s="44"/>
      <c r="N573" s="44"/>
      <c r="O573" s="44"/>
      <c r="P573" s="44"/>
    </row>
    <row r="574" spans="1:16" x14ac:dyDescent="0.2">
      <c r="A574" s="58" t="str">
        <v>0:00</v>
      </c>
      <c r="B574" s="122"/>
      <c r="C574" s="44"/>
      <c r="D574" s="44"/>
      <c r="E574" s="44"/>
      <c r="F574" s="44"/>
      <c r="G574" s="44"/>
      <c r="H574" s="44"/>
      <c r="I574" s="44"/>
      <c r="J574" s="44"/>
      <c r="K574" s="44"/>
      <c r="L574" s="44"/>
      <c r="M574" s="44"/>
      <c r="N574" s="44"/>
      <c r="O574" s="44"/>
      <c r="P574" s="44"/>
    </row>
    <row r="575" spans="1:16" x14ac:dyDescent="0.2">
      <c r="A575" s="58" t="str">
        <v>0:00</v>
      </c>
      <c r="B575" s="122"/>
      <c r="C575" s="44"/>
      <c r="D575" s="44"/>
      <c r="E575" s="44"/>
      <c r="F575" s="44"/>
      <c r="G575" s="44"/>
      <c r="H575" s="44"/>
      <c r="I575" s="44"/>
      <c r="J575" s="44"/>
      <c r="K575" s="44"/>
      <c r="L575" s="44"/>
      <c r="M575" s="44"/>
      <c r="N575" s="44"/>
      <c r="O575" s="44"/>
      <c r="P575" s="44"/>
    </row>
    <row r="576" spans="1:16" x14ac:dyDescent="0.2">
      <c r="A576" s="58" t="str">
        <v>0:00</v>
      </c>
      <c r="B576" s="122"/>
      <c r="C576" s="44"/>
      <c r="D576" s="44"/>
      <c r="E576" s="44"/>
      <c r="F576" s="44"/>
      <c r="G576" s="44"/>
      <c r="H576" s="44"/>
      <c r="I576" s="44"/>
      <c r="J576" s="44"/>
      <c r="K576" s="44"/>
      <c r="L576" s="44"/>
      <c r="M576" s="44"/>
      <c r="N576" s="44"/>
      <c r="O576" s="44"/>
      <c r="P576" s="44"/>
    </row>
    <row r="577" spans="1:16" x14ac:dyDescent="0.2">
      <c r="A577" s="58" t="str">
        <v>0:00</v>
      </c>
      <c r="B577" s="122"/>
      <c r="C577" s="44"/>
      <c r="D577" s="44"/>
      <c r="E577" s="44"/>
      <c r="F577" s="44"/>
      <c r="G577" s="44"/>
      <c r="H577" s="44"/>
      <c r="I577" s="44"/>
      <c r="J577" s="44"/>
      <c r="K577" s="44"/>
      <c r="L577" s="44"/>
      <c r="M577" s="44"/>
      <c r="N577" s="44"/>
      <c r="O577" s="44"/>
      <c r="P577" s="44"/>
    </row>
    <row r="578" spans="1:16" x14ac:dyDescent="0.2">
      <c r="A578" s="58" t="str">
        <v>0:00</v>
      </c>
      <c r="B578" s="122"/>
      <c r="C578" s="44"/>
      <c r="D578" s="44"/>
      <c r="E578" s="44"/>
      <c r="F578" s="44"/>
      <c r="G578" s="44"/>
      <c r="H578" s="44"/>
      <c r="I578" s="44"/>
      <c r="J578" s="44"/>
      <c r="K578" s="44"/>
      <c r="L578" s="44"/>
      <c r="M578" s="44"/>
      <c r="N578" s="44"/>
      <c r="O578" s="44"/>
      <c r="P578" s="44"/>
    </row>
    <row r="579" spans="1:16" x14ac:dyDescent="0.2">
      <c r="A579" s="58" t="str">
        <v>0:00</v>
      </c>
      <c r="B579" s="122"/>
      <c r="C579" s="44"/>
      <c r="D579" s="44"/>
      <c r="E579" s="44"/>
      <c r="F579" s="44"/>
      <c r="G579" s="44"/>
      <c r="H579" s="44"/>
      <c r="I579" s="44"/>
      <c r="J579" s="44"/>
      <c r="K579" s="44"/>
      <c r="L579" s="44"/>
      <c r="M579" s="44"/>
      <c r="N579" s="44"/>
      <c r="O579" s="44"/>
      <c r="P579" s="44"/>
    </row>
    <row r="580" spans="1:16" x14ac:dyDescent="0.2">
      <c r="A580" s="58" t="str">
        <v>0:00</v>
      </c>
      <c r="B580" s="122"/>
      <c r="C580" s="44"/>
      <c r="D580" s="44"/>
      <c r="E580" s="44"/>
      <c r="F580" s="44"/>
      <c r="G580" s="44"/>
      <c r="H580" s="44"/>
      <c r="I580" s="44"/>
      <c r="J580" s="44"/>
      <c r="K580" s="44"/>
      <c r="L580" s="44"/>
      <c r="M580" s="44"/>
      <c r="N580" s="44"/>
      <c r="O580" s="44"/>
      <c r="P580" s="44"/>
    </row>
    <row r="581" spans="1:16" x14ac:dyDescent="0.2">
      <c r="A581" s="58" t="str">
        <v>0:00</v>
      </c>
      <c r="B581" s="122"/>
      <c r="C581" s="44"/>
      <c r="D581" s="44"/>
      <c r="E581" s="44"/>
      <c r="F581" s="44"/>
      <c r="G581" s="44"/>
      <c r="H581" s="44"/>
      <c r="I581" s="44"/>
      <c r="J581" s="44"/>
      <c r="K581" s="44"/>
      <c r="L581" s="44"/>
      <c r="M581" s="44"/>
      <c r="N581" s="44"/>
      <c r="O581" s="44"/>
      <c r="P581" s="44"/>
    </row>
    <row r="582" spans="1:16" x14ac:dyDescent="0.2">
      <c r="A582" s="58" t="str">
        <v>0:00</v>
      </c>
      <c r="B582" s="122"/>
      <c r="C582" s="44"/>
      <c r="D582" s="44"/>
      <c r="E582" s="44"/>
      <c r="F582" s="44"/>
      <c r="G582" s="44"/>
      <c r="H582" s="44"/>
      <c r="I582" s="44"/>
      <c r="J582" s="44"/>
      <c r="K582" s="44"/>
      <c r="L582" s="44"/>
      <c r="M582" s="44"/>
      <c r="N582" s="44"/>
      <c r="O582" s="44"/>
      <c r="P582" s="44"/>
    </row>
    <row r="583" spans="1:16" x14ac:dyDescent="0.2">
      <c r="A583" s="58" t="str">
        <v>0:00</v>
      </c>
      <c r="B583" s="122"/>
      <c r="C583" s="44"/>
      <c r="D583" s="44"/>
      <c r="E583" s="44"/>
      <c r="F583" s="44"/>
      <c r="G583" s="44"/>
      <c r="H583" s="44"/>
      <c r="I583" s="44"/>
      <c r="J583" s="44"/>
      <c r="K583" s="44"/>
      <c r="L583" s="44"/>
      <c r="M583" s="44"/>
      <c r="N583" s="44"/>
      <c r="O583" s="44"/>
      <c r="P583" s="44"/>
    </row>
    <row r="584" spans="1:16" x14ac:dyDescent="0.2">
      <c r="A584" s="58" t="str">
        <v>0:00</v>
      </c>
      <c r="B584" s="122"/>
      <c r="C584" s="44"/>
      <c r="D584" s="44"/>
      <c r="E584" s="44"/>
      <c r="F584" s="44"/>
      <c r="G584" s="44"/>
      <c r="H584" s="44"/>
      <c r="I584" s="44"/>
      <c r="J584" s="44"/>
      <c r="K584" s="44"/>
      <c r="L584" s="44"/>
      <c r="M584" s="44"/>
      <c r="N584" s="44"/>
      <c r="O584" s="44"/>
      <c r="P584" s="44"/>
    </row>
    <row r="585" spans="1:16" x14ac:dyDescent="0.2">
      <c r="A585" s="58" t="str">
        <v>0:00</v>
      </c>
      <c r="B585" s="122"/>
      <c r="C585" s="44"/>
      <c r="D585" s="44"/>
      <c r="E585" s="44"/>
      <c r="F585" s="44"/>
      <c r="G585" s="44"/>
      <c r="H585" s="44"/>
      <c r="I585" s="44"/>
      <c r="J585" s="44"/>
      <c r="K585" s="44"/>
      <c r="L585" s="44"/>
      <c r="M585" s="44"/>
      <c r="N585" s="44"/>
      <c r="O585" s="44"/>
      <c r="P585" s="44"/>
    </row>
    <row r="586" spans="1:16" x14ac:dyDescent="0.2">
      <c r="A586" s="58" t="str">
        <v>0:00</v>
      </c>
      <c r="B586" s="122"/>
      <c r="C586" s="44"/>
      <c r="D586" s="44"/>
      <c r="E586" s="44"/>
      <c r="F586" s="44"/>
      <c r="G586" s="44"/>
      <c r="H586" s="44"/>
      <c r="I586" s="44"/>
      <c r="J586" s="44"/>
      <c r="K586" s="44"/>
      <c r="L586" s="44"/>
      <c r="M586" s="44"/>
      <c r="N586" s="44"/>
      <c r="O586" s="44"/>
      <c r="P586" s="44"/>
    </row>
    <row r="587" spans="1:16" x14ac:dyDescent="0.2">
      <c r="A587" s="58" t="str">
        <v>0:00</v>
      </c>
      <c r="B587" s="122"/>
      <c r="C587" s="44"/>
      <c r="D587" s="44"/>
      <c r="E587" s="44"/>
      <c r="F587" s="44"/>
      <c r="G587" s="44"/>
      <c r="H587" s="44"/>
      <c r="I587" s="44"/>
      <c r="J587" s="44"/>
      <c r="K587" s="44"/>
      <c r="L587" s="44"/>
      <c r="M587" s="44"/>
      <c r="N587" s="44"/>
      <c r="O587" s="44"/>
      <c r="P587" s="44"/>
    </row>
    <row r="588" spans="1:16" x14ac:dyDescent="0.2">
      <c r="A588" s="58" t="str">
        <v>0:00</v>
      </c>
      <c r="B588" s="122"/>
      <c r="C588" s="44"/>
      <c r="D588" s="44"/>
      <c r="E588" s="44"/>
      <c r="F588" s="44"/>
      <c r="G588" s="44"/>
      <c r="H588" s="44"/>
      <c r="I588" s="44"/>
      <c r="J588" s="44"/>
      <c r="K588" s="44"/>
      <c r="L588" s="44"/>
      <c r="M588" s="44"/>
      <c r="N588" s="44"/>
      <c r="O588" s="44"/>
      <c r="P588" s="44"/>
    </row>
    <row r="589" spans="1:16" x14ac:dyDescent="0.2">
      <c r="A589" s="58" t="str">
        <v>0:00</v>
      </c>
      <c r="B589" s="122"/>
      <c r="C589" s="44"/>
      <c r="D589" s="44"/>
      <c r="E589" s="44"/>
      <c r="F589" s="44"/>
      <c r="G589" s="44"/>
      <c r="H589" s="44"/>
      <c r="I589" s="44"/>
      <c r="J589" s="44"/>
      <c r="K589" s="44"/>
      <c r="L589" s="44"/>
      <c r="M589" s="44"/>
      <c r="N589" s="44"/>
      <c r="O589" s="44"/>
      <c r="P589" s="44"/>
    </row>
    <row r="590" spans="1:16" x14ac:dyDescent="0.2">
      <c r="A590" s="58" t="str">
        <v>0:00</v>
      </c>
      <c r="B590" s="122"/>
      <c r="C590" s="44"/>
      <c r="D590" s="44"/>
      <c r="E590" s="44"/>
      <c r="F590" s="44"/>
      <c r="G590" s="44"/>
      <c r="H590" s="44"/>
      <c r="I590" s="44"/>
      <c r="J590" s="44"/>
      <c r="K590" s="44"/>
      <c r="L590" s="44"/>
      <c r="M590" s="44"/>
      <c r="N590" s="44"/>
      <c r="O590" s="44"/>
      <c r="P590" s="44"/>
    </row>
    <row r="591" spans="1:16" x14ac:dyDescent="0.2">
      <c r="A591" s="58" t="str">
        <v>0:00</v>
      </c>
      <c r="B591" s="122"/>
      <c r="C591" s="44"/>
      <c r="D591" s="44"/>
      <c r="E591" s="44"/>
      <c r="F591" s="44"/>
      <c r="G591" s="44"/>
      <c r="H591" s="44"/>
      <c r="I591" s="44"/>
      <c r="J591" s="44"/>
      <c r="K591" s="44"/>
      <c r="L591" s="44"/>
      <c r="M591" s="44"/>
      <c r="N591" s="44"/>
      <c r="O591" s="44"/>
      <c r="P591" s="44"/>
    </row>
    <row r="592" spans="1:16" x14ac:dyDescent="0.2">
      <c r="A592" s="58" t="str">
        <v>0:00</v>
      </c>
      <c r="B592" s="122"/>
      <c r="C592" s="44"/>
      <c r="D592" s="44"/>
      <c r="E592" s="44"/>
      <c r="F592" s="44"/>
      <c r="G592" s="44"/>
      <c r="H592" s="44"/>
      <c r="I592" s="44"/>
      <c r="J592" s="44"/>
      <c r="K592" s="44"/>
      <c r="L592" s="44"/>
      <c r="M592" s="44"/>
      <c r="N592" s="44"/>
      <c r="O592" s="44"/>
      <c r="P592" s="44"/>
    </row>
    <row r="593" spans="1:16" x14ac:dyDescent="0.2">
      <c r="A593" s="58" t="str">
        <v>0:00</v>
      </c>
      <c r="B593" s="122"/>
      <c r="C593" s="44"/>
      <c r="D593" s="44"/>
      <c r="E593" s="44"/>
      <c r="F593" s="44"/>
      <c r="G593" s="44"/>
      <c r="H593" s="44"/>
      <c r="I593" s="44"/>
      <c r="J593" s="44"/>
      <c r="K593" s="44"/>
      <c r="L593" s="44"/>
      <c r="M593" s="44"/>
      <c r="N593" s="44"/>
      <c r="O593" s="44"/>
      <c r="P593" s="44"/>
    </row>
    <row r="594" spans="1:16" x14ac:dyDescent="0.2">
      <c r="A594" s="58" t="str">
        <v>0:00</v>
      </c>
      <c r="B594" s="122"/>
      <c r="C594" s="44"/>
      <c r="D594" s="44"/>
      <c r="E594" s="44"/>
      <c r="F594" s="44"/>
      <c r="G594" s="44"/>
      <c r="H594" s="44"/>
      <c r="I594" s="44"/>
      <c r="J594" s="44"/>
      <c r="K594" s="44"/>
      <c r="L594" s="44"/>
      <c r="M594" s="44"/>
      <c r="N594" s="44"/>
      <c r="O594" s="44"/>
      <c r="P594" s="44"/>
    </row>
    <row r="595" spans="1:16" x14ac:dyDescent="0.2">
      <c r="A595" s="58" t="str">
        <v>0:00</v>
      </c>
      <c r="B595" s="122"/>
      <c r="C595" s="44"/>
      <c r="D595" s="44"/>
      <c r="E595" s="44"/>
      <c r="F595" s="44"/>
      <c r="G595" s="44"/>
      <c r="H595" s="44"/>
      <c r="I595" s="44"/>
      <c r="J595" s="44"/>
      <c r="K595" s="44"/>
      <c r="L595" s="44"/>
      <c r="M595" s="44"/>
      <c r="N595" s="44"/>
      <c r="O595" s="44"/>
      <c r="P595" s="44"/>
    </row>
    <row r="596" spans="1:16" x14ac:dyDescent="0.2">
      <c r="A596" s="58" t="str">
        <v>0:00</v>
      </c>
      <c r="B596" s="122"/>
      <c r="C596" s="44"/>
      <c r="D596" s="44"/>
      <c r="E596" s="44"/>
      <c r="F596" s="44"/>
      <c r="G596" s="44"/>
      <c r="H596" s="44"/>
      <c r="I596" s="44"/>
      <c r="J596" s="44"/>
      <c r="K596" s="44"/>
      <c r="L596" s="44"/>
      <c r="M596" s="44"/>
      <c r="N596" s="44"/>
      <c r="O596" s="44"/>
      <c r="P596" s="44"/>
    </row>
    <row r="597" spans="1:16" x14ac:dyDescent="0.2">
      <c r="A597" s="58" t="str">
        <v>0:00</v>
      </c>
      <c r="B597" s="122"/>
      <c r="C597" s="44"/>
      <c r="D597" s="44"/>
      <c r="E597" s="44"/>
      <c r="F597" s="44"/>
      <c r="G597" s="44"/>
      <c r="H597" s="44"/>
      <c r="I597" s="44"/>
      <c r="J597" s="44"/>
      <c r="K597" s="44"/>
      <c r="L597" s="44"/>
      <c r="M597" s="44"/>
      <c r="N597" s="44"/>
      <c r="O597" s="44"/>
      <c r="P597" s="44"/>
    </row>
    <row r="598" spans="1:16" x14ac:dyDescent="0.2">
      <c r="A598" s="58" t="str">
        <v>0:00</v>
      </c>
      <c r="B598" s="122"/>
      <c r="C598" s="44"/>
      <c r="D598" s="44"/>
      <c r="E598" s="44"/>
      <c r="F598" s="44"/>
      <c r="G598" s="44"/>
      <c r="H598" s="44"/>
      <c r="I598" s="44"/>
      <c r="J598" s="44"/>
      <c r="K598" s="44"/>
      <c r="L598" s="44"/>
      <c r="M598" s="44"/>
      <c r="N598" s="44"/>
      <c r="O598" s="44"/>
      <c r="P598" s="44"/>
    </row>
    <row r="599" spans="1:16" x14ac:dyDescent="0.2">
      <c r="A599" s="58" t="str">
        <v>0:00</v>
      </c>
      <c r="B599" s="122"/>
      <c r="C599" s="44"/>
      <c r="D599" s="44"/>
      <c r="E599" s="44"/>
      <c r="F599" s="44"/>
      <c r="G599" s="44"/>
      <c r="H599" s="44"/>
      <c r="I599" s="44"/>
      <c r="J599" s="44"/>
      <c r="K599" s="44"/>
      <c r="L599" s="44"/>
      <c r="M599" s="44"/>
      <c r="N599" s="44"/>
      <c r="O599" s="44"/>
      <c r="P599" s="44"/>
    </row>
    <row r="600" spans="1:16" x14ac:dyDescent="0.2">
      <c r="A600" s="58" t="str">
        <v>0:00</v>
      </c>
      <c r="B600" s="122"/>
      <c r="C600" s="44"/>
      <c r="D600" s="44"/>
      <c r="E600" s="44"/>
      <c r="F600" s="44"/>
      <c r="G600" s="44"/>
      <c r="H600" s="44"/>
      <c r="I600" s="44"/>
      <c r="J600" s="44"/>
      <c r="K600" s="44"/>
      <c r="L600" s="44"/>
      <c r="M600" s="44"/>
      <c r="N600" s="44"/>
      <c r="O600" s="44"/>
      <c r="P600" s="44"/>
    </row>
    <row r="601" spans="1:16" x14ac:dyDescent="0.2">
      <c r="A601" s="58" t="str">
        <v>0:00</v>
      </c>
      <c r="B601" s="122"/>
      <c r="C601" s="44"/>
      <c r="D601" s="44"/>
      <c r="E601" s="44"/>
      <c r="F601" s="44"/>
      <c r="G601" s="44"/>
      <c r="H601" s="44"/>
      <c r="I601" s="44"/>
      <c r="J601" s="44"/>
      <c r="K601" s="44"/>
      <c r="L601" s="44"/>
      <c r="M601" s="44"/>
      <c r="N601" s="44"/>
      <c r="O601" s="44"/>
      <c r="P601" s="44"/>
    </row>
    <row r="602" spans="1:16" x14ac:dyDescent="0.2">
      <c r="A602" s="58" t="str">
        <v>0:00</v>
      </c>
      <c r="B602" s="122"/>
      <c r="C602" s="44"/>
      <c r="D602" s="44"/>
      <c r="E602" s="44"/>
      <c r="F602" s="44"/>
      <c r="G602" s="44"/>
      <c r="H602" s="44"/>
      <c r="I602" s="44"/>
      <c r="J602" s="44"/>
      <c r="K602" s="44"/>
      <c r="L602" s="44"/>
      <c r="M602" s="44"/>
      <c r="N602" s="44"/>
      <c r="O602" s="44"/>
      <c r="P602" s="44"/>
    </row>
    <row r="603" spans="1:16" x14ac:dyDescent="0.2">
      <c r="A603" s="58" t="str">
        <v>0:00</v>
      </c>
      <c r="B603" s="122"/>
      <c r="C603" s="44"/>
      <c r="D603" s="44"/>
      <c r="E603" s="44"/>
      <c r="F603" s="44"/>
      <c r="G603" s="44"/>
      <c r="H603" s="44"/>
      <c r="I603" s="44"/>
      <c r="J603" s="44"/>
      <c r="K603" s="44"/>
      <c r="L603" s="44"/>
      <c r="M603" s="44"/>
      <c r="N603" s="44"/>
      <c r="O603" s="44"/>
      <c r="P603" s="44"/>
    </row>
    <row r="604" spans="1:16" x14ac:dyDescent="0.2">
      <c r="A604" s="58" t="str">
        <v>0:00</v>
      </c>
      <c r="B604" s="122"/>
      <c r="C604" s="44"/>
      <c r="D604" s="44"/>
      <c r="E604" s="44"/>
      <c r="F604" s="44"/>
      <c r="G604" s="44"/>
      <c r="H604" s="44"/>
      <c r="I604" s="44"/>
      <c r="J604" s="44"/>
      <c r="K604" s="44"/>
      <c r="L604" s="44"/>
      <c r="M604" s="44"/>
      <c r="N604" s="44"/>
      <c r="O604" s="44"/>
      <c r="P604" s="44"/>
    </row>
    <row r="605" spans="1:16" x14ac:dyDescent="0.2">
      <c r="A605" s="58" t="str">
        <v>0:00</v>
      </c>
      <c r="B605" s="122"/>
      <c r="C605" s="44"/>
      <c r="D605" s="44"/>
      <c r="E605" s="44"/>
      <c r="F605" s="44"/>
      <c r="G605" s="44"/>
      <c r="H605" s="44"/>
      <c r="I605" s="44"/>
      <c r="J605" s="44"/>
      <c r="K605" s="44"/>
      <c r="L605" s="44"/>
      <c r="M605" s="44"/>
      <c r="N605" s="44"/>
      <c r="O605" s="44"/>
      <c r="P605" s="44"/>
    </row>
    <row r="606" spans="1:16" x14ac:dyDescent="0.2">
      <c r="A606" s="58" t="str">
        <v>0:00</v>
      </c>
      <c r="B606" s="122"/>
      <c r="C606" s="44"/>
      <c r="D606" s="44"/>
      <c r="E606" s="44"/>
      <c r="F606" s="44"/>
      <c r="G606" s="44"/>
      <c r="H606" s="44"/>
      <c r="I606" s="44"/>
      <c r="J606" s="44"/>
      <c r="K606" s="44"/>
      <c r="L606" s="44"/>
      <c r="M606" s="44"/>
      <c r="N606" s="44"/>
      <c r="O606" s="44"/>
      <c r="P606" s="44"/>
    </row>
    <row r="607" spans="1:16" x14ac:dyDescent="0.2">
      <c r="A607" s="58" t="str">
        <v>0:00</v>
      </c>
      <c r="B607" s="122"/>
      <c r="C607" s="44"/>
      <c r="D607" s="44"/>
      <c r="E607" s="44"/>
      <c r="F607" s="44"/>
      <c r="G607" s="44"/>
      <c r="H607" s="44"/>
      <c r="I607" s="44"/>
      <c r="J607" s="44"/>
      <c r="K607" s="44"/>
      <c r="L607" s="44"/>
      <c r="M607" s="44"/>
      <c r="N607" s="44"/>
      <c r="O607" s="44"/>
      <c r="P607" s="44"/>
    </row>
    <row r="608" spans="1:16" x14ac:dyDescent="0.2">
      <c r="A608" s="58" t="str">
        <v>0:00</v>
      </c>
      <c r="B608" s="122"/>
      <c r="C608" s="44"/>
      <c r="D608" s="44"/>
      <c r="E608" s="44"/>
      <c r="F608" s="44"/>
      <c r="G608" s="44"/>
      <c r="H608" s="44"/>
      <c r="I608" s="44"/>
      <c r="J608" s="44"/>
      <c r="K608" s="44"/>
      <c r="L608" s="44"/>
      <c r="M608" s="44"/>
      <c r="N608" s="44"/>
      <c r="O608" s="44"/>
      <c r="P608" s="44"/>
    </row>
    <row r="609" spans="1:16" x14ac:dyDescent="0.2">
      <c r="A609" s="58" t="str">
        <v>0:00</v>
      </c>
      <c r="B609" s="122"/>
      <c r="C609" s="44"/>
      <c r="D609" s="44"/>
      <c r="E609" s="44"/>
      <c r="F609" s="44"/>
      <c r="G609" s="44"/>
      <c r="H609" s="44"/>
      <c r="I609" s="44"/>
      <c r="J609" s="44"/>
      <c r="K609" s="44"/>
      <c r="L609" s="44"/>
      <c r="M609" s="44"/>
      <c r="N609" s="44"/>
      <c r="O609" s="44"/>
      <c r="P609" s="44"/>
    </row>
    <row r="610" spans="1:16" x14ac:dyDescent="0.2">
      <c r="A610" s="58" t="str">
        <v>0:00</v>
      </c>
      <c r="B610" s="122"/>
      <c r="C610" s="44"/>
      <c r="D610" s="44"/>
      <c r="E610" s="44"/>
      <c r="F610" s="44"/>
      <c r="G610" s="44"/>
      <c r="H610" s="44"/>
      <c r="I610" s="44"/>
      <c r="J610" s="44"/>
      <c r="K610" s="44"/>
      <c r="L610" s="44"/>
      <c r="M610" s="44"/>
      <c r="N610" s="44"/>
      <c r="O610" s="44"/>
      <c r="P610" s="44"/>
    </row>
    <row r="611" spans="1:16" x14ac:dyDescent="0.2">
      <c r="A611" s="58" t="str">
        <v>0:00</v>
      </c>
      <c r="B611" s="122"/>
      <c r="C611" s="44"/>
      <c r="D611" s="44"/>
      <c r="E611" s="44"/>
      <c r="F611" s="44"/>
      <c r="G611" s="44"/>
      <c r="H611" s="44"/>
      <c r="I611" s="44"/>
      <c r="J611" s="44"/>
      <c r="K611" s="44"/>
      <c r="L611" s="44"/>
      <c r="M611" s="44"/>
      <c r="N611" s="44"/>
      <c r="O611" s="44"/>
      <c r="P611" s="44"/>
    </row>
    <row r="612" spans="1:16" x14ac:dyDescent="0.2">
      <c r="A612" s="58" t="str">
        <v>0:00</v>
      </c>
      <c r="B612" s="122"/>
      <c r="C612" s="44"/>
      <c r="D612" s="44"/>
      <c r="E612" s="44"/>
      <c r="F612" s="44"/>
      <c r="G612" s="44"/>
      <c r="H612" s="44"/>
      <c r="I612" s="44"/>
      <c r="J612" s="44"/>
      <c r="K612" s="44"/>
      <c r="L612" s="44"/>
      <c r="M612" s="44"/>
      <c r="N612" s="44"/>
      <c r="O612" s="44"/>
      <c r="P612" s="44"/>
    </row>
    <row r="613" spans="1:16" x14ac:dyDescent="0.2">
      <c r="A613" s="58" t="str">
        <v>0:00</v>
      </c>
      <c r="B613" s="122"/>
      <c r="C613" s="44"/>
      <c r="D613" s="44"/>
      <c r="E613" s="44"/>
      <c r="F613" s="44"/>
      <c r="G613" s="44"/>
      <c r="H613" s="44"/>
      <c r="I613" s="44"/>
      <c r="J613" s="44"/>
      <c r="K613" s="44"/>
      <c r="L613" s="44"/>
      <c r="M613" s="44"/>
      <c r="N613" s="44"/>
      <c r="O613" s="44"/>
      <c r="P613" s="44"/>
    </row>
    <row r="614" spans="1:16" x14ac:dyDescent="0.2">
      <c r="A614" s="58" t="str">
        <v>0:00</v>
      </c>
      <c r="B614" s="122"/>
      <c r="C614" s="44"/>
      <c r="D614" s="44"/>
      <c r="E614" s="44"/>
      <c r="F614" s="44"/>
      <c r="G614" s="44"/>
      <c r="H614" s="44"/>
      <c r="I614" s="44"/>
      <c r="J614" s="44"/>
      <c r="K614" s="44"/>
      <c r="L614" s="44"/>
      <c r="M614" s="44"/>
      <c r="N614" s="44"/>
      <c r="O614" s="44"/>
      <c r="P614" s="44"/>
    </row>
    <row r="615" spans="1:16" x14ac:dyDescent="0.2">
      <c r="A615" s="58" t="str">
        <v>0:00</v>
      </c>
      <c r="B615" s="122"/>
      <c r="C615" s="44"/>
      <c r="D615" s="44"/>
      <c r="E615" s="44"/>
      <c r="F615" s="44"/>
      <c r="G615" s="44"/>
      <c r="H615" s="44"/>
      <c r="I615" s="44"/>
      <c r="J615" s="44"/>
      <c r="K615" s="44"/>
      <c r="L615" s="44"/>
      <c r="M615" s="44"/>
      <c r="N615" s="44"/>
      <c r="O615" s="44"/>
      <c r="P615" s="44"/>
    </row>
    <row r="616" spans="1:16" x14ac:dyDescent="0.2">
      <c r="A616" s="58" t="str">
        <v>0:00</v>
      </c>
      <c r="B616" s="122"/>
      <c r="C616" s="44"/>
      <c r="D616" s="44"/>
      <c r="E616" s="44"/>
      <c r="F616" s="44"/>
      <c r="G616" s="44"/>
      <c r="H616" s="44"/>
      <c r="I616" s="44"/>
      <c r="J616" s="44"/>
      <c r="K616" s="44"/>
      <c r="L616" s="44"/>
      <c r="M616" s="44"/>
      <c r="N616" s="44"/>
      <c r="O616" s="44"/>
      <c r="P616" s="44"/>
    </row>
    <row r="617" spans="1:16" x14ac:dyDescent="0.2">
      <c r="A617" s="58" t="str">
        <v>0:00</v>
      </c>
      <c r="B617" s="122"/>
      <c r="C617" s="44"/>
      <c r="D617" s="44"/>
      <c r="E617" s="44"/>
      <c r="F617" s="44"/>
      <c r="G617" s="44"/>
      <c r="H617" s="44"/>
      <c r="I617" s="44"/>
      <c r="J617" s="44"/>
      <c r="K617" s="44"/>
      <c r="L617" s="44"/>
      <c r="M617" s="44"/>
      <c r="N617" s="44"/>
      <c r="O617" s="44"/>
      <c r="P617" s="44"/>
    </row>
    <row r="618" spans="1:16" x14ac:dyDescent="0.2">
      <c r="A618" s="58" t="str">
        <v>0:00</v>
      </c>
      <c r="B618" s="122"/>
      <c r="C618" s="44"/>
      <c r="D618" s="44"/>
      <c r="E618" s="44"/>
      <c r="F618" s="44"/>
      <c r="G618" s="44"/>
      <c r="H618" s="44"/>
      <c r="I618" s="44"/>
      <c r="J618" s="44"/>
      <c r="K618" s="44"/>
      <c r="L618" s="44"/>
      <c r="M618" s="44"/>
      <c r="N618" s="44"/>
      <c r="O618" s="44"/>
      <c r="P618" s="44"/>
    </row>
    <row r="619" spans="1:16" x14ac:dyDescent="0.2">
      <c r="A619" s="58" t="str">
        <v>0:00</v>
      </c>
      <c r="B619" s="122"/>
      <c r="C619" s="44"/>
      <c r="D619" s="44"/>
      <c r="E619" s="44"/>
      <c r="F619" s="44"/>
      <c r="G619" s="44"/>
      <c r="H619" s="44"/>
      <c r="I619" s="44"/>
      <c r="J619" s="44"/>
      <c r="K619" s="44"/>
      <c r="L619" s="44"/>
      <c r="M619" s="44"/>
      <c r="N619" s="44"/>
      <c r="O619" s="44"/>
      <c r="P619" s="44"/>
    </row>
    <row r="620" spans="1:16" x14ac:dyDescent="0.2">
      <c r="A620" s="58" t="str">
        <v>0:00</v>
      </c>
      <c r="B620" s="122"/>
      <c r="C620" s="44"/>
      <c r="D620" s="44"/>
      <c r="E620" s="44"/>
      <c r="F620" s="44"/>
      <c r="G620" s="44"/>
      <c r="H620" s="44"/>
      <c r="I620" s="44"/>
      <c r="J620" s="44"/>
      <c r="K620" s="44"/>
      <c r="L620" s="44"/>
      <c r="M620" s="44"/>
      <c r="N620" s="44"/>
      <c r="O620" s="44"/>
      <c r="P620" s="44"/>
    </row>
    <row r="621" spans="1:16" x14ac:dyDescent="0.2">
      <c r="A621" s="58" t="str">
        <v>0:00</v>
      </c>
      <c r="B621" s="122"/>
      <c r="C621" s="44"/>
      <c r="D621" s="44"/>
      <c r="E621" s="44"/>
      <c r="F621" s="44"/>
      <c r="G621" s="44"/>
      <c r="H621" s="44"/>
      <c r="I621" s="44"/>
      <c r="J621" s="44"/>
      <c r="K621" s="44"/>
      <c r="L621" s="44"/>
      <c r="M621" s="44"/>
      <c r="N621" s="44"/>
      <c r="O621" s="44"/>
      <c r="P621" s="44"/>
    </row>
    <row r="622" spans="1:16" x14ac:dyDescent="0.2">
      <c r="A622" s="58" t="str">
        <v>0:00</v>
      </c>
      <c r="B622" s="122"/>
      <c r="C622" s="44"/>
      <c r="D622" s="44"/>
      <c r="E622" s="44"/>
      <c r="F622" s="44"/>
      <c r="G622" s="44"/>
      <c r="H622" s="44"/>
      <c r="I622" s="44"/>
      <c r="J622" s="44"/>
      <c r="K622" s="44"/>
      <c r="L622" s="44"/>
      <c r="M622" s="44"/>
      <c r="N622" s="44"/>
      <c r="O622" s="44"/>
      <c r="P622" s="44"/>
    </row>
    <row r="623" spans="1:16" x14ac:dyDescent="0.2">
      <c r="A623" s="58" t="str">
        <v>0:00</v>
      </c>
      <c r="B623" s="122"/>
      <c r="C623" s="44"/>
      <c r="D623" s="44"/>
      <c r="E623" s="44"/>
      <c r="F623" s="44"/>
      <c r="G623" s="44"/>
      <c r="H623" s="44"/>
      <c r="I623" s="44"/>
      <c r="J623" s="44"/>
      <c r="K623" s="44"/>
      <c r="L623" s="44"/>
      <c r="M623" s="44"/>
      <c r="N623" s="44"/>
      <c r="O623" s="44"/>
      <c r="P623" s="44"/>
    </row>
    <row r="624" spans="1:16" x14ac:dyDescent="0.2">
      <c r="A624" s="58" t="str">
        <v>0:00</v>
      </c>
      <c r="B624" s="122"/>
      <c r="C624" s="44"/>
      <c r="D624" s="44"/>
      <c r="E624" s="44"/>
      <c r="F624" s="44"/>
      <c r="G624" s="44"/>
      <c r="H624" s="44"/>
      <c r="I624" s="44"/>
      <c r="J624" s="44"/>
      <c r="K624" s="44"/>
      <c r="L624" s="44"/>
      <c r="M624" s="44"/>
      <c r="N624" s="44"/>
      <c r="O624" s="44"/>
      <c r="P624" s="44"/>
    </row>
    <row r="625" spans="1:16" x14ac:dyDescent="0.2">
      <c r="A625" s="58" t="str">
        <v>0:00</v>
      </c>
      <c r="B625" s="122"/>
      <c r="C625" s="44"/>
      <c r="D625" s="44"/>
      <c r="E625" s="44"/>
      <c r="F625" s="44"/>
      <c r="G625" s="44"/>
      <c r="H625" s="44"/>
      <c r="I625" s="44"/>
      <c r="J625" s="44"/>
      <c r="K625" s="44"/>
      <c r="L625" s="44"/>
      <c r="M625" s="44"/>
      <c r="N625" s="44"/>
      <c r="O625" s="44"/>
      <c r="P625" s="44"/>
    </row>
    <row r="626" spans="1:16" x14ac:dyDescent="0.2">
      <c r="A626" s="58" t="str">
        <v>0:00</v>
      </c>
      <c r="B626" s="122"/>
      <c r="C626" s="44"/>
      <c r="D626" s="44"/>
      <c r="E626" s="44"/>
      <c r="F626" s="44"/>
      <c r="G626" s="44"/>
      <c r="H626" s="44"/>
      <c r="I626" s="44"/>
      <c r="J626" s="44"/>
      <c r="K626" s="44"/>
      <c r="L626" s="44"/>
      <c r="M626" s="44"/>
      <c r="N626" s="44"/>
      <c r="O626" s="44"/>
      <c r="P626" s="44"/>
    </row>
    <row r="627" spans="1:16" x14ac:dyDescent="0.2">
      <c r="A627" s="58" t="str">
        <v>0:00</v>
      </c>
      <c r="B627" s="122"/>
      <c r="C627" s="44"/>
      <c r="D627" s="44"/>
      <c r="E627" s="44"/>
      <c r="F627" s="44"/>
      <c r="G627" s="44"/>
      <c r="H627" s="44"/>
      <c r="I627" s="44"/>
      <c r="J627" s="44"/>
      <c r="K627" s="44"/>
      <c r="L627" s="44"/>
      <c r="M627" s="44"/>
      <c r="N627" s="44"/>
      <c r="O627" s="44"/>
      <c r="P627" s="44"/>
    </row>
    <row r="628" spans="1:16" x14ac:dyDescent="0.2">
      <c r="A628" s="58" t="str">
        <v>0:00</v>
      </c>
      <c r="B628" s="122"/>
      <c r="C628" s="44"/>
      <c r="D628" s="44"/>
      <c r="E628" s="44"/>
      <c r="F628" s="44"/>
      <c r="G628" s="44"/>
      <c r="H628" s="44"/>
      <c r="I628" s="44"/>
      <c r="J628" s="44"/>
      <c r="K628" s="44"/>
      <c r="L628" s="44"/>
      <c r="M628" s="44"/>
      <c r="N628" s="44"/>
      <c r="O628" s="44"/>
      <c r="P628" s="44"/>
    </row>
    <row r="629" spans="1:16" x14ac:dyDescent="0.2">
      <c r="A629" s="58" t="str">
        <v>0:00</v>
      </c>
      <c r="B629" s="122"/>
      <c r="C629" s="44"/>
      <c r="D629" s="44"/>
      <c r="E629" s="44"/>
      <c r="F629" s="44"/>
      <c r="G629" s="44"/>
      <c r="H629" s="44"/>
      <c r="I629" s="44"/>
      <c r="J629" s="44"/>
      <c r="K629" s="44"/>
      <c r="L629" s="44"/>
      <c r="M629" s="44"/>
      <c r="N629" s="44"/>
      <c r="O629" s="44"/>
      <c r="P629" s="44"/>
    </row>
    <row r="630" spans="1:16" x14ac:dyDescent="0.2">
      <c r="A630" s="58" t="str">
        <v>0:00</v>
      </c>
      <c r="B630" s="122"/>
      <c r="C630" s="44"/>
      <c r="D630" s="44"/>
      <c r="E630" s="44"/>
      <c r="F630" s="44"/>
      <c r="G630" s="44"/>
      <c r="H630" s="44"/>
      <c r="I630" s="44"/>
      <c r="J630" s="44"/>
      <c r="K630" s="44"/>
      <c r="L630" s="44"/>
      <c r="M630" s="44"/>
      <c r="N630" s="44"/>
      <c r="O630" s="44"/>
      <c r="P630" s="44"/>
    </row>
    <row r="631" spans="1:16" x14ac:dyDescent="0.2">
      <c r="A631" s="58" t="str">
        <v>0:00</v>
      </c>
      <c r="B631" s="122"/>
      <c r="C631" s="44"/>
      <c r="D631" s="44"/>
      <c r="E631" s="44"/>
      <c r="F631" s="44"/>
      <c r="G631" s="44"/>
      <c r="H631" s="44"/>
      <c r="I631" s="44"/>
      <c r="J631" s="44"/>
      <c r="K631" s="44"/>
      <c r="L631" s="44"/>
      <c r="M631" s="44"/>
      <c r="N631" s="44"/>
      <c r="O631" s="44"/>
      <c r="P631" s="44"/>
    </row>
    <row r="632" spans="1:16" x14ac:dyDescent="0.2">
      <c r="A632" s="58" t="str">
        <v>0:00</v>
      </c>
      <c r="B632" s="122"/>
      <c r="C632" s="44"/>
      <c r="D632" s="44"/>
      <c r="E632" s="44"/>
      <c r="F632" s="44"/>
      <c r="G632" s="44"/>
      <c r="H632" s="44"/>
      <c r="I632" s="44"/>
      <c r="J632" s="44"/>
      <c r="K632" s="44"/>
      <c r="L632" s="44"/>
      <c r="M632" s="44"/>
      <c r="N632" s="44"/>
      <c r="O632" s="44"/>
      <c r="P632" s="44"/>
    </row>
    <row r="633" spans="1:16" x14ac:dyDescent="0.2">
      <c r="A633" s="58" t="str">
        <v>0:00</v>
      </c>
      <c r="B633" s="122"/>
      <c r="C633" s="44"/>
      <c r="D633" s="44"/>
      <c r="E633" s="44"/>
      <c r="F633" s="44"/>
      <c r="G633" s="44"/>
      <c r="H633" s="44"/>
      <c r="I633" s="44"/>
      <c r="J633" s="44"/>
      <c r="K633" s="44"/>
      <c r="L633" s="44"/>
      <c r="M633" s="44"/>
      <c r="N633" s="44"/>
      <c r="O633" s="44"/>
      <c r="P633" s="44"/>
    </row>
    <row r="634" spans="1:16" x14ac:dyDescent="0.2">
      <c r="A634" s="58" t="str">
        <v>0:00</v>
      </c>
      <c r="B634" s="122"/>
      <c r="C634" s="44"/>
      <c r="D634" s="44"/>
      <c r="E634" s="44"/>
      <c r="F634" s="44"/>
      <c r="G634" s="44"/>
      <c r="H634" s="44"/>
      <c r="I634" s="44"/>
      <c r="J634" s="44"/>
      <c r="K634" s="44"/>
      <c r="L634" s="44"/>
      <c r="M634" s="44"/>
      <c r="N634" s="44"/>
      <c r="O634" s="44"/>
      <c r="P634" s="44"/>
    </row>
    <row r="635" spans="1:16" x14ac:dyDescent="0.2">
      <c r="A635" s="58" t="str">
        <v>0:00</v>
      </c>
      <c r="B635" s="122"/>
      <c r="C635" s="44"/>
      <c r="D635" s="44"/>
      <c r="E635" s="44"/>
      <c r="F635" s="44"/>
      <c r="G635" s="44"/>
      <c r="H635" s="44"/>
      <c r="I635" s="44"/>
      <c r="J635" s="44"/>
      <c r="K635" s="44"/>
      <c r="L635" s="44"/>
      <c r="M635" s="44"/>
      <c r="N635" s="44"/>
      <c r="O635" s="44"/>
      <c r="P635" s="44"/>
    </row>
    <row r="636" spans="1:16" x14ac:dyDescent="0.2">
      <c r="A636" s="58" t="str">
        <v>0:00</v>
      </c>
      <c r="B636" s="122"/>
      <c r="C636" s="44"/>
      <c r="D636" s="44"/>
      <c r="E636" s="44"/>
      <c r="F636" s="44"/>
      <c r="G636" s="44"/>
      <c r="H636" s="44"/>
      <c r="I636" s="44"/>
      <c r="J636" s="44"/>
      <c r="K636" s="44"/>
      <c r="L636" s="44"/>
      <c r="M636" s="44"/>
      <c r="N636" s="44"/>
      <c r="O636" s="44"/>
      <c r="P636" s="44"/>
    </row>
    <row r="637" spans="1:16" x14ac:dyDescent="0.2">
      <c r="A637" s="58" t="str">
        <v>0:00</v>
      </c>
      <c r="B637" s="122"/>
      <c r="C637" s="44"/>
      <c r="D637" s="44"/>
      <c r="E637" s="44"/>
      <c r="F637" s="44"/>
      <c r="G637" s="44"/>
      <c r="H637" s="44"/>
      <c r="I637" s="44"/>
      <c r="J637" s="44"/>
      <c r="K637" s="44"/>
      <c r="L637" s="44"/>
      <c r="M637" s="44"/>
      <c r="N637" s="44"/>
      <c r="O637" s="44"/>
      <c r="P637" s="44"/>
    </row>
    <row r="638" spans="1:16" x14ac:dyDescent="0.2">
      <c r="A638" s="58" t="str">
        <v>0:00</v>
      </c>
      <c r="B638" s="122"/>
      <c r="C638" s="44"/>
      <c r="D638" s="44"/>
      <c r="E638" s="44"/>
      <c r="F638" s="44"/>
      <c r="G638" s="44"/>
      <c r="H638" s="44"/>
      <c r="I638" s="44"/>
      <c r="J638" s="44"/>
      <c r="K638" s="44"/>
      <c r="L638" s="44"/>
      <c r="M638" s="44"/>
      <c r="N638" s="44"/>
      <c r="O638" s="44"/>
      <c r="P638" s="44"/>
    </row>
    <row r="639" spans="1:16" x14ac:dyDescent="0.2">
      <c r="A639" s="58" t="str">
        <v>0:00</v>
      </c>
      <c r="B639" s="122"/>
      <c r="C639" s="44"/>
      <c r="D639" s="44"/>
      <c r="E639" s="44"/>
      <c r="F639" s="44"/>
      <c r="G639" s="44"/>
      <c r="H639" s="44"/>
      <c r="I639" s="44"/>
      <c r="J639" s="44"/>
      <c r="K639" s="44"/>
      <c r="L639" s="44"/>
      <c r="M639" s="44"/>
      <c r="N639" s="44"/>
      <c r="O639" s="44"/>
      <c r="P639" s="44"/>
    </row>
    <row r="640" spans="1:16" x14ac:dyDescent="0.2">
      <c r="A640" s="58" t="str">
        <v>0:00</v>
      </c>
      <c r="B640" s="122"/>
      <c r="C640" s="44"/>
      <c r="D640" s="44"/>
      <c r="E640" s="44"/>
      <c r="F640" s="44"/>
      <c r="G640" s="44"/>
      <c r="H640" s="44"/>
      <c r="I640" s="44"/>
      <c r="J640" s="44"/>
      <c r="K640" s="44"/>
      <c r="L640" s="44"/>
      <c r="M640" s="44"/>
      <c r="N640" s="44"/>
      <c r="O640" s="44"/>
      <c r="P640" s="44"/>
    </row>
    <row r="641" spans="1:16" x14ac:dyDescent="0.2">
      <c r="A641" s="58" t="str">
        <v>0:00</v>
      </c>
      <c r="B641" s="122"/>
      <c r="C641" s="44"/>
      <c r="D641" s="44"/>
      <c r="E641" s="44"/>
      <c r="F641" s="44"/>
      <c r="G641" s="44"/>
      <c r="H641" s="44"/>
      <c r="I641" s="44"/>
      <c r="J641" s="44"/>
      <c r="K641" s="44"/>
      <c r="L641" s="44"/>
      <c r="M641" s="44"/>
      <c r="N641" s="44"/>
      <c r="O641" s="44"/>
      <c r="P641" s="44"/>
    </row>
    <row r="642" spans="1:16" x14ac:dyDescent="0.2">
      <c r="A642" s="58" t="str">
        <v>0:00</v>
      </c>
      <c r="B642" s="122"/>
      <c r="C642" s="44"/>
      <c r="D642" s="44"/>
      <c r="E642" s="44"/>
      <c r="F642" s="44"/>
      <c r="G642" s="44"/>
      <c r="H642" s="44"/>
      <c r="I642" s="44"/>
      <c r="J642" s="44"/>
      <c r="K642" s="44"/>
      <c r="L642" s="44"/>
      <c r="M642" s="44"/>
      <c r="N642" s="44"/>
      <c r="O642" s="44"/>
      <c r="P642" s="44"/>
    </row>
    <row r="643" spans="1:16" x14ac:dyDescent="0.2">
      <c r="A643" s="58" t="str">
        <v>0:00</v>
      </c>
      <c r="B643" s="122"/>
      <c r="C643" s="44"/>
      <c r="D643" s="44"/>
      <c r="E643" s="44"/>
      <c r="F643" s="44"/>
      <c r="G643" s="44"/>
      <c r="H643" s="44"/>
      <c r="I643" s="44"/>
      <c r="J643" s="44"/>
      <c r="K643" s="44"/>
      <c r="L643" s="44"/>
      <c r="M643" s="44"/>
      <c r="N643" s="44"/>
      <c r="O643" s="44"/>
      <c r="P643" s="44"/>
    </row>
    <row r="644" spans="1:16" x14ac:dyDescent="0.2">
      <c r="A644" s="58" t="str">
        <v>0:00</v>
      </c>
      <c r="B644" s="122"/>
      <c r="C644" s="44"/>
      <c r="D644" s="44"/>
      <c r="E644" s="44"/>
      <c r="F644" s="44"/>
      <c r="G644" s="44"/>
      <c r="H644" s="44"/>
      <c r="I644" s="44"/>
      <c r="J644" s="44"/>
      <c r="K644" s="44"/>
      <c r="L644" s="44"/>
      <c r="M644" s="44"/>
      <c r="N644" s="44"/>
      <c r="O644" s="44"/>
      <c r="P644" s="44"/>
    </row>
    <row r="645" spans="1:16" x14ac:dyDescent="0.2">
      <c r="A645" s="58" t="str">
        <v>0:00</v>
      </c>
      <c r="B645" s="122"/>
      <c r="C645" s="44"/>
      <c r="D645" s="44"/>
      <c r="E645" s="44"/>
      <c r="F645" s="44"/>
      <c r="G645" s="44"/>
      <c r="H645" s="44"/>
      <c r="I645" s="44"/>
      <c r="J645" s="44"/>
      <c r="K645" s="44"/>
      <c r="L645" s="44"/>
      <c r="M645" s="44"/>
      <c r="N645" s="44"/>
      <c r="O645" s="44"/>
      <c r="P645" s="44"/>
    </row>
    <row r="646" spans="1:16" x14ac:dyDescent="0.2">
      <c r="A646" s="58" t="str">
        <v>0:00</v>
      </c>
      <c r="B646" s="122"/>
      <c r="C646" s="44"/>
      <c r="D646" s="44"/>
      <c r="E646" s="44"/>
      <c r="F646" s="44"/>
      <c r="G646" s="44"/>
      <c r="H646" s="44"/>
      <c r="I646" s="44"/>
      <c r="J646" s="44"/>
      <c r="K646" s="44"/>
      <c r="L646" s="44"/>
      <c r="M646" s="44"/>
      <c r="N646" s="44"/>
      <c r="O646" s="44"/>
      <c r="P646" s="44"/>
    </row>
    <row r="647" spans="1:16" x14ac:dyDescent="0.2">
      <c r="A647" s="58" t="str">
        <v>0:00</v>
      </c>
      <c r="B647" s="122"/>
      <c r="C647" s="44"/>
      <c r="D647" s="44"/>
      <c r="E647" s="44"/>
      <c r="F647" s="44"/>
      <c r="G647" s="44"/>
      <c r="H647" s="44"/>
      <c r="I647" s="44"/>
      <c r="J647" s="44"/>
      <c r="K647" s="44"/>
      <c r="L647" s="44"/>
      <c r="M647" s="44"/>
      <c r="N647" s="44"/>
      <c r="O647" s="44"/>
      <c r="P647" s="44"/>
    </row>
    <row r="648" spans="1:16" x14ac:dyDescent="0.2">
      <c r="A648" s="58" t="str">
        <v>0:00</v>
      </c>
      <c r="B648" s="122"/>
      <c r="C648" s="44"/>
      <c r="D648" s="44"/>
      <c r="E648" s="44"/>
      <c r="F648" s="44"/>
      <c r="G648" s="44"/>
      <c r="H648" s="44"/>
      <c r="I648" s="44"/>
      <c r="J648" s="44"/>
      <c r="K648" s="44"/>
      <c r="L648" s="44"/>
      <c r="M648" s="44"/>
      <c r="N648" s="44"/>
      <c r="O648" s="44"/>
      <c r="P648" s="44"/>
    </row>
    <row r="649" spans="1:16" x14ac:dyDescent="0.2">
      <c r="A649" s="58" t="str">
        <v>0:00</v>
      </c>
      <c r="B649" s="122"/>
      <c r="C649" s="44"/>
      <c r="D649" s="44"/>
      <c r="E649" s="44"/>
      <c r="F649" s="44"/>
      <c r="G649" s="44"/>
      <c r="H649" s="44"/>
      <c r="I649" s="44"/>
      <c r="J649" s="44"/>
      <c r="K649" s="44"/>
      <c r="L649" s="44"/>
      <c r="M649" s="44"/>
      <c r="N649" s="44"/>
      <c r="O649" s="44"/>
      <c r="P649" s="44"/>
    </row>
    <row r="650" spans="1:16" x14ac:dyDescent="0.2">
      <c r="A650" s="58" t="str">
        <v>0:00</v>
      </c>
      <c r="B650" s="122"/>
      <c r="C650" s="44"/>
      <c r="D650" s="44"/>
      <c r="E650" s="44"/>
      <c r="F650" s="44"/>
      <c r="G650" s="44"/>
      <c r="H650" s="44"/>
      <c r="I650" s="44"/>
      <c r="J650" s="44"/>
      <c r="K650" s="44"/>
      <c r="L650" s="44"/>
      <c r="M650" s="44"/>
      <c r="N650" s="44"/>
      <c r="O650" s="44"/>
      <c r="P650" s="44"/>
    </row>
    <row r="651" spans="1:16" x14ac:dyDescent="0.2">
      <c r="A651" s="58" t="str">
        <v>0:00</v>
      </c>
      <c r="B651" s="122"/>
      <c r="C651" s="44"/>
      <c r="D651" s="44"/>
      <c r="E651" s="44"/>
      <c r="F651" s="44"/>
      <c r="G651" s="44"/>
      <c r="H651" s="44"/>
      <c r="I651" s="44"/>
      <c r="J651" s="44"/>
      <c r="K651" s="44"/>
      <c r="L651" s="44"/>
      <c r="M651" s="44"/>
      <c r="N651" s="44"/>
      <c r="O651" s="44"/>
      <c r="P651" s="44"/>
    </row>
    <row r="652" spans="1:16" x14ac:dyDescent="0.2">
      <c r="A652" s="58" t="str">
        <v>0:00</v>
      </c>
      <c r="B652" s="122"/>
      <c r="C652" s="44"/>
      <c r="D652" s="44"/>
      <c r="E652" s="44"/>
      <c r="F652" s="44"/>
      <c r="G652" s="44"/>
      <c r="H652" s="44"/>
      <c r="I652" s="44"/>
      <c r="J652" s="44"/>
      <c r="K652" s="44"/>
      <c r="L652" s="44"/>
      <c r="M652" s="44"/>
      <c r="N652" s="44"/>
      <c r="O652" s="44"/>
      <c r="P652" s="44"/>
    </row>
    <row r="653" spans="1:16" x14ac:dyDescent="0.2">
      <c r="A653" s="58" t="str">
        <v>0:00</v>
      </c>
      <c r="B653" s="122"/>
      <c r="C653" s="44"/>
      <c r="D653" s="44"/>
      <c r="E653" s="44"/>
      <c r="F653" s="44"/>
      <c r="G653" s="44"/>
      <c r="H653" s="44"/>
      <c r="I653" s="44"/>
      <c r="J653" s="44"/>
      <c r="K653" s="44"/>
      <c r="L653" s="44"/>
      <c r="M653" s="44"/>
      <c r="N653" s="44"/>
      <c r="O653" s="44"/>
      <c r="P653" s="44"/>
    </row>
    <row r="654" spans="1:16" x14ac:dyDescent="0.2">
      <c r="A654" s="58" t="str">
        <v>0:00</v>
      </c>
      <c r="B654" s="122"/>
      <c r="C654" s="44"/>
      <c r="D654" s="44"/>
      <c r="E654" s="44"/>
      <c r="F654" s="44"/>
      <c r="G654" s="44"/>
      <c r="H654" s="44"/>
      <c r="I654" s="44"/>
      <c r="J654" s="44"/>
      <c r="K654" s="44"/>
      <c r="L654" s="44"/>
      <c r="M654" s="44"/>
      <c r="N654" s="44"/>
      <c r="O654" s="44"/>
      <c r="P654" s="44"/>
    </row>
    <row r="655" spans="1:16" x14ac:dyDescent="0.2">
      <c r="A655" s="58" t="str">
        <v>0:00</v>
      </c>
      <c r="B655" s="122"/>
      <c r="C655" s="44"/>
      <c r="D655" s="44"/>
      <c r="E655" s="44"/>
      <c r="F655" s="44"/>
      <c r="G655" s="44"/>
      <c r="H655" s="44"/>
      <c r="I655" s="44"/>
      <c r="J655" s="44"/>
      <c r="K655" s="44"/>
      <c r="L655" s="44"/>
      <c r="M655" s="44"/>
      <c r="N655" s="44"/>
      <c r="O655" s="44"/>
      <c r="P655" s="44"/>
    </row>
    <row r="656" spans="1:16" x14ac:dyDescent="0.2">
      <c r="A656" s="58" t="str">
        <v>0:00</v>
      </c>
      <c r="B656" s="122"/>
      <c r="C656" s="44"/>
      <c r="D656" s="44"/>
      <c r="E656" s="44"/>
      <c r="F656" s="44"/>
      <c r="G656" s="44"/>
      <c r="H656" s="44"/>
      <c r="I656" s="44"/>
      <c r="J656" s="44"/>
      <c r="K656" s="44"/>
      <c r="L656" s="44"/>
      <c r="M656" s="44"/>
      <c r="N656" s="44"/>
      <c r="O656" s="44"/>
      <c r="P656" s="44"/>
    </row>
    <row r="657" spans="1:16" x14ac:dyDescent="0.2">
      <c r="A657" s="58" t="str">
        <v>0:00</v>
      </c>
      <c r="B657" s="122"/>
      <c r="C657" s="44"/>
      <c r="D657" s="44"/>
      <c r="E657" s="44"/>
      <c r="F657" s="44"/>
      <c r="G657" s="44"/>
      <c r="H657" s="44"/>
      <c r="I657" s="44"/>
      <c r="J657" s="44"/>
      <c r="K657" s="44"/>
      <c r="L657" s="44"/>
      <c r="M657" s="44"/>
      <c r="N657" s="44"/>
      <c r="O657" s="44"/>
      <c r="P657" s="44"/>
    </row>
    <row r="658" spans="1:16" x14ac:dyDescent="0.2">
      <c r="A658" s="58" t="str">
        <v>0:00</v>
      </c>
      <c r="B658" s="122"/>
      <c r="C658" s="44"/>
      <c r="D658" s="44"/>
      <c r="E658" s="44"/>
      <c r="F658" s="44"/>
      <c r="G658" s="44"/>
      <c r="H658" s="44"/>
      <c r="I658" s="44"/>
      <c r="J658" s="44"/>
      <c r="K658" s="44"/>
      <c r="L658" s="44"/>
      <c r="M658" s="44"/>
      <c r="N658" s="44"/>
      <c r="O658" s="44"/>
      <c r="P658" s="44"/>
    </row>
    <row r="659" spans="1:16" x14ac:dyDescent="0.2">
      <c r="A659" s="58" t="str">
        <v>0:00</v>
      </c>
      <c r="B659" s="122"/>
      <c r="C659" s="44"/>
      <c r="D659" s="44"/>
      <c r="E659" s="44"/>
      <c r="F659" s="44"/>
      <c r="G659" s="44"/>
      <c r="H659" s="44"/>
      <c r="I659" s="44"/>
      <c r="J659" s="44"/>
      <c r="K659" s="44"/>
      <c r="L659" s="44"/>
      <c r="M659" s="44"/>
      <c r="N659" s="44"/>
      <c r="O659" s="44"/>
      <c r="P659" s="44"/>
    </row>
    <row r="660" spans="1:16" x14ac:dyDescent="0.2">
      <c r="A660" s="58" t="str">
        <v>0:00</v>
      </c>
      <c r="B660" s="122"/>
      <c r="C660" s="44"/>
      <c r="D660" s="44"/>
      <c r="E660" s="44"/>
      <c r="F660" s="44"/>
      <c r="G660" s="44"/>
      <c r="H660" s="44"/>
      <c r="I660" s="44"/>
      <c r="J660" s="44"/>
      <c r="K660" s="44"/>
      <c r="L660" s="44"/>
      <c r="M660" s="44"/>
      <c r="N660" s="44"/>
      <c r="O660" s="44"/>
      <c r="P660" s="44"/>
    </row>
    <row r="661" spans="1:16" x14ac:dyDescent="0.2">
      <c r="A661" s="58" t="str">
        <v>0:00</v>
      </c>
      <c r="B661" s="122"/>
      <c r="C661" s="44"/>
      <c r="D661" s="44"/>
      <c r="E661" s="44"/>
      <c r="F661" s="44"/>
      <c r="G661" s="44"/>
      <c r="H661" s="44"/>
      <c r="I661" s="44"/>
      <c r="J661" s="44"/>
      <c r="K661" s="44"/>
      <c r="L661" s="44"/>
      <c r="M661" s="44"/>
      <c r="N661" s="44"/>
      <c r="O661" s="44"/>
      <c r="P661" s="44"/>
    </row>
    <row r="662" spans="1:16" x14ac:dyDescent="0.2">
      <c r="A662" s="58" t="str">
        <v>0:00</v>
      </c>
      <c r="B662" s="122"/>
      <c r="C662" s="44"/>
      <c r="D662" s="44"/>
      <c r="E662" s="44"/>
      <c r="F662" s="44"/>
      <c r="G662" s="44"/>
      <c r="H662" s="44"/>
      <c r="I662" s="44"/>
      <c r="J662" s="44"/>
      <c r="K662" s="44"/>
      <c r="L662" s="44"/>
      <c r="M662" s="44"/>
      <c r="N662" s="44"/>
      <c r="O662" s="44"/>
      <c r="P662" s="44"/>
    </row>
    <row r="663" spans="1:16" x14ac:dyDescent="0.2">
      <c r="A663" s="58" t="str">
        <v>0:00</v>
      </c>
      <c r="B663" s="122"/>
      <c r="C663" s="44"/>
      <c r="D663" s="44"/>
      <c r="E663" s="44"/>
      <c r="F663" s="44"/>
      <c r="G663" s="44"/>
      <c r="H663" s="44"/>
      <c r="I663" s="44"/>
      <c r="J663" s="44"/>
      <c r="K663" s="44"/>
      <c r="L663" s="44"/>
      <c r="M663" s="44"/>
      <c r="N663" s="44"/>
      <c r="O663" s="44"/>
      <c r="P663" s="44"/>
    </row>
    <row r="664" spans="1:16" x14ac:dyDescent="0.2">
      <c r="A664" s="58" t="str">
        <v>0:00</v>
      </c>
      <c r="B664" s="122"/>
      <c r="C664" s="44"/>
      <c r="D664" s="44"/>
      <c r="E664" s="44"/>
      <c r="F664" s="44"/>
      <c r="G664" s="44"/>
      <c r="H664" s="44"/>
      <c r="I664" s="44"/>
      <c r="J664" s="44"/>
      <c r="K664" s="44"/>
      <c r="L664" s="44"/>
      <c r="M664" s="44"/>
      <c r="N664" s="44"/>
      <c r="O664" s="44"/>
      <c r="P664" s="44"/>
    </row>
    <row r="665" spans="1:16" x14ac:dyDescent="0.2">
      <c r="A665" s="58" t="str">
        <v>0:00</v>
      </c>
      <c r="B665" s="122"/>
      <c r="C665" s="44"/>
      <c r="D665" s="44"/>
      <c r="E665" s="44"/>
      <c r="F665" s="44"/>
      <c r="G665" s="44"/>
      <c r="H665" s="44"/>
      <c r="I665" s="44"/>
      <c r="J665" s="44"/>
      <c r="K665" s="44"/>
      <c r="L665" s="44"/>
      <c r="M665" s="44"/>
      <c r="N665" s="44"/>
      <c r="O665" s="44"/>
      <c r="P665" s="44"/>
    </row>
    <row r="666" spans="1:16" x14ac:dyDescent="0.2">
      <c r="A666" s="58" t="str">
        <v>0:00</v>
      </c>
      <c r="B666" s="122"/>
      <c r="C666" s="44"/>
      <c r="D666" s="44"/>
      <c r="E666" s="44"/>
      <c r="F666" s="44"/>
      <c r="G666" s="44"/>
      <c r="H666" s="44"/>
      <c r="I666" s="44"/>
      <c r="J666" s="44"/>
      <c r="K666" s="44"/>
      <c r="L666" s="44"/>
      <c r="M666" s="44"/>
      <c r="N666" s="44"/>
      <c r="O666" s="44"/>
      <c r="P666" s="44"/>
    </row>
    <row r="667" spans="1:16" x14ac:dyDescent="0.2">
      <c r="A667" s="58" t="str">
        <v>0:00</v>
      </c>
      <c r="B667" s="122"/>
      <c r="C667" s="44"/>
      <c r="D667" s="44"/>
      <c r="E667" s="44"/>
      <c r="F667" s="44"/>
      <c r="G667" s="44"/>
      <c r="H667" s="44"/>
      <c r="I667" s="44"/>
      <c r="J667" s="44"/>
      <c r="K667" s="44"/>
      <c r="L667" s="44"/>
      <c r="M667" s="44"/>
      <c r="N667" s="44"/>
      <c r="O667" s="44"/>
      <c r="P667" s="44"/>
    </row>
    <row r="668" spans="1:16" x14ac:dyDescent="0.2">
      <c r="A668" s="58" t="str">
        <v>0:00</v>
      </c>
      <c r="B668" s="122"/>
      <c r="C668" s="44"/>
      <c r="D668" s="44"/>
      <c r="E668" s="44"/>
      <c r="F668" s="44"/>
      <c r="G668" s="44"/>
      <c r="H668" s="44"/>
      <c r="I668" s="44"/>
      <c r="J668" s="44"/>
      <c r="K668" s="44"/>
      <c r="L668" s="44"/>
      <c r="M668" s="44"/>
      <c r="N668" s="44"/>
      <c r="O668" s="44"/>
      <c r="P668" s="44"/>
    </row>
    <row r="669" spans="1:16" x14ac:dyDescent="0.2">
      <c r="A669" s="58" t="str">
        <v>0:00</v>
      </c>
      <c r="B669" s="122"/>
      <c r="C669" s="44"/>
      <c r="D669" s="44"/>
      <c r="E669" s="44"/>
      <c r="F669" s="44"/>
      <c r="G669" s="44"/>
      <c r="H669" s="44"/>
      <c r="I669" s="44"/>
      <c r="J669" s="44"/>
      <c r="K669" s="44"/>
      <c r="L669" s="44"/>
      <c r="M669" s="44"/>
      <c r="N669" s="44"/>
      <c r="O669" s="44"/>
      <c r="P669" s="44"/>
    </row>
    <row r="670" spans="1:16" x14ac:dyDescent="0.2">
      <c r="A670" s="58" t="str">
        <v>0:00</v>
      </c>
      <c r="B670" s="122"/>
      <c r="C670" s="44"/>
      <c r="D670" s="44"/>
      <c r="E670" s="44"/>
      <c r="F670" s="44"/>
      <c r="G670" s="44"/>
      <c r="H670" s="44"/>
      <c r="I670" s="44"/>
      <c r="J670" s="44"/>
      <c r="K670" s="44"/>
      <c r="L670" s="44"/>
      <c r="M670" s="44"/>
      <c r="N670" s="44"/>
      <c r="O670" s="44"/>
      <c r="P670" s="44"/>
    </row>
    <row r="671" spans="1:16" x14ac:dyDescent="0.2">
      <c r="A671" s="58" t="str">
        <v>0:00</v>
      </c>
      <c r="B671" s="122"/>
      <c r="C671" s="44"/>
      <c r="D671" s="44"/>
      <c r="E671" s="44"/>
      <c r="F671" s="44"/>
      <c r="G671" s="44"/>
      <c r="H671" s="44"/>
      <c r="I671" s="44"/>
      <c r="J671" s="44"/>
      <c r="K671" s="44"/>
      <c r="L671" s="44"/>
      <c r="M671" s="44"/>
      <c r="N671" s="44"/>
      <c r="O671" s="44"/>
      <c r="P671" s="44"/>
    </row>
    <row r="672" spans="1:16" x14ac:dyDescent="0.2">
      <c r="A672" s="58" t="str">
        <v>0:00</v>
      </c>
      <c r="B672" s="122"/>
      <c r="C672" s="44"/>
      <c r="D672" s="44"/>
      <c r="E672" s="44"/>
      <c r="F672" s="44"/>
      <c r="G672" s="44"/>
      <c r="H672" s="44"/>
      <c r="I672" s="44"/>
      <c r="J672" s="44"/>
      <c r="K672" s="44"/>
      <c r="L672" s="44"/>
      <c r="M672" s="44"/>
      <c r="N672" s="44"/>
      <c r="O672" s="44"/>
      <c r="P672" s="44"/>
    </row>
    <row r="673" spans="1:16" x14ac:dyDescent="0.2">
      <c r="A673" s="58" t="str">
        <v>0:00</v>
      </c>
      <c r="B673" s="122"/>
      <c r="C673" s="44"/>
      <c r="D673" s="44"/>
      <c r="E673" s="44"/>
      <c r="F673" s="44"/>
      <c r="G673" s="44"/>
      <c r="H673" s="44"/>
      <c r="I673" s="44"/>
      <c r="J673" s="44"/>
      <c r="K673" s="44"/>
      <c r="L673" s="44"/>
      <c r="M673" s="44"/>
      <c r="N673" s="44"/>
      <c r="O673" s="44"/>
      <c r="P673" s="44"/>
    </row>
    <row r="674" spans="1:16" x14ac:dyDescent="0.2">
      <c r="A674" s="58" t="str">
        <v>0:00</v>
      </c>
      <c r="B674" s="122"/>
      <c r="C674" s="44"/>
      <c r="D674" s="44"/>
      <c r="E674" s="44"/>
      <c r="F674" s="44"/>
      <c r="G674" s="44"/>
      <c r="H674" s="44"/>
      <c r="I674" s="44"/>
      <c r="J674" s="44"/>
      <c r="K674" s="44"/>
      <c r="L674" s="44"/>
      <c r="M674" s="44"/>
      <c r="N674" s="44"/>
      <c r="O674" s="44"/>
      <c r="P674" s="44"/>
    </row>
    <row r="675" spans="1:16" x14ac:dyDescent="0.2">
      <c r="A675" s="58" t="str">
        <v>0:00</v>
      </c>
      <c r="B675" s="122"/>
      <c r="C675" s="44"/>
      <c r="D675" s="44"/>
      <c r="E675" s="44"/>
      <c r="F675" s="44"/>
      <c r="G675" s="44"/>
      <c r="H675" s="44"/>
      <c r="I675" s="44"/>
      <c r="J675" s="44"/>
      <c r="K675" s="44"/>
      <c r="L675" s="44"/>
      <c r="M675" s="44"/>
      <c r="N675" s="44"/>
      <c r="O675" s="44"/>
      <c r="P675" s="44"/>
    </row>
    <row r="676" spans="1:16" x14ac:dyDescent="0.2">
      <c r="A676" s="58" t="str">
        <v>0:00</v>
      </c>
      <c r="B676" s="122"/>
      <c r="C676" s="44"/>
      <c r="D676" s="44"/>
      <c r="E676" s="44"/>
      <c r="F676" s="44"/>
      <c r="G676" s="44"/>
      <c r="H676" s="44"/>
      <c r="I676" s="44"/>
      <c r="J676" s="44"/>
      <c r="K676" s="44"/>
      <c r="L676" s="44"/>
      <c r="M676" s="44"/>
      <c r="N676" s="44"/>
      <c r="O676" s="44"/>
      <c r="P676" s="44"/>
    </row>
    <row r="677" spans="1:16" x14ac:dyDescent="0.2">
      <c r="A677" s="58" t="str">
        <v>0:00</v>
      </c>
      <c r="B677" s="122"/>
      <c r="C677" s="44"/>
      <c r="D677" s="44"/>
      <c r="E677" s="44"/>
      <c r="F677" s="44"/>
      <c r="G677" s="44"/>
      <c r="H677" s="44"/>
      <c r="I677" s="44"/>
      <c r="J677" s="44"/>
      <c r="K677" s="44"/>
      <c r="L677" s="44"/>
      <c r="M677" s="44"/>
      <c r="N677" s="44"/>
      <c r="O677" s="44"/>
      <c r="P677" s="44"/>
    </row>
    <row r="678" spans="1:16" x14ac:dyDescent="0.2">
      <c r="A678" s="58" t="str">
        <v>0:00</v>
      </c>
      <c r="B678" s="122"/>
      <c r="C678" s="44"/>
      <c r="D678" s="44"/>
      <c r="E678" s="44"/>
      <c r="F678" s="44"/>
      <c r="G678" s="44"/>
      <c r="H678" s="44"/>
      <c r="I678" s="44"/>
      <c r="J678" s="44"/>
      <c r="K678" s="44"/>
      <c r="L678" s="44"/>
      <c r="M678" s="44"/>
      <c r="N678" s="44"/>
      <c r="O678" s="44"/>
      <c r="P678" s="44"/>
    </row>
    <row r="679" spans="1:16" x14ac:dyDescent="0.2">
      <c r="A679" s="58" t="str">
        <v>0:00</v>
      </c>
      <c r="B679" s="122"/>
      <c r="C679" s="44"/>
      <c r="D679" s="44"/>
      <c r="E679" s="44"/>
      <c r="F679" s="44"/>
      <c r="G679" s="44"/>
      <c r="H679" s="44"/>
      <c r="I679" s="44"/>
      <c r="J679" s="44"/>
      <c r="K679" s="44"/>
      <c r="L679" s="44"/>
      <c r="M679" s="44"/>
      <c r="N679" s="44"/>
      <c r="O679" s="44"/>
      <c r="P679" s="44"/>
    </row>
    <row r="680" spans="1:16" x14ac:dyDescent="0.2">
      <c r="A680" s="58" t="str">
        <v>0:00</v>
      </c>
      <c r="B680" s="122"/>
      <c r="C680" s="44"/>
      <c r="D680" s="44"/>
      <c r="E680" s="44"/>
      <c r="F680" s="44"/>
      <c r="G680" s="44"/>
      <c r="H680" s="44"/>
      <c r="I680" s="44"/>
      <c r="J680" s="44"/>
      <c r="K680" s="44"/>
      <c r="L680" s="44"/>
      <c r="M680" s="44"/>
      <c r="N680" s="44"/>
      <c r="O680" s="44"/>
      <c r="P680" s="44"/>
    </row>
    <row r="681" spans="1:16" x14ac:dyDescent="0.2">
      <c r="A681" s="58" t="str">
        <v>0:00</v>
      </c>
      <c r="B681" s="122"/>
      <c r="C681" s="44"/>
      <c r="D681" s="44"/>
      <c r="E681" s="44"/>
      <c r="F681" s="44"/>
      <c r="G681" s="44"/>
      <c r="H681" s="44"/>
      <c r="I681" s="44"/>
      <c r="J681" s="44"/>
      <c r="K681" s="44"/>
      <c r="L681" s="44"/>
      <c r="M681" s="44"/>
      <c r="N681" s="44"/>
      <c r="O681" s="44"/>
      <c r="P681" s="44"/>
    </row>
    <row r="682" spans="1:16" x14ac:dyDescent="0.2">
      <c r="A682" s="58" t="str">
        <v>0:00</v>
      </c>
      <c r="B682" s="122"/>
      <c r="C682" s="44"/>
      <c r="D682" s="44"/>
      <c r="E682" s="44"/>
      <c r="F682" s="44"/>
      <c r="G682" s="44"/>
      <c r="H682" s="44"/>
      <c r="I682" s="44"/>
      <c r="J682" s="44"/>
      <c r="K682" s="44"/>
      <c r="L682" s="44"/>
      <c r="M682" s="44"/>
      <c r="N682" s="44"/>
      <c r="O682" s="44"/>
      <c r="P682" s="44"/>
    </row>
    <row r="683" spans="1:16" x14ac:dyDescent="0.2">
      <c r="A683" s="58" t="str">
        <v>0:00</v>
      </c>
      <c r="B683" s="122"/>
      <c r="C683" s="44"/>
      <c r="D683" s="44"/>
      <c r="E683" s="44"/>
      <c r="F683" s="44"/>
      <c r="G683" s="44"/>
      <c r="H683" s="44"/>
      <c r="I683" s="44"/>
      <c r="J683" s="44"/>
      <c r="K683" s="44"/>
      <c r="L683" s="44"/>
      <c r="M683" s="44"/>
      <c r="N683" s="44"/>
      <c r="O683" s="44"/>
      <c r="P683" s="44"/>
    </row>
    <row r="684" spans="1:16" x14ac:dyDescent="0.2">
      <c r="A684" s="58" t="str">
        <v>0:00</v>
      </c>
      <c r="B684" s="122"/>
      <c r="C684" s="44"/>
      <c r="D684" s="44"/>
      <c r="E684" s="44"/>
      <c r="F684" s="44"/>
      <c r="G684" s="44"/>
      <c r="H684" s="44"/>
      <c r="I684" s="44"/>
      <c r="J684" s="44"/>
      <c r="K684" s="44"/>
      <c r="L684" s="44"/>
      <c r="M684" s="44"/>
      <c r="N684" s="44"/>
      <c r="O684" s="44"/>
      <c r="P684" s="44"/>
    </row>
    <row r="685" spans="1:16" x14ac:dyDescent="0.2">
      <c r="A685" s="58" t="str">
        <v>0:00</v>
      </c>
      <c r="B685" s="122"/>
      <c r="C685" s="44"/>
      <c r="D685" s="44"/>
      <c r="E685" s="44"/>
      <c r="F685" s="44"/>
      <c r="G685" s="44"/>
      <c r="H685" s="44"/>
      <c r="I685" s="44"/>
      <c r="J685" s="44"/>
      <c r="K685" s="44"/>
      <c r="L685" s="44"/>
      <c r="M685" s="44"/>
      <c r="N685" s="44"/>
      <c r="O685" s="44"/>
      <c r="P685" s="44"/>
    </row>
    <row r="686" spans="1:16" x14ac:dyDescent="0.2">
      <c r="A686" s="58" t="str">
        <v>0:00</v>
      </c>
      <c r="B686" s="122"/>
      <c r="C686" s="44"/>
      <c r="D686" s="44"/>
      <c r="E686" s="44"/>
      <c r="F686" s="44"/>
      <c r="G686" s="44"/>
      <c r="H686" s="44"/>
      <c r="I686" s="44"/>
      <c r="J686" s="44"/>
      <c r="K686" s="44"/>
      <c r="L686" s="44"/>
      <c r="M686" s="44"/>
      <c r="N686" s="44"/>
      <c r="O686" s="44"/>
      <c r="P686" s="44"/>
    </row>
    <row r="687" spans="1:16" x14ac:dyDescent="0.2">
      <c r="A687" s="58" t="str">
        <v>0:00</v>
      </c>
      <c r="B687" s="122"/>
      <c r="C687" s="44"/>
      <c r="D687" s="44"/>
      <c r="E687" s="44"/>
      <c r="F687" s="44"/>
      <c r="G687" s="44"/>
      <c r="H687" s="44"/>
      <c r="I687" s="44"/>
      <c r="J687" s="44"/>
      <c r="K687" s="44"/>
      <c r="L687" s="44"/>
      <c r="M687" s="44"/>
      <c r="N687" s="44"/>
      <c r="O687" s="44"/>
      <c r="P687" s="44"/>
    </row>
    <row r="688" spans="1:16" x14ac:dyDescent="0.2">
      <c r="A688" s="58" t="str">
        <v>0:00</v>
      </c>
      <c r="B688" s="122"/>
      <c r="C688" s="44"/>
      <c r="D688" s="44"/>
      <c r="E688" s="44"/>
      <c r="F688" s="44"/>
      <c r="G688" s="44"/>
      <c r="H688" s="44"/>
      <c r="I688" s="44"/>
      <c r="J688" s="44"/>
      <c r="K688" s="44"/>
      <c r="L688" s="44"/>
      <c r="M688" s="44"/>
      <c r="N688" s="44"/>
      <c r="O688" s="44"/>
      <c r="P688" s="44"/>
    </row>
    <row r="689" spans="1:16" x14ac:dyDescent="0.2">
      <c r="A689" s="58" t="str">
        <v>0:00</v>
      </c>
      <c r="B689" s="122"/>
      <c r="C689" s="44"/>
      <c r="D689" s="44"/>
      <c r="E689" s="44"/>
      <c r="F689" s="44"/>
      <c r="G689" s="44"/>
      <c r="H689" s="44"/>
      <c r="I689" s="44"/>
      <c r="J689" s="44"/>
      <c r="K689" s="44"/>
      <c r="L689" s="44"/>
      <c r="M689" s="44"/>
      <c r="N689" s="44"/>
      <c r="O689" s="44"/>
      <c r="P689" s="44"/>
    </row>
    <row r="690" spans="1:16" x14ac:dyDescent="0.2">
      <c r="A690" s="58" t="str">
        <v>0:00</v>
      </c>
      <c r="B690" s="122"/>
      <c r="C690" s="44"/>
      <c r="D690" s="44"/>
      <c r="E690" s="44"/>
      <c r="F690" s="44"/>
      <c r="G690" s="44"/>
      <c r="H690" s="44"/>
      <c r="I690" s="44"/>
      <c r="J690" s="44"/>
      <c r="K690" s="44"/>
      <c r="L690" s="44"/>
      <c r="M690" s="44"/>
      <c r="N690" s="44"/>
      <c r="O690" s="44"/>
      <c r="P690" s="44"/>
    </row>
    <row r="691" spans="1:16" x14ac:dyDescent="0.2">
      <c r="A691" s="58" t="str">
        <v>0:00</v>
      </c>
      <c r="B691" s="122"/>
      <c r="C691" s="44"/>
      <c r="D691" s="44"/>
      <c r="E691" s="44"/>
      <c r="F691" s="44"/>
      <c r="G691" s="44"/>
      <c r="H691" s="44"/>
      <c r="I691" s="44"/>
      <c r="J691" s="44"/>
      <c r="K691" s="44"/>
      <c r="L691" s="44"/>
      <c r="M691" s="44"/>
      <c r="N691" s="44"/>
      <c r="O691" s="44"/>
      <c r="P691" s="44"/>
    </row>
    <row r="692" spans="1:16" x14ac:dyDescent="0.2">
      <c r="A692" s="58" t="str">
        <v>0:00</v>
      </c>
      <c r="B692" s="122"/>
      <c r="C692" s="44"/>
      <c r="D692" s="44"/>
      <c r="E692" s="44"/>
      <c r="F692" s="44"/>
      <c r="G692" s="44"/>
      <c r="H692" s="44"/>
      <c r="I692" s="44"/>
      <c r="J692" s="44"/>
      <c r="K692" s="44"/>
      <c r="L692" s="44"/>
      <c r="M692" s="44"/>
      <c r="N692" s="44"/>
      <c r="O692" s="44"/>
      <c r="P692" s="44"/>
    </row>
    <row r="693" spans="1:16" x14ac:dyDescent="0.2">
      <c r="A693" s="58" t="str">
        <v>0:00</v>
      </c>
      <c r="B693" s="122"/>
      <c r="C693" s="44"/>
      <c r="D693" s="44"/>
      <c r="E693" s="44"/>
      <c r="F693" s="44"/>
      <c r="G693" s="44"/>
      <c r="H693" s="44"/>
      <c r="I693" s="44"/>
      <c r="J693" s="44"/>
      <c r="K693" s="44"/>
      <c r="L693" s="44"/>
      <c r="M693" s="44"/>
      <c r="N693" s="44"/>
      <c r="O693" s="44"/>
      <c r="P693" s="44"/>
    </row>
    <row r="694" spans="1:16" x14ac:dyDescent="0.2">
      <c r="A694" s="58" t="str">
        <v>0:00</v>
      </c>
      <c r="B694" s="122"/>
      <c r="C694" s="44"/>
      <c r="D694" s="44"/>
      <c r="E694" s="44"/>
      <c r="F694" s="44"/>
      <c r="G694" s="44"/>
      <c r="H694" s="44"/>
      <c r="I694" s="44"/>
      <c r="J694" s="44"/>
      <c r="K694" s="44"/>
      <c r="L694" s="44"/>
      <c r="M694" s="44"/>
      <c r="N694" s="44"/>
      <c r="O694" s="44"/>
      <c r="P694" s="44"/>
    </row>
    <row r="695" spans="1:16" x14ac:dyDescent="0.2">
      <c r="A695" s="58" t="str">
        <v>0:00</v>
      </c>
      <c r="B695" s="122"/>
      <c r="C695" s="44"/>
      <c r="D695" s="44"/>
      <c r="E695" s="44"/>
      <c r="F695" s="44"/>
      <c r="G695" s="44"/>
      <c r="H695" s="44"/>
      <c r="I695" s="44"/>
      <c r="J695" s="44"/>
      <c r="K695" s="44"/>
      <c r="L695" s="44"/>
      <c r="M695" s="44"/>
      <c r="N695" s="44"/>
      <c r="O695" s="44"/>
      <c r="P695" s="44"/>
    </row>
    <row r="696" spans="1:16" x14ac:dyDescent="0.2">
      <c r="A696" s="58" t="str">
        <v>0:00</v>
      </c>
      <c r="B696" s="122"/>
      <c r="C696" s="44"/>
      <c r="D696" s="44"/>
      <c r="E696" s="44"/>
      <c r="F696" s="44"/>
      <c r="G696" s="44"/>
      <c r="H696" s="44"/>
      <c r="I696" s="44"/>
      <c r="J696" s="44"/>
      <c r="K696" s="44"/>
      <c r="L696" s="44"/>
      <c r="M696" s="44"/>
      <c r="N696" s="44"/>
      <c r="O696" s="44"/>
      <c r="P696" s="44"/>
    </row>
    <row r="697" spans="1:16" x14ac:dyDescent="0.2">
      <c r="A697" s="58" t="str">
        <v>0:00</v>
      </c>
      <c r="B697" s="122"/>
      <c r="C697" s="44"/>
      <c r="D697" s="44"/>
      <c r="E697" s="44"/>
      <c r="F697" s="44"/>
      <c r="G697" s="44"/>
      <c r="H697" s="44"/>
      <c r="I697" s="44"/>
      <c r="J697" s="44"/>
      <c r="K697" s="44"/>
      <c r="L697" s="44"/>
      <c r="M697" s="44"/>
      <c r="N697" s="44"/>
      <c r="O697" s="44"/>
      <c r="P697" s="44"/>
    </row>
    <row r="698" spans="1:16" x14ac:dyDescent="0.2">
      <c r="A698" s="58" t="str">
        <v>0:00</v>
      </c>
      <c r="B698" s="122"/>
      <c r="C698" s="44"/>
      <c r="D698" s="44"/>
      <c r="E698" s="44"/>
      <c r="F698" s="44"/>
      <c r="G698" s="44"/>
      <c r="H698" s="44"/>
      <c r="I698" s="44"/>
      <c r="J698" s="44"/>
      <c r="K698" s="44"/>
      <c r="L698" s="44"/>
      <c r="M698" s="44"/>
      <c r="N698" s="44"/>
      <c r="O698" s="44"/>
      <c r="P698" s="44"/>
    </row>
    <row r="699" spans="1:16" x14ac:dyDescent="0.2">
      <c r="A699" s="58" t="str">
        <v>0:00</v>
      </c>
      <c r="B699" s="122"/>
      <c r="C699" s="44"/>
      <c r="D699" s="44"/>
      <c r="E699" s="44"/>
      <c r="F699" s="44"/>
      <c r="G699" s="44"/>
      <c r="H699" s="44"/>
      <c r="I699" s="44"/>
      <c r="J699" s="44"/>
      <c r="K699" s="44"/>
      <c r="L699" s="44"/>
      <c r="M699" s="44"/>
      <c r="N699" s="44"/>
      <c r="O699" s="44"/>
      <c r="P699" s="44"/>
    </row>
    <row r="700" spans="1:16" x14ac:dyDescent="0.2">
      <c r="A700" s="58" t="str">
        <v>0:00</v>
      </c>
      <c r="B700" s="122"/>
      <c r="C700" s="44"/>
      <c r="D700" s="44"/>
      <c r="E700" s="44"/>
      <c r="F700" s="44"/>
      <c r="G700" s="44"/>
      <c r="H700" s="44"/>
      <c r="I700" s="44"/>
      <c r="J700" s="44"/>
      <c r="K700" s="44"/>
      <c r="L700" s="44"/>
      <c r="M700" s="44"/>
      <c r="N700" s="44"/>
      <c r="O700" s="44"/>
      <c r="P700" s="44"/>
    </row>
    <row r="701" spans="1:16" x14ac:dyDescent="0.2">
      <c r="A701" s="58" t="str">
        <v>0:00</v>
      </c>
      <c r="B701" s="122"/>
      <c r="C701" s="44"/>
      <c r="D701" s="44"/>
      <c r="E701" s="44"/>
      <c r="F701" s="44"/>
      <c r="G701" s="44"/>
      <c r="H701" s="44"/>
      <c r="I701" s="44"/>
      <c r="J701" s="44"/>
      <c r="K701" s="44"/>
      <c r="L701" s="44"/>
      <c r="M701" s="44"/>
      <c r="N701" s="44"/>
      <c r="O701" s="44"/>
      <c r="P701" s="44"/>
    </row>
    <row r="702" spans="1:16" x14ac:dyDescent="0.2">
      <c r="A702" s="58" t="str">
        <v>0:00</v>
      </c>
      <c r="B702" s="122"/>
      <c r="C702" s="44"/>
      <c r="D702" s="44"/>
      <c r="E702" s="44"/>
      <c r="F702" s="44"/>
      <c r="G702" s="44"/>
      <c r="H702" s="44"/>
      <c r="I702" s="44"/>
      <c r="J702" s="44"/>
      <c r="K702" s="44"/>
      <c r="L702" s="44"/>
      <c r="M702" s="44"/>
      <c r="N702" s="44"/>
      <c r="O702" s="44"/>
      <c r="P702" s="44"/>
    </row>
    <row r="703" spans="1:16" x14ac:dyDescent="0.2">
      <c r="A703" s="58" t="str">
        <v>0:00</v>
      </c>
      <c r="B703" s="122"/>
      <c r="C703" s="44"/>
      <c r="D703" s="44"/>
      <c r="E703" s="44"/>
      <c r="F703" s="44"/>
      <c r="G703" s="44"/>
      <c r="H703" s="44"/>
      <c r="I703" s="44"/>
      <c r="J703" s="44"/>
      <c r="K703" s="44"/>
      <c r="L703" s="44"/>
      <c r="M703" s="44"/>
      <c r="N703" s="44"/>
      <c r="O703" s="44"/>
      <c r="P703" s="44"/>
    </row>
    <row r="704" spans="1:16" x14ac:dyDescent="0.2">
      <c r="A704" s="58" t="str">
        <v>0:00</v>
      </c>
      <c r="B704" s="122"/>
      <c r="C704" s="44"/>
      <c r="D704" s="44"/>
      <c r="E704" s="44"/>
      <c r="F704" s="44"/>
      <c r="G704" s="44"/>
      <c r="H704" s="44"/>
      <c r="I704" s="44"/>
      <c r="J704" s="44"/>
      <c r="K704" s="44"/>
      <c r="L704" s="44"/>
      <c r="M704" s="44"/>
      <c r="N704" s="44"/>
      <c r="O704" s="44"/>
      <c r="P704" s="44"/>
    </row>
    <row r="705" spans="1:16" x14ac:dyDescent="0.2">
      <c r="A705" s="58" t="str">
        <v>0:00</v>
      </c>
      <c r="B705" s="122"/>
      <c r="C705" s="44"/>
      <c r="D705" s="44"/>
      <c r="E705" s="44"/>
      <c r="F705" s="44"/>
      <c r="G705" s="44"/>
      <c r="H705" s="44"/>
      <c r="I705" s="44"/>
      <c r="J705" s="44"/>
      <c r="K705" s="44"/>
      <c r="L705" s="44"/>
      <c r="M705" s="44"/>
      <c r="N705" s="44"/>
      <c r="O705" s="44"/>
      <c r="P705" s="44"/>
    </row>
    <row r="706" spans="1:16" x14ac:dyDescent="0.2">
      <c r="A706" s="58" t="str">
        <v>0:00</v>
      </c>
      <c r="B706" s="122"/>
      <c r="C706" s="44"/>
      <c r="D706" s="44"/>
      <c r="E706" s="44"/>
      <c r="F706" s="44"/>
      <c r="G706" s="44"/>
      <c r="H706" s="44"/>
      <c r="I706" s="44"/>
      <c r="J706" s="44"/>
      <c r="K706" s="44"/>
      <c r="L706" s="44"/>
      <c r="M706" s="44"/>
      <c r="N706" s="44"/>
      <c r="O706" s="44"/>
      <c r="P706" s="44"/>
    </row>
    <row r="707" spans="1:16" x14ac:dyDescent="0.2">
      <c r="A707" s="58" t="str">
        <v>0:00</v>
      </c>
      <c r="B707" s="122"/>
      <c r="C707" s="44"/>
      <c r="D707" s="44"/>
      <c r="E707" s="44"/>
      <c r="F707" s="44"/>
      <c r="G707" s="44"/>
      <c r="H707" s="44"/>
      <c r="I707" s="44"/>
      <c r="J707" s="44"/>
      <c r="K707" s="44"/>
      <c r="L707" s="44"/>
      <c r="M707" s="44"/>
      <c r="N707" s="44"/>
      <c r="O707" s="44"/>
      <c r="P707" s="44"/>
    </row>
    <row r="708" spans="1:16" x14ac:dyDescent="0.2">
      <c r="A708" s="58" t="str">
        <v>0:00</v>
      </c>
      <c r="B708" s="122"/>
      <c r="C708" s="44"/>
      <c r="D708" s="44"/>
      <c r="E708" s="44"/>
      <c r="F708" s="44"/>
      <c r="G708" s="44"/>
      <c r="H708" s="44"/>
      <c r="I708" s="44"/>
      <c r="J708" s="44"/>
      <c r="K708" s="44"/>
      <c r="L708" s="44"/>
      <c r="M708" s="44"/>
      <c r="N708" s="44"/>
      <c r="O708" s="44"/>
      <c r="P708" s="44"/>
    </row>
    <row r="709" spans="1:16" x14ac:dyDescent="0.2">
      <c r="A709" s="58" t="str">
        <v>0:00</v>
      </c>
      <c r="B709" s="122"/>
      <c r="C709" s="44"/>
      <c r="D709" s="44"/>
      <c r="E709" s="44"/>
      <c r="F709" s="44"/>
      <c r="G709" s="44"/>
      <c r="H709" s="44"/>
      <c r="I709" s="44"/>
      <c r="J709" s="44"/>
      <c r="K709" s="44"/>
      <c r="L709" s="44"/>
      <c r="M709" s="44"/>
      <c r="N709" s="44"/>
      <c r="O709" s="44"/>
      <c r="P709" s="44"/>
    </row>
    <row r="710" spans="1:16" x14ac:dyDescent="0.2">
      <c r="A710" s="58" t="str">
        <v>0:00</v>
      </c>
      <c r="B710" s="122"/>
      <c r="C710" s="44"/>
      <c r="D710" s="44"/>
      <c r="E710" s="44"/>
      <c r="F710" s="44"/>
      <c r="G710" s="44"/>
      <c r="H710" s="44"/>
      <c r="I710" s="44"/>
      <c r="J710" s="44"/>
      <c r="K710" s="44"/>
      <c r="L710" s="44"/>
      <c r="M710" s="44"/>
      <c r="N710" s="44"/>
      <c r="O710" s="44"/>
      <c r="P710" s="44"/>
    </row>
    <row r="711" spans="1:16" x14ac:dyDescent="0.2">
      <c r="A711" s="58" t="str">
        <v>0:00</v>
      </c>
      <c r="B711" s="122"/>
      <c r="C711" s="44"/>
      <c r="D711" s="44"/>
      <c r="E711" s="44"/>
      <c r="F711" s="44"/>
      <c r="G711" s="44"/>
      <c r="H711" s="44"/>
      <c r="I711" s="44"/>
      <c r="J711" s="44"/>
      <c r="K711" s="44"/>
      <c r="L711" s="44"/>
      <c r="M711" s="44"/>
      <c r="N711" s="44"/>
      <c r="O711" s="44"/>
      <c r="P711" s="44"/>
    </row>
    <row r="712" spans="1:16" x14ac:dyDescent="0.2">
      <c r="A712" s="58" t="str">
        <v>0:00</v>
      </c>
      <c r="B712" s="122"/>
      <c r="C712" s="44"/>
      <c r="D712" s="44"/>
      <c r="E712" s="44"/>
      <c r="F712" s="44"/>
      <c r="G712" s="44"/>
      <c r="H712" s="44"/>
      <c r="I712" s="44"/>
      <c r="J712" s="44"/>
      <c r="K712" s="44"/>
      <c r="L712" s="44"/>
      <c r="M712" s="44"/>
      <c r="N712" s="44"/>
      <c r="O712" s="44"/>
      <c r="P712" s="44"/>
    </row>
    <row r="713" spans="1:16" x14ac:dyDescent="0.2">
      <c r="A713" s="58" t="str">
        <v>0:00</v>
      </c>
      <c r="B713" s="122"/>
      <c r="C713" s="44"/>
      <c r="D713" s="44"/>
      <c r="E713" s="44"/>
      <c r="F713" s="44"/>
      <c r="G713" s="44"/>
      <c r="H713" s="44"/>
      <c r="I713" s="44"/>
      <c r="J713" s="44"/>
      <c r="K713" s="44"/>
      <c r="L713" s="44"/>
      <c r="M713" s="44"/>
      <c r="N713" s="44"/>
      <c r="O713" s="44"/>
      <c r="P713" s="44"/>
    </row>
    <row r="714" spans="1:16" x14ac:dyDescent="0.2">
      <c r="A714" s="58" t="str">
        <v>0:00</v>
      </c>
      <c r="B714" s="122"/>
      <c r="C714" s="44"/>
      <c r="D714" s="44"/>
      <c r="E714" s="44"/>
      <c r="F714" s="44"/>
      <c r="G714" s="44"/>
      <c r="H714" s="44"/>
      <c r="I714" s="44"/>
      <c r="J714" s="44"/>
      <c r="K714" s="44"/>
      <c r="L714" s="44"/>
      <c r="M714" s="44"/>
      <c r="N714" s="44"/>
      <c r="O714" s="44"/>
      <c r="P714" s="44"/>
    </row>
    <row r="715" spans="1:16" x14ac:dyDescent="0.2">
      <c r="A715" s="58" t="str">
        <v>0:00</v>
      </c>
      <c r="B715" s="122"/>
      <c r="C715" s="44"/>
      <c r="D715" s="44"/>
      <c r="E715" s="44"/>
      <c r="F715" s="44"/>
      <c r="G715" s="44"/>
      <c r="H715" s="44"/>
      <c r="I715" s="44"/>
      <c r="J715" s="44"/>
      <c r="K715" s="44"/>
      <c r="L715" s="44"/>
      <c r="M715" s="44"/>
      <c r="N715" s="44"/>
      <c r="O715" s="44"/>
      <c r="P715" s="44"/>
    </row>
    <row r="716" spans="1:16" x14ac:dyDescent="0.2">
      <c r="A716" s="58" t="str">
        <v>0:00</v>
      </c>
      <c r="B716" s="122"/>
      <c r="C716" s="44"/>
      <c r="D716" s="44"/>
      <c r="E716" s="44"/>
      <c r="F716" s="44"/>
      <c r="G716" s="44"/>
      <c r="H716" s="44"/>
      <c r="I716" s="44"/>
      <c r="J716" s="44"/>
      <c r="K716" s="44"/>
      <c r="L716" s="44"/>
      <c r="M716" s="44"/>
      <c r="N716" s="44"/>
      <c r="O716" s="44"/>
      <c r="P716" s="44"/>
    </row>
    <row r="717" spans="1:16" x14ac:dyDescent="0.2">
      <c r="A717" s="58" t="str">
        <v>0:00</v>
      </c>
      <c r="B717" s="122"/>
      <c r="C717" s="44"/>
      <c r="D717" s="44"/>
      <c r="E717" s="44"/>
      <c r="F717" s="44"/>
      <c r="G717" s="44"/>
      <c r="H717" s="44"/>
      <c r="I717" s="44"/>
      <c r="J717" s="44"/>
      <c r="K717" s="44"/>
      <c r="L717" s="44"/>
      <c r="M717" s="44"/>
      <c r="N717" s="44"/>
      <c r="O717" s="44"/>
      <c r="P717" s="44"/>
    </row>
    <row r="718" spans="1:16" x14ac:dyDescent="0.2">
      <c r="A718" s="58" t="str">
        <v>0:00</v>
      </c>
      <c r="B718" s="122"/>
      <c r="C718" s="44"/>
      <c r="D718" s="44"/>
      <c r="E718" s="44"/>
      <c r="F718" s="44"/>
      <c r="G718" s="44"/>
      <c r="H718" s="44"/>
      <c r="I718" s="44"/>
      <c r="J718" s="44"/>
      <c r="K718" s="44"/>
      <c r="L718" s="44"/>
      <c r="M718" s="44"/>
      <c r="N718" s="44"/>
      <c r="O718" s="44"/>
      <c r="P718" s="44"/>
    </row>
    <row r="719" spans="1:16" x14ac:dyDescent="0.2">
      <c r="A719" s="58" t="str">
        <v>0:00</v>
      </c>
      <c r="B719" s="122"/>
      <c r="C719" s="44"/>
      <c r="D719" s="44"/>
      <c r="E719" s="44"/>
      <c r="F719" s="44"/>
      <c r="G719" s="44"/>
      <c r="H719" s="44"/>
      <c r="I719" s="44"/>
      <c r="J719" s="44"/>
      <c r="K719" s="44"/>
      <c r="L719" s="44"/>
      <c r="M719" s="44"/>
      <c r="N719" s="44"/>
      <c r="O719" s="44"/>
      <c r="P719" s="44"/>
    </row>
    <row r="720" spans="1:16" x14ac:dyDescent="0.2">
      <c r="A720" s="58" t="str">
        <v>0:00</v>
      </c>
      <c r="B720" s="122"/>
      <c r="C720" s="44"/>
      <c r="D720" s="44"/>
      <c r="E720" s="44"/>
      <c r="F720" s="44"/>
      <c r="G720" s="44"/>
      <c r="H720" s="44"/>
      <c r="I720" s="44"/>
      <c r="J720" s="44"/>
      <c r="K720" s="44"/>
      <c r="L720" s="44"/>
      <c r="M720" s="44"/>
      <c r="N720" s="44"/>
      <c r="O720" s="44"/>
      <c r="P720" s="44"/>
    </row>
    <row r="721" spans="1:16" x14ac:dyDescent="0.2">
      <c r="A721" s="58" t="str">
        <v>0:00</v>
      </c>
      <c r="B721" s="122"/>
      <c r="C721" s="44"/>
      <c r="D721" s="44"/>
      <c r="E721" s="44"/>
      <c r="F721" s="44"/>
      <c r="G721" s="44"/>
      <c r="H721" s="44"/>
      <c r="I721" s="44"/>
      <c r="J721" s="44"/>
      <c r="K721" s="44"/>
      <c r="L721" s="44"/>
      <c r="M721" s="44"/>
      <c r="N721" s="44"/>
      <c r="O721" s="44"/>
      <c r="P721" s="44"/>
    </row>
    <row r="722" spans="1:16" x14ac:dyDescent="0.2">
      <c r="A722" s="58" t="str">
        <v>0:00</v>
      </c>
      <c r="B722" s="122"/>
      <c r="C722" s="44"/>
      <c r="D722" s="44"/>
      <c r="E722" s="44"/>
      <c r="F722" s="44"/>
      <c r="G722" s="44"/>
      <c r="H722" s="44"/>
      <c r="I722" s="44"/>
      <c r="J722" s="44"/>
      <c r="K722" s="44"/>
      <c r="L722" s="44"/>
      <c r="M722" s="44"/>
      <c r="N722" s="44"/>
      <c r="O722" s="44"/>
      <c r="P722" s="44"/>
    </row>
    <row r="723" spans="1:16" x14ac:dyDescent="0.2">
      <c r="A723" s="58" t="str">
        <v>0:00</v>
      </c>
      <c r="B723" s="122"/>
      <c r="C723" s="44"/>
      <c r="D723" s="44"/>
      <c r="E723" s="44"/>
      <c r="F723" s="44"/>
      <c r="G723" s="44"/>
      <c r="H723" s="44"/>
      <c r="I723" s="44"/>
      <c r="J723" s="44"/>
      <c r="K723" s="44"/>
      <c r="L723" s="44"/>
      <c r="M723" s="44"/>
      <c r="N723" s="44"/>
      <c r="O723" s="44"/>
      <c r="P723" s="44"/>
    </row>
    <row r="724" spans="1:16" x14ac:dyDescent="0.2">
      <c r="A724" s="58" t="str">
        <v>0:00</v>
      </c>
      <c r="B724" s="122"/>
      <c r="C724" s="44"/>
      <c r="D724" s="44"/>
      <c r="E724" s="44"/>
      <c r="F724" s="44"/>
      <c r="G724" s="44"/>
      <c r="H724" s="44"/>
      <c r="I724" s="44"/>
      <c r="J724" s="44"/>
      <c r="K724" s="44"/>
      <c r="L724" s="44"/>
      <c r="M724" s="44"/>
      <c r="N724" s="44"/>
      <c r="O724" s="44"/>
      <c r="P724" s="44"/>
    </row>
    <row r="725" spans="1:16" x14ac:dyDescent="0.2">
      <c r="A725" s="58" t="str">
        <v>0:00</v>
      </c>
      <c r="B725" s="122"/>
      <c r="C725" s="44"/>
      <c r="D725" s="44"/>
      <c r="E725" s="44"/>
      <c r="F725" s="44"/>
      <c r="G725" s="44"/>
      <c r="H725" s="44"/>
      <c r="I725" s="44"/>
      <c r="J725" s="44"/>
      <c r="K725" s="44"/>
      <c r="L725" s="44"/>
      <c r="M725" s="44"/>
      <c r="N725" s="44"/>
      <c r="O725" s="44"/>
      <c r="P725" s="44"/>
    </row>
    <row r="726" spans="1:16" x14ac:dyDescent="0.2">
      <c r="A726" s="58" t="str">
        <v>0:00</v>
      </c>
      <c r="B726" s="122"/>
      <c r="C726" s="44"/>
      <c r="D726" s="44"/>
      <c r="E726" s="44"/>
      <c r="F726" s="44"/>
      <c r="G726" s="44"/>
      <c r="H726" s="44"/>
      <c r="I726" s="44"/>
      <c r="J726" s="44"/>
      <c r="K726" s="44"/>
      <c r="L726" s="44"/>
      <c r="M726" s="44"/>
      <c r="N726" s="44"/>
      <c r="O726" s="44"/>
      <c r="P726" s="44"/>
    </row>
    <row r="727" spans="1:16" x14ac:dyDescent="0.2">
      <c r="A727" s="58" t="str">
        <v>0:00</v>
      </c>
      <c r="B727" s="122"/>
      <c r="C727" s="44"/>
      <c r="D727" s="44"/>
      <c r="E727" s="44"/>
      <c r="F727" s="44"/>
      <c r="G727" s="44"/>
      <c r="H727" s="44"/>
      <c r="I727" s="44"/>
      <c r="J727" s="44"/>
      <c r="K727" s="44"/>
      <c r="L727" s="44"/>
      <c r="M727" s="44"/>
      <c r="N727" s="44"/>
      <c r="O727" s="44"/>
      <c r="P727" s="44"/>
    </row>
    <row r="728" spans="1:16" x14ac:dyDescent="0.2">
      <c r="A728" s="58" t="str">
        <v>0:00</v>
      </c>
      <c r="B728" s="122"/>
      <c r="C728" s="44"/>
      <c r="D728" s="44"/>
      <c r="E728" s="44"/>
      <c r="F728" s="44"/>
      <c r="G728" s="44"/>
      <c r="H728" s="44"/>
      <c r="I728" s="44"/>
      <c r="J728" s="44"/>
      <c r="K728" s="44"/>
      <c r="L728" s="44"/>
      <c r="M728" s="44"/>
      <c r="N728" s="44"/>
      <c r="O728" s="44"/>
      <c r="P728" s="44"/>
    </row>
    <row r="729" spans="1:16" x14ac:dyDescent="0.2">
      <c r="A729" s="58" t="str">
        <v>0:00</v>
      </c>
      <c r="B729" s="122"/>
      <c r="C729" s="44"/>
      <c r="D729" s="44"/>
      <c r="E729" s="44"/>
      <c r="F729" s="44"/>
      <c r="G729" s="44"/>
      <c r="H729" s="44"/>
      <c r="I729" s="44"/>
      <c r="J729" s="44"/>
      <c r="K729" s="44"/>
      <c r="L729" s="44"/>
      <c r="M729" s="44"/>
      <c r="N729" s="44"/>
      <c r="O729" s="44"/>
      <c r="P729" s="44"/>
    </row>
    <row r="730" spans="1:16" x14ac:dyDescent="0.2">
      <c r="A730" s="58" t="str">
        <v>0:00</v>
      </c>
      <c r="B730" s="122"/>
      <c r="C730" s="44"/>
      <c r="D730" s="44"/>
      <c r="E730" s="44"/>
      <c r="F730" s="44"/>
      <c r="G730" s="44"/>
      <c r="H730" s="44"/>
      <c r="I730" s="44"/>
      <c r="J730" s="44"/>
      <c r="K730" s="44"/>
      <c r="L730" s="44"/>
      <c r="M730" s="44"/>
      <c r="N730" s="44"/>
      <c r="O730" s="44"/>
      <c r="P730" s="44"/>
    </row>
    <row r="731" spans="1:16" x14ac:dyDescent="0.2">
      <c r="A731" s="58" t="str">
        <v>0:00</v>
      </c>
      <c r="B731" s="122"/>
      <c r="C731" s="44"/>
      <c r="D731" s="44"/>
      <c r="E731" s="44"/>
      <c r="F731" s="44"/>
      <c r="G731" s="44"/>
      <c r="H731" s="44"/>
      <c r="I731" s="44"/>
      <c r="J731" s="44"/>
      <c r="K731" s="44"/>
      <c r="L731" s="44"/>
      <c r="M731" s="44"/>
      <c r="N731" s="44"/>
      <c r="O731" s="44"/>
      <c r="P731" s="44"/>
    </row>
    <row r="732" spans="1:16" x14ac:dyDescent="0.2">
      <c r="A732" s="58" t="str">
        <v>0:00</v>
      </c>
      <c r="B732" s="122"/>
      <c r="C732" s="44"/>
      <c r="D732" s="44"/>
      <c r="E732" s="44"/>
      <c r="F732" s="44"/>
      <c r="G732" s="44"/>
      <c r="H732" s="44"/>
      <c r="I732" s="44"/>
      <c r="J732" s="44"/>
      <c r="K732" s="44"/>
      <c r="L732" s="44"/>
      <c r="M732" s="44"/>
      <c r="N732" s="44"/>
      <c r="O732" s="44"/>
      <c r="P732" s="44"/>
    </row>
    <row r="733" spans="1:16" x14ac:dyDescent="0.2">
      <c r="A733" s="58" t="str">
        <v>0:00</v>
      </c>
      <c r="B733" s="122"/>
      <c r="C733" s="44"/>
      <c r="D733" s="44"/>
      <c r="E733" s="44"/>
      <c r="F733" s="44"/>
      <c r="G733" s="44"/>
      <c r="H733" s="44"/>
      <c r="I733" s="44"/>
      <c r="J733" s="44"/>
      <c r="K733" s="44"/>
      <c r="L733" s="44"/>
      <c r="M733" s="44"/>
      <c r="N733" s="44"/>
      <c r="O733" s="44"/>
      <c r="P733" s="44"/>
    </row>
    <row r="734" spans="1:16" x14ac:dyDescent="0.2">
      <c r="A734" s="58" t="str">
        <v>0:00</v>
      </c>
      <c r="B734" s="122"/>
      <c r="C734" s="44"/>
      <c r="D734" s="44"/>
      <c r="E734" s="44"/>
      <c r="F734" s="44"/>
      <c r="G734" s="44"/>
      <c r="H734" s="44"/>
      <c r="I734" s="44"/>
      <c r="J734" s="44"/>
      <c r="K734" s="44"/>
      <c r="L734" s="44"/>
      <c r="M734" s="44"/>
      <c r="N734" s="44"/>
      <c r="O734" s="44"/>
      <c r="P734" s="44"/>
    </row>
    <row r="735" spans="1:16" x14ac:dyDescent="0.2">
      <c r="A735" s="58" t="str">
        <v>0:00</v>
      </c>
      <c r="B735" s="122"/>
      <c r="C735" s="44"/>
      <c r="D735" s="44"/>
      <c r="E735" s="44"/>
      <c r="F735" s="44"/>
      <c r="G735" s="44"/>
      <c r="H735" s="44"/>
      <c r="I735" s="44"/>
      <c r="J735" s="44"/>
      <c r="K735" s="44"/>
      <c r="L735" s="44"/>
      <c r="M735" s="44"/>
      <c r="N735" s="44"/>
      <c r="O735" s="44"/>
      <c r="P735" s="44"/>
    </row>
    <row r="736" spans="1:16" x14ac:dyDescent="0.2">
      <c r="A736" s="58" t="str">
        <v>0:00</v>
      </c>
      <c r="B736" s="122"/>
      <c r="C736" s="44"/>
      <c r="D736" s="44"/>
      <c r="E736" s="44"/>
      <c r="F736" s="44"/>
      <c r="G736" s="44"/>
      <c r="H736" s="44"/>
      <c r="I736" s="44"/>
      <c r="J736" s="44"/>
      <c r="K736" s="44"/>
      <c r="L736" s="44"/>
      <c r="M736" s="44"/>
      <c r="N736" s="44"/>
      <c r="O736" s="44"/>
      <c r="P736" s="44"/>
    </row>
    <row r="737" spans="1:16" x14ac:dyDescent="0.2">
      <c r="A737" s="58" t="str">
        <v>0:00</v>
      </c>
      <c r="B737" s="122"/>
      <c r="C737" s="44"/>
      <c r="D737" s="44"/>
      <c r="E737" s="44"/>
      <c r="F737" s="44"/>
      <c r="G737" s="44"/>
      <c r="H737" s="44"/>
      <c r="I737" s="44"/>
      <c r="J737" s="44"/>
      <c r="K737" s="44"/>
      <c r="L737" s="44"/>
      <c r="M737" s="44"/>
      <c r="N737" s="44"/>
      <c r="O737" s="44"/>
      <c r="P737" s="44"/>
    </row>
    <row r="738" spans="1:16" x14ac:dyDescent="0.2">
      <c r="A738" s="58" t="str">
        <v>0:00</v>
      </c>
      <c r="B738" s="122"/>
      <c r="C738" s="44"/>
      <c r="D738" s="44"/>
      <c r="E738" s="44"/>
      <c r="F738" s="44"/>
      <c r="G738" s="44"/>
      <c r="H738" s="44"/>
      <c r="I738" s="44"/>
      <c r="J738" s="44"/>
      <c r="K738" s="44"/>
      <c r="L738" s="44"/>
      <c r="M738" s="44"/>
      <c r="N738" s="44"/>
      <c r="O738" s="44"/>
      <c r="P738" s="44"/>
    </row>
    <row r="739" spans="1:16" x14ac:dyDescent="0.2">
      <c r="A739" s="58" t="str">
        <v>0:00</v>
      </c>
      <c r="B739" s="122"/>
      <c r="C739" s="44"/>
      <c r="D739" s="44"/>
      <c r="E739" s="44"/>
      <c r="F739" s="44"/>
      <c r="G739" s="44"/>
      <c r="H739" s="44"/>
      <c r="I739" s="44"/>
      <c r="J739" s="44"/>
      <c r="K739" s="44"/>
      <c r="L739" s="44"/>
      <c r="M739" s="44"/>
      <c r="N739" s="44"/>
      <c r="O739" s="44"/>
      <c r="P739" s="44"/>
    </row>
    <row r="740" spans="1:16" x14ac:dyDescent="0.2">
      <c r="A740" s="58" t="str">
        <v>0:00</v>
      </c>
      <c r="B740" s="122"/>
      <c r="C740" s="44"/>
      <c r="D740" s="44"/>
      <c r="E740" s="44"/>
      <c r="F740" s="44"/>
      <c r="G740" s="44"/>
      <c r="H740" s="44"/>
      <c r="I740" s="44"/>
      <c r="J740" s="44"/>
      <c r="K740" s="44"/>
      <c r="L740" s="44"/>
      <c r="M740" s="44"/>
      <c r="N740" s="44"/>
      <c r="O740" s="44"/>
      <c r="P740" s="44"/>
    </row>
    <row r="741" spans="1:16" x14ac:dyDescent="0.2">
      <c r="A741" s="58" t="str">
        <v>0:00</v>
      </c>
      <c r="B741" s="122"/>
      <c r="C741" s="44"/>
      <c r="D741" s="44"/>
      <c r="E741" s="44"/>
      <c r="F741" s="44"/>
      <c r="G741" s="44"/>
      <c r="H741" s="44"/>
      <c r="I741" s="44"/>
      <c r="J741" s="44"/>
      <c r="K741" s="44"/>
      <c r="L741" s="44"/>
      <c r="M741" s="44"/>
      <c r="N741" s="44"/>
      <c r="O741" s="44"/>
      <c r="P741" s="44"/>
    </row>
    <row r="742" spans="1:16" x14ac:dyDescent="0.2">
      <c r="A742" s="58" t="str">
        <v>0:00</v>
      </c>
      <c r="B742" s="122"/>
      <c r="C742" s="44"/>
      <c r="D742" s="44"/>
      <c r="E742" s="44"/>
      <c r="F742" s="44"/>
      <c r="G742" s="44"/>
      <c r="H742" s="44"/>
      <c r="I742" s="44"/>
      <c r="J742" s="44"/>
      <c r="K742" s="44"/>
      <c r="L742" s="44"/>
      <c r="M742" s="44"/>
      <c r="N742" s="44"/>
      <c r="O742" s="44"/>
      <c r="P742" s="44"/>
    </row>
    <row r="743" spans="1:16" x14ac:dyDescent="0.2">
      <c r="A743" s="58" t="str">
        <v>0:00</v>
      </c>
      <c r="B743" s="122"/>
      <c r="C743" s="44"/>
      <c r="D743" s="44"/>
      <c r="E743" s="44"/>
      <c r="F743" s="44"/>
      <c r="G743" s="44"/>
      <c r="H743" s="44"/>
      <c r="I743" s="44"/>
      <c r="J743" s="44"/>
      <c r="K743" s="44"/>
      <c r="L743" s="44"/>
      <c r="M743" s="44"/>
      <c r="N743" s="44"/>
      <c r="O743" s="44"/>
      <c r="P743" s="44"/>
    </row>
    <row r="744" spans="1:16" x14ac:dyDescent="0.2">
      <c r="A744" s="58" t="str">
        <v>0:00</v>
      </c>
      <c r="B744" s="122"/>
      <c r="C744" s="44"/>
      <c r="D744" s="44"/>
      <c r="E744" s="44"/>
      <c r="F744" s="44"/>
      <c r="G744" s="44"/>
      <c r="H744" s="44"/>
      <c r="I744" s="44"/>
      <c r="J744" s="44"/>
      <c r="K744" s="44"/>
      <c r="L744" s="44"/>
      <c r="M744" s="44"/>
      <c r="N744" s="44"/>
      <c r="O744" s="44"/>
      <c r="P744" s="44"/>
    </row>
    <row r="745" spans="1:16" x14ac:dyDescent="0.2">
      <c r="A745" s="58" t="str">
        <v>0:00</v>
      </c>
      <c r="B745" s="122"/>
      <c r="C745" s="44"/>
      <c r="D745" s="44"/>
      <c r="E745" s="44"/>
      <c r="F745" s="44"/>
      <c r="G745" s="44"/>
      <c r="H745" s="44"/>
      <c r="I745" s="44"/>
      <c r="J745" s="44"/>
      <c r="K745" s="44"/>
      <c r="L745" s="44"/>
      <c r="M745" s="44"/>
      <c r="N745" s="44"/>
      <c r="O745" s="44"/>
      <c r="P745" s="44"/>
    </row>
    <row r="746" spans="1:16" x14ac:dyDescent="0.2">
      <c r="A746" s="58" t="str">
        <v>0:00</v>
      </c>
      <c r="B746" s="122"/>
      <c r="C746" s="44"/>
      <c r="D746" s="44"/>
      <c r="E746" s="44"/>
      <c r="F746" s="44"/>
      <c r="G746" s="44"/>
      <c r="H746" s="44"/>
      <c r="I746" s="44"/>
      <c r="J746" s="44"/>
      <c r="K746" s="44"/>
      <c r="L746" s="44"/>
      <c r="M746" s="44"/>
      <c r="N746" s="44"/>
      <c r="O746" s="44"/>
      <c r="P746" s="44"/>
    </row>
    <row r="747" spans="1:16" x14ac:dyDescent="0.2">
      <c r="A747" s="58" t="str">
        <v>0:00</v>
      </c>
      <c r="B747" s="122"/>
      <c r="C747" s="44"/>
      <c r="D747" s="44"/>
      <c r="E747" s="44"/>
      <c r="F747" s="44"/>
      <c r="G747" s="44"/>
      <c r="H747" s="44"/>
      <c r="I747" s="44"/>
      <c r="J747" s="44"/>
      <c r="K747" s="44"/>
      <c r="L747" s="44"/>
      <c r="M747" s="44"/>
      <c r="N747" s="44"/>
      <c r="O747" s="44"/>
      <c r="P747" s="44"/>
    </row>
    <row r="748" spans="1:16" x14ac:dyDescent="0.2">
      <c r="A748" s="58" t="str">
        <v>0:00</v>
      </c>
      <c r="B748" s="122"/>
      <c r="C748" s="44"/>
      <c r="D748" s="44"/>
      <c r="E748" s="44"/>
      <c r="F748" s="44"/>
      <c r="G748" s="44"/>
      <c r="H748" s="44"/>
      <c r="I748" s="44"/>
      <c r="J748" s="44"/>
      <c r="K748" s="44"/>
      <c r="L748" s="44"/>
      <c r="M748" s="44"/>
      <c r="N748" s="44"/>
      <c r="O748" s="44"/>
      <c r="P748" s="44"/>
    </row>
    <row r="749" spans="1:16" x14ac:dyDescent="0.2">
      <c r="A749" s="58" t="str">
        <v>0:00</v>
      </c>
      <c r="B749" s="122"/>
      <c r="C749" s="44"/>
      <c r="D749" s="44"/>
      <c r="E749" s="44"/>
      <c r="F749" s="44"/>
      <c r="G749" s="44"/>
      <c r="H749" s="44"/>
      <c r="I749" s="44"/>
      <c r="J749" s="44"/>
      <c r="K749" s="44"/>
      <c r="L749" s="44"/>
      <c r="M749" s="44"/>
      <c r="N749" s="44"/>
      <c r="O749" s="44"/>
      <c r="P749" s="44"/>
    </row>
    <row r="750" spans="1:16" x14ac:dyDescent="0.2">
      <c r="A750" s="58" t="str">
        <v>0:00</v>
      </c>
      <c r="B750" s="122"/>
      <c r="C750" s="44"/>
      <c r="D750" s="44"/>
      <c r="E750" s="44"/>
      <c r="F750" s="44"/>
      <c r="G750" s="44"/>
      <c r="H750" s="44"/>
      <c r="I750" s="44"/>
      <c r="J750" s="44"/>
      <c r="K750" s="44"/>
      <c r="L750" s="44"/>
      <c r="M750" s="44"/>
      <c r="N750" s="44"/>
      <c r="O750" s="44"/>
      <c r="P750" s="44"/>
    </row>
    <row r="751" spans="1:16" x14ac:dyDescent="0.2">
      <c r="A751" s="58" t="str">
        <v>0:00</v>
      </c>
      <c r="B751" s="122"/>
      <c r="C751" s="44"/>
      <c r="D751" s="44"/>
      <c r="E751" s="44"/>
      <c r="F751" s="44"/>
      <c r="G751" s="44"/>
      <c r="H751" s="44"/>
      <c r="I751" s="44"/>
      <c r="J751" s="44"/>
      <c r="K751" s="44"/>
      <c r="L751" s="44"/>
      <c r="M751" s="44"/>
      <c r="N751" s="44"/>
      <c r="O751" s="44"/>
      <c r="P751" s="44"/>
    </row>
    <row r="752" spans="1:16" x14ac:dyDescent="0.2">
      <c r="A752" s="58" t="str">
        <v>0:00</v>
      </c>
      <c r="B752" s="122"/>
      <c r="C752" s="44"/>
      <c r="D752" s="44"/>
      <c r="E752" s="44"/>
      <c r="F752" s="44"/>
      <c r="G752" s="44"/>
      <c r="H752" s="44"/>
      <c r="I752" s="44"/>
      <c r="J752" s="44"/>
      <c r="K752" s="44"/>
      <c r="L752" s="44"/>
      <c r="M752" s="44"/>
      <c r="N752" s="44"/>
      <c r="O752" s="44"/>
      <c r="P752" s="44"/>
    </row>
    <row r="753" spans="1:16" x14ac:dyDescent="0.2">
      <c r="A753" s="58" t="str">
        <v>0:00</v>
      </c>
      <c r="B753" s="122"/>
      <c r="C753" s="44"/>
      <c r="D753" s="44"/>
      <c r="E753" s="44"/>
      <c r="F753" s="44"/>
      <c r="G753" s="44"/>
      <c r="H753" s="44"/>
      <c r="I753" s="44"/>
      <c r="J753" s="44"/>
      <c r="K753" s="44"/>
      <c r="L753" s="44"/>
      <c r="M753" s="44"/>
      <c r="N753" s="44"/>
      <c r="O753" s="44"/>
      <c r="P753" s="44"/>
    </row>
    <row r="754" spans="1:16" x14ac:dyDescent="0.2">
      <c r="A754" s="58" t="str">
        <v>0:00</v>
      </c>
      <c r="B754" s="122"/>
      <c r="C754" s="44"/>
      <c r="D754" s="44"/>
      <c r="E754" s="44"/>
      <c r="F754" s="44"/>
      <c r="G754" s="44"/>
      <c r="H754" s="44"/>
      <c r="I754" s="44"/>
      <c r="J754" s="44"/>
      <c r="K754" s="44"/>
      <c r="L754" s="44"/>
      <c r="M754" s="44"/>
      <c r="N754" s="44"/>
      <c r="O754" s="44"/>
      <c r="P754" s="44"/>
    </row>
    <row r="755" spans="1:16" x14ac:dyDescent="0.2">
      <c r="A755" s="58" t="str">
        <v>0:00</v>
      </c>
      <c r="B755" s="122"/>
      <c r="C755" s="44"/>
      <c r="D755" s="44"/>
      <c r="E755" s="44"/>
      <c r="F755" s="44"/>
      <c r="G755" s="44"/>
      <c r="H755" s="44"/>
      <c r="I755" s="44"/>
      <c r="J755" s="44"/>
      <c r="K755" s="44"/>
      <c r="L755" s="44"/>
      <c r="M755" s="44"/>
      <c r="N755" s="44"/>
      <c r="O755" s="44"/>
      <c r="P755" s="44"/>
    </row>
    <row r="756" spans="1:16" x14ac:dyDescent="0.2">
      <c r="A756" s="58" t="str">
        <v>0:00</v>
      </c>
      <c r="B756" s="122"/>
      <c r="C756" s="44"/>
      <c r="D756" s="44"/>
      <c r="E756" s="44"/>
      <c r="F756" s="44"/>
      <c r="G756" s="44"/>
      <c r="H756" s="44"/>
      <c r="I756" s="44"/>
      <c r="J756" s="44"/>
      <c r="K756" s="44"/>
      <c r="L756" s="44"/>
      <c r="M756" s="44"/>
      <c r="N756" s="44"/>
      <c r="O756" s="44"/>
      <c r="P756" s="44"/>
    </row>
    <row r="757" spans="1:16" x14ac:dyDescent="0.2">
      <c r="A757" s="58" t="str">
        <v>0:00</v>
      </c>
      <c r="B757" s="122"/>
      <c r="C757" s="44"/>
      <c r="D757" s="44"/>
      <c r="E757" s="44"/>
      <c r="F757" s="44"/>
      <c r="G757" s="44"/>
      <c r="H757" s="44"/>
      <c r="I757" s="44"/>
      <c r="J757" s="44"/>
      <c r="K757" s="44"/>
      <c r="L757" s="44"/>
      <c r="M757" s="44"/>
      <c r="N757" s="44"/>
      <c r="O757" s="44"/>
      <c r="P757" s="44"/>
    </row>
    <row r="758" spans="1:16" x14ac:dyDescent="0.2">
      <c r="A758" s="58" t="str">
        <v>0:00</v>
      </c>
      <c r="B758" s="122"/>
      <c r="C758" s="44"/>
      <c r="D758" s="44"/>
      <c r="E758" s="44"/>
      <c r="F758" s="44"/>
      <c r="G758" s="44"/>
      <c r="H758" s="44"/>
      <c r="I758" s="44"/>
      <c r="J758" s="44"/>
      <c r="K758" s="44"/>
      <c r="L758" s="44"/>
      <c r="M758" s="44"/>
      <c r="N758" s="44"/>
      <c r="O758" s="44"/>
      <c r="P758" s="44"/>
    </row>
    <row r="759" spans="1:16" x14ac:dyDescent="0.2">
      <c r="A759" s="58" t="str">
        <v>0:00</v>
      </c>
      <c r="B759" s="122"/>
      <c r="C759" s="44"/>
      <c r="D759" s="44"/>
      <c r="E759" s="44"/>
      <c r="F759" s="44"/>
      <c r="G759" s="44"/>
      <c r="H759" s="44"/>
      <c r="I759" s="44"/>
      <c r="J759" s="44"/>
      <c r="K759" s="44"/>
      <c r="L759" s="44"/>
      <c r="M759" s="44"/>
      <c r="N759" s="44"/>
      <c r="O759" s="44"/>
      <c r="P759" s="44"/>
    </row>
    <row r="760" spans="1:16" x14ac:dyDescent="0.2">
      <c r="A760" s="58" t="str">
        <v>0:00</v>
      </c>
      <c r="B760" s="122"/>
      <c r="C760" s="44"/>
      <c r="D760" s="44"/>
      <c r="E760" s="44"/>
      <c r="F760" s="44"/>
      <c r="G760" s="44"/>
      <c r="H760" s="44"/>
      <c r="I760" s="44"/>
      <c r="J760" s="44"/>
      <c r="K760" s="44"/>
      <c r="L760" s="44"/>
      <c r="M760" s="44"/>
      <c r="N760" s="44"/>
      <c r="O760" s="44"/>
      <c r="P760" s="44"/>
    </row>
    <row r="761" spans="1:16" x14ac:dyDescent="0.2">
      <c r="A761" s="58" t="str">
        <v>0:00</v>
      </c>
      <c r="B761" s="122"/>
      <c r="C761" s="44"/>
      <c r="D761" s="44"/>
      <c r="E761" s="44"/>
      <c r="F761" s="44"/>
      <c r="G761" s="44"/>
      <c r="H761" s="44"/>
      <c r="I761" s="44"/>
      <c r="J761" s="44"/>
      <c r="K761" s="44"/>
      <c r="L761" s="44"/>
      <c r="M761" s="44"/>
      <c r="N761" s="44"/>
      <c r="O761" s="44"/>
      <c r="P761" s="44"/>
    </row>
    <row r="762" spans="1:16" x14ac:dyDescent="0.2">
      <c r="A762" s="58" t="str">
        <v>0:00</v>
      </c>
      <c r="B762" s="122"/>
      <c r="C762" s="44"/>
      <c r="D762" s="44"/>
      <c r="E762" s="44"/>
      <c r="F762" s="44"/>
      <c r="G762" s="44"/>
      <c r="H762" s="44"/>
      <c r="I762" s="44"/>
      <c r="J762" s="44"/>
      <c r="K762" s="44"/>
      <c r="L762" s="44"/>
      <c r="M762" s="44"/>
      <c r="N762" s="44"/>
      <c r="O762" s="44"/>
      <c r="P762" s="44"/>
    </row>
    <row r="763" spans="1:16" x14ac:dyDescent="0.2">
      <c r="A763" s="58" t="str">
        <v>0:00</v>
      </c>
      <c r="B763" s="122"/>
      <c r="C763" s="44"/>
      <c r="D763" s="44"/>
      <c r="E763" s="44"/>
      <c r="F763" s="44"/>
      <c r="G763" s="44"/>
      <c r="H763" s="44"/>
      <c r="I763" s="44"/>
      <c r="J763" s="44"/>
      <c r="K763" s="44"/>
      <c r="L763" s="44"/>
      <c r="M763" s="44"/>
      <c r="N763" s="44"/>
      <c r="O763" s="44"/>
      <c r="P763" s="44"/>
    </row>
    <row r="764" spans="1:16" x14ac:dyDescent="0.2">
      <c r="A764" s="58" t="str">
        <v>0:00</v>
      </c>
      <c r="B764" s="122"/>
      <c r="C764" s="44"/>
      <c r="D764" s="44"/>
      <c r="E764" s="44"/>
      <c r="F764" s="44"/>
      <c r="G764" s="44"/>
      <c r="H764" s="44"/>
      <c r="I764" s="44"/>
      <c r="J764" s="44"/>
      <c r="K764" s="44"/>
      <c r="L764" s="44"/>
      <c r="M764" s="44"/>
      <c r="N764" s="44"/>
      <c r="O764" s="44"/>
      <c r="P764" s="44"/>
    </row>
    <row r="765" spans="1:16" x14ac:dyDescent="0.2">
      <c r="A765" s="58" t="str">
        <v>0:00</v>
      </c>
      <c r="B765" s="122"/>
      <c r="C765" s="44"/>
      <c r="D765" s="44"/>
      <c r="E765" s="44"/>
      <c r="F765" s="44"/>
      <c r="G765" s="44"/>
      <c r="H765" s="44"/>
      <c r="I765" s="44"/>
      <c r="J765" s="44"/>
      <c r="K765" s="44"/>
      <c r="L765" s="44"/>
      <c r="M765" s="44"/>
      <c r="N765" s="44"/>
      <c r="O765" s="44"/>
      <c r="P765" s="44"/>
    </row>
    <row r="766" spans="1:16" x14ac:dyDescent="0.2">
      <c r="A766" s="58" t="str">
        <v>0:00</v>
      </c>
      <c r="B766" s="122"/>
      <c r="C766" s="44"/>
      <c r="D766" s="44"/>
      <c r="E766" s="44"/>
      <c r="F766" s="44"/>
      <c r="G766" s="44"/>
      <c r="H766" s="44"/>
      <c r="I766" s="44"/>
      <c r="J766" s="44"/>
      <c r="K766" s="44"/>
      <c r="L766" s="44"/>
      <c r="M766" s="44"/>
      <c r="N766" s="44"/>
      <c r="O766" s="44"/>
      <c r="P766" s="44"/>
    </row>
    <row r="767" spans="1:16" x14ac:dyDescent="0.2">
      <c r="A767" s="58" t="str">
        <v>0:00</v>
      </c>
      <c r="B767" s="122"/>
      <c r="C767" s="44"/>
      <c r="D767" s="44"/>
      <c r="E767" s="44"/>
      <c r="F767" s="44"/>
      <c r="G767" s="44"/>
      <c r="H767" s="44"/>
      <c r="I767" s="44"/>
      <c r="J767" s="44"/>
      <c r="K767" s="44"/>
      <c r="L767" s="44"/>
      <c r="M767" s="44"/>
      <c r="N767" s="44"/>
      <c r="O767" s="44"/>
      <c r="P767" s="44"/>
    </row>
    <row r="768" spans="1:16" x14ac:dyDescent="0.2">
      <c r="A768" s="58" t="str">
        <v>0:00</v>
      </c>
      <c r="B768" s="122"/>
      <c r="C768" s="44"/>
      <c r="D768" s="44"/>
      <c r="E768" s="44"/>
      <c r="F768" s="44"/>
      <c r="G768" s="44"/>
      <c r="H768" s="44"/>
      <c r="I768" s="44"/>
      <c r="J768" s="44"/>
      <c r="K768" s="44"/>
      <c r="L768" s="44"/>
      <c r="M768" s="44"/>
      <c r="N768" s="44"/>
      <c r="O768" s="44"/>
      <c r="P768" s="44"/>
    </row>
    <row r="769" spans="1:16" x14ac:dyDescent="0.2">
      <c r="A769" s="58" t="str">
        <v>0:00</v>
      </c>
      <c r="B769" s="122"/>
      <c r="C769" s="44"/>
      <c r="D769" s="44"/>
      <c r="E769" s="44"/>
      <c r="F769" s="44"/>
      <c r="G769" s="44"/>
      <c r="H769" s="44"/>
      <c r="I769" s="44"/>
      <c r="J769" s="44"/>
      <c r="K769" s="44"/>
      <c r="L769" s="44"/>
      <c r="M769" s="44"/>
      <c r="N769" s="44"/>
      <c r="O769" s="44"/>
      <c r="P769" s="44"/>
    </row>
    <row r="770" spans="1:16" x14ac:dyDescent="0.2">
      <c r="A770" s="58" t="str">
        <v>0:00</v>
      </c>
      <c r="B770" s="122"/>
      <c r="C770" s="44"/>
      <c r="D770" s="44"/>
      <c r="E770" s="44"/>
      <c r="F770" s="44"/>
      <c r="G770" s="44"/>
      <c r="H770" s="44"/>
      <c r="I770" s="44"/>
      <c r="J770" s="44"/>
      <c r="K770" s="44"/>
      <c r="L770" s="44"/>
      <c r="M770" s="44"/>
      <c r="N770" s="44"/>
      <c r="O770" s="44"/>
      <c r="P770" s="44"/>
    </row>
    <row r="771" spans="1:16" x14ac:dyDescent="0.2">
      <c r="A771" s="58" t="str">
        <v>0:00</v>
      </c>
      <c r="B771" s="122"/>
      <c r="C771" s="44"/>
      <c r="D771" s="44"/>
      <c r="E771" s="44"/>
      <c r="F771" s="44"/>
      <c r="G771" s="44"/>
      <c r="H771" s="44"/>
      <c r="I771" s="44"/>
      <c r="J771" s="44"/>
      <c r="K771" s="44"/>
      <c r="L771" s="44"/>
      <c r="M771" s="44"/>
      <c r="N771" s="44"/>
      <c r="O771" s="44"/>
      <c r="P771" s="44"/>
    </row>
    <row r="772" spans="1:16" x14ac:dyDescent="0.2">
      <c r="A772" s="58" t="str">
        <v>0:00</v>
      </c>
      <c r="B772" s="122"/>
      <c r="C772" s="44"/>
      <c r="D772" s="44"/>
      <c r="E772" s="44"/>
      <c r="F772" s="44"/>
      <c r="G772" s="44"/>
      <c r="H772" s="44"/>
      <c r="I772" s="44"/>
      <c r="J772" s="44"/>
      <c r="K772" s="44"/>
      <c r="L772" s="44"/>
      <c r="M772" s="44"/>
      <c r="N772" s="44"/>
      <c r="O772" s="44"/>
      <c r="P772" s="44"/>
    </row>
    <row r="773" spans="1:16" x14ac:dyDescent="0.2">
      <c r="A773" s="58" t="str">
        <v>0:00</v>
      </c>
      <c r="B773" s="122"/>
      <c r="C773" s="44"/>
      <c r="D773" s="44"/>
      <c r="E773" s="44"/>
      <c r="F773" s="44"/>
      <c r="G773" s="44"/>
      <c r="H773" s="44"/>
      <c r="I773" s="44"/>
      <c r="J773" s="44"/>
      <c r="K773" s="44"/>
      <c r="L773" s="44"/>
      <c r="M773" s="44"/>
      <c r="N773" s="44"/>
      <c r="O773" s="44"/>
      <c r="P773" s="44"/>
    </row>
    <row r="774" spans="1:16" x14ac:dyDescent="0.2">
      <c r="A774" s="58" t="str">
        <v>0:00</v>
      </c>
      <c r="B774" s="122"/>
      <c r="C774" s="44"/>
      <c r="D774" s="44"/>
      <c r="E774" s="44"/>
      <c r="F774" s="44"/>
      <c r="G774" s="44"/>
      <c r="H774" s="44"/>
      <c r="I774" s="44"/>
      <c r="J774" s="44"/>
      <c r="K774" s="44"/>
      <c r="L774" s="44"/>
      <c r="M774" s="44"/>
      <c r="N774" s="44"/>
      <c r="O774" s="44"/>
      <c r="P774" s="44"/>
    </row>
    <row r="775" spans="1:16" x14ac:dyDescent="0.2">
      <c r="A775" s="58" t="str">
        <v>0:00</v>
      </c>
      <c r="B775" s="122"/>
      <c r="C775" s="44"/>
      <c r="D775" s="44"/>
      <c r="E775" s="44"/>
      <c r="F775" s="44"/>
      <c r="G775" s="44"/>
      <c r="H775" s="44"/>
      <c r="I775" s="44"/>
      <c r="J775" s="44"/>
      <c r="K775" s="44"/>
      <c r="L775" s="44"/>
      <c r="M775" s="44"/>
      <c r="N775" s="44"/>
      <c r="O775" s="44"/>
      <c r="P775" s="44"/>
    </row>
    <row r="776" spans="1:16" x14ac:dyDescent="0.2">
      <c r="A776" s="58" t="str">
        <v>0:00</v>
      </c>
      <c r="B776" s="122"/>
      <c r="C776" s="44"/>
      <c r="D776" s="44"/>
      <c r="E776" s="44"/>
      <c r="F776" s="44"/>
      <c r="G776" s="44"/>
      <c r="H776" s="44"/>
      <c r="I776" s="44"/>
      <c r="J776" s="44"/>
      <c r="K776" s="44"/>
      <c r="L776" s="44"/>
      <c r="M776" s="44"/>
      <c r="N776" s="44"/>
      <c r="O776" s="44"/>
      <c r="P776" s="44"/>
    </row>
    <row r="777" spans="1:16" x14ac:dyDescent="0.2">
      <c r="A777" s="58" t="str">
        <v>0:00</v>
      </c>
      <c r="B777" s="122"/>
      <c r="C777" s="44"/>
      <c r="D777" s="44"/>
      <c r="E777" s="44"/>
      <c r="F777" s="44"/>
      <c r="G777" s="44"/>
      <c r="H777" s="44"/>
      <c r="I777" s="44"/>
      <c r="J777" s="44"/>
      <c r="K777" s="44"/>
      <c r="L777" s="44"/>
      <c r="M777" s="44"/>
      <c r="N777" s="44"/>
      <c r="O777" s="44"/>
      <c r="P777" s="44"/>
    </row>
    <row r="778" spans="1:16" x14ac:dyDescent="0.2">
      <c r="A778" s="58" t="str">
        <v>0:00</v>
      </c>
      <c r="B778" s="122"/>
      <c r="C778" s="44"/>
      <c r="D778" s="44"/>
      <c r="E778" s="44"/>
      <c r="F778" s="44"/>
      <c r="G778" s="44"/>
      <c r="H778" s="44"/>
      <c r="I778" s="44"/>
      <c r="J778" s="44"/>
      <c r="K778" s="44"/>
      <c r="L778" s="44"/>
      <c r="M778" s="44"/>
      <c r="N778" s="44"/>
      <c r="O778" s="44"/>
      <c r="P778" s="44"/>
    </row>
    <row r="779" spans="1:16" x14ac:dyDescent="0.2">
      <c r="A779" s="58" t="str">
        <v>0:00</v>
      </c>
      <c r="B779" s="122"/>
      <c r="C779" s="44"/>
      <c r="D779" s="44"/>
      <c r="E779" s="44"/>
      <c r="F779" s="44"/>
      <c r="G779" s="44"/>
      <c r="H779" s="44"/>
      <c r="I779" s="44"/>
      <c r="J779" s="44"/>
      <c r="K779" s="44"/>
      <c r="L779" s="44"/>
      <c r="M779" s="44"/>
      <c r="N779" s="44"/>
      <c r="O779" s="44"/>
      <c r="P779" s="44"/>
    </row>
    <row r="780" spans="1:16" x14ac:dyDescent="0.2">
      <c r="A780" s="58" t="str">
        <v>0:00</v>
      </c>
      <c r="B780" s="122"/>
      <c r="C780" s="44"/>
      <c r="D780" s="44"/>
      <c r="E780" s="44"/>
      <c r="F780" s="44"/>
      <c r="G780" s="44"/>
      <c r="H780" s="44"/>
      <c r="I780" s="44"/>
      <c r="J780" s="44"/>
      <c r="K780" s="44"/>
      <c r="L780" s="44"/>
      <c r="M780" s="44"/>
      <c r="N780" s="44"/>
      <c r="O780" s="44"/>
      <c r="P780" s="44"/>
    </row>
    <row r="781" spans="1:16" x14ac:dyDescent="0.2">
      <c r="A781" s="58" t="str">
        <v>0:00</v>
      </c>
      <c r="B781" s="122"/>
      <c r="C781" s="44"/>
      <c r="D781" s="44"/>
      <c r="E781" s="44"/>
      <c r="F781" s="44"/>
      <c r="G781" s="44"/>
      <c r="H781" s="44"/>
      <c r="I781" s="44"/>
      <c r="J781" s="44"/>
      <c r="K781" s="44"/>
      <c r="L781" s="44"/>
      <c r="M781" s="44"/>
      <c r="N781" s="44"/>
      <c r="O781" s="44"/>
      <c r="P781" s="44"/>
    </row>
    <row r="782" spans="1:16" x14ac:dyDescent="0.2">
      <c r="A782" s="58" t="str">
        <v>0:00</v>
      </c>
      <c r="B782" s="122"/>
      <c r="C782" s="44"/>
      <c r="D782" s="44"/>
      <c r="E782" s="44"/>
      <c r="F782" s="44"/>
      <c r="G782" s="44"/>
      <c r="H782" s="44"/>
      <c r="I782" s="44"/>
      <c r="J782" s="44"/>
      <c r="K782" s="44"/>
      <c r="L782" s="44"/>
      <c r="M782" s="44"/>
      <c r="N782" s="44"/>
      <c r="O782" s="44"/>
      <c r="P782" s="44"/>
    </row>
    <row r="783" spans="1:16" x14ac:dyDescent="0.2">
      <c r="A783" s="58" t="str">
        <v>0:00</v>
      </c>
      <c r="B783" s="122"/>
      <c r="C783" s="44"/>
      <c r="D783" s="44"/>
      <c r="E783" s="44"/>
      <c r="F783" s="44"/>
      <c r="G783" s="44"/>
      <c r="H783" s="44"/>
      <c r="I783" s="44"/>
      <c r="J783" s="44"/>
      <c r="K783" s="44"/>
      <c r="L783" s="44"/>
      <c r="M783" s="44"/>
      <c r="N783" s="44"/>
      <c r="O783" s="44"/>
      <c r="P783" s="44"/>
    </row>
    <row r="784" spans="1:16" x14ac:dyDescent="0.2">
      <c r="A784" s="58" t="str">
        <v>0:00</v>
      </c>
      <c r="B784" s="122"/>
      <c r="C784" s="44"/>
      <c r="D784" s="44"/>
      <c r="E784" s="44"/>
      <c r="F784" s="44"/>
      <c r="G784" s="44"/>
      <c r="H784" s="44"/>
      <c r="I784" s="44"/>
      <c r="J784" s="44"/>
      <c r="K784" s="44"/>
      <c r="L784" s="44"/>
      <c r="M784" s="44"/>
      <c r="N784" s="44"/>
      <c r="O784" s="44"/>
      <c r="P784" s="44"/>
    </row>
    <row r="785" spans="1:16" x14ac:dyDescent="0.2">
      <c r="A785" s="58" t="str">
        <v>0:00</v>
      </c>
      <c r="B785" s="122"/>
      <c r="C785" s="44"/>
      <c r="D785" s="44"/>
      <c r="E785" s="44"/>
      <c r="F785" s="44"/>
      <c r="G785" s="44"/>
      <c r="H785" s="44"/>
      <c r="I785" s="44"/>
      <c r="J785" s="44"/>
      <c r="K785" s="44"/>
      <c r="L785" s="44"/>
      <c r="M785" s="44"/>
      <c r="N785" s="44"/>
      <c r="O785" s="44"/>
      <c r="P785" s="44"/>
    </row>
    <row r="786" spans="1:16" x14ac:dyDescent="0.2">
      <c r="A786" s="58" t="str">
        <v>0:00</v>
      </c>
      <c r="B786" s="122"/>
      <c r="C786" s="44"/>
      <c r="D786" s="44"/>
      <c r="E786" s="44"/>
      <c r="F786" s="44"/>
      <c r="G786" s="44"/>
      <c r="H786" s="44"/>
      <c r="I786" s="44"/>
      <c r="J786" s="44"/>
      <c r="K786" s="44"/>
      <c r="L786" s="44"/>
      <c r="M786" s="44"/>
      <c r="N786" s="44"/>
      <c r="O786" s="44"/>
      <c r="P786" s="44"/>
    </row>
    <row r="787" spans="1:16" x14ac:dyDescent="0.2">
      <c r="A787" s="58" t="str">
        <v>0:00</v>
      </c>
      <c r="B787" s="122"/>
      <c r="C787" s="44"/>
      <c r="D787" s="44"/>
      <c r="E787" s="44"/>
      <c r="F787" s="44"/>
      <c r="G787" s="44"/>
      <c r="H787" s="44"/>
      <c r="I787" s="44"/>
      <c r="J787" s="44"/>
      <c r="K787" s="44"/>
      <c r="L787" s="44"/>
      <c r="M787" s="44"/>
      <c r="N787" s="44"/>
      <c r="O787" s="44"/>
      <c r="P787" s="44"/>
    </row>
    <row r="788" spans="1:16" x14ac:dyDescent="0.2">
      <c r="A788" s="58" t="str">
        <v>0:00</v>
      </c>
      <c r="B788" s="122"/>
      <c r="C788" s="44"/>
      <c r="D788" s="44"/>
      <c r="E788" s="44"/>
      <c r="F788" s="44"/>
      <c r="G788" s="44"/>
      <c r="H788" s="44"/>
      <c r="I788" s="44"/>
      <c r="J788" s="44"/>
      <c r="K788" s="44"/>
      <c r="L788" s="44"/>
      <c r="M788" s="44"/>
      <c r="N788" s="44"/>
      <c r="O788" s="44"/>
      <c r="P788" s="44"/>
    </row>
    <row r="789" spans="1:16" x14ac:dyDescent="0.2">
      <c r="A789" s="58" t="str">
        <v>0:00</v>
      </c>
      <c r="B789" s="122"/>
      <c r="C789" s="44"/>
      <c r="D789" s="44"/>
      <c r="E789" s="44"/>
      <c r="F789" s="44"/>
      <c r="G789" s="44"/>
      <c r="H789" s="44"/>
      <c r="I789" s="44"/>
      <c r="J789" s="44"/>
      <c r="K789" s="44"/>
      <c r="L789" s="44"/>
      <c r="M789" s="44"/>
      <c r="N789" s="44"/>
      <c r="O789" s="44"/>
      <c r="P789" s="44"/>
    </row>
    <row r="790" spans="1:16" x14ac:dyDescent="0.2">
      <c r="A790" s="58" t="str">
        <v>0:00</v>
      </c>
      <c r="B790" s="122"/>
      <c r="C790" s="44"/>
      <c r="D790" s="44"/>
      <c r="E790" s="44"/>
      <c r="F790" s="44"/>
      <c r="G790" s="44"/>
      <c r="H790" s="44"/>
      <c r="I790" s="44"/>
      <c r="J790" s="44"/>
      <c r="K790" s="44"/>
      <c r="L790" s="44"/>
      <c r="M790" s="44"/>
      <c r="N790" s="44"/>
      <c r="O790" s="44"/>
      <c r="P790" s="44"/>
    </row>
    <row r="791" spans="1:16" x14ac:dyDescent="0.2">
      <c r="A791" s="58" t="str">
        <v>0:00</v>
      </c>
      <c r="B791" s="122"/>
      <c r="C791" s="44"/>
      <c r="D791" s="44"/>
      <c r="E791" s="44"/>
      <c r="F791" s="44"/>
      <c r="G791" s="44"/>
      <c r="H791" s="44"/>
      <c r="I791" s="44"/>
      <c r="J791" s="44"/>
      <c r="K791" s="44"/>
      <c r="L791" s="44"/>
      <c r="M791" s="44"/>
      <c r="N791" s="44"/>
      <c r="O791" s="44"/>
      <c r="P791" s="44"/>
    </row>
    <row r="792" spans="1:16" x14ac:dyDescent="0.2">
      <c r="A792" s="58" t="str">
        <v>0:00</v>
      </c>
      <c r="B792" s="122"/>
      <c r="C792" s="44"/>
      <c r="D792" s="44"/>
      <c r="E792" s="44"/>
      <c r="F792" s="44"/>
      <c r="G792" s="44"/>
      <c r="H792" s="44"/>
      <c r="I792" s="44"/>
      <c r="J792" s="44"/>
      <c r="K792" s="44"/>
      <c r="L792" s="44"/>
      <c r="M792" s="44"/>
      <c r="N792" s="44"/>
      <c r="O792" s="44"/>
      <c r="P792" s="44"/>
    </row>
    <row r="793" spans="1:16" x14ac:dyDescent="0.2">
      <c r="A793" s="58" t="str">
        <v>0:00</v>
      </c>
      <c r="B793" s="122"/>
      <c r="C793" s="44"/>
      <c r="D793" s="44"/>
      <c r="E793" s="44"/>
      <c r="F793" s="44"/>
      <c r="G793" s="44"/>
      <c r="H793" s="44"/>
      <c r="I793" s="44"/>
      <c r="J793" s="44"/>
      <c r="K793" s="44"/>
      <c r="L793" s="44"/>
      <c r="M793" s="44"/>
      <c r="N793" s="44"/>
      <c r="O793" s="44"/>
      <c r="P793" s="44"/>
    </row>
    <row r="794" spans="1:16" x14ac:dyDescent="0.2">
      <c r="A794" s="58" t="str">
        <v>0:00</v>
      </c>
      <c r="B794" s="122"/>
      <c r="C794" s="44"/>
      <c r="D794" s="44"/>
      <c r="E794" s="44"/>
      <c r="F794" s="44"/>
      <c r="G794" s="44"/>
      <c r="H794" s="44"/>
      <c r="I794" s="44"/>
      <c r="J794" s="44"/>
      <c r="K794" s="44"/>
      <c r="L794" s="44"/>
      <c r="M794" s="44"/>
      <c r="N794" s="44"/>
      <c r="O794" s="44"/>
      <c r="P794" s="44"/>
    </row>
    <row r="795" spans="1:16" x14ac:dyDescent="0.2">
      <c r="A795" s="58" t="str">
        <v>0:00</v>
      </c>
      <c r="B795" s="122"/>
      <c r="C795" s="44"/>
      <c r="D795" s="44"/>
      <c r="E795" s="44"/>
      <c r="F795" s="44"/>
      <c r="G795" s="44"/>
      <c r="H795" s="44"/>
      <c r="I795" s="44"/>
      <c r="J795" s="44"/>
      <c r="K795" s="44"/>
      <c r="L795" s="44"/>
      <c r="M795" s="44"/>
      <c r="N795" s="44"/>
      <c r="O795" s="44"/>
      <c r="P795" s="44"/>
    </row>
    <row r="796" spans="1:16" x14ac:dyDescent="0.2">
      <c r="A796" s="58" t="str">
        <v>0:00</v>
      </c>
      <c r="B796" s="122"/>
      <c r="C796" s="44"/>
      <c r="D796" s="44"/>
      <c r="E796" s="44"/>
      <c r="F796" s="44"/>
      <c r="G796" s="44"/>
      <c r="H796" s="44"/>
      <c r="I796" s="44"/>
      <c r="J796" s="44"/>
      <c r="K796" s="44"/>
      <c r="L796" s="44"/>
      <c r="M796" s="44"/>
      <c r="N796" s="44"/>
      <c r="O796" s="44"/>
      <c r="P796" s="44"/>
    </row>
    <row r="797" spans="1:16" x14ac:dyDescent="0.2">
      <c r="A797" s="58" t="str">
        <v>0:00</v>
      </c>
      <c r="B797" s="122"/>
      <c r="C797" s="44"/>
      <c r="D797" s="44"/>
      <c r="E797" s="44"/>
      <c r="F797" s="44"/>
      <c r="G797" s="44"/>
      <c r="H797" s="44"/>
      <c r="I797" s="44"/>
      <c r="J797" s="44"/>
      <c r="K797" s="44"/>
      <c r="L797" s="44"/>
      <c r="M797" s="44"/>
      <c r="N797" s="44"/>
      <c r="O797" s="44"/>
      <c r="P797" s="44"/>
    </row>
    <row r="798" spans="1:16" x14ac:dyDescent="0.2">
      <c r="A798" s="58" t="str">
        <v>0:00</v>
      </c>
      <c r="B798" s="122"/>
      <c r="C798" s="44"/>
      <c r="D798" s="44"/>
      <c r="E798" s="44"/>
      <c r="F798" s="44"/>
      <c r="G798" s="44"/>
      <c r="H798" s="44"/>
      <c r="I798" s="44"/>
      <c r="J798" s="44"/>
      <c r="K798" s="44"/>
      <c r="L798" s="44"/>
      <c r="M798" s="44"/>
      <c r="N798" s="44"/>
      <c r="O798" s="44"/>
      <c r="P798" s="44"/>
    </row>
    <row r="799" spans="1:16" x14ac:dyDescent="0.2">
      <c r="A799" s="58" t="str">
        <v>0:00</v>
      </c>
      <c r="B799" s="122"/>
      <c r="C799" s="44"/>
      <c r="D799" s="44"/>
      <c r="E799" s="44"/>
      <c r="F799" s="44"/>
      <c r="G799" s="44"/>
      <c r="H799" s="44"/>
      <c r="I799" s="44"/>
      <c r="J799" s="44"/>
      <c r="K799" s="44"/>
      <c r="L799" s="44"/>
      <c r="M799" s="44"/>
      <c r="N799" s="44"/>
      <c r="O799" s="44"/>
      <c r="P799" s="44"/>
    </row>
    <row r="800" spans="1:16" x14ac:dyDescent="0.2">
      <c r="A800" s="58" t="str">
        <v>0:00</v>
      </c>
      <c r="B800" s="122"/>
      <c r="C800" s="44"/>
      <c r="D800" s="44"/>
      <c r="E800" s="44"/>
      <c r="F800" s="44"/>
      <c r="G800" s="44"/>
      <c r="H800" s="44"/>
      <c r="I800" s="44"/>
      <c r="J800" s="44"/>
      <c r="K800" s="44"/>
      <c r="L800" s="44"/>
      <c r="M800" s="44"/>
      <c r="N800" s="44"/>
      <c r="O800" s="44"/>
      <c r="P800" s="44"/>
    </row>
    <row r="801" spans="1:16" x14ac:dyDescent="0.2">
      <c r="A801" s="58" t="str">
        <v>0:00</v>
      </c>
      <c r="B801" s="122"/>
      <c r="C801" s="44"/>
      <c r="D801" s="44"/>
      <c r="E801" s="44"/>
      <c r="F801" s="44"/>
      <c r="G801" s="44"/>
      <c r="H801" s="44"/>
      <c r="I801" s="44"/>
      <c r="J801" s="44"/>
      <c r="K801" s="44"/>
      <c r="L801" s="44"/>
      <c r="M801" s="44"/>
      <c r="N801" s="44"/>
      <c r="O801" s="44"/>
      <c r="P801" s="44"/>
    </row>
    <row r="802" spans="1:16" x14ac:dyDescent="0.2">
      <c r="A802" s="58" t="str">
        <v>0:00</v>
      </c>
      <c r="B802" s="122"/>
      <c r="C802" s="44"/>
      <c r="D802" s="44"/>
      <c r="E802" s="44"/>
      <c r="F802" s="44"/>
      <c r="G802" s="44"/>
      <c r="H802" s="44"/>
      <c r="I802" s="44"/>
      <c r="J802" s="44"/>
      <c r="K802" s="44"/>
      <c r="L802" s="44"/>
      <c r="M802" s="44"/>
      <c r="N802" s="44"/>
      <c r="O802" s="44"/>
      <c r="P802" s="44"/>
    </row>
    <row r="803" spans="1:16" x14ac:dyDescent="0.2">
      <c r="A803" s="58" t="str">
        <v>0:00</v>
      </c>
      <c r="B803" s="122"/>
      <c r="C803" s="44"/>
      <c r="D803" s="44"/>
      <c r="E803" s="44"/>
      <c r="F803" s="44"/>
      <c r="G803" s="44"/>
      <c r="H803" s="44"/>
      <c r="I803" s="44"/>
      <c r="J803" s="44"/>
      <c r="K803" s="44"/>
      <c r="L803" s="44"/>
      <c r="M803" s="44"/>
      <c r="N803" s="44"/>
      <c r="O803" s="44"/>
      <c r="P803" s="44"/>
    </row>
    <row r="804" spans="1:16" x14ac:dyDescent="0.2">
      <c r="A804" s="58" t="str">
        <v>0:00</v>
      </c>
      <c r="B804" s="122"/>
      <c r="C804" s="44"/>
      <c r="D804" s="44"/>
      <c r="E804" s="44"/>
      <c r="F804" s="44"/>
      <c r="G804" s="44"/>
      <c r="H804" s="44"/>
      <c r="I804" s="44"/>
      <c r="J804" s="44"/>
      <c r="K804" s="44"/>
      <c r="L804" s="44"/>
      <c r="M804" s="44"/>
      <c r="N804" s="44"/>
      <c r="O804" s="44"/>
      <c r="P804" s="44"/>
    </row>
    <row r="805" spans="1:16" x14ac:dyDescent="0.2">
      <c r="A805" s="58" t="str">
        <v>0:00</v>
      </c>
      <c r="B805" s="122"/>
      <c r="C805" s="44"/>
      <c r="D805" s="44"/>
      <c r="E805" s="44"/>
      <c r="F805" s="44"/>
      <c r="G805" s="44"/>
      <c r="H805" s="44"/>
      <c r="I805" s="44"/>
      <c r="J805" s="44"/>
      <c r="K805" s="44"/>
      <c r="L805" s="44"/>
      <c r="M805" s="44"/>
      <c r="N805" s="44"/>
      <c r="O805" s="44"/>
      <c r="P805" s="44"/>
    </row>
    <row r="806" spans="1:16" x14ac:dyDescent="0.2">
      <c r="A806" s="58" t="str">
        <v>0:00</v>
      </c>
      <c r="B806" s="122"/>
      <c r="C806" s="44"/>
      <c r="D806" s="44"/>
      <c r="E806" s="44"/>
      <c r="F806" s="44"/>
      <c r="G806" s="44"/>
      <c r="H806" s="44"/>
      <c r="I806" s="44"/>
      <c r="J806" s="44"/>
      <c r="K806" s="44"/>
      <c r="L806" s="44"/>
      <c r="M806" s="44"/>
      <c r="N806" s="44"/>
      <c r="O806" s="44"/>
      <c r="P806" s="44"/>
    </row>
    <row r="807" spans="1:16" x14ac:dyDescent="0.2">
      <c r="A807" s="58" t="str">
        <v>0:00</v>
      </c>
      <c r="B807" s="122"/>
      <c r="C807" s="44"/>
      <c r="D807" s="44"/>
      <c r="E807" s="44"/>
      <c r="F807" s="44"/>
      <c r="G807" s="44"/>
      <c r="H807" s="44"/>
      <c r="I807" s="44"/>
      <c r="J807" s="44"/>
      <c r="K807" s="44"/>
      <c r="L807" s="44"/>
      <c r="M807" s="44"/>
      <c r="N807" s="44"/>
      <c r="O807" s="44"/>
      <c r="P807" s="44"/>
    </row>
    <row r="808" spans="1:16" x14ac:dyDescent="0.2">
      <c r="A808" s="58" t="str">
        <v>0:00</v>
      </c>
      <c r="B808" s="122"/>
      <c r="C808" s="44"/>
      <c r="D808" s="44"/>
      <c r="E808" s="44"/>
      <c r="F808" s="44"/>
      <c r="G808" s="44"/>
      <c r="H808" s="44"/>
      <c r="I808" s="44"/>
      <c r="J808" s="44"/>
      <c r="K808" s="44"/>
      <c r="L808" s="44"/>
      <c r="M808" s="44"/>
      <c r="N808" s="44"/>
      <c r="O808" s="44"/>
      <c r="P808" s="44"/>
    </row>
    <row r="809" spans="1:16" x14ac:dyDescent="0.2">
      <c r="A809" s="58" t="str">
        <v>0:00</v>
      </c>
      <c r="B809" s="122"/>
      <c r="C809" s="44"/>
      <c r="D809" s="44"/>
      <c r="E809" s="44"/>
      <c r="F809" s="44"/>
      <c r="G809" s="44"/>
      <c r="H809" s="44"/>
      <c r="I809" s="44"/>
      <c r="J809" s="44"/>
      <c r="K809" s="44"/>
      <c r="L809" s="44"/>
      <c r="M809" s="44"/>
      <c r="N809" s="44"/>
      <c r="O809" s="44"/>
      <c r="P809" s="44"/>
    </row>
    <row r="810" spans="1:16" x14ac:dyDescent="0.2">
      <c r="A810" s="58" t="str">
        <v>0:00</v>
      </c>
      <c r="B810" s="122"/>
      <c r="C810" s="44"/>
      <c r="D810" s="44"/>
      <c r="E810" s="44"/>
      <c r="F810" s="44"/>
      <c r="G810" s="44"/>
      <c r="H810" s="44"/>
      <c r="I810" s="44"/>
      <c r="J810" s="44"/>
      <c r="K810" s="44"/>
      <c r="L810" s="44"/>
      <c r="M810" s="44"/>
      <c r="N810" s="44"/>
      <c r="O810" s="44"/>
      <c r="P810" s="44"/>
    </row>
    <row r="811" spans="1:16" x14ac:dyDescent="0.2">
      <c r="A811" s="58" t="str">
        <v>0:00</v>
      </c>
      <c r="B811" s="122"/>
      <c r="C811" s="44"/>
      <c r="D811" s="44"/>
      <c r="E811" s="44"/>
      <c r="F811" s="44"/>
      <c r="G811" s="44"/>
      <c r="H811" s="44"/>
      <c r="I811" s="44"/>
      <c r="J811" s="44"/>
      <c r="K811" s="44"/>
      <c r="L811" s="44"/>
      <c r="M811" s="44"/>
      <c r="N811" s="44"/>
      <c r="O811" s="44"/>
      <c r="P811" s="44"/>
    </row>
    <row r="812" spans="1:16" x14ac:dyDescent="0.2">
      <c r="A812" s="58" t="str">
        <v>0:00</v>
      </c>
      <c r="B812" s="122"/>
      <c r="C812" s="44"/>
      <c r="D812" s="44"/>
      <c r="E812" s="44"/>
      <c r="F812" s="44"/>
      <c r="G812" s="44"/>
      <c r="H812" s="44"/>
      <c r="I812" s="44"/>
      <c r="J812" s="44"/>
      <c r="K812" s="44"/>
      <c r="L812" s="44"/>
      <c r="M812" s="44"/>
      <c r="N812" s="44"/>
      <c r="O812" s="44"/>
      <c r="P812" s="44"/>
    </row>
    <row r="813" spans="1:16" x14ac:dyDescent="0.2">
      <c r="A813" s="58" t="str">
        <v>0:00</v>
      </c>
      <c r="B813" s="122"/>
      <c r="C813" s="44"/>
      <c r="D813" s="44"/>
      <c r="E813" s="44"/>
      <c r="F813" s="44"/>
      <c r="G813" s="44"/>
      <c r="H813" s="44"/>
      <c r="I813" s="44"/>
      <c r="J813" s="44"/>
      <c r="K813" s="44"/>
      <c r="L813" s="44"/>
      <c r="M813" s="44"/>
      <c r="N813" s="44"/>
      <c r="O813" s="44"/>
      <c r="P813" s="44"/>
    </row>
    <row r="814" spans="1:16" x14ac:dyDescent="0.2">
      <c r="A814" s="58" t="str">
        <v>0:00</v>
      </c>
      <c r="B814" s="122"/>
      <c r="C814" s="44"/>
      <c r="D814" s="44"/>
      <c r="E814" s="44"/>
      <c r="F814" s="44"/>
      <c r="G814" s="44"/>
      <c r="H814" s="44"/>
      <c r="I814" s="44"/>
      <c r="J814" s="44"/>
      <c r="K814" s="44"/>
      <c r="L814" s="44"/>
      <c r="M814" s="44"/>
      <c r="N814" s="44"/>
      <c r="O814" s="44"/>
      <c r="P814" s="44"/>
    </row>
    <row r="815" spans="1:16" x14ac:dyDescent="0.2">
      <c r="A815" s="58" t="str">
        <v>0:00</v>
      </c>
      <c r="B815" s="122"/>
      <c r="C815" s="44"/>
      <c r="D815" s="44"/>
      <c r="E815" s="44"/>
      <c r="F815" s="44"/>
      <c r="G815" s="44"/>
      <c r="H815" s="44"/>
      <c r="I815" s="44"/>
      <c r="J815" s="44"/>
      <c r="K815" s="44"/>
      <c r="L815" s="44"/>
      <c r="M815" s="44"/>
      <c r="N815" s="44"/>
      <c r="O815" s="44"/>
      <c r="P815" s="44"/>
    </row>
    <row r="816" spans="1:16" x14ac:dyDescent="0.2">
      <c r="A816" s="58" t="str">
        <v>0:00</v>
      </c>
      <c r="B816" s="122"/>
      <c r="C816" s="44"/>
      <c r="D816" s="44"/>
      <c r="E816" s="44"/>
      <c r="F816" s="44"/>
      <c r="G816" s="44"/>
      <c r="H816" s="44"/>
      <c r="I816" s="44"/>
      <c r="J816" s="44"/>
      <c r="K816" s="44"/>
      <c r="L816" s="44"/>
      <c r="M816" s="44"/>
      <c r="N816" s="44"/>
      <c r="O816" s="44"/>
      <c r="P816" s="44"/>
    </row>
    <row r="817" spans="1:16" x14ac:dyDescent="0.2">
      <c r="A817" s="58" t="str">
        <v>0:00</v>
      </c>
      <c r="B817" s="122"/>
      <c r="C817" s="44"/>
      <c r="D817" s="44"/>
      <c r="E817" s="44"/>
      <c r="F817" s="44"/>
      <c r="G817" s="44"/>
      <c r="H817" s="44"/>
      <c r="I817" s="44"/>
      <c r="J817" s="44"/>
      <c r="K817" s="44"/>
      <c r="L817" s="44"/>
      <c r="M817" s="44"/>
      <c r="N817" s="44"/>
      <c r="O817" s="44"/>
      <c r="P817" s="44"/>
    </row>
    <row r="818" spans="1:16" x14ac:dyDescent="0.2">
      <c r="A818" s="58" t="str">
        <v>0:00</v>
      </c>
      <c r="B818" s="122"/>
      <c r="C818" s="44"/>
      <c r="D818" s="44"/>
      <c r="E818" s="44"/>
      <c r="F818" s="44"/>
      <c r="G818" s="44"/>
      <c r="H818" s="44"/>
      <c r="I818" s="44"/>
      <c r="J818" s="44"/>
      <c r="K818" s="44"/>
      <c r="L818" s="44"/>
      <c r="M818" s="44"/>
      <c r="N818" s="44"/>
      <c r="O818" s="44"/>
      <c r="P818" s="44"/>
    </row>
    <row r="819" spans="1:16" x14ac:dyDescent="0.2">
      <c r="A819" s="58" t="str">
        <v>0:00</v>
      </c>
      <c r="B819" s="122"/>
      <c r="C819" s="44"/>
      <c r="D819" s="44"/>
      <c r="E819" s="44"/>
      <c r="F819" s="44"/>
      <c r="G819" s="44"/>
      <c r="H819" s="44"/>
      <c r="I819" s="44"/>
      <c r="J819" s="44"/>
      <c r="K819" s="44"/>
      <c r="L819" s="44"/>
      <c r="M819" s="44"/>
      <c r="N819" s="44"/>
      <c r="O819" s="44"/>
      <c r="P819" s="44"/>
    </row>
    <row r="820" spans="1:16" x14ac:dyDescent="0.2">
      <c r="A820" s="58" t="str">
        <v>0:00</v>
      </c>
      <c r="B820" s="122"/>
      <c r="C820" s="44"/>
      <c r="D820" s="44"/>
      <c r="E820" s="44"/>
      <c r="F820" s="44"/>
      <c r="G820" s="44"/>
      <c r="H820" s="44"/>
      <c r="I820" s="44"/>
      <c r="J820" s="44"/>
      <c r="K820" s="44"/>
      <c r="L820" s="44"/>
      <c r="M820" s="44"/>
      <c r="N820" s="44"/>
      <c r="O820" s="44"/>
      <c r="P820" s="44"/>
    </row>
    <row r="821" spans="1:16" x14ac:dyDescent="0.2">
      <c r="A821" s="58" t="str">
        <v>0:00</v>
      </c>
      <c r="B821" s="122"/>
      <c r="C821" s="44"/>
      <c r="D821" s="44"/>
      <c r="E821" s="44"/>
      <c r="F821" s="44"/>
      <c r="G821" s="44"/>
      <c r="H821" s="44"/>
      <c r="I821" s="44"/>
      <c r="J821" s="44"/>
      <c r="K821" s="44"/>
      <c r="L821" s="44"/>
      <c r="M821" s="44"/>
      <c r="N821" s="44"/>
      <c r="O821" s="44"/>
      <c r="P821" s="44"/>
    </row>
    <row r="822" spans="1:16" x14ac:dyDescent="0.2">
      <c r="A822" s="58" t="str">
        <v>0:00</v>
      </c>
      <c r="B822" s="122"/>
      <c r="C822" s="44"/>
      <c r="D822" s="44"/>
      <c r="E822" s="44"/>
      <c r="F822" s="44"/>
      <c r="G822" s="44"/>
      <c r="H822" s="44"/>
      <c r="I822" s="44"/>
      <c r="J822" s="44"/>
      <c r="K822" s="44"/>
      <c r="L822" s="44"/>
      <c r="M822" s="44"/>
      <c r="N822" s="44"/>
      <c r="O822" s="44"/>
      <c r="P822" s="44"/>
    </row>
    <row r="823" spans="1:16" x14ac:dyDescent="0.2">
      <c r="A823" s="58" t="str">
        <v>0:00</v>
      </c>
      <c r="B823" s="122"/>
      <c r="C823" s="44"/>
      <c r="D823" s="44"/>
      <c r="E823" s="44"/>
      <c r="F823" s="44"/>
      <c r="G823" s="44"/>
      <c r="H823" s="44"/>
      <c r="I823" s="44"/>
      <c r="J823" s="44"/>
      <c r="K823" s="44"/>
      <c r="L823" s="44"/>
      <c r="M823" s="44"/>
      <c r="N823" s="44"/>
      <c r="O823" s="44"/>
      <c r="P823" s="44"/>
    </row>
    <row r="824" spans="1:16" x14ac:dyDescent="0.2">
      <c r="A824" s="58" t="str">
        <v>0:00</v>
      </c>
      <c r="B824" s="122"/>
      <c r="C824" s="44"/>
      <c r="D824" s="44"/>
      <c r="E824" s="44"/>
      <c r="F824" s="44"/>
      <c r="G824" s="44"/>
      <c r="H824" s="44"/>
      <c r="I824" s="44"/>
      <c r="J824" s="44"/>
      <c r="K824" s="44"/>
      <c r="L824" s="44"/>
      <c r="M824" s="44"/>
      <c r="N824" s="44"/>
      <c r="O824" s="44"/>
      <c r="P824" s="44"/>
    </row>
    <row r="825" spans="1:16" x14ac:dyDescent="0.2">
      <c r="A825" s="58" t="str">
        <v>0:00</v>
      </c>
      <c r="B825" s="122"/>
      <c r="C825" s="44"/>
      <c r="D825" s="44"/>
      <c r="E825" s="44"/>
      <c r="F825" s="44"/>
      <c r="G825" s="44"/>
      <c r="H825" s="44"/>
      <c r="I825" s="44"/>
      <c r="J825" s="44"/>
      <c r="K825" s="44"/>
      <c r="L825" s="44"/>
      <c r="M825" s="44"/>
      <c r="N825" s="44"/>
      <c r="O825" s="44"/>
      <c r="P825" s="44"/>
    </row>
    <row r="826" spans="1:16" x14ac:dyDescent="0.2">
      <c r="A826" s="58" t="str">
        <v>0:00</v>
      </c>
      <c r="B826" s="122"/>
      <c r="C826" s="44"/>
      <c r="D826" s="44"/>
      <c r="E826" s="44"/>
      <c r="F826" s="44"/>
      <c r="G826" s="44"/>
      <c r="H826" s="44"/>
      <c r="I826" s="44"/>
      <c r="J826" s="44"/>
      <c r="K826" s="44"/>
      <c r="L826" s="44"/>
      <c r="M826" s="44"/>
      <c r="N826" s="44"/>
      <c r="O826" s="44"/>
      <c r="P826" s="44"/>
    </row>
    <row r="827" spans="1:16" x14ac:dyDescent="0.2">
      <c r="A827" s="58" t="str">
        <v>0:00</v>
      </c>
      <c r="B827" s="122"/>
      <c r="C827" s="44"/>
      <c r="D827" s="44"/>
      <c r="E827" s="44"/>
      <c r="F827" s="44"/>
      <c r="G827" s="44"/>
      <c r="H827" s="44"/>
      <c r="I827" s="44"/>
      <c r="J827" s="44"/>
      <c r="K827" s="44"/>
      <c r="L827" s="44"/>
      <c r="M827" s="44"/>
      <c r="N827" s="44"/>
      <c r="O827" s="44"/>
      <c r="P827" s="44"/>
    </row>
    <row r="828" spans="1:16" x14ac:dyDescent="0.2">
      <c r="A828" s="58" t="str">
        <v>0:00</v>
      </c>
      <c r="B828" s="122"/>
      <c r="C828" s="44"/>
      <c r="D828" s="44"/>
      <c r="E828" s="44"/>
      <c r="F828" s="44"/>
      <c r="G828" s="44"/>
      <c r="H828" s="44"/>
      <c r="I828" s="44"/>
      <c r="J828" s="44"/>
      <c r="K828" s="44"/>
      <c r="L828" s="44"/>
      <c r="M828" s="44"/>
      <c r="N828" s="44"/>
      <c r="O828" s="44"/>
      <c r="P828" s="44"/>
    </row>
    <row r="829" spans="1:16" x14ac:dyDescent="0.2">
      <c r="A829" s="58" t="str">
        <v>0:00</v>
      </c>
      <c r="B829" s="122"/>
      <c r="C829" s="44"/>
      <c r="D829" s="44"/>
      <c r="E829" s="44"/>
      <c r="F829" s="44"/>
      <c r="G829" s="44"/>
      <c r="H829" s="44"/>
      <c r="I829" s="44"/>
      <c r="J829" s="44"/>
      <c r="K829" s="44"/>
      <c r="L829" s="44"/>
      <c r="M829" s="44"/>
      <c r="N829" s="44"/>
      <c r="O829" s="44"/>
      <c r="P829" s="44"/>
    </row>
    <row r="830" spans="1:16" x14ac:dyDescent="0.2">
      <c r="A830" s="58" t="str">
        <v>0:00</v>
      </c>
      <c r="B830" s="122"/>
      <c r="C830" s="44"/>
      <c r="D830" s="44"/>
      <c r="E830" s="44"/>
      <c r="F830" s="44"/>
      <c r="G830" s="44"/>
      <c r="H830" s="44"/>
      <c r="I830" s="44"/>
      <c r="J830" s="44"/>
      <c r="K830" s="44"/>
      <c r="L830" s="44"/>
      <c r="M830" s="44"/>
      <c r="N830" s="44"/>
      <c r="O830" s="44"/>
      <c r="P830" s="44"/>
    </row>
    <row r="831" spans="1:16" x14ac:dyDescent="0.2">
      <c r="A831" s="58" t="str">
        <v>0:00</v>
      </c>
      <c r="B831" s="122"/>
      <c r="C831" s="44"/>
      <c r="D831" s="44"/>
      <c r="E831" s="44"/>
      <c r="F831" s="44"/>
      <c r="G831" s="44"/>
      <c r="H831" s="44"/>
      <c r="I831" s="44"/>
      <c r="J831" s="44"/>
      <c r="K831" s="44"/>
      <c r="L831" s="44"/>
      <c r="M831" s="44"/>
      <c r="N831" s="44"/>
      <c r="O831" s="44"/>
      <c r="P831" s="44"/>
    </row>
    <row r="832" spans="1:16" x14ac:dyDescent="0.2">
      <c r="A832" s="58" t="str">
        <v>0:00</v>
      </c>
      <c r="B832" s="122"/>
      <c r="C832" s="44"/>
      <c r="D832" s="44"/>
      <c r="E832" s="44"/>
      <c r="F832" s="44"/>
      <c r="G832" s="44"/>
      <c r="H832" s="44"/>
      <c r="I832" s="44"/>
      <c r="J832" s="44"/>
      <c r="K832" s="44"/>
      <c r="L832" s="44"/>
      <c r="M832" s="44"/>
      <c r="N832" s="44"/>
      <c r="O832" s="44"/>
      <c r="P832" s="44"/>
    </row>
    <row r="833" spans="1:16" x14ac:dyDescent="0.2">
      <c r="A833" s="58" t="str">
        <v>0:00</v>
      </c>
      <c r="B833" s="122"/>
      <c r="C833" s="44"/>
      <c r="D833" s="44"/>
      <c r="E833" s="44"/>
      <c r="F833" s="44"/>
      <c r="G833" s="44"/>
      <c r="H833" s="44"/>
      <c r="I833" s="44"/>
      <c r="J833" s="44"/>
      <c r="K833" s="44"/>
      <c r="L833" s="44"/>
      <c r="M833" s="44"/>
      <c r="N833" s="44"/>
      <c r="O833" s="44"/>
      <c r="P833" s="44"/>
    </row>
    <row r="834" spans="1:16" x14ac:dyDescent="0.2">
      <c r="A834" s="58" t="str">
        <v>0:00</v>
      </c>
      <c r="B834" s="122"/>
      <c r="C834" s="44"/>
      <c r="D834" s="44"/>
      <c r="E834" s="44"/>
      <c r="F834" s="44"/>
      <c r="G834" s="44"/>
      <c r="H834" s="44"/>
      <c r="I834" s="44"/>
      <c r="J834" s="44"/>
      <c r="K834" s="44"/>
      <c r="L834" s="44"/>
      <c r="M834" s="44"/>
      <c r="N834" s="44"/>
      <c r="O834" s="44"/>
      <c r="P834" s="44"/>
    </row>
    <row r="835" spans="1:16" x14ac:dyDescent="0.2">
      <c r="A835" s="58" t="str">
        <v>0:00</v>
      </c>
      <c r="B835" s="122"/>
      <c r="C835" s="44"/>
      <c r="D835" s="44"/>
      <c r="E835" s="44"/>
      <c r="F835" s="44"/>
      <c r="G835" s="44"/>
      <c r="H835" s="44"/>
      <c r="I835" s="44"/>
      <c r="J835" s="44"/>
      <c r="K835" s="44"/>
      <c r="L835" s="44"/>
      <c r="M835" s="44"/>
      <c r="N835" s="44"/>
      <c r="O835" s="44"/>
      <c r="P835" s="44"/>
    </row>
    <row r="836" spans="1:16" x14ac:dyDescent="0.2">
      <c r="A836" s="58" t="str">
        <v>0:00</v>
      </c>
      <c r="B836" s="122"/>
      <c r="C836" s="44"/>
      <c r="D836" s="44"/>
      <c r="E836" s="44"/>
      <c r="F836" s="44"/>
      <c r="G836" s="44"/>
      <c r="H836" s="44"/>
      <c r="I836" s="44"/>
      <c r="J836" s="44"/>
      <c r="K836" s="44"/>
      <c r="L836" s="44"/>
      <c r="M836" s="44"/>
      <c r="N836" s="44"/>
      <c r="O836" s="44"/>
      <c r="P836" s="44"/>
    </row>
    <row r="837" spans="1:16" x14ac:dyDescent="0.2">
      <c r="A837" s="58" t="str">
        <v>0:00</v>
      </c>
      <c r="B837" s="122"/>
      <c r="C837" s="44"/>
      <c r="D837" s="44"/>
      <c r="E837" s="44"/>
      <c r="F837" s="44"/>
      <c r="G837" s="44"/>
      <c r="H837" s="44"/>
      <c r="I837" s="44"/>
      <c r="J837" s="44"/>
      <c r="K837" s="44"/>
      <c r="L837" s="44"/>
      <c r="M837" s="44"/>
      <c r="N837" s="44"/>
      <c r="O837" s="44"/>
      <c r="P837" s="44"/>
    </row>
    <row r="838" spans="1:16" x14ac:dyDescent="0.2">
      <c r="A838" s="58" t="str">
        <v>0:00</v>
      </c>
      <c r="B838" s="122"/>
      <c r="C838" s="44"/>
      <c r="D838" s="44"/>
      <c r="E838" s="44"/>
      <c r="F838" s="44"/>
      <c r="G838" s="44"/>
      <c r="H838" s="44"/>
      <c r="I838" s="44"/>
      <c r="J838" s="44"/>
      <c r="K838" s="44"/>
      <c r="L838" s="44"/>
      <c r="M838" s="44"/>
      <c r="N838" s="44"/>
      <c r="O838" s="44"/>
      <c r="P838" s="44"/>
    </row>
    <row r="839" spans="1:16" x14ac:dyDescent="0.2">
      <c r="A839" s="58" t="str">
        <v>0:00</v>
      </c>
      <c r="B839" s="122"/>
      <c r="C839" s="44"/>
      <c r="D839" s="44"/>
      <c r="E839" s="44"/>
      <c r="F839" s="44"/>
      <c r="G839" s="44"/>
      <c r="H839" s="44"/>
      <c r="I839" s="44"/>
      <c r="J839" s="44"/>
      <c r="K839" s="44"/>
      <c r="L839" s="44"/>
      <c r="M839" s="44"/>
      <c r="N839" s="44"/>
      <c r="O839" s="44"/>
      <c r="P839" s="44"/>
    </row>
    <row r="840" spans="1:16" x14ac:dyDescent="0.2">
      <c r="A840" s="58" t="str">
        <v>0:00</v>
      </c>
      <c r="B840" s="122"/>
      <c r="C840" s="44"/>
      <c r="D840" s="44"/>
      <c r="E840" s="44"/>
      <c r="F840" s="44"/>
      <c r="G840" s="44"/>
      <c r="H840" s="44"/>
      <c r="I840" s="44"/>
      <c r="J840" s="44"/>
      <c r="K840" s="44"/>
      <c r="L840" s="44"/>
      <c r="M840" s="44"/>
      <c r="N840" s="44"/>
      <c r="O840" s="44"/>
      <c r="P840" s="44"/>
    </row>
    <row r="841" spans="1:16" x14ac:dyDescent="0.2">
      <c r="A841" s="58" t="str">
        <v>0:00</v>
      </c>
      <c r="B841" s="122"/>
      <c r="C841" s="44"/>
      <c r="D841" s="44"/>
      <c r="E841" s="44"/>
      <c r="F841" s="44"/>
      <c r="G841" s="44"/>
      <c r="H841" s="44"/>
      <c r="I841" s="44"/>
      <c r="J841" s="44"/>
      <c r="K841" s="44"/>
      <c r="L841" s="44"/>
      <c r="M841" s="44"/>
      <c r="N841" s="44"/>
      <c r="O841" s="44"/>
      <c r="P841" s="44"/>
    </row>
    <row r="842" spans="1:16" x14ac:dyDescent="0.2">
      <c r="A842" s="58" t="str">
        <v>0:00</v>
      </c>
      <c r="B842" s="122"/>
      <c r="C842" s="44"/>
      <c r="D842" s="44"/>
      <c r="E842" s="44"/>
      <c r="F842" s="44"/>
      <c r="G842" s="44"/>
      <c r="H842" s="44"/>
      <c r="I842" s="44"/>
      <c r="J842" s="44"/>
      <c r="K842" s="44"/>
      <c r="L842" s="44"/>
      <c r="M842" s="44"/>
      <c r="N842" s="44"/>
      <c r="O842" s="44"/>
      <c r="P842" s="44"/>
    </row>
    <row r="843" spans="1:16" x14ac:dyDescent="0.2">
      <c r="A843" s="58" t="str">
        <v>0:00</v>
      </c>
      <c r="B843" s="122"/>
      <c r="C843" s="44"/>
      <c r="D843" s="44"/>
      <c r="E843" s="44"/>
      <c r="F843" s="44"/>
      <c r="G843" s="44"/>
      <c r="H843" s="44"/>
      <c r="I843" s="44"/>
      <c r="J843" s="44"/>
      <c r="K843" s="44"/>
      <c r="L843" s="44"/>
      <c r="M843" s="44"/>
      <c r="N843" s="44"/>
      <c r="O843" s="44"/>
      <c r="P843" s="44"/>
    </row>
    <row r="844" spans="1:16" x14ac:dyDescent="0.2">
      <c r="A844" s="58" t="str">
        <v>0:00</v>
      </c>
      <c r="B844" s="122"/>
      <c r="C844" s="44"/>
      <c r="D844" s="44"/>
      <c r="E844" s="44"/>
      <c r="F844" s="44"/>
      <c r="G844" s="44"/>
      <c r="H844" s="44"/>
      <c r="I844" s="44"/>
      <c r="J844" s="44"/>
      <c r="K844" s="44"/>
      <c r="L844" s="44"/>
      <c r="M844" s="44"/>
      <c r="N844" s="44"/>
      <c r="O844" s="44"/>
      <c r="P844" s="44"/>
    </row>
    <row r="845" spans="1:16" x14ac:dyDescent="0.2">
      <c r="A845" s="58" t="str">
        <v>0:00</v>
      </c>
      <c r="B845" s="122"/>
      <c r="C845" s="44"/>
      <c r="D845" s="44"/>
      <c r="E845" s="44"/>
      <c r="F845" s="44"/>
      <c r="G845" s="44"/>
      <c r="H845" s="44"/>
      <c r="I845" s="44"/>
      <c r="J845" s="44"/>
      <c r="K845" s="44"/>
      <c r="L845" s="44"/>
      <c r="M845" s="44"/>
      <c r="N845" s="44"/>
      <c r="O845" s="44"/>
      <c r="P845" s="44"/>
    </row>
    <row r="846" spans="1:16" x14ac:dyDescent="0.2">
      <c r="A846" s="58" t="str">
        <v>0:00</v>
      </c>
      <c r="B846" s="122"/>
      <c r="C846" s="44"/>
      <c r="D846" s="44"/>
      <c r="E846" s="44"/>
      <c r="F846" s="44"/>
      <c r="G846" s="44"/>
      <c r="H846" s="44"/>
      <c r="I846" s="44"/>
      <c r="J846" s="44"/>
      <c r="K846" s="44"/>
      <c r="L846" s="44"/>
      <c r="M846" s="44"/>
      <c r="N846" s="44"/>
      <c r="O846" s="44"/>
      <c r="P846" s="44"/>
    </row>
    <row r="847" spans="1:16" x14ac:dyDescent="0.2">
      <c r="A847" s="58" t="str">
        <v>0:00</v>
      </c>
      <c r="B847" s="122"/>
      <c r="C847" s="44"/>
      <c r="D847" s="44"/>
      <c r="E847" s="44"/>
      <c r="F847" s="44"/>
      <c r="G847" s="44"/>
      <c r="H847" s="44"/>
      <c r="I847" s="44"/>
      <c r="J847" s="44"/>
      <c r="K847" s="44"/>
      <c r="L847" s="44"/>
      <c r="M847" s="44"/>
      <c r="N847" s="44"/>
      <c r="O847" s="44"/>
      <c r="P847" s="44"/>
    </row>
    <row r="848" spans="1:16" x14ac:dyDescent="0.2">
      <c r="A848" s="58" t="str">
        <v>0:00</v>
      </c>
      <c r="B848" s="122"/>
      <c r="C848" s="44"/>
      <c r="D848" s="44"/>
      <c r="E848" s="44"/>
      <c r="F848" s="44"/>
      <c r="G848" s="44"/>
      <c r="H848" s="44"/>
      <c r="I848" s="44"/>
      <c r="J848" s="44"/>
      <c r="K848" s="44"/>
      <c r="L848" s="44"/>
      <c r="M848" s="44"/>
      <c r="N848" s="44"/>
      <c r="O848" s="44"/>
      <c r="P848" s="44"/>
    </row>
    <row r="849" spans="1:16" x14ac:dyDescent="0.2">
      <c r="A849" s="58" t="str">
        <v>0:00</v>
      </c>
      <c r="B849" s="122"/>
      <c r="C849" s="44"/>
      <c r="D849" s="44"/>
      <c r="E849" s="44"/>
      <c r="F849" s="44"/>
      <c r="G849" s="44"/>
      <c r="H849" s="44"/>
      <c r="I849" s="44"/>
      <c r="J849" s="44"/>
      <c r="K849" s="44"/>
      <c r="L849" s="44"/>
      <c r="M849" s="44"/>
      <c r="N849" s="44"/>
      <c r="O849" s="44"/>
      <c r="P849" s="44"/>
    </row>
    <row r="850" spans="1:16" x14ac:dyDescent="0.2">
      <c r="A850" s="58" t="str">
        <v>0:00</v>
      </c>
      <c r="B850" s="122"/>
      <c r="C850" s="44"/>
      <c r="D850" s="44"/>
      <c r="E850" s="44"/>
      <c r="F850" s="44"/>
      <c r="G850" s="44"/>
      <c r="H850" s="44"/>
      <c r="I850" s="44"/>
      <c r="J850" s="44"/>
      <c r="K850" s="44"/>
      <c r="L850" s="44"/>
      <c r="M850" s="44"/>
      <c r="N850" s="44"/>
      <c r="O850" s="44"/>
      <c r="P850" s="44"/>
    </row>
    <row r="851" spans="1:16" x14ac:dyDescent="0.2">
      <c r="A851" s="58" t="str">
        <v>0:00</v>
      </c>
      <c r="B851" s="122"/>
      <c r="C851" s="44"/>
      <c r="D851" s="44"/>
      <c r="E851" s="44"/>
      <c r="F851" s="44"/>
      <c r="G851" s="44"/>
      <c r="H851" s="44"/>
      <c r="I851" s="44"/>
      <c r="J851" s="44"/>
      <c r="K851" s="44"/>
      <c r="L851" s="44"/>
      <c r="M851" s="44"/>
      <c r="N851" s="44"/>
      <c r="O851" s="44"/>
      <c r="P851" s="44"/>
    </row>
    <row r="852" spans="1:16" x14ac:dyDescent="0.2">
      <c r="A852" s="58" t="str">
        <v>0:00</v>
      </c>
      <c r="B852" s="122"/>
      <c r="C852" s="44"/>
      <c r="D852" s="44"/>
      <c r="E852" s="44"/>
      <c r="F852" s="44"/>
      <c r="G852" s="44"/>
      <c r="H852" s="44"/>
      <c r="I852" s="44"/>
      <c r="J852" s="44"/>
      <c r="K852" s="44"/>
      <c r="L852" s="44"/>
      <c r="M852" s="44"/>
      <c r="N852" s="44"/>
      <c r="O852" s="44"/>
      <c r="P852" s="44"/>
    </row>
    <row r="853" spans="1:16" x14ac:dyDescent="0.2">
      <c r="A853" s="58" t="str">
        <v>0:00</v>
      </c>
      <c r="B853" s="122"/>
      <c r="C853" s="44"/>
      <c r="D853" s="44"/>
      <c r="E853" s="44"/>
      <c r="F853" s="44"/>
      <c r="G853" s="44"/>
      <c r="H853" s="44"/>
      <c r="I853" s="44"/>
      <c r="J853" s="44"/>
      <c r="K853" s="44"/>
      <c r="L853" s="44"/>
      <c r="M853" s="44"/>
      <c r="N853" s="44"/>
      <c r="O853" s="44"/>
      <c r="P853" s="44"/>
    </row>
    <row r="854" spans="1:16" x14ac:dyDescent="0.2">
      <c r="A854" s="58" t="str">
        <v>0:00</v>
      </c>
      <c r="B854" s="122"/>
      <c r="C854" s="44"/>
      <c r="D854" s="44"/>
      <c r="E854" s="44"/>
      <c r="F854" s="44"/>
      <c r="G854" s="44"/>
      <c r="H854" s="44"/>
      <c r="I854" s="44"/>
      <c r="J854" s="44"/>
      <c r="K854" s="44"/>
      <c r="L854" s="44"/>
      <c r="M854" s="44"/>
      <c r="N854" s="44"/>
      <c r="O854" s="44"/>
      <c r="P854" s="44"/>
    </row>
    <row r="855" spans="1:16" x14ac:dyDescent="0.2">
      <c r="A855" s="58" t="str">
        <v>0:00</v>
      </c>
      <c r="B855" s="122"/>
      <c r="C855" s="44"/>
      <c r="D855" s="44"/>
      <c r="E855" s="44"/>
      <c r="F855" s="44"/>
      <c r="G855" s="44"/>
      <c r="H855" s="44"/>
      <c r="I855" s="44"/>
      <c r="J855" s="44"/>
      <c r="K855" s="44"/>
      <c r="L855" s="44"/>
      <c r="M855" s="44"/>
      <c r="N855" s="44"/>
      <c r="O855" s="44"/>
      <c r="P855" s="44"/>
    </row>
    <row r="856" spans="1:16" x14ac:dyDescent="0.2">
      <c r="A856" s="58" t="str">
        <v>0:00</v>
      </c>
      <c r="B856" s="122"/>
      <c r="C856" s="44"/>
      <c r="D856" s="44"/>
      <c r="E856" s="44"/>
      <c r="F856" s="44"/>
      <c r="G856" s="44"/>
      <c r="H856" s="44"/>
      <c r="I856" s="44"/>
      <c r="J856" s="44"/>
      <c r="K856" s="44"/>
      <c r="L856" s="44"/>
      <c r="M856" s="44"/>
      <c r="N856" s="44"/>
      <c r="O856" s="44"/>
      <c r="P856" s="44"/>
    </row>
    <row r="857" spans="1:16" x14ac:dyDescent="0.2">
      <c r="A857" s="58" t="str">
        <v>0:00</v>
      </c>
      <c r="B857" s="122"/>
      <c r="C857" s="44"/>
      <c r="D857" s="44"/>
      <c r="E857" s="44"/>
      <c r="F857" s="44"/>
      <c r="G857" s="44"/>
      <c r="H857" s="44"/>
      <c r="I857" s="44"/>
      <c r="J857" s="44"/>
      <c r="K857" s="44"/>
      <c r="L857" s="44"/>
      <c r="M857" s="44"/>
      <c r="N857" s="44"/>
      <c r="O857" s="44"/>
      <c r="P857" s="44"/>
    </row>
    <row r="858" spans="1:16" x14ac:dyDescent="0.2">
      <c r="A858" s="58" t="str">
        <v>0:00</v>
      </c>
      <c r="B858" s="122"/>
      <c r="C858" s="44"/>
      <c r="D858" s="44"/>
      <c r="E858" s="44"/>
      <c r="F858" s="44"/>
      <c r="G858" s="44"/>
      <c r="H858" s="44"/>
      <c r="I858" s="44"/>
      <c r="J858" s="44"/>
      <c r="K858" s="44"/>
      <c r="L858" s="44"/>
      <c r="M858" s="44"/>
      <c r="N858" s="44"/>
      <c r="O858" s="44"/>
      <c r="P858" s="44"/>
    </row>
    <row r="859" spans="1:16" x14ac:dyDescent="0.2">
      <c r="A859" s="58" t="str">
        <v>0:00</v>
      </c>
      <c r="B859" s="122"/>
      <c r="C859" s="44"/>
      <c r="D859" s="44"/>
      <c r="E859" s="44"/>
      <c r="F859" s="44"/>
      <c r="G859" s="44"/>
      <c r="H859" s="44"/>
      <c r="I859" s="44"/>
      <c r="J859" s="44"/>
      <c r="K859" s="44"/>
      <c r="L859" s="44"/>
      <c r="M859" s="44"/>
      <c r="N859" s="44"/>
      <c r="O859" s="44"/>
      <c r="P859" s="44"/>
    </row>
    <row r="860" spans="1:16" x14ac:dyDescent="0.2">
      <c r="A860" s="58" t="str">
        <v>0:00</v>
      </c>
      <c r="B860" s="122"/>
      <c r="C860" s="44"/>
      <c r="D860" s="44"/>
      <c r="E860" s="44"/>
      <c r="F860" s="44"/>
      <c r="G860" s="44"/>
      <c r="H860" s="44"/>
      <c r="I860" s="44"/>
      <c r="J860" s="44"/>
      <c r="K860" s="44"/>
      <c r="L860" s="44"/>
      <c r="M860" s="44"/>
      <c r="N860" s="44"/>
      <c r="O860" s="44"/>
      <c r="P860" s="44"/>
    </row>
    <row r="861" spans="1:16" x14ac:dyDescent="0.2">
      <c r="A861" s="58" t="str">
        <v>0:00</v>
      </c>
      <c r="B861" s="122"/>
      <c r="C861" s="44"/>
      <c r="D861" s="44"/>
      <c r="E861" s="44"/>
      <c r="F861" s="44"/>
      <c r="G861" s="44"/>
      <c r="H861" s="44"/>
      <c r="I861" s="44"/>
      <c r="J861" s="44"/>
      <c r="K861" s="44"/>
      <c r="L861" s="44"/>
      <c r="M861" s="44"/>
      <c r="N861" s="44"/>
      <c r="O861" s="44"/>
      <c r="P861" s="44"/>
    </row>
    <row r="862" spans="1:16" x14ac:dyDescent="0.2">
      <c r="A862" s="58" t="str">
        <v>0:00</v>
      </c>
      <c r="B862" s="122"/>
      <c r="C862" s="44"/>
      <c r="D862" s="44"/>
      <c r="E862" s="44"/>
      <c r="F862" s="44"/>
      <c r="G862" s="44"/>
      <c r="H862" s="44"/>
      <c r="I862" s="44"/>
      <c r="J862" s="44"/>
      <c r="K862" s="44"/>
      <c r="L862" s="44"/>
      <c r="M862" s="44"/>
      <c r="N862" s="44"/>
      <c r="O862" s="44"/>
      <c r="P862" s="44"/>
    </row>
    <row r="863" spans="1:16" x14ac:dyDescent="0.2">
      <c r="A863" s="58" t="str">
        <v>0:00</v>
      </c>
      <c r="B863" s="122"/>
      <c r="C863" s="44"/>
      <c r="D863" s="44"/>
      <c r="E863" s="44"/>
      <c r="F863" s="44"/>
      <c r="G863" s="44"/>
      <c r="H863" s="44"/>
      <c r="I863" s="44"/>
      <c r="J863" s="44"/>
      <c r="K863" s="44"/>
      <c r="L863" s="44"/>
      <c r="M863" s="44"/>
      <c r="N863" s="44"/>
      <c r="O863" s="44"/>
      <c r="P863" s="44"/>
    </row>
    <row r="864" spans="1:16" x14ac:dyDescent="0.2">
      <c r="A864" s="58" t="str">
        <v>0:00</v>
      </c>
      <c r="B864" s="122"/>
      <c r="C864" s="44"/>
      <c r="D864" s="44"/>
      <c r="E864" s="44"/>
      <c r="F864" s="44"/>
      <c r="G864" s="44"/>
      <c r="H864" s="44"/>
      <c r="I864" s="44"/>
      <c r="J864" s="44"/>
      <c r="K864" s="44"/>
      <c r="L864" s="44"/>
      <c r="M864" s="44"/>
      <c r="N864" s="44"/>
      <c r="O864" s="44"/>
      <c r="P864" s="44"/>
    </row>
    <row r="865" spans="1:16" x14ac:dyDescent="0.2">
      <c r="A865" s="58" t="str">
        <v>0:00</v>
      </c>
      <c r="B865" s="122"/>
      <c r="C865" s="44"/>
      <c r="D865" s="44"/>
      <c r="E865" s="44"/>
      <c r="F865" s="44"/>
      <c r="G865" s="44"/>
      <c r="H865" s="44"/>
      <c r="I865" s="44"/>
      <c r="J865" s="44"/>
      <c r="K865" s="44"/>
      <c r="L865" s="44"/>
      <c r="M865" s="44"/>
      <c r="N865" s="44"/>
      <c r="O865" s="44"/>
      <c r="P865" s="44"/>
    </row>
    <row r="866" spans="1:16" x14ac:dyDescent="0.2">
      <c r="A866" s="58" t="str">
        <v>0:00</v>
      </c>
      <c r="B866" s="122"/>
      <c r="C866" s="44"/>
      <c r="D866" s="44"/>
      <c r="E866" s="44"/>
      <c r="F866" s="44"/>
      <c r="G866" s="44"/>
      <c r="H866" s="44"/>
      <c r="I866" s="44"/>
      <c r="J866" s="44"/>
      <c r="K866" s="44"/>
      <c r="L866" s="44"/>
      <c r="M866" s="44"/>
      <c r="N866" s="44"/>
      <c r="O866" s="44"/>
      <c r="P866" s="44"/>
    </row>
    <row r="867" spans="1:16" x14ac:dyDescent="0.2">
      <c r="A867" s="58" t="str">
        <v>0:00</v>
      </c>
      <c r="B867" s="122"/>
      <c r="C867" s="44"/>
      <c r="D867" s="44"/>
      <c r="E867" s="44"/>
      <c r="F867" s="44"/>
      <c r="G867" s="44"/>
      <c r="H867" s="44"/>
      <c r="I867" s="44"/>
      <c r="J867" s="44"/>
      <c r="K867" s="44"/>
      <c r="L867" s="44"/>
      <c r="M867" s="44"/>
      <c r="N867" s="44"/>
      <c r="O867" s="44"/>
      <c r="P867" s="44"/>
    </row>
    <row r="868" spans="1:16" x14ac:dyDescent="0.2">
      <c r="A868" s="58" t="str">
        <v>0:00</v>
      </c>
      <c r="B868" s="122"/>
      <c r="C868" s="44"/>
      <c r="D868" s="44"/>
      <c r="E868" s="44"/>
      <c r="F868" s="44"/>
      <c r="G868" s="44"/>
      <c r="H868" s="44"/>
      <c r="I868" s="44"/>
      <c r="J868" s="44"/>
      <c r="K868" s="44"/>
      <c r="L868" s="44"/>
      <c r="M868" s="44"/>
      <c r="N868" s="44"/>
      <c r="O868" s="44"/>
      <c r="P868" s="44"/>
    </row>
    <row r="869" spans="1:16" x14ac:dyDescent="0.2">
      <c r="A869" s="58" t="str">
        <v>0:00</v>
      </c>
      <c r="B869" s="122"/>
      <c r="C869" s="44"/>
      <c r="D869" s="44"/>
      <c r="E869" s="44"/>
      <c r="F869" s="44"/>
      <c r="G869" s="44"/>
      <c r="H869" s="44"/>
      <c r="I869" s="44"/>
      <c r="J869" s="44"/>
      <c r="K869" s="44"/>
      <c r="L869" s="44"/>
      <c r="M869" s="44"/>
      <c r="N869" s="44"/>
      <c r="O869" s="44"/>
      <c r="P869" s="44"/>
    </row>
    <row r="870" spans="1:16" x14ac:dyDescent="0.2">
      <c r="A870" s="58" t="str">
        <v>0:00</v>
      </c>
      <c r="B870" s="122"/>
      <c r="C870" s="44"/>
      <c r="D870" s="44"/>
      <c r="E870" s="44"/>
      <c r="F870" s="44"/>
      <c r="G870" s="44"/>
      <c r="H870" s="44"/>
      <c r="I870" s="44"/>
      <c r="J870" s="44"/>
      <c r="K870" s="44"/>
      <c r="L870" s="44"/>
      <c r="M870" s="44"/>
      <c r="N870" s="44"/>
      <c r="O870" s="44"/>
      <c r="P870" s="44"/>
    </row>
    <row r="871" spans="1:16" x14ac:dyDescent="0.2">
      <c r="A871" s="58" t="str">
        <v>0:00</v>
      </c>
      <c r="B871" s="122"/>
      <c r="C871" s="44"/>
      <c r="D871" s="44"/>
      <c r="E871" s="44"/>
      <c r="F871" s="44"/>
      <c r="G871" s="44"/>
      <c r="H871" s="44"/>
      <c r="I871" s="44"/>
      <c r="J871" s="44"/>
      <c r="K871" s="44"/>
      <c r="L871" s="44"/>
      <c r="M871" s="44"/>
      <c r="N871" s="44"/>
      <c r="O871" s="44"/>
      <c r="P871" s="44"/>
    </row>
    <row r="872" spans="1:16" x14ac:dyDescent="0.2">
      <c r="A872" s="58" t="str">
        <v>0:00</v>
      </c>
      <c r="B872" s="122"/>
      <c r="C872" s="44"/>
      <c r="D872" s="44"/>
      <c r="E872" s="44"/>
      <c r="F872" s="44"/>
      <c r="G872" s="44"/>
      <c r="H872" s="44"/>
      <c r="I872" s="44"/>
      <c r="J872" s="44"/>
      <c r="K872" s="44"/>
      <c r="L872" s="44"/>
      <c r="M872" s="44"/>
      <c r="N872" s="44"/>
      <c r="O872" s="44"/>
      <c r="P872" s="44"/>
    </row>
    <row r="873" spans="1:16" x14ac:dyDescent="0.2">
      <c r="A873" s="58" t="str">
        <v>0:00</v>
      </c>
      <c r="B873" s="122"/>
      <c r="C873" s="44"/>
      <c r="D873" s="44"/>
      <c r="E873" s="44"/>
      <c r="F873" s="44"/>
      <c r="G873" s="44"/>
      <c r="H873" s="44"/>
      <c r="I873" s="44"/>
      <c r="J873" s="44"/>
      <c r="K873" s="44"/>
      <c r="L873" s="44"/>
      <c r="M873" s="44"/>
      <c r="N873" s="44"/>
      <c r="O873" s="44"/>
      <c r="P873" s="44"/>
    </row>
    <row r="874" spans="1:16" x14ac:dyDescent="0.2">
      <c r="A874" s="58" t="str">
        <v>0:00</v>
      </c>
      <c r="B874" s="122"/>
      <c r="C874" s="44"/>
      <c r="D874" s="44"/>
      <c r="E874" s="44"/>
      <c r="F874" s="44"/>
      <c r="G874" s="44"/>
      <c r="H874" s="44"/>
      <c r="I874" s="44"/>
      <c r="J874" s="44"/>
      <c r="K874" s="44"/>
      <c r="L874" s="44"/>
      <c r="M874" s="44"/>
      <c r="N874" s="44"/>
      <c r="O874" s="44"/>
      <c r="P874" s="44"/>
    </row>
    <row r="875" spans="1:16" x14ac:dyDescent="0.2">
      <c r="A875" s="58" t="str">
        <v>0:00</v>
      </c>
      <c r="B875" s="122"/>
      <c r="C875" s="44"/>
      <c r="D875" s="44"/>
      <c r="E875" s="44"/>
      <c r="F875" s="44"/>
      <c r="G875" s="44"/>
      <c r="H875" s="44"/>
      <c r="I875" s="44"/>
      <c r="J875" s="44"/>
      <c r="K875" s="44"/>
      <c r="L875" s="44"/>
      <c r="M875" s="44"/>
      <c r="N875" s="44"/>
      <c r="O875" s="44"/>
      <c r="P875" s="44"/>
    </row>
    <row r="876" spans="1:16" x14ac:dyDescent="0.2">
      <c r="A876" s="58" t="str">
        <v>0:00</v>
      </c>
      <c r="B876" s="122"/>
      <c r="C876" s="44"/>
      <c r="D876" s="44"/>
      <c r="E876" s="44"/>
      <c r="F876" s="44"/>
      <c r="G876" s="44"/>
      <c r="H876" s="44"/>
      <c r="I876" s="44"/>
      <c r="J876" s="44"/>
      <c r="K876" s="44"/>
      <c r="L876" s="44"/>
      <c r="M876" s="44"/>
      <c r="N876" s="44"/>
      <c r="O876" s="44"/>
      <c r="P876" s="44"/>
    </row>
    <row r="877" spans="1:16" x14ac:dyDescent="0.2">
      <c r="A877" s="58" t="str">
        <v>0:00</v>
      </c>
      <c r="B877" s="122"/>
      <c r="C877" s="44"/>
      <c r="D877" s="44"/>
      <c r="E877" s="44"/>
      <c r="F877" s="44"/>
      <c r="G877" s="44"/>
      <c r="H877" s="44"/>
      <c r="I877" s="44"/>
      <c r="J877" s="44"/>
      <c r="K877" s="44"/>
      <c r="L877" s="44"/>
      <c r="M877" s="44"/>
      <c r="N877" s="44"/>
      <c r="O877" s="44"/>
      <c r="P877" s="44"/>
    </row>
    <row r="878" spans="1:16" x14ac:dyDescent="0.2">
      <c r="A878" s="58" t="str">
        <v>0:00</v>
      </c>
      <c r="B878" s="122"/>
      <c r="C878" s="44"/>
      <c r="D878" s="44"/>
      <c r="E878" s="44"/>
      <c r="F878" s="44"/>
      <c r="G878" s="44"/>
      <c r="H878" s="44"/>
      <c r="I878" s="44"/>
      <c r="J878" s="44"/>
      <c r="K878" s="44"/>
      <c r="L878" s="44"/>
      <c r="M878" s="44"/>
      <c r="N878" s="44"/>
      <c r="O878" s="44"/>
      <c r="P878" s="44"/>
    </row>
    <row r="879" spans="1:16" x14ac:dyDescent="0.2">
      <c r="A879" s="58" t="str">
        <v>0:00</v>
      </c>
      <c r="B879" s="122"/>
      <c r="C879" s="44"/>
      <c r="D879" s="44"/>
      <c r="E879" s="44"/>
      <c r="F879" s="44"/>
      <c r="G879" s="44"/>
      <c r="H879" s="44"/>
      <c r="I879" s="44"/>
      <c r="J879" s="44"/>
      <c r="K879" s="44"/>
      <c r="L879" s="44"/>
      <c r="M879" s="44"/>
      <c r="N879" s="44"/>
      <c r="O879" s="44"/>
      <c r="P879" s="44"/>
    </row>
    <row r="880" spans="1:16" x14ac:dyDescent="0.2">
      <c r="A880" s="58" t="str">
        <v>0:00</v>
      </c>
      <c r="B880" s="122"/>
      <c r="C880" s="44"/>
      <c r="D880" s="44"/>
      <c r="E880" s="44"/>
      <c r="F880" s="44"/>
      <c r="G880" s="44"/>
      <c r="H880" s="44"/>
      <c r="I880" s="44"/>
      <c r="J880" s="44"/>
      <c r="K880" s="44"/>
      <c r="L880" s="44"/>
      <c r="M880" s="44"/>
      <c r="N880" s="44"/>
      <c r="O880" s="44"/>
      <c r="P880" s="44"/>
    </row>
    <row r="881" spans="1:16" x14ac:dyDescent="0.2">
      <c r="A881" s="58" t="str">
        <v>0:00</v>
      </c>
      <c r="B881" s="122"/>
      <c r="C881" s="44"/>
      <c r="D881" s="44"/>
      <c r="E881" s="44"/>
      <c r="F881" s="44"/>
      <c r="G881" s="44"/>
      <c r="H881" s="44"/>
      <c r="I881" s="44"/>
      <c r="J881" s="44"/>
      <c r="K881" s="44"/>
      <c r="L881" s="44"/>
      <c r="M881" s="44"/>
      <c r="N881" s="44"/>
      <c r="O881" s="44"/>
      <c r="P881" s="44"/>
    </row>
    <row r="882" spans="1:16" x14ac:dyDescent="0.2">
      <c r="A882" s="58" t="str">
        <v>0:00</v>
      </c>
      <c r="B882" s="122"/>
      <c r="C882" s="44"/>
      <c r="D882" s="44"/>
      <c r="E882" s="44"/>
      <c r="F882" s="44"/>
      <c r="G882" s="44"/>
      <c r="H882" s="44"/>
      <c r="I882" s="44"/>
      <c r="J882" s="44"/>
      <c r="K882" s="44"/>
      <c r="L882" s="44"/>
      <c r="M882" s="44"/>
      <c r="N882" s="44"/>
      <c r="O882" s="44"/>
      <c r="P882" s="44"/>
    </row>
    <row r="883" spans="1:16" x14ac:dyDescent="0.2">
      <c r="A883" s="58" t="str">
        <v>0:00</v>
      </c>
      <c r="B883" s="122"/>
      <c r="C883" s="44"/>
      <c r="D883" s="44"/>
      <c r="E883" s="44"/>
      <c r="F883" s="44"/>
      <c r="G883" s="44"/>
      <c r="H883" s="44"/>
      <c r="I883" s="44"/>
      <c r="J883" s="44"/>
      <c r="K883" s="44"/>
      <c r="L883" s="44"/>
      <c r="M883" s="44"/>
      <c r="N883" s="44"/>
      <c r="O883" s="44"/>
      <c r="P883" s="44"/>
    </row>
    <row r="884" spans="1:16" x14ac:dyDescent="0.2">
      <c r="A884" s="58" t="str">
        <v>0:00</v>
      </c>
      <c r="B884" s="122"/>
      <c r="C884" s="44"/>
      <c r="D884" s="44"/>
      <c r="E884" s="44"/>
      <c r="F884" s="44"/>
      <c r="G884" s="44"/>
      <c r="H884" s="44"/>
      <c r="I884" s="44"/>
      <c r="J884" s="44"/>
      <c r="K884" s="44"/>
      <c r="L884" s="44"/>
      <c r="M884" s="44"/>
      <c r="N884" s="44"/>
      <c r="O884" s="44"/>
      <c r="P884" s="44"/>
    </row>
    <row r="885" spans="1:16" x14ac:dyDescent="0.2">
      <c r="A885" s="58" t="str">
        <v>0:00</v>
      </c>
      <c r="B885" s="122"/>
      <c r="C885" s="44"/>
      <c r="D885" s="44"/>
      <c r="E885" s="44"/>
      <c r="F885" s="44"/>
      <c r="G885" s="44"/>
      <c r="H885" s="44"/>
      <c r="I885" s="44"/>
      <c r="J885" s="44"/>
      <c r="K885" s="44"/>
      <c r="L885" s="44"/>
      <c r="M885" s="44"/>
      <c r="N885" s="44"/>
      <c r="O885" s="44"/>
      <c r="P885" s="44"/>
    </row>
    <row r="886" spans="1:16" x14ac:dyDescent="0.2">
      <c r="A886" s="58" t="str">
        <v>0:00</v>
      </c>
      <c r="B886" s="122"/>
      <c r="C886" s="44"/>
      <c r="D886" s="44"/>
      <c r="E886" s="44"/>
      <c r="F886" s="44"/>
      <c r="G886" s="44"/>
      <c r="H886" s="44"/>
      <c r="I886" s="44"/>
      <c r="J886" s="44"/>
      <c r="K886" s="44"/>
      <c r="L886" s="44"/>
      <c r="M886" s="44"/>
      <c r="N886" s="44"/>
      <c r="O886" s="44"/>
      <c r="P886" s="44"/>
    </row>
    <row r="887" spans="1:16" x14ac:dyDescent="0.2">
      <c r="A887" s="58" t="str">
        <v>0:00</v>
      </c>
      <c r="B887" s="122"/>
      <c r="C887" s="44"/>
      <c r="D887" s="44"/>
      <c r="E887" s="44"/>
      <c r="F887" s="44"/>
      <c r="G887" s="44"/>
      <c r="H887" s="44"/>
      <c r="I887" s="44"/>
      <c r="J887" s="44"/>
      <c r="K887" s="44"/>
      <c r="L887" s="44"/>
      <c r="M887" s="44"/>
      <c r="N887" s="44"/>
      <c r="O887" s="44"/>
      <c r="P887" s="44"/>
    </row>
    <row r="888" spans="1:16" x14ac:dyDescent="0.2">
      <c r="A888" s="58" t="str">
        <v>0:00</v>
      </c>
      <c r="B888" s="122"/>
      <c r="C888" s="44"/>
      <c r="D888" s="44"/>
      <c r="E888" s="44"/>
      <c r="F888" s="44"/>
      <c r="G888" s="44"/>
      <c r="H888" s="44"/>
      <c r="I888" s="44"/>
      <c r="J888" s="44"/>
      <c r="K888" s="44"/>
      <c r="L888" s="44"/>
      <c r="M888" s="44"/>
      <c r="N888" s="44"/>
      <c r="O888" s="44"/>
      <c r="P888" s="44"/>
    </row>
    <row r="889" spans="1:16" x14ac:dyDescent="0.2">
      <c r="A889" s="58" t="str">
        <v>0:00</v>
      </c>
      <c r="B889" s="122"/>
      <c r="C889" s="44"/>
      <c r="D889" s="44"/>
      <c r="E889" s="44"/>
      <c r="F889" s="44"/>
      <c r="G889" s="44"/>
      <c r="H889" s="44"/>
      <c r="I889" s="44"/>
      <c r="J889" s="44"/>
      <c r="K889" s="44"/>
      <c r="L889" s="44"/>
      <c r="M889" s="44"/>
      <c r="N889" s="44"/>
      <c r="O889" s="44"/>
      <c r="P889" s="44"/>
    </row>
    <row r="890" spans="1:16" x14ac:dyDescent="0.2">
      <c r="A890" s="58" t="str">
        <v>0:00</v>
      </c>
      <c r="B890" s="122"/>
      <c r="C890" s="44"/>
      <c r="D890" s="44"/>
      <c r="E890" s="44"/>
      <c r="F890" s="44"/>
      <c r="G890" s="44"/>
      <c r="H890" s="44"/>
      <c r="I890" s="44"/>
      <c r="J890" s="44"/>
      <c r="K890" s="44"/>
      <c r="L890" s="44"/>
      <c r="M890" s="44"/>
      <c r="N890" s="44"/>
      <c r="O890" s="44"/>
      <c r="P890" s="44"/>
    </row>
    <row r="891" spans="1:16" x14ac:dyDescent="0.2">
      <c r="A891" s="58" t="str">
        <v>0:00</v>
      </c>
      <c r="B891" s="122"/>
      <c r="C891" s="44"/>
      <c r="D891" s="44"/>
      <c r="E891" s="44"/>
      <c r="F891" s="44"/>
      <c r="G891" s="44"/>
      <c r="H891" s="44"/>
      <c r="I891" s="44"/>
      <c r="J891" s="44"/>
      <c r="K891" s="44"/>
      <c r="L891" s="44"/>
      <c r="M891" s="44"/>
      <c r="N891" s="44"/>
      <c r="O891" s="44"/>
      <c r="P891" s="44"/>
    </row>
    <row r="892" spans="1:16" x14ac:dyDescent="0.2">
      <c r="A892" s="58" t="str">
        <v>0:00</v>
      </c>
      <c r="B892" s="122"/>
      <c r="C892" s="44"/>
      <c r="D892" s="44"/>
      <c r="E892" s="44"/>
      <c r="F892" s="44"/>
      <c r="G892" s="44"/>
      <c r="H892" s="44"/>
      <c r="I892" s="44"/>
      <c r="J892" s="44"/>
      <c r="K892" s="44"/>
      <c r="L892" s="44"/>
      <c r="M892" s="44"/>
      <c r="N892" s="44"/>
      <c r="O892" s="44"/>
      <c r="P892" s="44"/>
    </row>
    <row r="893" spans="1:16" x14ac:dyDescent="0.2">
      <c r="A893" s="58" t="str">
        <v>0:00</v>
      </c>
      <c r="B893" s="122"/>
      <c r="C893" s="44"/>
      <c r="D893" s="44"/>
      <c r="E893" s="44"/>
      <c r="F893" s="44"/>
      <c r="G893" s="44"/>
      <c r="H893" s="44"/>
      <c r="I893" s="44"/>
      <c r="J893" s="44"/>
      <c r="K893" s="44"/>
      <c r="L893" s="44"/>
      <c r="M893" s="44"/>
      <c r="N893" s="44"/>
      <c r="O893" s="44"/>
      <c r="P893" s="44"/>
    </row>
    <row r="894" spans="1:16" x14ac:dyDescent="0.2">
      <c r="A894" s="58" t="str">
        <v>0:00</v>
      </c>
      <c r="B894" s="122"/>
      <c r="C894" s="44"/>
      <c r="D894" s="44"/>
      <c r="E894" s="44"/>
      <c r="F894" s="44"/>
      <c r="G894" s="44"/>
      <c r="H894" s="44"/>
      <c r="I894" s="44"/>
      <c r="J894" s="44"/>
      <c r="K894" s="44"/>
      <c r="L894" s="44"/>
      <c r="M894" s="44"/>
      <c r="N894" s="44"/>
      <c r="O894" s="44"/>
      <c r="P894" s="44"/>
    </row>
    <row r="895" spans="1:16" x14ac:dyDescent="0.2">
      <c r="A895" s="58" t="str">
        <v>0:00</v>
      </c>
      <c r="B895" s="122"/>
      <c r="C895" s="44"/>
      <c r="D895" s="44"/>
      <c r="E895" s="44"/>
      <c r="F895" s="44"/>
      <c r="G895" s="44"/>
      <c r="H895" s="44"/>
      <c r="I895" s="44"/>
      <c r="J895" s="44"/>
      <c r="K895" s="44"/>
      <c r="L895" s="44"/>
      <c r="M895" s="44"/>
      <c r="N895" s="44"/>
      <c r="O895" s="44"/>
      <c r="P895" s="44"/>
    </row>
    <row r="896" spans="1:16" x14ac:dyDescent="0.2">
      <c r="A896" s="58" t="str">
        <v>0:00</v>
      </c>
      <c r="B896" s="122"/>
      <c r="C896" s="44"/>
      <c r="D896" s="44"/>
      <c r="E896" s="44"/>
      <c r="F896" s="44"/>
      <c r="G896" s="44"/>
      <c r="H896" s="44"/>
      <c r="I896" s="44"/>
      <c r="J896" s="44"/>
      <c r="K896" s="44"/>
      <c r="L896" s="44"/>
      <c r="M896" s="44"/>
      <c r="N896" s="44"/>
      <c r="O896" s="44"/>
      <c r="P896" s="44"/>
    </row>
    <row r="897" spans="1:16" x14ac:dyDescent="0.2">
      <c r="A897" s="58" t="str">
        <v>0:00</v>
      </c>
      <c r="B897" s="122"/>
      <c r="C897" s="44"/>
      <c r="D897" s="44"/>
      <c r="E897" s="44"/>
      <c r="F897" s="44"/>
      <c r="G897" s="44"/>
      <c r="H897" s="44"/>
      <c r="I897" s="44"/>
      <c r="J897" s="44"/>
      <c r="K897" s="44"/>
      <c r="L897" s="44"/>
      <c r="M897" s="44"/>
      <c r="N897" s="44"/>
      <c r="O897" s="44"/>
      <c r="P897" s="44"/>
    </row>
    <row r="898" spans="1:16" x14ac:dyDescent="0.2">
      <c r="A898" s="58" t="str">
        <v>0:00</v>
      </c>
      <c r="B898" s="122"/>
      <c r="C898" s="44"/>
      <c r="D898" s="44"/>
      <c r="E898" s="44"/>
      <c r="F898" s="44"/>
      <c r="G898" s="44"/>
      <c r="H898" s="44"/>
      <c r="I898" s="44"/>
      <c r="J898" s="44"/>
      <c r="K898" s="44"/>
      <c r="L898" s="44"/>
      <c r="M898" s="44"/>
      <c r="N898" s="44"/>
      <c r="O898" s="44"/>
      <c r="P898" s="44"/>
    </row>
    <row r="899" spans="1:16" x14ac:dyDescent="0.2">
      <c r="A899" s="58" t="str">
        <v>0:00</v>
      </c>
      <c r="B899" s="122"/>
      <c r="C899" s="44"/>
      <c r="D899" s="44"/>
      <c r="E899" s="44"/>
      <c r="F899" s="44"/>
      <c r="G899" s="44"/>
      <c r="H899" s="44"/>
      <c r="I899" s="44"/>
      <c r="J899" s="44"/>
      <c r="K899" s="44"/>
      <c r="L899" s="44"/>
      <c r="M899" s="44"/>
      <c r="N899" s="44"/>
      <c r="O899" s="44"/>
      <c r="P899" s="44"/>
    </row>
    <row r="900" spans="1:16" x14ac:dyDescent="0.2">
      <c r="A900" s="58" t="str">
        <v>0:00</v>
      </c>
      <c r="B900" s="122"/>
      <c r="C900" s="44"/>
      <c r="D900" s="44"/>
      <c r="E900" s="44"/>
      <c r="F900" s="44"/>
      <c r="G900" s="44"/>
      <c r="H900" s="44"/>
      <c r="I900" s="44"/>
      <c r="J900" s="44"/>
      <c r="K900" s="44"/>
      <c r="L900" s="44"/>
      <c r="M900" s="44"/>
      <c r="N900" s="44"/>
      <c r="O900" s="44"/>
      <c r="P900" s="44"/>
    </row>
    <row r="901" spans="1:16" x14ac:dyDescent="0.2">
      <c r="A901" s="58" t="str">
        <v>0:00</v>
      </c>
      <c r="B901" s="122"/>
      <c r="C901" s="44"/>
      <c r="D901" s="44"/>
      <c r="E901" s="44"/>
      <c r="F901" s="44"/>
      <c r="G901" s="44"/>
      <c r="H901" s="44"/>
      <c r="I901" s="44"/>
      <c r="J901" s="44"/>
      <c r="K901" s="44"/>
      <c r="L901" s="44"/>
      <c r="M901" s="44"/>
      <c r="N901" s="44"/>
      <c r="O901" s="44"/>
      <c r="P901" s="44"/>
    </row>
    <row r="902" spans="1:16" x14ac:dyDescent="0.2">
      <c r="A902" s="58" t="str">
        <v>0:00</v>
      </c>
      <c r="B902" s="122"/>
      <c r="C902" s="44"/>
      <c r="D902" s="44"/>
      <c r="E902" s="44"/>
      <c r="F902" s="44"/>
      <c r="G902" s="44"/>
      <c r="H902" s="44"/>
      <c r="I902" s="44"/>
      <c r="J902" s="44"/>
      <c r="K902" s="44"/>
      <c r="L902" s="44"/>
      <c r="M902" s="44"/>
      <c r="N902" s="44"/>
      <c r="O902" s="44"/>
      <c r="P902" s="44"/>
    </row>
    <row r="903" spans="1:16" x14ac:dyDescent="0.2">
      <c r="A903" s="58" t="str">
        <v>0:00</v>
      </c>
      <c r="B903" s="122"/>
      <c r="C903" s="44"/>
      <c r="D903" s="44"/>
      <c r="E903" s="44"/>
      <c r="F903" s="44"/>
      <c r="G903" s="44"/>
      <c r="H903" s="44"/>
      <c r="I903" s="44"/>
      <c r="J903" s="44"/>
      <c r="K903" s="44"/>
      <c r="L903" s="44"/>
      <c r="M903" s="44"/>
      <c r="N903" s="44"/>
      <c r="O903" s="44"/>
      <c r="P903" s="44"/>
    </row>
  </sheetData>
  <sheetProtection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39">
        <f>Main!$D$16</f>
        <v>0</v>
      </c>
      <c r="C1" s="133">
        <f>$B$1-$B$2</f>
        <v>0</v>
      </c>
      <c r="D1" s="133"/>
      <c r="E1" s="139">
        <f>B1-D2</f>
        <v>0</v>
      </c>
      <c r="F1" s="38" t="s">
        <v>80</v>
      </c>
      <c r="P1" s="339" t="str">
        <f>IF(Main!$E$30="","A10",ADDRESS(13+(MATCH(Main!$E$30,Data_Sheet!$A$14:$A$903,0)),1,4))</f>
        <v>A10</v>
      </c>
      <c r="Q1" s="339">
        <f>VALUE(MID(P1, 2, LEN(P1)-1))</f>
        <v>10</v>
      </c>
    </row>
    <row r="2" spans="1:17" x14ac:dyDescent="0.2">
      <c r="B2" s="139">
        <f>Main!$D$19</f>
        <v>0</v>
      </c>
      <c r="C2" s="133">
        <f>$B$1+$B$2</f>
        <v>0</v>
      </c>
      <c r="D2" s="133">
        <f>(Main!$D$19)/2</f>
        <v>0</v>
      </c>
      <c r="E2" s="139">
        <f>B1+D2</f>
        <v>0</v>
      </c>
      <c r="I2" s="93" t="s">
        <v>232</v>
      </c>
      <c r="M2" s="611" t="s">
        <v>108</v>
      </c>
      <c r="N2" s="611"/>
      <c r="O2" s="611"/>
      <c r="P2" s="339" t="str">
        <f>IF(Main!$E$30="","A10",ADDRESS(13+Standards_Info!W2+(MATCH(Main!$E$30,Data_Sheet!$A$14:$A$903,0)),1,4))</f>
        <v>A10</v>
      </c>
      <c r="Q2" s="339">
        <f>VALUE(MID(P2, 2, LEN(P2)-1))</f>
        <v>10</v>
      </c>
    </row>
    <row r="3" spans="1:17" ht="15" x14ac:dyDescent="0.25">
      <c r="B3" s="148" t="s">
        <v>0</v>
      </c>
      <c r="C3" s="4"/>
      <c r="M3" s="599" t="s">
        <v>109</v>
      </c>
      <c r="N3" s="600"/>
      <c r="O3" s="601"/>
      <c r="P3" s="47"/>
    </row>
    <row r="4" spans="1:17" ht="15" x14ac:dyDescent="0.25">
      <c r="B4" s="135" t="s">
        <v>30</v>
      </c>
      <c r="C4" s="5"/>
      <c r="M4" s="602" t="s">
        <v>150</v>
      </c>
      <c r="N4" s="603"/>
      <c r="O4" s="604"/>
    </row>
    <row r="5" spans="1:17" x14ac:dyDescent="0.2">
      <c r="B5" s="136" t="s">
        <v>31</v>
      </c>
      <c r="C5" s="74">
        <f>Main!D3</f>
        <v>0</v>
      </c>
      <c r="D5" s="44"/>
      <c r="E5" s="44"/>
      <c r="F5" s="44"/>
      <c r="G5" s="44"/>
      <c r="H5" s="44"/>
      <c r="I5" s="72" t="s">
        <v>7</v>
      </c>
      <c r="J5" t="str">
        <f>Main!D5</f>
        <v>CHROME PLUS INT'L - WICHITA</v>
      </c>
      <c r="M5" s="612" t="s">
        <v>149</v>
      </c>
      <c r="N5" s="613"/>
      <c r="O5" s="614"/>
    </row>
    <row r="6" spans="1:17" ht="13.5" thickBot="1" x14ac:dyDescent="0.25">
      <c r="B6" s="136" t="s">
        <v>6</v>
      </c>
      <c r="C6" s="75" t="str">
        <f>Main!D6</f>
        <v>DESPATCH RS4HD Temperature Uniformity Survey, 10 points</v>
      </c>
      <c r="D6" s="44"/>
      <c r="E6" s="44"/>
      <c r="F6" s="44"/>
      <c r="G6" s="44"/>
      <c r="H6" s="44"/>
      <c r="I6" s="72" t="s">
        <v>8</v>
      </c>
      <c r="J6" s="46">
        <f>Main!D16</f>
        <v>0</v>
      </c>
      <c r="M6" s="608" t="s">
        <v>148</v>
      </c>
      <c r="N6" s="609"/>
      <c r="O6" s="610"/>
    </row>
    <row r="7" spans="1:17" ht="13.5" thickBot="1" x14ac:dyDescent="0.25">
      <c r="B7" s="136" t="s">
        <v>32</v>
      </c>
      <c r="C7" s="75" t="str">
        <f>Main!D7</f>
        <v>Jeff Hall</v>
      </c>
      <c r="D7" s="44"/>
      <c r="E7" s="44"/>
      <c r="F7" s="44"/>
      <c r="G7" s="44"/>
      <c r="H7" s="44"/>
      <c r="I7" s="77" t="s">
        <v>174</v>
      </c>
      <c r="J7" s="596">
        <f>Main!$D$30</f>
        <v>0</v>
      </c>
      <c r="K7" s="597"/>
      <c r="L7" s="122"/>
      <c r="M7" s="595" t="s">
        <v>147</v>
      </c>
      <c r="N7" s="595"/>
      <c r="O7" s="595"/>
    </row>
    <row r="8" spans="1:17" x14ac:dyDescent="0.2">
      <c r="B8" s="136"/>
      <c r="C8" s="75"/>
      <c r="D8" s="44"/>
      <c r="E8" s="44"/>
      <c r="F8" s="44"/>
      <c r="G8" s="44"/>
      <c r="I8" s="77"/>
      <c r="J8" s="145"/>
      <c r="K8" s="145"/>
      <c r="L8" s="122"/>
      <c r="M8" s="146"/>
      <c r="N8" s="146"/>
      <c r="O8" s="146"/>
    </row>
    <row r="9" spans="1:17" x14ac:dyDescent="0.2">
      <c r="B9" s="136"/>
      <c r="C9" s="75"/>
      <c r="D9" s="44"/>
      <c r="E9" s="44"/>
      <c r="F9" s="44"/>
      <c r="G9" s="44"/>
      <c r="I9" s="149" t="str">
        <f>IF(Main!K15="SIM Load Hot",Main!N59,"")</f>
        <v/>
      </c>
      <c r="J9" s="147"/>
      <c r="K9" s="145"/>
      <c r="L9" s="122"/>
      <c r="M9" s="146"/>
      <c r="N9" s="146"/>
      <c r="O9" s="146"/>
    </row>
    <row r="10" spans="1:17" s="82" customFormat="1" x14ac:dyDescent="0.2">
      <c r="A10" s="123"/>
      <c r="B10" s="137"/>
      <c r="I10" s="149" t="str">
        <f>IF(OR(Main!E60="",Main!K60=""),IF(OR(Main!E61="",Main!K61=""),"",Main!N61),Main!N60)</f>
        <v/>
      </c>
    </row>
    <row r="11" spans="1:17" s="82" customFormat="1" x14ac:dyDescent="0.2">
      <c r="A11" s="123"/>
      <c r="B11" s="137"/>
      <c r="I11" s="149"/>
    </row>
    <row r="12" spans="1:17" s="662" customFormat="1" x14ac:dyDescent="0.2">
      <c r="A12" s="661"/>
      <c r="B12" s="145" t="str" cm="1">
        <f t="array" ref="B12:P12">_xlfn.LET(
  _xlpm.tbl, DataForChannels15to28[],
  _xlpm.hdrs, DataForChannels15to28[#Headers],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7" s="82" customFormat="1" x14ac:dyDescent="0.2">
      <c r="A13" s="123"/>
      <c r="B13" s="122"/>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2" customFormat="1" x14ac:dyDescent="0.2">
      <c r="A14" s="123" t="str" cm="1">
        <f t="array" ref="A14:A903">TEXT(B14:B903, "h:mm")</f>
        <v>0:00</v>
      </c>
      <c r="B14" s="122" cm="1">
        <f t="array" ref="B14:P14">DataForChannels15to28[]</f>
        <v>0</v>
      </c>
      <c r="C14" s="144">
        <v>0</v>
      </c>
      <c r="D14" s="144">
        <v>0</v>
      </c>
      <c r="E14" s="144">
        <v>0</v>
      </c>
      <c r="F14" s="144">
        <v>0</v>
      </c>
      <c r="G14" s="144">
        <v>0</v>
      </c>
      <c r="H14" s="144">
        <v>0</v>
      </c>
      <c r="I14" s="144">
        <v>0</v>
      </c>
      <c r="J14" s="144">
        <v>0</v>
      </c>
      <c r="K14" s="144">
        <v>0</v>
      </c>
      <c r="L14" s="144">
        <v>0</v>
      </c>
      <c r="M14" s="144">
        <v>0</v>
      </c>
      <c r="N14" s="144">
        <v>0</v>
      </c>
      <c r="O14" s="144">
        <v>0</v>
      </c>
      <c r="P14" s="144">
        <v>0</v>
      </c>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144"/>
      <c r="P501" s="144"/>
    </row>
    <row r="502" spans="1:16" x14ac:dyDescent="0.2">
      <c r="A502" s="58" t="str">
        <v>0:00</v>
      </c>
      <c r="B502" s="122"/>
      <c r="C502" s="144"/>
      <c r="D502" s="144"/>
      <c r="E502" s="144"/>
      <c r="F502" s="144"/>
      <c r="G502" s="144"/>
      <c r="H502" s="144"/>
      <c r="I502" s="144"/>
      <c r="J502" s="144"/>
      <c r="K502" s="144"/>
      <c r="L502" s="144"/>
      <c r="M502" s="144"/>
      <c r="N502" s="144"/>
      <c r="O502" s="144"/>
      <c r="P502" s="144"/>
    </row>
    <row r="503" spans="1:16" x14ac:dyDescent="0.2">
      <c r="A503" s="58" t="str">
        <v>0:00</v>
      </c>
      <c r="B503" s="122"/>
      <c r="C503" s="144"/>
      <c r="D503" s="144"/>
      <c r="E503" s="144"/>
      <c r="F503" s="144"/>
      <c r="G503" s="144"/>
      <c r="H503" s="144"/>
      <c r="I503" s="144"/>
      <c r="J503" s="144"/>
      <c r="K503" s="144"/>
      <c r="L503" s="144"/>
      <c r="M503" s="144"/>
      <c r="N503" s="144"/>
      <c r="O503" s="144"/>
      <c r="P503" s="144"/>
    </row>
    <row r="504" spans="1:16" x14ac:dyDescent="0.2">
      <c r="A504" s="58" t="str">
        <v>0:00</v>
      </c>
      <c r="B504" s="122"/>
      <c r="C504" s="144"/>
      <c r="D504" s="144"/>
      <c r="E504" s="144"/>
      <c r="F504" s="144"/>
      <c r="G504" s="144"/>
      <c r="H504" s="144"/>
      <c r="I504" s="144"/>
      <c r="J504" s="144"/>
      <c r="K504" s="144"/>
      <c r="L504" s="144"/>
      <c r="M504" s="144"/>
      <c r="N504" s="144"/>
      <c r="O504" s="144"/>
      <c r="P504" s="144"/>
    </row>
    <row r="505" spans="1:16" x14ac:dyDescent="0.2">
      <c r="A505" s="58" t="str">
        <v>0:00</v>
      </c>
      <c r="B505" s="122"/>
      <c r="C505" s="144"/>
      <c r="D505" s="144"/>
      <c r="E505" s="144"/>
      <c r="F505" s="144"/>
      <c r="G505" s="144"/>
      <c r="H505" s="144"/>
      <c r="I505" s="144"/>
      <c r="J505" s="144"/>
      <c r="K505" s="144"/>
      <c r="L505" s="144"/>
      <c r="M505" s="144"/>
      <c r="N505" s="144"/>
      <c r="O505" s="144"/>
      <c r="P505" s="144"/>
    </row>
    <row r="506" spans="1:16" x14ac:dyDescent="0.2">
      <c r="A506" s="58" t="str">
        <v>0:00</v>
      </c>
      <c r="B506" s="122"/>
      <c r="C506" s="144"/>
      <c r="D506" s="144"/>
      <c r="E506" s="144"/>
      <c r="F506" s="144"/>
      <c r="G506" s="144"/>
      <c r="H506" s="144"/>
      <c r="I506" s="144"/>
      <c r="J506" s="144"/>
      <c r="K506" s="144"/>
      <c r="L506" s="144"/>
      <c r="M506" s="144"/>
      <c r="N506" s="144"/>
      <c r="O506" s="144"/>
      <c r="P506" s="144"/>
    </row>
    <row r="507" spans="1:16" x14ac:dyDescent="0.2">
      <c r="A507" s="58" t="str">
        <v>0:00</v>
      </c>
      <c r="B507" s="122"/>
      <c r="C507" s="144"/>
      <c r="D507" s="144"/>
      <c r="E507" s="144"/>
      <c r="F507" s="144"/>
      <c r="G507" s="144"/>
      <c r="H507" s="144"/>
      <c r="I507" s="144"/>
      <c r="J507" s="144"/>
      <c r="K507" s="144"/>
      <c r="L507" s="144"/>
      <c r="M507" s="144"/>
      <c r="N507" s="144"/>
      <c r="O507" s="144"/>
      <c r="P507" s="144"/>
    </row>
    <row r="508" spans="1:16" x14ac:dyDescent="0.2">
      <c r="A508" s="58" t="str">
        <v>0:00</v>
      </c>
      <c r="B508" s="122"/>
      <c r="C508" s="144"/>
      <c r="D508" s="144"/>
      <c r="E508" s="144"/>
      <c r="F508" s="144"/>
      <c r="G508" s="144"/>
      <c r="H508" s="144"/>
      <c r="I508" s="144"/>
      <c r="J508" s="144"/>
      <c r="K508" s="144"/>
      <c r="L508" s="144"/>
      <c r="M508" s="144"/>
      <c r="N508" s="144"/>
      <c r="O508" s="144"/>
      <c r="P508" s="144"/>
    </row>
    <row r="509" spans="1:16" x14ac:dyDescent="0.2">
      <c r="A509" s="58" t="str">
        <v>0:00</v>
      </c>
      <c r="B509" s="122"/>
      <c r="C509" s="144"/>
      <c r="D509" s="144"/>
      <c r="E509" s="144"/>
      <c r="F509" s="144"/>
      <c r="G509" s="144"/>
      <c r="H509" s="144"/>
      <c r="I509" s="144"/>
      <c r="J509" s="144"/>
      <c r="K509" s="144"/>
      <c r="L509" s="144"/>
      <c r="M509" s="144"/>
      <c r="N509" s="144"/>
      <c r="O509" s="144"/>
      <c r="P509" s="144"/>
    </row>
    <row r="510" spans="1:16" x14ac:dyDescent="0.2">
      <c r="A510" s="58" t="str">
        <v>0:00</v>
      </c>
      <c r="B510" s="122"/>
      <c r="C510" s="144"/>
      <c r="D510" s="144"/>
      <c r="E510" s="144"/>
      <c r="F510" s="144"/>
      <c r="G510" s="144"/>
      <c r="H510" s="144"/>
      <c r="I510" s="144"/>
      <c r="J510" s="144"/>
      <c r="K510" s="144"/>
      <c r="L510" s="144"/>
      <c r="M510" s="144"/>
      <c r="N510" s="144"/>
      <c r="O510" s="144"/>
      <c r="P510" s="144"/>
    </row>
    <row r="511" spans="1:16" x14ac:dyDescent="0.2">
      <c r="A511" s="58" t="str">
        <v>0:00</v>
      </c>
      <c r="B511" s="122"/>
      <c r="C511" s="144"/>
      <c r="D511" s="144"/>
      <c r="E511" s="144"/>
      <c r="F511" s="144"/>
      <c r="G511" s="144"/>
      <c r="H511" s="144"/>
      <c r="I511" s="144"/>
      <c r="J511" s="144"/>
      <c r="K511" s="144"/>
      <c r="L511" s="144"/>
      <c r="M511" s="144"/>
      <c r="N511" s="144"/>
      <c r="O511" s="144"/>
      <c r="P511" s="144"/>
    </row>
    <row r="512" spans="1:16" x14ac:dyDescent="0.2">
      <c r="A512" s="58" t="str">
        <v>0:00</v>
      </c>
      <c r="B512" s="122"/>
      <c r="C512" s="144"/>
      <c r="D512" s="144"/>
      <c r="E512" s="144"/>
      <c r="F512" s="144"/>
      <c r="G512" s="144"/>
      <c r="H512" s="144"/>
      <c r="I512" s="144"/>
      <c r="J512" s="144"/>
      <c r="K512" s="144"/>
      <c r="L512" s="144"/>
      <c r="M512" s="144"/>
      <c r="N512" s="144"/>
      <c r="O512" s="144"/>
      <c r="P512" s="144"/>
    </row>
    <row r="513" spans="1:16" x14ac:dyDescent="0.2">
      <c r="A513" s="58" t="str">
        <v>0:00</v>
      </c>
      <c r="B513" s="122"/>
      <c r="C513" s="144"/>
      <c r="D513" s="144"/>
      <c r="E513" s="144"/>
      <c r="F513" s="144"/>
      <c r="G513" s="144"/>
      <c r="H513" s="144"/>
      <c r="I513" s="144"/>
      <c r="J513" s="144"/>
      <c r="K513" s="144"/>
      <c r="L513" s="144"/>
      <c r="M513" s="144"/>
      <c r="N513" s="144"/>
      <c r="O513" s="144"/>
      <c r="P513" s="144"/>
    </row>
    <row r="514" spans="1:16" x14ac:dyDescent="0.2">
      <c r="A514" s="58" t="str">
        <v>0:00</v>
      </c>
      <c r="B514" s="122"/>
      <c r="C514" s="144"/>
      <c r="D514" s="144"/>
      <c r="E514" s="144"/>
      <c r="F514" s="144"/>
      <c r="G514" s="144"/>
      <c r="H514" s="144"/>
      <c r="I514" s="144"/>
      <c r="J514" s="144"/>
      <c r="K514" s="144"/>
      <c r="L514" s="144"/>
      <c r="M514" s="144"/>
      <c r="N514" s="144"/>
      <c r="O514" s="144"/>
      <c r="P514" s="144"/>
    </row>
    <row r="515" spans="1:16" x14ac:dyDescent="0.2">
      <c r="A515" s="58" t="str">
        <v>0:00</v>
      </c>
      <c r="B515" s="122"/>
      <c r="C515" s="144"/>
      <c r="D515" s="144"/>
      <c r="E515" s="144"/>
      <c r="F515" s="144"/>
      <c r="G515" s="144"/>
      <c r="H515" s="144"/>
      <c r="I515" s="144"/>
      <c r="J515" s="144"/>
      <c r="K515" s="144"/>
      <c r="L515" s="144"/>
      <c r="M515" s="144"/>
      <c r="N515" s="144"/>
      <c r="O515" s="144"/>
      <c r="P515" s="144"/>
    </row>
    <row r="516" spans="1:16" x14ac:dyDescent="0.2">
      <c r="A516" s="58" t="str">
        <v>0:00</v>
      </c>
      <c r="B516" s="122"/>
      <c r="C516" s="144"/>
      <c r="D516" s="144"/>
      <c r="E516" s="144"/>
      <c r="F516" s="144"/>
      <c r="G516" s="144"/>
      <c r="H516" s="144"/>
      <c r="I516" s="144"/>
      <c r="J516" s="144"/>
      <c r="K516" s="144"/>
      <c r="L516" s="144"/>
      <c r="M516" s="144"/>
      <c r="N516" s="144"/>
      <c r="O516" s="144"/>
      <c r="P516" s="144"/>
    </row>
    <row r="517" spans="1:16" x14ac:dyDescent="0.2">
      <c r="A517" s="58" t="str">
        <v>0:00</v>
      </c>
      <c r="B517" s="122"/>
      <c r="C517" s="144"/>
      <c r="D517" s="144"/>
      <c r="E517" s="144"/>
      <c r="F517" s="144"/>
      <c r="G517" s="144"/>
      <c r="H517" s="144"/>
      <c r="I517" s="144"/>
      <c r="J517" s="144"/>
      <c r="K517" s="144"/>
      <c r="L517" s="144"/>
      <c r="M517" s="144"/>
      <c r="N517" s="144"/>
      <c r="O517" s="144"/>
      <c r="P517" s="144"/>
    </row>
    <row r="518" spans="1:16" x14ac:dyDescent="0.2">
      <c r="A518" s="58" t="str">
        <v>0:00</v>
      </c>
      <c r="B518" s="122"/>
      <c r="C518" s="144"/>
      <c r="D518" s="144"/>
      <c r="E518" s="144"/>
      <c r="F518" s="144"/>
      <c r="G518" s="144"/>
      <c r="H518" s="144"/>
      <c r="I518" s="144"/>
      <c r="J518" s="144"/>
      <c r="K518" s="144"/>
      <c r="L518" s="144"/>
      <c r="M518" s="144"/>
      <c r="N518" s="144"/>
      <c r="O518" s="144"/>
      <c r="P518" s="144"/>
    </row>
    <row r="519" spans="1:16" x14ac:dyDescent="0.2">
      <c r="A519" s="58" t="str">
        <v>0:00</v>
      </c>
      <c r="B519" s="122"/>
      <c r="C519" s="144"/>
      <c r="D519" s="144"/>
      <c r="E519" s="144"/>
      <c r="F519" s="144"/>
      <c r="G519" s="144"/>
      <c r="H519" s="144"/>
      <c r="I519" s="144"/>
      <c r="J519" s="144"/>
      <c r="K519" s="144"/>
      <c r="L519" s="144"/>
      <c r="M519" s="144"/>
      <c r="N519" s="144"/>
      <c r="O519" s="144"/>
      <c r="P519" s="144"/>
    </row>
    <row r="520" spans="1:16" x14ac:dyDescent="0.2">
      <c r="A520" s="58" t="str">
        <v>0:00</v>
      </c>
      <c r="B520" s="122"/>
      <c r="C520" s="144"/>
      <c r="D520" s="144"/>
      <c r="E520" s="144"/>
      <c r="F520" s="144"/>
      <c r="G520" s="144"/>
      <c r="H520" s="144"/>
      <c r="I520" s="144"/>
      <c r="J520" s="144"/>
      <c r="K520" s="144"/>
      <c r="L520" s="144"/>
      <c r="M520" s="144"/>
      <c r="N520" s="144"/>
      <c r="O520" s="144"/>
      <c r="P520" s="144"/>
    </row>
    <row r="521" spans="1:16" x14ac:dyDescent="0.2">
      <c r="A521" s="58" t="str">
        <v>0:00</v>
      </c>
      <c r="B521" s="122"/>
      <c r="C521" s="144"/>
      <c r="D521" s="144"/>
      <c r="E521" s="144"/>
      <c r="F521" s="144"/>
      <c r="G521" s="144"/>
      <c r="H521" s="144"/>
      <c r="I521" s="144"/>
      <c r="J521" s="144"/>
      <c r="K521" s="144"/>
      <c r="L521" s="144"/>
      <c r="M521" s="144"/>
      <c r="N521" s="144"/>
      <c r="O521" s="144"/>
      <c r="P521" s="144"/>
    </row>
    <row r="522" spans="1:16" x14ac:dyDescent="0.2">
      <c r="A522" s="58" t="str">
        <v>0:00</v>
      </c>
      <c r="B522" s="122"/>
      <c r="C522" s="144"/>
      <c r="D522" s="144"/>
      <c r="E522" s="144"/>
      <c r="F522" s="144"/>
      <c r="G522" s="144"/>
      <c r="H522" s="144"/>
      <c r="I522" s="144"/>
      <c r="J522" s="144"/>
      <c r="K522" s="144"/>
      <c r="L522" s="144"/>
      <c r="M522" s="144"/>
      <c r="N522" s="144"/>
      <c r="O522" s="144"/>
      <c r="P522" s="144"/>
    </row>
    <row r="523" spans="1:16" x14ac:dyDescent="0.2">
      <c r="A523" s="58" t="str">
        <v>0:00</v>
      </c>
      <c r="B523" s="122"/>
      <c r="C523" s="144"/>
      <c r="D523" s="144"/>
      <c r="E523" s="144"/>
      <c r="F523" s="144"/>
      <c r="G523" s="144"/>
      <c r="H523" s="144"/>
      <c r="I523" s="144"/>
      <c r="J523" s="144"/>
      <c r="K523" s="144"/>
      <c r="L523" s="144"/>
      <c r="M523" s="144"/>
      <c r="N523" s="144"/>
      <c r="O523" s="144"/>
      <c r="P523" s="144"/>
    </row>
    <row r="524" spans="1:16" x14ac:dyDescent="0.2">
      <c r="A524" s="58" t="str">
        <v>0:00</v>
      </c>
      <c r="B524" s="122"/>
      <c r="C524" s="144"/>
      <c r="D524" s="144"/>
      <c r="E524" s="144"/>
      <c r="F524" s="144"/>
      <c r="G524" s="144"/>
      <c r="H524" s="144"/>
      <c r="I524" s="144"/>
      <c r="J524" s="144"/>
      <c r="K524" s="144"/>
      <c r="L524" s="144"/>
      <c r="M524" s="144"/>
      <c r="N524" s="144"/>
      <c r="O524" s="144"/>
      <c r="P524" s="144"/>
    </row>
    <row r="525" spans="1:16" x14ac:dyDescent="0.2">
      <c r="A525" s="58" t="str">
        <v>0:00</v>
      </c>
      <c r="B525" s="122"/>
      <c r="C525" s="144"/>
      <c r="D525" s="144"/>
      <c r="E525" s="144"/>
      <c r="F525" s="144"/>
      <c r="G525" s="144"/>
      <c r="H525" s="144"/>
      <c r="I525" s="144"/>
      <c r="J525" s="144"/>
      <c r="K525" s="144"/>
      <c r="L525" s="144"/>
      <c r="M525" s="144"/>
      <c r="N525" s="144"/>
      <c r="O525" s="144"/>
      <c r="P525" s="144"/>
    </row>
    <row r="526" spans="1:16" x14ac:dyDescent="0.2">
      <c r="A526" s="58" t="str">
        <v>0:00</v>
      </c>
      <c r="B526" s="122"/>
      <c r="C526" s="144"/>
      <c r="D526" s="144"/>
      <c r="E526" s="144"/>
      <c r="F526" s="144"/>
      <c r="G526" s="144"/>
      <c r="H526" s="144"/>
      <c r="I526" s="144"/>
      <c r="J526" s="144"/>
      <c r="K526" s="144"/>
      <c r="L526" s="144"/>
      <c r="M526" s="144"/>
      <c r="N526" s="144"/>
      <c r="O526" s="144"/>
      <c r="P526" s="144"/>
    </row>
    <row r="527" spans="1:16" x14ac:dyDescent="0.2">
      <c r="A527" s="58" t="str">
        <v>0:00</v>
      </c>
      <c r="B527" s="122"/>
      <c r="C527" s="144"/>
      <c r="D527" s="144"/>
      <c r="E527" s="144"/>
      <c r="F527" s="144"/>
      <c r="G527" s="144"/>
      <c r="H527" s="144"/>
      <c r="I527" s="144"/>
      <c r="J527" s="144"/>
      <c r="K527" s="144"/>
      <c r="L527" s="144"/>
      <c r="M527" s="144"/>
      <c r="N527" s="144"/>
      <c r="O527" s="144"/>
      <c r="P527" s="144"/>
    </row>
    <row r="528" spans="1:16" x14ac:dyDescent="0.2">
      <c r="A528" s="58" t="str">
        <v>0:00</v>
      </c>
      <c r="B528" s="122"/>
      <c r="C528" s="144"/>
      <c r="D528" s="144"/>
      <c r="E528" s="144"/>
      <c r="F528" s="144"/>
      <c r="G528" s="144"/>
      <c r="H528" s="144"/>
      <c r="I528" s="144"/>
      <c r="J528" s="144"/>
      <c r="K528" s="144"/>
      <c r="L528" s="144"/>
      <c r="M528" s="144"/>
      <c r="N528" s="144"/>
      <c r="O528" s="144"/>
      <c r="P528" s="144"/>
    </row>
    <row r="529" spans="1:16" x14ac:dyDescent="0.2">
      <c r="A529" s="58" t="str">
        <v>0:00</v>
      </c>
      <c r="B529" s="122"/>
      <c r="C529" s="144"/>
      <c r="D529" s="144"/>
      <c r="E529" s="144"/>
      <c r="F529" s="144"/>
      <c r="G529" s="144"/>
      <c r="H529" s="144"/>
      <c r="I529" s="144"/>
      <c r="J529" s="144"/>
      <c r="K529" s="144"/>
      <c r="L529" s="144"/>
      <c r="M529" s="144"/>
      <c r="N529" s="144"/>
      <c r="O529" s="144"/>
      <c r="P529" s="144"/>
    </row>
    <row r="530" spans="1:16" x14ac:dyDescent="0.2">
      <c r="A530" s="58" t="str">
        <v>0:00</v>
      </c>
      <c r="B530" s="122"/>
      <c r="C530" s="144"/>
      <c r="D530" s="144"/>
      <c r="E530" s="144"/>
      <c r="F530" s="144"/>
      <c r="G530" s="144"/>
      <c r="H530" s="144"/>
      <c r="I530" s="144"/>
      <c r="J530" s="144"/>
      <c r="K530" s="144"/>
      <c r="L530" s="144"/>
      <c r="M530" s="144"/>
      <c r="N530" s="144"/>
      <c r="O530" s="144"/>
      <c r="P530" s="144"/>
    </row>
    <row r="531" spans="1:16" x14ac:dyDescent="0.2">
      <c r="A531" s="58" t="str">
        <v>0:00</v>
      </c>
      <c r="B531" s="122"/>
      <c r="C531" s="144"/>
      <c r="D531" s="144"/>
      <c r="E531" s="144"/>
      <c r="F531" s="144"/>
      <c r="G531" s="144"/>
      <c r="H531" s="144"/>
      <c r="I531" s="144"/>
      <c r="J531" s="144"/>
      <c r="K531" s="144"/>
      <c r="L531" s="144"/>
      <c r="M531" s="144"/>
      <c r="N531" s="144"/>
      <c r="O531" s="144"/>
      <c r="P531" s="144"/>
    </row>
    <row r="532" spans="1:16" x14ac:dyDescent="0.2">
      <c r="A532" s="58" t="str">
        <v>0:00</v>
      </c>
      <c r="B532" s="122"/>
      <c r="C532" s="144"/>
      <c r="D532" s="144"/>
      <c r="E532" s="144"/>
      <c r="F532" s="144"/>
      <c r="G532" s="144"/>
      <c r="H532" s="144"/>
      <c r="I532" s="144"/>
      <c r="J532" s="144"/>
      <c r="K532" s="144"/>
      <c r="L532" s="144"/>
      <c r="M532" s="144"/>
      <c r="N532" s="144"/>
      <c r="O532" s="144"/>
      <c r="P532" s="144"/>
    </row>
    <row r="533" spans="1:16" x14ac:dyDescent="0.2">
      <c r="A533" s="58" t="str">
        <v>0:00</v>
      </c>
      <c r="B533" s="122"/>
      <c r="C533" s="144"/>
      <c r="D533" s="144"/>
      <c r="E533" s="144"/>
      <c r="F533" s="144"/>
      <c r="G533" s="144"/>
      <c r="H533" s="144"/>
      <c r="I533" s="144"/>
      <c r="J533" s="144"/>
      <c r="K533" s="144"/>
      <c r="L533" s="144"/>
      <c r="M533" s="144"/>
      <c r="N533" s="144"/>
      <c r="O533" s="144"/>
      <c r="P533" s="144"/>
    </row>
    <row r="534" spans="1:16" x14ac:dyDescent="0.2">
      <c r="A534" s="58" t="str">
        <v>0:00</v>
      </c>
      <c r="B534" s="122"/>
      <c r="C534" s="144"/>
      <c r="D534" s="144"/>
      <c r="E534" s="144"/>
      <c r="F534" s="144"/>
      <c r="G534" s="144"/>
      <c r="H534" s="144"/>
      <c r="I534" s="144"/>
      <c r="J534" s="144"/>
      <c r="K534" s="144"/>
      <c r="L534" s="144"/>
      <c r="M534" s="144"/>
      <c r="N534" s="144"/>
      <c r="O534" s="144"/>
      <c r="P534" s="144"/>
    </row>
    <row r="535" spans="1:16" x14ac:dyDescent="0.2">
      <c r="A535" s="58" t="str">
        <v>0:00</v>
      </c>
      <c r="B535" s="122"/>
      <c r="C535" s="144"/>
      <c r="D535" s="144"/>
      <c r="E535" s="144"/>
      <c r="F535" s="144"/>
      <c r="G535" s="144"/>
      <c r="H535" s="144"/>
      <c r="I535" s="144"/>
      <c r="J535" s="144"/>
      <c r="K535" s="144"/>
      <c r="L535" s="144"/>
      <c r="M535" s="144"/>
      <c r="N535" s="144"/>
      <c r="O535" s="144"/>
      <c r="P535" s="144"/>
    </row>
    <row r="536" spans="1:16" x14ac:dyDescent="0.2">
      <c r="A536" s="58" t="str">
        <v>0:00</v>
      </c>
      <c r="B536" s="122"/>
      <c r="C536" s="144"/>
      <c r="D536" s="144"/>
      <c r="E536" s="144"/>
      <c r="F536" s="144"/>
      <c r="G536" s="144"/>
      <c r="H536" s="144"/>
      <c r="I536" s="144"/>
      <c r="J536" s="144"/>
      <c r="K536" s="144"/>
      <c r="L536" s="144"/>
      <c r="M536" s="144"/>
      <c r="N536" s="144"/>
      <c r="O536" s="144"/>
      <c r="P536" s="144"/>
    </row>
    <row r="537" spans="1:16" x14ac:dyDescent="0.2">
      <c r="A537" s="58" t="str">
        <v>0:00</v>
      </c>
      <c r="B537" s="122"/>
      <c r="C537" s="144"/>
      <c r="D537" s="144"/>
      <c r="E537" s="144"/>
      <c r="F537" s="144"/>
      <c r="G537" s="144"/>
      <c r="H537" s="144"/>
      <c r="I537" s="144"/>
      <c r="J537" s="144"/>
      <c r="K537" s="144"/>
      <c r="L537" s="144"/>
      <c r="M537" s="144"/>
      <c r="N537" s="144"/>
      <c r="O537" s="144"/>
      <c r="P537" s="144"/>
    </row>
    <row r="538" spans="1:16" x14ac:dyDescent="0.2">
      <c r="A538" s="58" t="str">
        <v>0:00</v>
      </c>
      <c r="B538" s="122"/>
      <c r="C538" s="144"/>
      <c r="D538" s="144"/>
      <c r="E538" s="144"/>
      <c r="F538" s="144"/>
      <c r="G538" s="144"/>
      <c r="H538" s="144"/>
      <c r="I538" s="144"/>
      <c r="J538" s="144"/>
      <c r="K538" s="144"/>
      <c r="L538" s="144"/>
      <c r="M538" s="144"/>
      <c r="N538" s="144"/>
      <c r="O538" s="144"/>
      <c r="P538" s="144"/>
    </row>
    <row r="539" spans="1:16" x14ac:dyDescent="0.2">
      <c r="A539" s="58" t="str">
        <v>0:00</v>
      </c>
      <c r="B539" s="122"/>
      <c r="C539" s="144"/>
      <c r="D539" s="144"/>
      <c r="E539" s="144"/>
      <c r="F539" s="144"/>
      <c r="G539" s="144"/>
      <c r="H539" s="144"/>
      <c r="I539" s="144"/>
      <c r="J539" s="144"/>
      <c r="K539" s="144"/>
      <c r="L539" s="144"/>
      <c r="M539" s="144"/>
      <c r="N539" s="144"/>
      <c r="O539" s="144"/>
      <c r="P539" s="144"/>
    </row>
    <row r="540" spans="1:16" x14ac:dyDescent="0.2">
      <c r="A540" s="58" t="str">
        <v>0:00</v>
      </c>
      <c r="B540" s="122"/>
      <c r="C540" s="144"/>
      <c r="D540" s="144"/>
      <c r="E540" s="144"/>
      <c r="F540" s="144"/>
      <c r="G540" s="144"/>
      <c r="H540" s="144"/>
      <c r="I540" s="144"/>
      <c r="J540" s="144"/>
      <c r="K540" s="144"/>
      <c r="L540" s="144"/>
      <c r="M540" s="144"/>
      <c r="N540" s="144"/>
      <c r="O540" s="144"/>
      <c r="P540" s="144"/>
    </row>
    <row r="541" spans="1:16" x14ac:dyDescent="0.2">
      <c r="A541" s="58" t="str">
        <v>0:00</v>
      </c>
      <c r="B541" s="122"/>
      <c r="C541" s="144"/>
      <c r="D541" s="144"/>
      <c r="E541" s="144"/>
      <c r="F541" s="144"/>
      <c r="G541" s="144"/>
      <c r="H541" s="144"/>
      <c r="I541" s="144"/>
      <c r="J541" s="144"/>
      <c r="K541" s="144"/>
      <c r="L541" s="144"/>
      <c r="M541" s="144"/>
      <c r="N541" s="144"/>
      <c r="O541" s="144"/>
      <c r="P541" s="144"/>
    </row>
    <row r="542" spans="1:16" x14ac:dyDescent="0.2">
      <c r="A542" s="58" t="str">
        <v>0:00</v>
      </c>
      <c r="B542" s="122"/>
      <c r="C542" s="144"/>
      <c r="D542" s="144"/>
      <c r="E542" s="144"/>
      <c r="F542" s="144"/>
      <c r="G542" s="144"/>
      <c r="H542" s="144"/>
      <c r="I542" s="144"/>
      <c r="J542" s="144"/>
      <c r="K542" s="144"/>
      <c r="L542" s="144"/>
      <c r="M542" s="144"/>
      <c r="N542" s="144"/>
      <c r="O542" s="144"/>
      <c r="P542" s="144"/>
    </row>
    <row r="543" spans="1:16" x14ac:dyDescent="0.2">
      <c r="A543" s="58" t="str">
        <v>0:00</v>
      </c>
      <c r="B543" s="122"/>
      <c r="C543" s="144"/>
      <c r="D543" s="144"/>
      <c r="E543" s="144"/>
      <c r="F543" s="144"/>
      <c r="G543" s="144"/>
      <c r="H543" s="144"/>
      <c r="I543" s="144"/>
      <c r="J543" s="144"/>
      <c r="K543" s="144"/>
      <c r="L543" s="144"/>
      <c r="M543" s="144"/>
      <c r="N543" s="144"/>
      <c r="O543" s="144"/>
      <c r="P543" s="144"/>
    </row>
    <row r="544" spans="1:16" x14ac:dyDescent="0.2">
      <c r="A544" s="58" t="str">
        <v>0:00</v>
      </c>
      <c r="B544" s="122"/>
      <c r="C544" s="144"/>
      <c r="D544" s="144"/>
      <c r="E544" s="144"/>
      <c r="F544" s="144"/>
      <c r="G544" s="144"/>
      <c r="H544" s="144"/>
      <c r="I544" s="144"/>
      <c r="J544" s="144"/>
      <c r="K544" s="144"/>
      <c r="L544" s="144"/>
      <c r="M544" s="144"/>
      <c r="N544" s="144"/>
      <c r="O544" s="144"/>
      <c r="P544" s="144"/>
    </row>
    <row r="545" spans="1:16" x14ac:dyDescent="0.2">
      <c r="A545" s="58" t="str">
        <v>0:00</v>
      </c>
      <c r="B545" s="122"/>
      <c r="C545" s="144"/>
      <c r="D545" s="144"/>
      <c r="E545" s="144"/>
      <c r="F545" s="144"/>
      <c r="G545" s="144"/>
      <c r="H545" s="144"/>
      <c r="I545" s="144"/>
      <c r="J545" s="144"/>
      <c r="K545" s="144"/>
      <c r="L545" s="144"/>
      <c r="M545" s="144"/>
      <c r="N545" s="144"/>
      <c r="O545" s="144"/>
      <c r="P545" s="144"/>
    </row>
    <row r="546" spans="1:16" x14ac:dyDescent="0.2">
      <c r="A546" s="58" t="str">
        <v>0:00</v>
      </c>
      <c r="B546" s="122"/>
      <c r="C546" s="144"/>
      <c r="D546" s="144"/>
      <c r="E546" s="144"/>
      <c r="F546" s="144"/>
      <c r="G546" s="144"/>
      <c r="H546" s="144"/>
      <c r="I546" s="144"/>
      <c r="J546" s="144"/>
      <c r="K546" s="144"/>
      <c r="L546" s="144"/>
      <c r="M546" s="144"/>
      <c r="N546" s="144"/>
      <c r="O546" s="144"/>
      <c r="P546" s="144"/>
    </row>
    <row r="547" spans="1:16" x14ac:dyDescent="0.2">
      <c r="A547" s="58" t="str">
        <v>0:00</v>
      </c>
      <c r="B547" s="122"/>
      <c r="C547" s="144"/>
      <c r="D547" s="144"/>
      <c r="E547" s="144"/>
      <c r="F547" s="144"/>
      <c r="G547" s="144"/>
      <c r="H547" s="144"/>
      <c r="I547" s="144"/>
      <c r="J547" s="144"/>
      <c r="K547" s="144"/>
      <c r="L547" s="144"/>
      <c r="M547" s="144"/>
      <c r="N547" s="144"/>
      <c r="O547" s="144"/>
      <c r="P547" s="144"/>
    </row>
    <row r="548" spans="1:16" x14ac:dyDescent="0.2">
      <c r="A548" s="58" t="str">
        <v>0:00</v>
      </c>
      <c r="B548" s="122"/>
      <c r="C548" s="144"/>
      <c r="D548" s="144"/>
      <c r="E548" s="144"/>
      <c r="F548" s="144"/>
      <c r="G548" s="144"/>
      <c r="H548" s="144"/>
      <c r="I548" s="144"/>
      <c r="J548" s="144"/>
      <c r="K548" s="144"/>
      <c r="L548" s="144"/>
      <c r="M548" s="144"/>
      <c r="N548" s="144"/>
      <c r="O548" s="144"/>
      <c r="P548" s="144"/>
    </row>
    <row r="549" spans="1:16" x14ac:dyDescent="0.2">
      <c r="A549" s="58" t="str">
        <v>0:00</v>
      </c>
      <c r="B549" s="122"/>
      <c r="C549" s="144"/>
      <c r="D549" s="144"/>
      <c r="E549" s="144"/>
      <c r="F549" s="144"/>
      <c r="G549" s="144"/>
      <c r="H549" s="144"/>
      <c r="I549" s="144"/>
      <c r="J549" s="144"/>
      <c r="K549" s="144"/>
      <c r="L549" s="144"/>
      <c r="M549" s="144"/>
      <c r="N549" s="144"/>
      <c r="O549" s="144"/>
      <c r="P549" s="144"/>
    </row>
    <row r="550" spans="1:16" x14ac:dyDescent="0.2">
      <c r="A550" s="58" t="str">
        <v>0:00</v>
      </c>
      <c r="B550" s="122"/>
      <c r="C550" s="144"/>
      <c r="D550" s="144"/>
      <c r="E550" s="144"/>
      <c r="F550" s="144"/>
      <c r="G550" s="144"/>
      <c r="H550" s="144"/>
      <c r="I550" s="144"/>
      <c r="J550" s="144"/>
      <c r="K550" s="144"/>
      <c r="L550" s="144"/>
      <c r="M550" s="144"/>
      <c r="N550" s="144"/>
      <c r="O550" s="144"/>
      <c r="P550" s="144"/>
    </row>
    <row r="551" spans="1:16" x14ac:dyDescent="0.2">
      <c r="A551" s="58" t="str">
        <v>0:00</v>
      </c>
      <c r="B551" s="122"/>
      <c r="C551" s="144"/>
      <c r="D551" s="144"/>
      <c r="E551" s="144"/>
      <c r="F551" s="144"/>
      <c r="G551" s="144"/>
      <c r="H551" s="144"/>
      <c r="I551" s="144"/>
      <c r="J551" s="144"/>
      <c r="K551" s="144"/>
      <c r="L551" s="144"/>
      <c r="M551" s="144"/>
      <c r="N551" s="144"/>
      <c r="O551" s="144"/>
      <c r="P551" s="144"/>
    </row>
    <row r="552" spans="1:16" x14ac:dyDescent="0.2">
      <c r="A552" s="58" t="str">
        <v>0:00</v>
      </c>
      <c r="B552" s="122"/>
      <c r="C552" s="144"/>
      <c r="D552" s="144"/>
      <c r="E552" s="144"/>
      <c r="F552" s="144"/>
      <c r="G552" s="144"/>
      <c r="H552" s="144"/>
      <c r="I552" s="144"/>
      <c r="J552" s="144"/>
      <c r="K552" s="144"/>
      <c r="L552" s="144"/>
      <c r="M552" s="144"/>
      <c r="N552" s="144"/>
      <c r="O552" s="144"/>
      <c r="P552" s="144"/>
    </row>
    <row r="553" spans="1:16" x14ac:dyDescent="0.2">
      <c r="A553" s="58" t="str">
        <v>0:00</v>
      </c>
      <c r="B553" s="122"/>
      <c r="C553" s="144"/>
      <c r="D553" s="144"/>
      <c r="E553" s="144"/>
      <c r="F553" s="144"/>
      <c r="G553" s="144"/>
      <c r="H553" s="144"/>
      <c r="I553" s="144"/>
      <c r="J553" s="144"/>
      <c r="K553" s="144"/>
      <c r="L553" s="144"/>
      <c r="M553" s="144"/>
      <c r="N553" s="144"/>
      <c r="O553" s="144"/>
      <c r="P553" s="144"/>
    </row>
    <row r="554" spans="1:16" x14ac:dyDescent="0.2">
      <c r="A554" s="58" t="str">
        <v>0:00</v>
      </c>
      <c r="B554" s="122"/>
      <c r="C554" s="144"/>
      <c r="D554" s="144"/>
      <c r="E554" s="144"/>
      <c r="F554" s="144"/>
      <c r="G554" s="144"/>
      <c r="H554" s="144"/>
      <c r="I554" s="144"/>
      <c r="J554" s="144"/>
      <c r="K554" s="144"/>
      <c r="L554" s="144"/>
      <c r="M554" s="144"/>
      <c r="N554" s="144"/>
      <c r="O554" s="144"/>
      <c r="P554" s="144"/>
    </row>
    <row r="555" spans="1:16" x14ac:dyDescent="0.2">
      <c r="A555" s="58" t="str">
        <v>0:00</v>
      </c>
      <c r="B555" s="122"/>
      <c r="C555" s="144"/>
      <c r="D555" s="144"/>
      <c r="E555" s="144"/>
      <c r="F555" s="144"/>
      <c r="G555" s="144"/>
      <c r="H555" s="144"/>
      <c r="I555" s="144"/>
      <c r="J555" s="144"/>
      <c r="K555" s="144"/>
      <c r="L555" s="144"/>
      <c r="M555" s="144"/>
      <c r="N555" s="144"/>
      <c r="O555" s="144"/>
      <c r="P555" s="144"/>
    </row>
    <row r="556" spans="1:16" x14ac:dyDescent="0.2">
      <c r="A556" s="58" t="str">
        <v>0:00</v>
      </c>
      <c r="B556" s="122"/>
      <c r="C556" s="144"/>
      <c r="D556" s="144"/>
      <c r="E556" s="144"/>
      <c r="F556" s="144"/>
      <c r="G556" s="144"/>
      <c r="H556" s="144"/>
      <c r="I556" s="144"/>
      <c r="J556" s="144"/>
      <c r="K556" s="144"/>
      <c r="L556" s="144"/>
      <c r="M556" s="144"/>
      <c r="N556" s="144"/>
      <c r="O556" s="144"/>
      <c r="P556" s="144"/>
    </row>
    <row r="557" spans="1:16" x14ac:dyDescent="0.2">
      <c r="A557" s="58" t="str">
        <v>0:00</v>
      </c>
      <c r="B557" s="122"/>
      <c r="C557" s="144"/>
      <c r="D557" s="144"/>
      <c r="E557" s="144"/>
      <c r="F557" s="144"/>
      <c r="G557" s="144"/>
      <c r="H557" s="144"/>
      <c r="I557" s="144"/>
      <c r="J557" s="144"/>
      <c r="K557" s="144"/>
      <c r="L557" s="144"/>
      <c r="M557" s="144"/>
      <c r="N557" s="144"/>
      <c r="O557" s="144"/>
      <c r="P557" s="144"/>
    </row>
    <row r="558" spans="1:16" x14ac:dyDescent="0.2">
      <c r="A558" s="58" t="str">
        <v>0:00</v>
      </c>
      <c r="B558" s="122"/>
      <c r="C558" s="144"/>
      <c r="D558" s="144"/>
      <c r="E558" s="144"/>
      <c r="F558" s="144"/>
      <c r="G558" s="144"/>
      <c r="H558" s="144"/>
      <c r="I558" s="144"/>
      <c r="J558" s="144"/>
      <c r="K558" s="144"/>
      <c r="L558" s="144"/>
      <c r="M558" s="144"/>
      <c r="N558" s="144"/>
      <c r="O558" s="144"/>
      <c r="P558" s="144"/>
    </row>
    <row r="559" spans="1:16" x14ac:dyDescent="0.2">
      <c r="A559" s="58" t="str">
        <v>0:00</v>
      </c>
      <c r="B559" s="122"/>
      <c r="C559" s="144"/>
      <c r="D559" s="144"/>
      <c r="E559" s="144"/>
      <c r="F559" s="144"/>
      <c r="G559" s="144"/>
      <c r="H559" s="144"/>
      <c r="I559" s="144"/>
      <c r="J559" s="144"/>
      <c r="K559" s="144"/>
      <c r="L559" s="144"/>
      <c r="M559" s="144"/>
      <c r="N559" s="144"/>
      <c r="O559" s="144"/>
      <c r="P559" s="144"/>
    </row>
    <row r="560" spans="1:16" x14ac:dyDescent="0.2">
      <c r="A560" s="58" t="str">
        <v>0:00</v>
      </c>
      <c r="B560" s="122"/>
      <c r="C560" s="144"/>
      <c r="D560" s="144"/>
      <c r="E560" s="144"/>
      <c r="F560" s="144"/>
      <c r="G560" s="144"/>
      <c r="H560" s="144"/>
      <c r="I560" s="144"/>
      <c r="J560" s="144"/>
      <c r="K560" s="144"/>
      <c r="L560" s="144"/>
      <c r="M560" s="144"/>
      <c r="N560" s="144"/>
      <c r="O560" s="144"/>
      <c r="P560" s="144"/>
    </row>
    <row r="561" spans="1:16" x14ac:dyDescent="0.2">
      <c r="A561" s="58" t="str">
        <v>0:00</v>
      </c>
      <c r="B561" s="122"/>
      <c r="C561" s="144"/>
      <c r="D561" s="144"/>
      <c r="E561" s="144"/>
      <c r="F561" s="144"/>
      <c r="G561" s="144"/>
      <c r="H561" s="144"/>
      <c r="I561" s="144"/>
      <c r="J561" s="144"/>
      <c r="K561" s="144"/>
      <c r="L561" s="144"/>
      <c r="M561" s="144"/>
      <c r="N561" s="144"/>
      <c r="O561" s="144"/>
      <c r="P561" s="144"/>
    </row>
    <row r="562" spans="1:16" x14ac:dyDescent="0.2">
      <c r="A562" s="58" t="str">
        <v>0:00</v>
      </c>
      <c r="B562" s="122"/>
      <c r="C562" s="144"/>
      <c r="D562" s="144"/>
      <c r="E562" s="144"/>
      <c r="F562" s="144"/>
      <c r="G562" s="144"/>
      <c r="H562" s="144"/>
      <c r="I562" s="144"/>
      <c r="J562" s="144"/>
      <c r="K562" s="144"/>
      <c r="L562" s="144"/>
      <c r="M562" s="144"/>
      <c r="N562" s="144"/>
      <c r="O562" s="144"/>
      <c r="P562" s="144"/>
    </row>
    <row r="563" spans="1:16" x14ac:dyDescent="0.2">
      <c r="A563" s="58" t="str">
        <v>0:00</v>
      </c>
      <c r="B563" s="122"/>
      <c r="C563" s="144"/>
      <c r="D563" s="144"/>
      <c r="E563" s="144"/>
      <c r="F563" s="144"/>
      <c r="G563" s="144"/>
      <c r="H563" s="144"/>
      <c r="I563" s="144"/>
      <c r="J563" s="144"/>
      <c r="K563" s="144"/>
      <c r="L563" s="144"/>
      <c r="M563" s="144"/>
      <c r="N563" s="144"/>
      <c r="O563" s="144"/>
      <c r="P563" s="144"/>
    </row>
    <row r="564" spans="1:16" x14ac:dyDescent="0.2">
      <c r="A564" s="58" t="str">
        <v>0:00</v>
      </c>
      <c r="B564" s="122"/>
      <c r="C564" s="144"/>
      <c r="D564" s="144"/>
      <c r="E564" s="144"/>
      <c r="F564" s="144"/>
      <c r="G564" s="144"/>
      <c r="H564" s="144"/>
      <c r="I564" s="144"/>
      <c r="J564" s="144"/>
      <c r="K564" s="144"/>
      <c r="L564" s="144"/>
      <c r="M564" s="144"/>
      <c r="N564" s="144"/>
      <c r="O564" s="144"/>
      <c r="P564" s="144"/>
    </row>
    <row r="565" spans="1:16" x14ac:dyDescent="0.2">
      <c r="A565" s="58" t="str">
        <v>0:00</v>
      </c>
      <c r="B565" s="122"/>
      <c r="C565" s="144"/>
      <c r="D565" s="144"/>
      <c r="E565" s="144"/>
      <c r="F565" s="144"/>
      <c r="G565" s="144"/>
      <c r="H565" s="144"/>
      <c r="I565" s="144"/>
      <c r="J565" s="144"/>
      <c r="K565" s="144"/>
      <c r="L565" s="144"/>
      <c r="M565" s="144"/>
      <c r="N565" s="144"/>
      <c r="O565" s="144"/>
      <c r="P565" s="144"/>
    </row>
    <row r="566" spans="1:16" x14ac:dyDescent="0.2">
      <c r="A566" s="58" t="str">
        <v>0:00</v>
      </c>
      <c r="B566" s="122"/>
      <c r="C566" s="144"/>
      <c r="D566" s="144"/>
      <c r="E566" s="144"/>
      <c r="F566" s="144"/>
      <c r="G566" s="144"/>
      <c r="H566" s="144"/>
      <c r="I566" s="144"/>
      <c r="J566" s="144"/>
      <c r="K566" s="144"/>
      <c r="L566" s="144"/>
      <c r="M566" s="144"/>
      <c r="N566" s="144"/>
      <c r="O566" s="144"/>
      <c r="P566" s="144"/>
    </row>
    <row r="567" spans="1:16" x14ac:dyDescent="0.2">
      <c r="A567" s="58" t="str">
        <v>0:00</v>
      </c>
      <c r="B567" s="122"/>
      <c r="C567" s="144"/>
      <c r="D567" s="144"/>
      <c r="E567" s="144"/>
      <c r="F567" s="144"/>
      <c r="G567" s="144"/>
      <c r="H567" s="144"/>
      <c r="I567" s="144"/>
      <c r="J567" s="144"/>
      <c r="K567" s="144"/>
      <c r="L567" s="144"/>
      <c r="M567" s="144"/>
      <c r="N567" s="144"/>
      <c r="O567" s="144"/>
      <c r="P567" s="144"/>
    </row>
    <row r="568" spans="1:16" x14ac:dyDescent="0.2">
      <c r="A568" s="58" t="str">
        <v>0:00</v>
      </c>
      <c r="B568" s="122"/>
      <c r="C568" s="144"/>
      <c r="D568" s="144"/>
      <c r="E568" s="144"/>
      <c r="F568" s="144"/>
      <c r="G568" s="144"/>
      <c r="H568" s="144"/>
      <c r="I568" s="144"/>
      <c r="J568" s="144"/>
      <c r="K568" s="144"/>
      <c r="L568" s="144"/>
      <c r="M568" s="144"/>
      <c r="N568" s="144"/>
      <c r="O568" s="144"/>
      <c r="P568" s="144"/>
    </row>
    <row r="569" spans="1:16" x14ac:dyDescent="0.2">
      <c r="A569" s="58" t="str">
        <v>0:00</v>
      </c>
      <c r="B569" s="122"/>
      <c r="C569" s="144"/>
      <c r="D569" s="144"/>
      <c r="E569" s="144"/>
      <c r="F569" s="144"/>
      <c r="G569" s="144"/>
      <c r="H569" s="144"/>
      <c r="I569" s="144"/>
      <c r="J569" s="144"/>
      <c r="K569" s="144"/>
      <c r="L569" s="144"/>
      <c r="M569" s="144"/>
      <c r="N569" s="144"/>
      <c r="O569" s="144"/>
      <c r="P569" s="144"/>
    </row>
    <row r="570" spans="1:16" x14ac:dyDescent="0.2">
      <c r="A570" s="58" t="str">
        <v>0:00</v>
      </c>
      <c r="B570" s="122"/>
      <c r="C570" s="144"/>
      <c r="D570" s="144"/>
      <c r="E570" s="144"/>
      <c r="F570" s="144"/>
      <c r="G570" s="144"/>
      <c r="H570" s="144"/>
      <c r="I570" s="144"/>
      <c r="J570" s="144"/>
      <c r="K570" s="144"/>
      <c r="L570" s="144"/>
      <c r="M570" s="144"/>
      <c r="N570" s="144"/>
      <c r="O570" s="144"/>
      <c r="P570" s="144"/>
    </row>
    <row r="571" spans="1:16" x14ac:dyDescent="0.2">
      <c r="A571" s="58" t="str">
        <v>0:00</v>
      </c>
      <c r="B571" s="122"/>
      <c r="C571" s="144"/>
      <c r="D571" s="144"/>
      <c r="E571" s="144"/>
      <c r="F571" s="144"/>
      <c r="G571" s="144"/>
      <c r="H571" s="144"/>
      <c r="I571" s="144"/>
      <c r="J571" s="144"/>
      <c r="K571" s="144"/>
      <c r="L571" s="144"/>
      <c r="M571" s="144"/>
      <c r="N571" s="144"/>
      <c r="O571" s="144"/>
      <c r="P571" s="144"/>
    </row>
    <row r="572" spans="1:16" x14ac:dyDescent="0.2">
      <c r="A572" s="58" t="str">
        <v>0:00</v>
      </c>
      <c r="B572" s="122"/>
      <c r="C572" s="144"/>
      <c r="D572" s="144"/>
      <c r="E572" s="144"/>
      <c r="F572" s="144"/>
      <c r="G572" s="144"/>
      <c r="H572" s="144"/>
      <c r="I572" s="144"/>
      <c r="J572" s="144"/>
      <c r="K572" s="144"/>
      <c r="L572" s="144"/>
      <c r="M572" s="144"/>
      <c r="N572" s="144"/>
      <c r="O572" s="144"/>
      <c r="P572" s="144"/>
    </row>
    <row r="573" spans="1:16" x14ac:dyDescent="0.2">
      <c r="A573" s="58" t="str">
        <v>0:00</v>
      </c>
      <c r="B573" s="122"/>
      <c r="C573" s="144"/>
      <c r="D573" s="144"/>
      <c r="E573" s="144"/>
      <c r="F573" s="144"/>
      <c r="G573" s="144"/>
      <c r="H573" s="144"/>
      <c r="I573" s="144"/>
      <c r="J573" s="144"/>
      <c r="K573" s="144"/>
      <c r="L573" s="144"/>
      <c r="M573" s="144"/>
      <c r="N573" s="144"/>
      <c r="O573" s="144"/>
      <c r="P573" s="144"/>
    </row>
    <row r="574" spans="1:16" x14ac:dyDescent="0.2">
      <c r="A574" s="58" t="str">
        <v>0:00</v>
      </c>
      <c r="B574" s="122"/>
      <c r="C574" s="144"/>
      <c r="D574" s="144"/>
      <c r="E574" s="144"/>
      <c r="F574" s="144"/>
      <c r="G574" s="144"/>
      <c r="H574" s="144"/>
      <c r="I574" s="144"/>
      <c r="J574" s="144"/>
      <c r="K574" s="144"/>
      <c r="L574" s="144"/>
      <c r="M574" s="144"/>
      <c r="N574" s="144"/>
      <c r="O574" s="144"/>
      <c r="P574" s="144"/>
    </row>
    <row r="575" spans="1:16" x14ac:dyDescent="0.2">
      <c r="A575" s="58" t="str">
        <v>0:00</v>
      </c>
      <c r="B575" s="122"/>
      <c r="C575" s="144"/>
      <c r="D575" s="144"/>
      <c r="E575" s="144"/>
      <c r="F575" s="144"/>
      <c r="G575" s="144"/>
      <c r="H575" s="144"/>
      <c r="I575" s="144"/>
      <c r="J575" s="144"/>
      <c r="K575" s="144"/>
      <c r="L575" s="144"/>
      <c r="M575" s="144"/>
      <c r="N575" s="144"/>
      <c r="O575" s="144"/>
      <c r="P575" s="144"/>
    </row>
    <row r="576" spans="1:16" x14ac:dyDescent="0.2">
      <c r="A576" s="58" t="str">
        <v>0:00</v>
      </c>
      <c r="B576" s="122"/>
      <c r="C576" s="144"/>
      <c r="D576" s="144"/>
      <c r="E576" s="144"/>
      <c r="F576" s="144"/>
      <c r="G576" s="144"/>
      <c r="H576" s="144"/>
      <c r="I576" s="144"/>
      <c r="J576" s="144"/>
      <c r="K576" s="144"/>
      <c r="L576" s="144"/>
      <c r="M576" s="144"/>
      <c r="N576" s="144"/>
      <c r="O576" s="144"/>
      <c r="P576" s="144"/>
    </row>
    <row r="577" spans="1:16" x14ac:dyDescent="0.2">
      <c r="A577" s="58" t="str">
        <v>0:00</v>
      </c>
      <c r="B577" s="122"/>
      <c r="C577" s="144"/>
      <c r="D577" s="144"/>
      <c r="E577" s="144"/>
      <c r="F577" s="144"/>
      <c r="G577" s="144"/>
      <c r="H577" s="144"/>
      <c r="I577" s="144"/>
      <c r="J577" s="144"/>
      <c r="K577" s="144"/>
      <c r="L577" s="144"/>
      <c r="M577" s="144"/>
      <c r="N577" s="144"/>
      <c r="O577" s="144"/>
      <c r="P577" s="144"/>
    </row>
    <row r="578" spans="1:16" x14ac:dyDescent="0.2">
      <c r="A578" s="58" t="str">
        <v>0:00</v>
      </c>
      <c r="B578" s="122"/>
      <c r="C578" s="144"/>
      <c r="D578" s="144"/>
      <c r="E578" s="144"/>
      <c r="F578" s="144"/>
      <c r="G578" s="144"/>
      <c r="H578" s="144"/>
      <c r="I578" s="144"/>
      <c r="J578" s="144"/>
      <c r="K578" s="144"/>
      <c r="L578" s="144"/>
      <c r="M578" s="144"/>
      <c r="N578" s="144"/>
      <c r="O578" s="144"/>
      <c r="P578" s="144"/>
    </row>
    <row r="579" spans="1:16" x14ac:dyDescent="0.2">
      <c r="A579" s="58" t="str">
        <v>0:00</v>
      </c>
      <c r="B579" s="122"/>
      <c r="C579" s="144"/>
      <c r="D579" s="144"/>
      <c r="E579" s="144"/>
      <c r="F579" s="144"/>
      <c r="G579" s="144"/>
      <c r="H579" s="144"/>
      <c r="I579" s="144"/>
      <c r="J579" s="144"/>
      <c r="K579" s="144"/>
      <c r="L579" s="144"/>
      <c r="M579" s="144"/>
      <c r="N579" s="144"/>
      <c r="O579" s="144"/>
      <c r="P579" s="144"/>
    </row>
    <row r="580" spans="1:16" x14ac:dyDescent="0.2">
      <c r="A580" s="58" t="str">
        <v>0:00</v>
      </c>
      <c r="B580" s="122"/>
      <c r="C580" s="144"/>
      <c r="D580" s="144"/>
      <c r="E580" s="144"/>
      <c r="F580" s="144"/>
      <c r="G580" s="144"/>
      <c r="H580" s="144"/>
      <c r="I580" s="144"/>
      <c r="J580" s="144"/>
      <c r="K580" s="144"/>
      <c r="L580" s="144"/>
      <c r="M580" s="144"/>
      <c r="N580" s="144"/>
      <c r="O580" s="144"/>
      <c r="P580" s="144"/>
    </row>
    <row r="581" spans="1:16" x14ac:dyDescent="0.2">
      <c r="A581" s="58" t="str">
        <v>0:00</v>
      </c>
      <c r="B581" s="122"/>
      <c r="C581" s="144"/>
      <c r="D581" s="144"/>
      <c r="E581" s="144"/>
      <c r="F581" s="144"/>
      <c r="G581" s="144"/>
      <c r="H581" s="144"/>
      <c r="I581" s="144"/>
      <c r="J581" s="144"/>
      <c r="K581" s="144"/>
      <c r="L581" s="144"/>
      <c r="M581" s="144"/>
      <c r="N581" s="144"/>
      <c r="O581" s="144"/>
      <c r="P581" s="144"/>
    </row>
    <row r="582" spans="1:16" x14ac:dyDescent="0.2">
      <c r="A582" s="58" t="str">
        <v>0:00</v>
      </c>
      <c r="B582" s="122"/>
      <c r="C582" s="144"/>
      <c r="D582" s="144"/>
      <c r="E582" s="144"/>
      <c r="F582" s="144"/>
      <c r="G582" s="144"/>
      <c r="H582" s="144"/>
      <c r="I582" s="144"/>
      <c r="J582" s="144"/>
      <c r="K582" s="144"/>
      <c r="L582" s="144"/>
      <c r="M582" s="144"/>
      <c r="N582" s="144"/>
      <c r="O582" s="144"/>
      <c r="P582" s="144"/>
    </row>
    <row r="583" spans="1:16" x14ac:dyDescent="0.2">
      <c r="A583" s="58" t="str">
        <v>0:00</v>
      </c>
      <c r="B583" s="122"/>
      <c r="C583" s="144"/>
      <c r="D583" s="144"/>
      <c r="E583" s="144"/>
      <c r="F583" s="144"/>
      <c r="G583" s="144"/>
      <c r="H583" s="144"/>
      <c r="I583" s="144"/>
      <c r="J583" s="144"/>
      <c r="K583" s="144"/>
      <c r="L583" s="144"/>
      <c r="M583" s="144"/>
      <c r="N583" s="144"/>
      <c r="O583" s="144"/>
      <c r="P583" s="144"/>
    </row>
    <row r="584" spans="1:16" x14ac:dyDescent="0.2">
      <c r="A584" s="58" t="str">
        <v>0:00</v>
      </c>
      <c r="B584" s="122"/>
      <c r="C584" s="144"/>
      <c r="D584" s="144"/>
      <c r="E584" s="144"/>
      <c r="F584" s="144"/>
      <c r="G584" s="144"/>
      <c r="H584" s="144"/>
      <c r="I584" s="144"/>
      <c r="J584" s="144"/>
      <c r="K584" s="144"/>
      <c r="L584" s="144"/>
      <c r="M584" s="144"/>
      <c r="N584" s="144"/>
      <c r="O584" s="144"/>
      <c r="P584" s="144"/>
    </row>
    <row r="585" spans="1:16" x14ac:dyDescent="0.2">
      <c r="A585" s="58" t="str">
        <v>0:00</v>
      </c>
      <c r="B585" s="122"/>
      <c r="C585" s="144"/>
      <c r="D585" s="144"/>
      <c r="E585" s="144"/>
      <c r="F585" s="144"/>
      <c r="G585" s="144"/>
      <c r="H585" s="144"/>
      <c r="I585" s="144"/>
      <c r="J585" s="144"/>
      <c r="K585" s="144"/>
      <c r="L585" s="144"/>
      <c r="M585" s="144"/>
      <c r="N585" s="144"/>
      <c r="O585" s="144"/>
      <c r="P585" s="144"/>
    </row>
    <row r="586" spans="1:16" x14ac:dyDescent="0.2">
      <c r="A586" s="58" t="str">
        <v>0:00</v>
      </c>
      <c r="B586" s="122"/>
      <c r="C586" s="144"/>
      <c r="D586" s="144"/>
      <c r="E586" s="144"/>
      <c r="F586" s="144"/>
      <c r="G586" s="144"/>
      <c r="H586" s="144"/>
      <c r="I586" s="144"/>
      <c r="J586" s="144"/>
      <c r="K586" s="144"/>
      <c r="L586" s="144"/>
      <c r="M586" s="144"/>
      <c r="N586" s="144"/>
      <c r="O586" s="144"/>
      <c r="P586" s="144"/>
    </row>
    <row r="587" spans="1:16" x14ac:dyDescent="0.2">
      <c r="A587" s="58" t="str">
        <v>0:00</v>
      </c>
      <c r="B587" s="122"/>
      <c r="C587" s="144"/>
      <c r="D587" s="144"/>
      <c r="E587" s="144"/>
      <c r="F587" s="144"/>
      <c r="G587" s="144"/>
      <c r="H587" s="144"/>
      <c r="I587" s="144"/>
      <c r="J587" s="144"/>
      <c r="K587" s="144"/>
      <c r="L587" s="144"/>
      <c r="M587" s="144"/>
      <c r="N587" s="144"/>
      <c r="O587" s="144"/>
      <c r="P587" s="144"/>
    </row>
    <row r="588" spans="1:16" x14ac:dyDescent="0.2">
      <c r="A588" s="58" t="str">
        <v>0:00</v>
      </c>
      <c r="B588" s="122"/>
      <c r="C588" s="144"/>
      <c r="D588" s="144"/>
      <c r="E588" s="144"/>
      <c r="F588" s="144"/>
      <c r="G588" s="144"/>
      <c r="H588" s="144"/>
      <c r="I588" s="144"/>
      <c r="J588" s="144"/>
      <c r="K588" s="144"/>
      <c r="L588" s="144"/>
      <c r="M588" s="144"/>
      <c r="N588" s="144"/>
      <c r="O588" s="144"/>
      <c r="P588" s="144"/>
    </row>
    <row r="589" spans="1:16" x14ac:dyDescent="0.2">
      <c r="A589" s="58" t="str">
        <v>0:00</v>
      </c>
      <c r="B589" s="122"/>
      <c r="C589" s="144"/>
      <c r="D589" s="144"/>
      <c r="E589" s="144"/>
      <c r="F589" s="144"/>
      <c r="G589" s="144"/>
      <c r="H589" s="144"/>
      <c r="I589" s="144"/>
      <c r="J589" s="144"/>
      <c r="K589" s="144"/>
      <c r="L589" s="144"/>
      <c r="M589" s="144"/>
      <c r="N589" s="144"/>
      <c r="O589" s="144"/>
      <c r="P589" s="144"/>
    </row>
    <row r="590" spans="1:16" x14ac:dyDescent="0.2">
      <c r="A590" s="58" t="str">
        <v>0:00</v>
      </c>
      <c r="B590" s="122"/>
      <c r="C590" s="144"/>
      <c r="D590" s="144"/>
      <c r="E590" s="144"/>
      <c r="F590" s="144"/>
      <c r="G590" s="144"/>
      <c r="H590" s="144"/>
      <c r="I590" s="144"/>
      <c r="J590" s="144"/>
      <c r="K590" s="144"/>
      <c r="L590" s="144"/>
      <c r="M590" s="144"/>
      <c r="N590" s="144"/>
      <c r="O590" s="144"/>
      <c r="P590" s="144"/>
    </row>
    <row r="591" spans="1:16" x14ac:dyDescent="0.2">
      <c r="A591" s="58" t="str">
        <v>0:00</v>
      </c>
      <c r="B591" s="122"/>
      <c r="C591" s="144"/>
      <c r="D591" s="144"/>
      <c r="E591" s="144"/>
      <c r="F591" s="144"/>
      <c r="G591" s="144"/>
      <c r="H591" s="144"/>
      <c r="I591" s="144"/>
      <c r="J591" s="144"/>
      <c r="K591" s="144"/>
      <c r="L591" s="144"/>
      <c r="M591" s="144"/>
      <c r="N591" s="144"/>
      <c r="O591" s="144"/>
      <c r="P591" s="144"/>
    </row>
    <row r="592" spans="1:16" x14ac:dyDescent="0.2">
      <c r="A592" s="58" t="str">
        <v>0:00</v>
      </c>
      <c r="B592" s="122"/>
      <c r="C592" s="144"/>
      <c r="D592" s="144"/>
      <c r="E592" s="144"/>
      <c r="F592" s="144"/>
      <c r="G592" s="144"/>
      <c r="H592" s="144"/>
      <c r="I592" s="144"/>
      <c r="J592" s="144"/>
      <c r="K592" s="144"/>
      <c r="L592" s="144"/>
      <c r="M592" s="144"/>
      <c r="N592" s="144"/>
      <c r="O592" s="144"/>
      <c r="P592" s="144"/>
    </row>
    <row r="593" spans="1:16" x14ac:dyDescent="0.2">
      <c r="A593" s="58" t="str">
        <v>0:00</v>
      </c>
      <c r="B593" s="122"/>
      <c r="C593" s="144"/>
      <c r="D593" s="144"/>
      <c r="E593" s="144"/>
      <c r="F593" s="144"/>
      <c r="G593" s="144"/>
      <c r="H593" s="144"/>
      <c r="I593" s="144"/>
      <c r="J593" s="144"/>
      <c r="K593" s="144"/>
      <c r="L593" s="144"/>
      <c r="M593" s="144"/>
      <c r="N593" s="144"/>
      <c r="O593" s="144"/>
      <c r="P593" s="144"/>
    </row>
    <row r="594" spans="1:16" x14ac:dyDescent="0.2">
      <c r="A594" s="58" t="str">
        <v>0:00</v>
      </c>
      <c r="B594" s="122"/>
      <c r="C594" s="144"/>
      <c r="D594" s="144"/>
      <c r="E594" s="144"/>
      <c r="F594" s="144"/>
      <c r="G594" s="144"/>
      <c r="H594" s="144"/>
      <c r="I594" s="144"/>
      <c r="J594" s="144"/>
      <c r="K594" s="144"/>
      <c r="L594" s="144"/>
      <c r="M594" s="144"/>
      <c r="N594" s="144"/>
      <c r="O594" s="144"/>
      <c r="P594" s="144"/>
    </row>
    <row r="595" spans="1:16" x14ac:dyDescent="0.2">
      <c r="A595" s="58" t="str">
        <v>0:00</v>
      </c>
      <c r="B595" s="122"/>
      <c r="C595" s="144"/>
      <c r="D595" s="144"/>
      <c r="E595" s="144"/>
      <c r="F595" s="144"/>
      <c r="G595" s="144"/>
      <c r="H595" s="144"/>
      <c r="I595" s="144"/>
      <c r="J595" s="144"/>
      <c r="K595" s="144"/>
      <c r="L595" s="144"/>
      <c r="M595" s="144"/>
      <c r="N595" s="144"/>
      <c r="O595" s="144"/>
      <c r="P595" s="144"/>
    </row>
    <row r="596" spans="1:16" x14ac:dyDescent="0.2">
      <c r="A596" s="58" t="str">
        <v>0:00</v>
      </c>
      <c r="B596" s="122"/>
      <c r="C596" s="144"/>
      <c r="D596" s="144"/>
      <c r="E596" s="144"/>
      <c r="F596" s="144"/>
      <c r="G596" s="144"/>
      <c r="H596" s="144"/>
      <c r="I596" s="144"/>
      <c r="J596" s="144"/>
      <c r="K596" s="144"/>
      <c r="L596" s="144"/>
      <c r="M596" s="144"/>
      <c r="N596" s="144"/>
      <c r="O596" s="144"/>
      <c r="P596" s="144"/>
    </row>
    <row r="597" spans="1:16" x14ac:dyDescent="0.2">
      <c r="A597" s="58" t="str">
        <v>0:00</v>
      </c>
      <c r="B597" s="122"/>
      <c r="C597" s="144"/>
      <c r="D597" s="144"/>
      <c r="E597" s="144"/>
      <c r="F597" s="144"/>
      <c r="G597" s="144"/>
      <c r="H597" s="144"/>
      <c r="I597" s="144"/>
      <c r="J597" s="144"/>
      <c r="K597" s="144"/>
      <c r="L597" s="144"/>
      <c r="M597" s="144"/>
      <c r="N597" s="144"/>
      <c r="O597" s="144"/>
      <c r="P597" s="144"/>
    </row>
    <row r="598" spans="1:16" x14ac:dyDescent="0.2">
      <c r="A598" s="58" t="str">
        <v>0:00</v>
      </c>
      <c r="B598" s="122"/>
      <c r="C598" s="144"/>
      <c r="D598" s="144"/>
      <c r="E598" s="144"/>
      <c r="F598" s="144"/>
      <c r="G598" s="144"/>
      <c r="H598" s="144"/>
      <c r="I598" s="144"/>
      <c r="J598" s="144"/>
      <c r="K598" s="144"/>
      <c r="L598" s="144"/>
      <c r="M598" s="144"/>
      <c r="N598" s="144"/>
      <c r="O598" s="144"/>
      <c r="P598" s="144"/>
    </row>
    <row r="599" spans="1:16" x14ac:dyDescent="0.2">
      <c r="A599" s="58" t="str">
        <v>0:00</v>
      </c>
      <c r="B599" s="122"/>
      <c r="C599" s="144"/>
      <c r="D599" s="144"/>
      <c r="E599" s="144"/>
      <c r="F599" s="144"/>
      <c r="G599" s="144"/>
      <c r="H599" s="144"/>
      <c r="I599" s="144"/>
      <c r="J599" s="144"/>
      <c r="K599" s="144"/>
      <c r="L599" s="144"/>
      <c r="M599" s="144"/>
      <c r="N599" s="144"/>
      <c r="O599" s="144"/>
      <c r="P599" s="144"/>
    </row>
    <row r="600" spans="1:16" x14ac:dyDescent="0.2">
      <c r="A600" s="58" t="str">
        <v>0:00</v>
      </c>
      <c r="B600" s="122"/>
      <c r="C600" s="144"/>
      <c r="D600" s="144"/>
      <c r="E600" s="144"/>
      <c r="F600" s="144"/>
      <c r="G600" s="144"/>
      <c r="H600" s="144"/>
      <c r="I600" s="144"/>
      <c r="J600" s="144"/>
      <c r="K600" s="144"/>
      <c r="L600" s="144"/>
      <c r="M600" s="144"/>
      <c r="N600" s="144"/>
      <c r="O600" s="144"/>
      <c r="P600" s="144"/>
    </row>
    <row r="601" spans="1:16" x14ac:dyDescent="0.2">
      <c r="A601" s="58" t="str">
        <v>0:00</v>
      </c>
      <c r="B601" s="122"/>
      <c r="C601" s="144"/>
      <c r="D601" s="144"/>
      <c r="E601" s="144"/>
      <c r="F601" s="144"/>
      <c r="G601" s="144"/>
      <c r="H601" s="144"/>
      <c r="I601" s="144"/>
      <c r="J601" s="144"/>
      <c r="K601" s="144"/>
      <c r="L601" s="144"/>
      <c r="M601" s="144"/>
      <c r="N601" s="144"/>
      <c r="O601" s="144"/>
      <c r="P601" s="144"/>
    </row>
    <row r="602" spans="1:16" x14ac:dyDescent="0.2">
      <c r="A602" s="58" t="str">
        <v>0:00</v>
      </c>
      <c r="B602" s="122"/>
      <c r="C602" s="144"/>
      <c r="D602" s="144"/>
      <c r="E602" s="144"/>
      <c r="F602" s="144"/>
      <c r="G602" s="144"/>
      <c r="H602" s="144"/>
      <c r="I602" s="144"/>
      <c r="J602" s="144"/>
      <c r="K602" s="144"/>
      <c r="L602" s="144"/>
      <c r="M602" s="144"/>
      <c r="N602" s="144"/>
      <c r="O602" s="144"/>
      <c r="P602" s="144"/>
    </row>
    <row r="603" spans="1:16" x14ac:dyDescent="0.2">
      <c r="A603" s="58" t="str">
        <v>0:00</v>
      </c>
      <c r="B603" s="122"/>
      <c r="C603" s="144"/>
      <c r="D603" s="144"/>
      <c r="E603" s="144"/>
      <c r="F603" s="144"/>
      <c r="G603" s="144"/>
      <c r="H603" s="144"/>
      <c r="I603" s="144"/>
      <c r="J603" s="144"/>
      <c r="K603" s="144"/>
      <c r="L603" s="144"/>
      <c r="M603" s="144"/>
      <c r="N603" s="144"/>
      <c r="O603" s="144"/>
      <c r="P603" s="144"/>
    </row>
    <row r="604" spans="1:16" x14ac:dyDescent="0.2">
      <c r="A604" s="58" t="str">
        <v>0:00</v>
      </c>
      <c r="B604" s="122"/>
      <c r="C604" s="144"/>
      <c r="D604" s="144"/>
      <c r="E604" s="144"/>
      <c r="F604" s="144"/>
      <c r="G604" s="144"/>
      <c r="H604" s="144"/>
      <c r="I604" s="144"/>
      <c r="J604" s="144"/>
      <c r="K604" s="144"/>
      <c r="L604" s="144"/>
      <c r="M604" s="144"/>
      <c r="N604" s="144"/>
      <c r="O604" s="144"/>
      <c r="P604" s="144"/>
    </row>
    <row r="605" spans="1:16" x14ac:dyDescent="0.2">
      <c r="A605" s="58" t="str">
        <v>0:00</v>
      </c>
      <c r="B605" s="122"/>
      <c r="C605" s="144"/>
      <c r="D605" s="144"/>
      <c r="E605" s="144"/>
      <c r="F605" s="144"/>
      <c r="G605" s="144"/>
      <c r="H605" s="144"/>
      <c r="I605" s="144"/>
      <c r="J605" s="144"/>
      <c r="K605" s="144"/>
      <c r="L605" s="144"/>
      <c r="M605" s="144"/>
      <c r="N605" s="144"/>
      <c r="O605" s="144"/>
      <c r="P605" s="144"/>
    </row>
    <row r="606" spans="1:16" x14ac:dyDescent="0.2">
      <c r="A606" s="58" t="str">
        <v>0:00</v>
      </c>
      <c r="B606" s="122"/>
      <c r="C606" s="144"/>
      <c r="D606" s="144"/>
      <c r="E606" s="144"/>
      <c r="F606" s="144"/>
      <c r="G606" s="144"/>
      <c r="H606" s="144"/>
      <c r="I606" s="144"/>
      <c r="J606" s="144"/>
      <c r="K606" s="144"/>
      <c r="L606" s="144"/>
      <c r="M606" s="144"/>
      <c r="N606" s="144"/>
      <c r="O606" s="144"/>
      <c r="P606" s="144"/>
    </row>
    <row r="607" spans="1:16" x14ac:dyDescent="0.2">
      <c r="A607" s="58" t="str">
        <v>0:00</v>
      </c>
      <c r="B607" s="122"/>
      <c r="C607" s="144"/>
      <c r="D607" s="144"/>
      <c r="E607" s="144"/>
      <c r="F607" s="144"/>
      <c r="G607" s="144"/>
      <c r="H607" s="144"/>
      <c r="I607" s="144"/>
      <c r="J607" s="144"/>
      <c r="K607" s="144"/>
      <c r="L607" s="144"/>
      <c r="M607" s="144"/>
      <c r="N607" s="144"/>
      <c r="O607" s="144"/>
      <c r="P607" s="144"/>
    </row>
    <row r="608" spans="1:16" x14ac:dyDescent="0.2">
      <c r="A608" s="58" t="str">
        <v>0:00</v>
      </c>
      <c r="B608" s="122"/>
      <c r="C608" s="144"/>
      <c r="D608" s="144"/>
      <c r="E608" s="144"/>
      <c r="F608" s="144"/>
      <c r="G608" s="144"/>
      <c r="H608" s="144"/>
      <c r="I608" s="144"/>
      <c r="J608" s="144"/>
      <c r="K608" s="144"/>
      <c r="L608" s="144"/>
      <c r="M608" s="144"/>
      <c r="N608" s="144"/>
      <c r="O608" s="144"/>
      <c r="P608" s="144"/>
    </row>
    <row r="609" spans="1:16" x14ac:dyDescent="0.2">
      <c r="A609" s="58" t="str">
        <v>0:00</v>
      </c>
      <c r="B609" s="122"/>
      <c r="C609" s="144"/>
      <c r="D609" s="144"/>
      <c r="E609" s="144"/>
      <c r="F609" s="144"/>
      <c r="G609" s="144"/>
      <c r="H609" s="144"/>
      <c r="I609" s="144"/>
      <c r="J609" s="144"/>
      <c r="K609" s="144"/>
      <c r="L609" s="144"/>
      <c r="M609" s="144"/>
      <c r="N609" s="144"/>
      <c r="O609" s="144"/>
      <c r="P609" s="144"/>
    </row>
    <row r="610" spans="1:16" x14ac:dyDescent="0.2">
      <c r="A610" s="58" t="str">
        <v>0:00</v>
      </c>
      <c r="B610" s="122"/>
      <c r="C610" s="144"/>
      <c r="D610" s="144"/>
      <c r="E610" s="144"/>
      <c r="F610" s="144"/>
      <c r="G610" s="144"/>
      <c r="H610" s="144"/>
      <c r="I610" s="144"/>
      <c r="J610" s="144"/>
      <c r="K610" s="144"/>
      <c r="L610" s="144"/>
      <c r="M610" s="144"/>
      <c r="N610" s="144"/>
      <c r="O610" s="144"/>
      <c r="P610" s="144"/>
    </row>
    <row r="611" spans="1:16" x14ac:dyDescent="0.2">
      <c r="A611" s="58" t="str">
        <v>0:00</v>
      </c>
      <c r="B611" s="122"/>
      <c r="C611" s="144"/>
      <c r="D611" s="144"/>
      <c r="E611" s="144"/>
      <c r="F611" s="144"/>
      <c r="G611" s="144"/>
      <c r="H611" s="144"/>
      <c r="I611" s="144"/>
      <c r="J611" s="144"/>
      <c r="K611" s="144"/>
      <c r="L611" s="144"/>
      <c r="M611" s="144"/>
      <c r="N611" s="144"/>
      <c r="O611" s="144"/>
      <c r="P611" s="144"/>
    </row>
    <row r="612" spans="1:16" x14ac:dyDescent="0.2">
      <c r="A612" s="58" t="str">
        <v>0:00</v>
      </c>
      <c r="B612" s="122"/>
      <c r="C612" s="144"/>
      <c r="D612" s="144"/>
      <c r="E612" s="144"/>
      <c r="F612" s="144"/>
      <c r="G612" s="144"/>
      <c r="H612" s="144"/>
      <c r="I612" s="144"/>
      <c r="J612" s="144"/>
      <c r="K612" s="144"/>
      <c r="L612" s="144"/>
      <c r="M612" s="144"/>
      <c r="N612" s="144"/>
      <c r="O612" s="144"/>
      <c r="P612" s="144"/>
    </row>
    <row r="613" spans="1:16" x14ac:dyDescent="0.2">
      <c r="A613" s="58" t="str">
        <v>0:00</v>
      </c>
      <c r="B613" s="122"/>
      <c r="C613" s="144"/>
      <c r="D613" s="144"/>
      <c r="E613" s="144"/>
      <c r="F613" s="144"/>
      <c r="G613" s="144"/>
      <c r="H613" s="144"/>
      <c r="I613" s="144"/>
      <c r="J613" s="144"/>
      <c r="K613" s="144"/>
      <c r="L613" s="144"/>
      <c r="M613" s="144"/>
      <c r="N613" s="144"/>
      <c r="O613" s="144"/>
      <c r="P613" s="144"/>
    </row>
    <row r="614" spans="1:16" x14ac:dyDescent="0.2">
      <c r="A614" s="58" t="str">
        <v>0:00</v>
      </c>
      <c r="B614" s="122"/>
      <c r="C614" s="144"/>
      <c r="D614" s="144"/>
      <c r="E614" s="144"/>
      <c r="F614" s="144"/>
      <c r="G614" s="144"/>
      <c r="H614" s="144"/>
      <c r="I614" s="144"/>
      <c r="J614" s="144"/>
      <c r="K614" s="144"/>
      <c r="L614" s="144"/>
      <c r="M614" s="144"/>
      <c r="N614" s="144"/>
      <c r="O614" s="144"/>
      <c r="P614" s="144"/>
    </row>
    <row r="615" spans="1:16" x14ac:dyDescent="0.2">
      <c r="A615" s="58" t="str">
        <v>0:00</v>
      </c>
      <c r="B615" s="122"/>
      <c r="C615" s="144"/>
      <c r="D615" s="144"/>
      <c r="E615" s="144"/>
      <c r="F615" s="144"/>
      <c r="G615" s="144"/>
      <c r="H615" s="144"/>
      <c r="I615" s="144"/>
      <c r="J615" s="144"/>
      <c r="K615" s="144"/>
      <c r="L615" s="144"/>
      <c r="M615" s="144"/>
      <c r="N615" s="144"/>
      <c r="O615" s="144"/>
      <c r="P615" s="144"/>
    </row>
    <row r="616" spans="1:16" x14ac:dyDescent="0.2">
      <c r="A616" s="58" t="str">
        <v>0:00</v>
      </c>
      <c r="B616" s="122"/>
      <c r="C616" s="144"/>
      <c r="D616" s="144"/>
      <c r="E616" s="144"/>
      <c r="F616" s="144"/>
      <c r="G616" s="144"/>
      <c r="H616" s="144"/>
      <c r="I616" s="144"/>
      <c r="J616" s="144"/>
      <c r="K616" s="144"/>
      <c r="L616" s="144"/>
      <c r="M616" s="144"/>
      <c r="N616" s="144"/>
      <c r="O616" s="144"/>
      <c r="P616" s="144"/>
    </row>
    <row r="617" spans="1:16" x14ac:dyDescent="0.2">
      <c r="A617" s="58" t="str">
        <v>0:00</v>
      </c>
      <c r="B617" s="122"/>
      <c r="C617" s="144"/>
      <c r="D617" s="144"/>
      <c r="E617" s="144"/>
      <c r="F617" s="144"/>
      <c r="G617" s="144"/>
      <c r="H617" s="144"/>
      <c r="I617" s="144"/>
      <c r="J617" s="144"/>
      <c r="K617" s="144"/>
      <c r="L617" s="144"/>
      <c r="M617" s="144"/>
      <c r="N617" s="144"/>
      <c r="O617" s="144"/>
      <c r="P617" s="144"/>
    </row>
    <row r="618" spans="1:16" x14ac:dyDescent="0.2">
      <c r="A618" s="58" t="str">
        <v>0:00</v>
      </c>
      <c r="B618" s="122"/>
      <c r="C618" s="144"/>
      <c r="D618" s="144"/>
      <c r="E618" s="144"/>
      <c r="F618" s="144"/>
      <c r="G618" s="144"/>
      <c r="H618" s="144"/>
      <c r="I618" s="144"/>
      <c r="J618" s="144"/>
      <c r="K618" s="144"/>
      <c r="L618" s="144"/>
      <c r="M618" s="144"/>
      <c r="N618" s="144"/>
      <c r="O618" s="144"/>
      <c r="P618" s="144"/>
    </row>
    <row r="619" spans="1:16" x14ac:dyDescent="0.2">
      <c r="A619" s="58" t="str">
        <v>0:00</v>
      </c>
      <c r="B619" s="122"/>
      <c r="C619" s="144"/>
      <c r="D619" s="144"/>
      <c r="E619" s="144"/>
      <c r="F619" s="144"/>
      <c r="G619" s="144"/>
      <c r="H619" s="144"/>
      <c r="I619" s="144"/>
      <c r="J619" s="144"/>
      <c r="K619" s="144"/>
      <c r="L619" s="144"/>
      <c r="M619" s="144"/>
      <c r="N619" s="144"/>
      <c r="O619" s="144"/>
      <c r="P619" s="144"/>
    </row>
    <row r="620" spans="1:16" x14ac:dyDescent="0.2">
      <c r="A620" s="58" t="str">
        <v>0:00</v>
      </c>
      <c r="B620" s="122"/>
      <c r="C620" s="144"/>
      <c r="D620" s="144"/>
      <c r="E620" s="144"/>
      <c r="F620" s="144"/>
      <c r="G620" s="144"/>
      <c r="H620" s="144"/>
      <c r="I620" s="144"/>
      <c r="J620" s="144"/>
      <c r="K620" s="144"/>
      <c r="L620" s="144"/>
      <c r="M620" s="144"/>
      <c r="N620" s="144"/>
      <c r="O620" s="144"/>
      <c r="P620" s="144"/>
    </row>
    <row r="621" spans="1:16" x14ac:dyDescent="0.2">
      <c r="A621" s="58" t="str">
        <v>0:00</v>
      </c>
      <c r="B621" s="122"/>
      <c r="C621" s="144"/>
      <c r="D621" s="144"/>
      <c r="E621" s="144"/>
      <c r="F621" s="144"/>
      <c r="G621" s="144"/>
      <c r="H621" s="144"/>
      <c r="I621" s="144"/>
      <c r="J621" s="144"/>
      <c r="K621" s="144"/>
      <c r="L621" s="144"/>
      <c r="M621" s="144"/>
      <c r="N621" s="144"/>
      <c r="O621" s="144"/>
      <c r="P621" s="144"/>
    </row>
    <row r="622" spans="1:16" x14ac:dyDescent="0.2">
      <c r="A622" s="58" t="str">
        <v>0:00</v>
      </c>
      <c r="B622" s="122"/>
      <c r="C622" s="144"/>
      <c r="D622" s="144"/>
      <c r="E622" s="144"/>
      <c r="F622" s="144"/>
      <c r="G622" s="144"/>
      <c r="H622" s="144"/>
      <c r="I622" s="144"/>
      <c r="J622" s="144"/>
      <c r="K622" s="144"/>
      <c r="L622" s="144"/>
      <c r="M622" s="144"/>
      <c r="N622" s="144"/>
      <c r="O622" s="144"/>
      <c r="P622" s="144"/>
    </row>
    <row r="623" spans="1:16" x14ac:dyDescent="0.2">
      <c r="A623" s="58" t="str">
        <v>0:00</v>
      </c>
      <c r="B623" s="122"/>
      <c r="C623" s="144"/>
      <c r="D623" s="144"/>
      <c r="E623" s="144"/>
      <c r="F623" s="144"/>
      <c r="G623" s="144"/>
      <c r="H623" s="144"/>
      <c r="I623" s="144"/>
      <c r="J623" s="144"/>
      <c r="K623" s="144"/>
      <c r="L623" s="144"/>
      <c r="M623" s="144"/>
      <c r="N623" s="144"/>
      <c r="O623" s="144"/>
      <c r="P623" s="144"/>
    </row>
    <row r="624" spans="1:16" x14ac:dyDescent="0.2">
      <c r="A624" s="58" t="str">
        <v>0:00</v>
      </c>
      <c r="B624" s="122"/>
      <c r="C624" s="144"/>
      <c r="D624" s="144"/>
      <c r="E624" s="144"/>
      <c r="F624" s="144"/>
      <c r="G624" s="144"/>
      <c r="H624" s="144"/>
      <c r="I624" s="144"/>
      <c r="J624" s="144"/>
      <c r="K624" s="144"/>
      <c r="L624" s="144"/>
      <c r="M624" s="144"/>
      <c r="N624" s="144"/>
      <c r="O624" s="144"/>
      <c r="P624" s="144"/>
    </row>
    <row r="625" spans="1:16" x14ac:dyDescent="0.2">
      <c r="A625" s="58" t="str">
        <v>0:00</v>
      </c>
      <c r="B625" s="122"/>
      <c r="C625" s="144"/>
      <c r="D625" s="144"/>
      <c r="E625" s="144"/>
      <c r="F625" s="144"/>
      <c r="G625" s="144"/>
      <c r="H625" s="144"/>
      <c r="I625" s="144"/>
      <c r="J625" s="144"/>
      <c r="K625" s="144"/>
      <c r="L625" s="144"/>
      <c r="M625" s="144"/>
      <c r="N625" s="144"/>
      <c r="O625" s="144"/>
      <c r="P625" s="144"/>
    </row>
    <row r="626" spans="1:16" x14ac:dyDescent="0.2">
      <c r="A626" s="58" t="str">
        <v>0:00</v>
      </c>
      <c r="B626" s="122"/>
      <c r="C626" s="144"/>
      <c r="D626" s="144"/>
      <c r="E626" s="144"/>
      <c r="F626" s="144"/>
      <c r="G626" s="144"/>
      <c r="H626" s="144"/>
      <c r="I626" s="144"/>
      <c r="J626" s="144"/>
      <c r="K626" s="144"/>
      <c r="L626" s="144"/>
      <c r="M626" s="144"/>
      <c r="N626" s="144"/>
      <c r="O626" s="144"/>
      <c r="P626" s="144"/>
    </row>
    <row r="627" spans="1:16" x14ac:dyDescent="0.2">
      <c r="A627" s="58" t="str">
        <v>0:00</v>
      </c>
      <c r="B627" s="122"/>
      <c r="C627" s="144"/>
      <c r="D627" s="144"/>
      <c r="E627" s="144"/>
      <c r="F627" s="144"/>
      <c r="G627" s="144"/>
      <c r="H627" s="144"/>
      <c r="I627" s="144"/>
      <c r="J627" s="144"/>
      <c r="K627" s="144"/>
      <c r="L627" s="144"/>
      <c r="M627" s="144"/>
      <c r="N627" s="144"/>
      <c r="O627" s="144"/>
      <c r="P627" s="144"/>
    </row>
    <row r="628" spans="1:16" x14ac:dyDescent="0.2">
      <c r="A628" s="58" t="str">
        <v>0:00</v>
      </c>
      <c r="B628" s="122"/>
      <c r="C628" s="144"/>
      <c r="D628" s="144"/>
      <c r="E628" s="144"/>
      <c r="F628" s="144"/>
      <c r="G628" s="144"/>
      <c r="H628" s="144"/>
      <c r="I628" s="144"/>
      <c r="J628" s="144"/>
      <c r="K628" s="144"/>
      <c r="L628" s="144"/>
      <c r="M628" s="144"/>
      <c r="N628" s="144"/>
      <c r="O628" s="144"/>
      <c r="P628" s="144"/>
    </row>
    <row r="629" spans="1:16" x14ac:dyDescent="0.2">
      <c r="A629" s="58" t="str">
        <v>0:00</v>
      </c>
      <c r="B629" s="122"/>
      <c r="C629" s="144"/>
      <c r="D629" s="144"/>
      <c r="E629" s="144"/>
      <c r="F629" s="144"/>
      <c r="G629" s="144"/>
      <c r="H629" s="144"/>
      <c r="I629" s="144"/>
      <c r="J629" s="144"/>
      <c r="K629" s="144"/>
      <c r="L629" s="144"/>
      <c r="M629" s="144"/>
      <c r="N629" s="144"/>
      <c r="O629" s="144"/>
      <c r="P629" s="144"/>
    </row>
    <row r="630" spans="1:16" x14ac:dyDescent="0.2">
      <c r="A630" s="58" t="str">
        <v>0:00</v>
      </c>
      <c r="B630" s="122"/>
      <c r="C630" s="144"/>
      <c r="D630" s="144"/>
      <c r="E630" s="144"/>
      <c r="F630" s="144"/>
      <c r="G630" s="144"/>
      <c r="H630" s="144"/>
      <c r="I630" s="144"/>
      <c r="J630" s="144"/>
      <c r="K630" s="144"/>
      <c r="L630" s="144"/>
      <c r="M630" s="144"/>
      <c r="N630" s="144"/>
      <c r="O630" s="144"/>
      <c r="P630" s="144"/>
    </row>
    <row r="631" spans="1:16" x14ac:dyDescent="0.2">
      <c r="A631" s="58" t="str">
        <v>0:00</v>
      </c>
      <c r="B631" s="122"/>
      <c r="C631" s="144"/>
      <c r="D631" s="144"/>
      <c r="E631" s="144"/>
      <c r="F631" s="144"/>
      <c r="G631" s="144"/>
      <c r="H631" s="144"/>
      <c r="I631" s="144"/>
      <c r="J631" s="144"/>
      <c r="K631" s="144"/>
      <c r="L631" s="144"/>
      <c r="M631" s="144"/>
      <c r="N631" s="144"/>
      <c r="O631" s="144"/>
      <c r="P631" s="144"/>
    </row>
    <row r="632" spans="1:16" x14ac:dyDescent="0.2">
      <c r="A632" s="58" t="str">
        <v>0:00</v>
      </c>
      <c r="B632" s="122"/>
      <c r="C632" s="144"/>
      <c r="D632" s="144"/>
      <c r="E632" s="144"/>
      <c r="F632" s="144"/>
      <c r="G632" s="144"/>
      <c r="H632" s="144"/>
      <c r="I632" s="144"/>
      <c r="J632" s="144"/>
      <c r="K632" s="144"/>
      <c r="L632" s="144"/>
      <c r="M632" s="144"/>
      <c r="N632" s="144"/>
      <c r="O632" s="144"/>
      <c r="P632" s="144"/>
    </row>
    <row r="633" spans="1:16" x14ac:dyDescent="0.2">
      <c r="A633" s="58" t="str">
        <v>0:00</v>
      </c>
      <c r="B633" s="122"/>
      <c r="C633" s="144"/>
      <c r="D633" s="144"/>
      <c r="E633" s="144"/>
      <c r="F633" s="144"/>
      <c r="G633" s="144"/>
      <c r="H633" s="144"/>
      <c r="I633" s="144"/>
      <c r="J633" s="144"/>
      <c r="K633" s="144"/>
      <c r="L633" s="144"/>
      <c r="M633" s="144"/>
      <c r="N633" s="144"/>
      <c r="O633" s="144"/>
      <c r="P633" s="144"/>
    </row>
    <row r="634" spans="1:16" x14ac:dyDescent="0.2">
      <c r="A634" s="58" t="str">
        <v>0:00</v>
      </c>
      <c r="B634" s="122"/>
      <c r="C634" s="144"/>
      <c r="D634" s="144"/>
      <c r="E634" s="144"/>
      <c r="F634" s="144"/>
      <c r="G634" s="144"/>
      <c r="H634" s="144"/>
      <c r="I634" s="144"/>
      <c r="J634" s="144"/>
      <c r="K634" s="144"/>
      <c r="L634" s="144"/>
      <c r="M634" s="144"/>
      <c r="N634" s="144"/>
      <c r="O634" s="144"/>
      <c r="P634" s="144"/>
    </row>
    <row r="635" spans="1:16" x14ac:dyDescent="0.2">
      <c r="A635" s="58" t="str">
        <v>0:00</v>
      </c>
      <c r="B635" s="122"/>
      <c r="C635" s="144"/>
      <c r="D635" s="144"/>
      <c r="E635" s="144"/>
      <c r="F635" s="144"/>
      <c r="G635" s="144"/>
      <c r="H635" s="144"/>
      <c r="I635" s="144"/>
      <c r="J635" s="144"/>
      <c r="K635" s="144"/>
      <c r="L635" s="144"/>
      <c r="M635" s="144"/>
      <c r="N635" s="144"/>
      <c r="O635" s="144"/>
      <c r="P635" s="144"/>
    </row>
    <row r="636" spans="1:16" x14ac:dyDescent="0.2">
      <c r="A636" s="58" t="str">
        <v>0:00</v>
      </c>
      <c r="B636" s="122"/>
      <c r="C636" s="144"/>
      <c r="D636" s="144"/>
      <c r="E636" s="144"/>
      <c r="F636" s="144"/>
      <c r="G636" s="144"/>
      <c r="H636" s="144"/>
      <c r="I636" s="144"/>
      <c r="J636" s="144"/>
      <c r="K636" s="144"/>
      <c r="L636" s="144"/>
      <c r="M636" s="144"/>
      <c r="N636" s="144"/>
      <c r="O636" s="144"/>
      <c r="P636" s="144"/>
    </row>
    <row r="637" spans="1:16" x14ac:dyDescent="0.2">
      <c r="A637" s="58" t="str">
        <v>0:00</v>
      </c>
      <c r="B637" s="122"/>
      <c r="C637" s="144"/>
      <c r="D637" s="144"/>
      <c r="E637" s="144"/>
      <c r="F637" s="144"/>
      <c r="G637" s="144"/>
      <c r="H637" s="144"/>
      <c r="I637" s="144"/>
      <c r="J637" s="144"/>
      <c r="K637" s="144"/>
      <c r="L637" s="144"/>
      <c r="M637" s="144"/>
      <c r="N637" s="144"/>
      <c r="O637" s="144"/>
      <c r="P637" s="144"/>
    </row>
    <row r="638" spans="1:16" x14ac:dyDescent="0.2">
      <c r="A638" s="58" t="str">
        <v>0:00</v>
      </c>
      <c r="B638" s="122"/>
      <c r="C638" s="144"/>
      <c r="D638" s="144"/>
      <c r="E638" s="144"/>
      <c r="F638" s="144"/>
      <c r="G638" s="144"/>
      <c r="H638" s="144"/>
      <c r="I638" s="144"/>
      <c r="J638" s="144"/>
      <c r="K638" s="144"/>
      <c r="L638" s="144"/>
      <c r="M638" s="144"/>
      <c r="N638" s="144"/>
      <c r="O638" s="144"/>
      <c r="P638" s="144"/>
    </row>
    <row r="639" spans="1:16" x14ac:dyDescent="0.2">
      <c r="A639" s="58" t="str">
        <v>0:00</v>
      </c>
      <c r="B639" s="122"/>
      <c r="C639" s="144"/>
      <c r="D639" s="144"/>
      <c r="E639" s="144"/>
      <c r="F639" s="144"/>
      <c r="G639" s="144"/>
      <c r="H639" s="144"/>
      <c r="I639" s="144"/>
      <c r="J639" s="144"/>
      <c r="K639" s="144"/>
      <c r="L639" s="144"/>
      <c r="M639" s="144"/>
      <c r="N639" s="144"/>
      <c r="O639" s="144"/>
      <c r="P639" s="144"/>
    </row>
    <row r="640" spans="1:16" x14ac:dyDescent="0.2">
      <c r="A640" s="58" t="str">
        <v>0:00</v>
      </c>
      <c r="B640" s="122"/>
      <c r="C640" s="144"/>
      <c r="D640" s="144"/>
      <c r="E640" s="144"/>
      <c r="F640" s="144"/>
      <c r="G640" s="144"/>
      <c r="H640" s="144"/>
      <c r="I640" s="144"/>
      <c r="J640" s="144"/>
      <c r="K640" s="144"/>
      <c r="L640" s="144"/>
      <c r="M640" s="144"/>
      <c r="N640" s="144"/>
      <c r="O640" s="144"/>
      <c r="P640" s="144"/>
    </row>
    <row r="641" spans="1:16" x14ac:dyDescent="0.2">
      <c r="A641" s="58" t="str">
        <v>0:00</v>
      </c>
      <c r="B641" s="122"/>
      <c r="C641" s="144"/>
      <c r="D641" s="144"/>
      <c r="E641" s="144"/>
      <c r="F641" s="144"/>
      <c r="G641" s="144"/>
      <c r="H641" s="144"/>
      <c r="I641" s="144"/>
      <c r="J641" s="144"/>
      <c r="K641" s="144"/>
      <c r="L641" s="144"/>
      <c r="M641" s="144"/>
      <c r="N641" s="144"/>
      <c r="O641" s="144"/>
      <c r="P641" s="144"/>
    </row>
    <row r="642" spans="1:16" x14ac:dyDescent="0.2">
      <c r="A642" s="58" t="str">
        <v>0:00</v>
      </c>
      <c r="B642" s="122"/>
      <c r="C642" s="144"/>
      <c r="D642" s="144"/>
      <c r="E642" s="144"/>
      <c r="F642" s="144"/>
      <c r="G642" s="144"/>
      <c r="H642" s="144"/>
      <c r="I642" s="144"/>
      <c r="J642" s="144"/>
      <c r="K642" s="144"/>
      <c r="L642" s="144"/>
      <c r="M642" s="144"/>
      <c r="N642" s="144"/>
      <c r="O642" s="144"/>
      <c r="P642" s="144"/>
    </row>
    <row r="643" spans="1:16" x14ac:dyDescent="0.2">
      <c r="A643" s="58" t="str">
        <v>0:00</v>
      </c>
      <c r="B643" s="122"/>
      <c r="C643" s="144"/>
      <c r="D643" s="144"/>
      <c r="E643" s="144"/>
      <c r="F643" s="144"/>
      <c r="G643" s="144"/>
      <c r="H643" s="144"/>
      <c r="I643" s="144"/>
      <c r="J643" s="144"/>
      <c r="K643" s="144"/>
      <c r="L643" s="144"/>
      <c r="M643" s="144"/>
      <c r="N643" s="144"/>
      <c r="O643" s="144"/>
      <c r="P643" s="144"/>
    </row>
    <row r="644" spans="1:16" x14ac:dyDescent="0.2">
      <c r="A644" s="58" t="str">
        <v>0:00</v>
      </c>
      <c r="B644" s="122"/>
      <c r="C644" s="144"/>
      <c r="D644" s="144"/>
      <c r="E644" s="144"/>
      <c r="F644" s="144"/>
      <c r="G644" s="144"/>
      <c r="H644" s="144"/>
      <c r="I644" s="144"/>
      <c r="J644" s="144"/>
      <c r="K644" s="144"/>
      <c r="L644" s="144"/>
      <c r="M644" s="144"/>
      <c r="N644" s="144"/>
      <c r="O644" s="144"/>
      <c r="P644" s="144"/>
    </row>
    <row r="645" spans="1:16" x14ac:dyDescent="0.2">
      <c r="A645" s="58" t="str">
        <v>0:00</v>
      </c>
      <c r="B645" s="122"/>
      <c r="C645" s="144"/>
      <c r="D645" s="144"/>
      <c r="E645" s="144"/>
      <c r="F645" s="144"/>
      <c r="G645" s="144"/>
      <c r="H645" s="144"/>
      <c r="I645" s="144"/>
      <c r="J645" s="144"/>
      <c r="K645" s="144"/>
      <c r="L645" s="144"/>
      <c r="M645" s="144"/>
      <c r="N645" s="144"/>
      <c r="O645" s="144"/>
      <c r="P645" s="144"/>
    </row>
    <row r="646" spans="1:16" x14ac:dyDescent="0.2">
      <c r="A646" s="58" t="str">
        <v>0:00</v>
      </c>
      <c r="B646" s="122"/>
      <c r="C646" s="144"/>
      <c r="D646" s="144"/>
      <c r="E646" s="144"/>
      <c r="F646" s="144"/>
      <c r="G646" s="144"/>
      <c r="H646" s="144"/>
      <c r="I646" s="144"/>
      <c r="J646" s="144"/>
      <c r="K646" s="144"/>
      <c r="L646" s="144"/>
      <c r="M646" s="144"/>
      <c r="N646" s="144"/>
      <c r="O646" s="144"/>
      <c r="P646" s="144"/>
    </row>
    <row r="647" spans="1:16" x14ac:dyDescent="0.2">
      <c r="A647" s="58" t="str">
        <v>0:00</v>
      </c>
      <c r="B647" s="122"/>
      <c r="C647" s="144"/>
      <c r="D647" s="144"/>
      <c r="E647" s="144"/>
      <c r="F647" s="144"/>
      <c r="G647" s="144"/>
      <c r="H647" s="144"/>
      <c r="I647" s="144"/>
      <c r="J647" s="144"/>
      <c r="K647" s="144"/>
      <c r="L647" s="144"/>
      <c r="M647" s="144"/>
      <c r="N647" s="144"/>
      <c r="O647" s="144"/>
      <c r="P647" s="144"/>
    </row>
    <row r="648" spans="1:16" x14ac:dyDescent="0.2">
      <c r="A648" s="58" t="str">
        <v>0:00</v>
      </c>
      <c r="B648" s="122"/>
      <c r="C648" s="144"/>
      <c r="D648" s="144"/>
      <c r="E648" s="144"/>
      <c r="F648" s="144"/>
      <c r="G648" s="144"/>
      <c r="H648" s="144"/>
      <c r="I648" s="144"/>
      <c r="J648" s="144"/>
      <c r="K648" s="144"/>
      <c r="L648" s="144"/>
      <c r="M648" s="144"/>
      <c r="N648" s="144"/>
      <c r="O648" s="144"/>
      <c r="P648" s="144"/>
    </row>
    <row r="649" spans="1:16" x14ac:dyDescent="0.2">
      <c r="A649" s="58" t="str">
        <v>0:00</v>
      </c>
      <c r="B649" s="122"/>
      <c r="C649" s="144"/>
      <c r="D649" s="144"/>
      <c r="E649" s="144"/>
      <c r="F649" s="144"/>
      <c r="G649" s="144"/>
      <c r="H649" s="144"/>
      <c r="I649" s="144"/>
      <c r="J649" s="144"/>
      <c r="K649" s="144"/>
      <c r="L649" s="144"/>
      <c r="M649" s="144"/>
      <c r="N649" s="144"/>
      <c r="O649" s="144"/>
      <c r="P649" s="144"/>
    </row>
    <row r="650" spans="1:16" x14ac:dyDescent="0.2">
      <c r="A650" s="58" t="str">
        <v>0:00</v>
      </c>
      <c r="B650" s="122"/>
      <c r="C650" s="144"/>
      <c r="D650" s="144"/>
      <c r="E650" s="144"/>
      <c r="F650" s="144"/>
      <c r="G650" s="144"/>
      <c r="H650" s="144"/>
      <c r="I650" s="144"/>
      <c r="J650" s="144"/>
      <c r="K650" s="144"/>
      <c r="L650" s="144"/>
      <c r="M650" s="144"/>
      <c r="N650" s="144"/>
      <c r="O650" s="144"/>
      <c r="P650" s="144"/>
    </row>
    <row r="651" spans="1:16" x14ac:dyDescent="0.2">
      <c r="A651" s="58" t="str">
        <v>0:00</v>
      </c>
      <c r="B651" s="122"/>
      <c r="C651" s="144"/>
      <c r="D651" s="144"/>
      <c r="E651" s="144"/>
      <c r="F651" s="144"/>
      <c r="G651" s="144"/>
      <c r="H651" s="144"/>
      <c r="I651" s="144"/>
      <c r="J651" s="144"/>
      <c r="K651" s="144"/>
      <c r="L651" s="144"/>
      <c r="M651" s="144"/>
      <c r="N651" s="144"/>
      <c r="O651" s="144"/>
      <c r="P651" s="144"/>
    </row>
    <row r="652" spans="1:16" x14ac:dyDescent="0.2">
      <c r="A652" s="58" t="str">
        <v>0:00</v>
      </c>
      <c r="B652" s="122"/>
      <c r="C652" s="144"/>
      <c r="D652" s="144"/>
      <c r="E652" s="144"/>
      <c r="F652" s="144"/>
      <c r="G652" s="144"/>
      <c r="H652" s="144"/>
      <c r="I652" s="144"/>
      <c r="J652" s="144"/>
      <c r="K652" s="144"/>
      <c r="L652" s="144"/>
      <c r="M652" s="144"/>
      <c r="N652" s="144"/>
      <c r="O652" s="144"/>
      <c r="P652" s="144"/>
    </row>
    <row r="653" spans="1:16" x14ac:dyDescent="0.2">
      <c r="A653" s="58" t="str">
        <v>0:00</v>
      </c>
      <c r="B653" s="122"/>
      <c r="C653" s="144"/>
      <c r="D653" s="144"/>
      <c r="E653" s="144"/>
      <c r="F653" s="144"/>
      <c r="G653" s="144"/>
      <c r="H653" s="144"/>
      <c r="I653" s="144"/>
      <c r="J653" s="144"/>
      <c r="K653" s="144"/>
      <c r="L653" s="144"/>
      <c r="M653" s="144"/>
      <c r="N653" s="144"/>
      <c r="O653" s="144"/>
      <c r="P653" s="144"/>
    </row>
    <row r="654" spans="1:16" x14ac:dyDescent="0.2">
      <c r="A654" s="58" t="str">
        <v>0:00</v>
      </c>
      <c r="B654" s="122"/>
      <c r="C654" s="144"/>
      <c r="D654" s="144"/>
      <c r="E654" s="144"/>
      <c r="F654" s="144"/>
      <c r="G654" s="144"/>
      <c r="H654" s="144"/>
      <c r="I654" s="144"/>
      <c r="J654" s="144"/>
      <c r="K654" s="144"/>
      <c r="L654" s="144"/>
      <c r="M654" s="144"/>
      <c r="N654" s="144"/>
      <c r="O654" s="144"/>
      <c r="P654" s="144"/>
    </row>
    <row r="655" spans="1:16" x14ac:dyDescent="0.2">
      <c r="A655" s="58" t="str">
        <v>0:00</v>
      </c>
      <c r="B655" s="122"/>
      <c r="C655" s="144"/>
      <c r="D655" s="144"/>
      <c r="E655" s="144"/>
      <c r="F655" s="144"/>
      <c r="G655" s="144"/>
      <c r="H655" s="144"/>
      <c r="I655" s="144"/>
      <c r="J655" s="144"/>
      <c r="K655" s="144"/>
      <c r="L655" s="144"/>
      <c r="M655" s="144"/>
      <c r="N655" s="144"/>
      <c r="O655" s="144"/>
      <c r="P655" s="144"/>
    </row>
    <row r="656" spans="1:16" x14ac:dyDescent="0.2">
      <c r="A656" s="58" t="str">
        <v>0:00</v>
      </c>
      <c r="B656" s="122"/>
      <c r="C656" s="144"/>
      <c r="D656" s="144"/>
      <c r="E656" s="144"/>
      <c r="F656" s="144"/>
      <c r="G656" s="144"/>
      <c r="H656" s="144"/>
      <c r="I656" s="144"/>
      <c r="J656" s="144"/>
      <c r="K656" s="144"/>
      <c r="L656" s="144"/>
      <c r="M656" s="144"/>
      <c r="N656" s="144"/>
      <c r="O656" s="144"/>
      <c r="P656" s="144"/>
    </row>
    <row r="657" spans="1:16" x14ac:dyDescent="0.2">
      <c r="A657" s="58" t="str">
        <v>0:00</v>
      </c>
      <c r="B657" s="122"/>
      <c r="C657" s="144"/>
      <c r="D657" s="144"/>
      <c r="E657" s="144"/>
      <c r="F657" s="144"/>
      <c r="G657" s="144"/>
      <c r="H657" s="144"/>
      <c r="I657" s="144"/>
      <c r="J657" s="144"/>
      <c r="K657" s="144"/>
      <c r="L657" s="144"/>
      <c r="M657" s="144"/>
      <c r="N657" s="144"/>
      <c r="O657" s="144"/>
      <c r="P657" s="144"/>
    </row>
    <row r="658" spans="1:16" x14ac:dyDescent="0.2">
      <c r="A658" s="58" t="str">
        <v>0:00</v>
      </c>
      <c r="B658" s="122"/>
      <c r="C658" s="144"/>
      <c r="D658" s="144"/>
      <c r="E658" s="144"/>
      <c r="F658" s="144"/>
      <c r="G658" s="144"/>
      <c r="H658" s="144"/>
      <c r="I658" s="144"/>
      <c r="J658" s="144"/>
      <c r="K658" s="144"/>
      <c r="L658" s="144"/>
      <c r="M658" s="144"/>
      <c r="N658" s="144"/>
      <c r="O658" s="144"/>
      <c r="P658" s="144"/>
    </row>
    <row r="659" spans="1:16" x14ac:dyDescent="0.2">
      <c r="A659" s="58" t="str">
        <v>0:00</v>
      </c>
      <c r="B659" s="122"/>
      <c r="C659" s="144"/>
      <c r="D659" s="144"/>
      <c r="E659" s="144"/>
      <c r="F659" s="144"/>
      <c r="G659" s="144"/>
      <c r="H659" s="144"/>
      <c r="I659" s="144"/>
      <c r="J659" s="144"/>
      <c r="K659" s="144"/>
      <c r="L659" s="144"/>
      <c r="M659" s="144"/>
      <c r="N659" s="144"/>
      <c r="O659" s="144"/>
      <c r="P659" s="144"/>
    </row>
    <row r="660" spans="1:16" x14ac:dyDescent="0.2">
      <c r="A660" s="58" t="str">
        <v>0:00</v>
      </c>
      <c r="B660" s="122"/>
      <c r="C660" s="144"/>
      <c r="D660" s="144"/>
      <c r="E660" s="144"/>
      <c r="F660" s="144"/>
      <c r="G660" s="144"/>
      <c r="H660" s="144"/>
      <c r="I660" s="144"/>
      <c r="J660" s="144"/>
      <c r="K660" s="144"/>
      <c r="L660" s="144"/>
      <c r="M660" s="144"/>
      <c r="N660" s="144"/>
      <c r="O660" s="144"/>
      <c r="P660" s="144"/>
    </row>
    <row r="661" spans="1:16" x14ac:dyDescent="0.2">
      <c r="A661" s="58" t="str">
        <v>0:00</v>
      </c>
      <c r="B661" s="122"/>
      <c r="C661" s="144"/>
      <c r="D661" s="144"/>
      <c r="E661" s="144"/>
      <c r="F661" s="144"/>
      <c r="G661" s="144"/>
      <c r="H661" s="144"/>
      <c r="I661" s="144"/>
      <c r="J661" s="144"/>
      <c r="K661" s="144"/>
      <c r="L661" s="144"/>
      <c r="M661" s="144"/>
      <c r="N661" s="144"/>
      <c r="O661" s="144"/>
      <c r="P661" s="144"/>
    </row>
    <row r="662" spans="1:16" x14ac:dyDescent="0.2">
      <c r="A662" s="58" t="str">
        <v>0:00</v>
      </c>
      <c r="B662" s="122"/>
      <c r="C662" s="144"/>
      <c r="D662" s="144"/>
      <c r="E662" s="144"/>
      <c r="F662" s="144"/>
      <c r="G662" s="144"/>
      <c r="H662" s="144"/>
      <c r="I662" s="144"/>
      <c r="J662" s="144"/>
      <c r="K662" s="144"/>
      <c r="L662" s="144"/>
      <c r="M662" s="144"/>
      <c r="N662" s="144"/>
      <c r="O662" s="144"/>
      <c r="P662" s="144"/>
    </row>
    <row r="663" spans="1:16" x14ac:dyDescent="0.2">
      <c r="A663" s="58" t="str">
        <v>0:00</v>
      </c>
      <c r="B663" s="122"/>
      <c r="C663" s="144"/>
      <c r="D663" s="144"/>
      <c r="E663" s="144"/>
      <c r="F663" s="144"/>
      <c r="G663" s="144"/>
      <c r="H663" s="144"/>
      <c r="I663" s="144"/>
      <c r="J663" s="144"/>
      <c r="K663" s="144"/>
      <c r="L663" s="144"/>
      <c r="M663" s="144"/>
      <c r="N663" s="144"/>
      <c r="O663" s="144"/>
      <c r="P663" s="144"/>
    </row>
    <row r="664" spans="1:16" x14ac:dyDescent="0.2">
      <c r="A664" s="58" t="str">
        <v>0:00</v>
      </c>
      <c r="B664" s="122"/>
      <c r="C664" s="144"/>
      <c r="D664" s="144"/>
      <c r="E664" s="144"/>
      <c r="F664" s="144"/>
      <c r="G664" s="144"/>
      <c r="H664" s="144"/>
      <c r="I664" s="144"/>
      <c r="J664" s="144"/>
      <c r="K664" s="144"/>
      <c r="L664" s="144"/>
      <c r="M664" s="144"/>
      <c r="N664" s="144"/>
      <c r="O664" s="144"/>
      <c r="P664" s="144"/>
    </row>
    <row r="665" spans="1:16" x14ac:dyDescent="0.2">
      <c r="A665" s="58" t="str">
        <v>0:00</v>
      </c>
      <c r="B665" s="122"/>
      <c r="C665" s="144"/>
      <c r="D665" s="144"/>
      <c r="E665" s="144"/>
      <c r="F665" s="144"/>
      <c r="G665" s="144"/>
      <c r="H665" s="144"/>
      <c r="I665" s="144"/>
      <c r="J665" s="144"/>
      <c r="K665" s="144"/>
      <c r="L665" s="144"/>
      <c r="M665" s="144"/>
      <c r="N665" s="144"/>
      <c r="O665" s="144"/>
      <c r="P665" s="144"/>
    </row>
    <row r="666" spans="1:16" x14ac:dyDescent="0.2">
      <c r="A666" s="58" t="str">
        <v>0:00</v>
      </c>
      <c r="B666" s="122"/>
      <c r="C666" s="144"/>
      <c r="D666" s="144"/>
      <c r="E666" s="144"/>
      <c r="F666" s="144"/>
      <c r="G666" s="144"/>
      <c r="H666" s="144"/>
      <c r="I666" s="144"/>
      <c r="J666" s="144"/>
      <c r="K666" s="144"/>
      <c r="L666" s="144"/>
      <c r="M666" s="144"/>
      <c r="N666" s="144"/>
      <c r="O666" s="144"/>
      <c r="P666" s="144"/>
    </row>
    <row r="667" spans="1:16" x14ac:dyDescent="0.2">
      <c r="A667" s="58" t="str">
        <v>0:00</v>
      </c>
      <c r="B667" s="122"/>
      <c r="C667" s="144"/>
      <c r="D667" s="144"/>
      <c r="E667" s="144"/>
      <c r="F667" s="144"/>
      <c r="G667" s="144"/>
      <c r="H667" s="144"/>
      <c r="I667" s="144"/>
      <c r="J667" s="144"/>
      <c r="K667" s="144"/>
      <c r="L667" s="144"/>
      <c r="M667" s="144"/>
      <c r="N667" s="144"/>
      <c r="O667" s="144"/>
      <c r="P667" s="144"/>
    </row>
    <row r="668" spans="1:16" x14ac:dyDescent="0.2">
      <c r="A668" s="58" t="str">
        <v>0:00</v>
      </c>
      <c r="B668" s="122"/>
      <c r="C668" s="144"/>
      <c r="D668" s="144"/>
      <c r="E668" s="144"/>
      <c r="F668" s="144"/>
      <c r="G668" s="144"/>
      <c r="H668" s="144"/>
      <c r="I668" s="144"/>
      <c r="J668" s="144"/>
      <c r="K668" s="144"/>
      <c r="L668" s="144"/>
      <c r="M668" s="144"/>
      <c r="N668" s="144"/>
      <c r="O668" s="144"/>
      <c r="P668" s="144"/>
    </row>
    <row r="669" spans="1:16" x14ac:dyDescent="0.2">
      <c r="A669" s="58" t="str">
        <v>0:00</v>
      </c>
      <c r="B669" s="122"/>
      <c r="C669" s="144"/>
      <c r="D669" s="144"/>
      <c r="E669" s="144"/>
      <c r="F669" s="144"/>
      <c r="G669" s="144"/>
      <c r="H669" s="144"/>
      <c r="I669" s="144"/>
      <c r="J669" s="144"/>
      <c r="K669" s="144"/>
      <c r="L669" s="144"/>
      <c r="M669" s="144"/>
      <c r="N669" s="144"/>
      <c r="O669" s="144"/>
      <c r="P669" s="144"/>
    </row>
    <row r="670" spans="1:16" x14ac:dyDescent="0.2">
      <c r="A670" s="58" t="str">
        <v>0:00</v>
      </c>
      <c r="B670" s="122"/>
      <c r="C670" s="144"/>
      <c r="D670" s="144"/>
      <c r="E670" s="144"/>
      <c r="F670" s="144"/>
      <c r="G670" s="144"/>
      <c r="H670" s="144"/>
      <c r="I670" s="144"/>
      <c r="J670" s="144"/>
      <c r="K670" s="144"/>
      <c r="L670" s="144"/>
      <c r="M670" s="144"/>
      <c r="N670" s="144"/>
      <c r="O670" s="144"/>
      <c r="P670" s="144"/>
    </row>
    <row r="671" spans="1:16" x14ac:dyDescent="0.2">
      <c r="A671" s="58" t="str">
        <v>0:00</v>
      </c>
      <c r="B671" s="122"/>
      <c r="C671" s="144"/>
      <c r="D671" s="144"/>
      <c r="E671" s="144"/>
      <c r="F671" s="144"/>
      <c r="G671" s="144"/>
      <c r="H671" s="144"/>
      <c r="I671" s="144"/>
      <c r="J671" s="144"/>
      <c r="K671" s="144"/>
      <c r="L671" s="144"/>
      <c r="M671" s="144"/>
      <c r="N671" s="144"/>
      <c r="O671" s="144"/>
      <c r="P671" s="144"/>
    </row>
    <row r="672" spans="1:16" x14ac:dyDescent="0.2">
      <c r="A672" s="58" t="str">
        <v>0:00</v>
      </c>
      <c r="B672" s="122"/>
      <c r="C672" s="144"/>
      <c r="D672" s="144"/>
      <c r="E672" s="144"/>
      <c r="F672" s="144"/>
      <c r="G672" s="144"/>
      <c r="H672" s="144"/>
      <c r="I672" s="144"/>
      <c r="J672" s="144"/>
      <c r="K672" s="144"/>
      <c r="L672" s="144"/>
      <c r="M672" s="144"/>
      <c r="N672" s="144"/>
      <c r="O672" s="144"/>
      <c r="P672" s="144"/>
    </row>
    <row r="673" spans="1:16" x14ac:dyDescent="0.2">
      <c r="A673" s="58" t="str">
        <v>0:00</v>
      </c>
      <c r="B673" s="122"/>
      <c r="C673" s="144"/>
      <c r="D673" s="144"/>
      <c r="E673" s="144"/>
      <c r="F673" s="144"/>
      <c r="G673" s="144"/>
      <c r="H673" s="144"/>
      <c r="I673" s="144"/>
      <c r="J673" s="144"/>
      <c r="K673" s="144"/>
      <c r="L673" s="144"/>
      <c r="M673" s="144"/>
      <c r="N673" s="144"/>
      <c r="O673" s="144"/>
      <c r="P673" s="144"/>
    </row>
    <row r="674" spans="1:16" x14ac:dyDescent="0.2">
      <c r="A674" s="58" t="str">
        <v>0:00</v>
      </c>
      <c r="B674" s="122"/>
      <c r="C674" s="144"/>
      <c r="D674" s="144"/>
      <c r="E674" s="144"/>
      <c r="F674" s="144"/>
      <c r="G674" s="144"/>
      <c r="H674" s="144"/>
      <c r="I674" s="144"/>
      <c r="J674" s="144"/>
      <c r="K674" s="144"/>
      <c r="L674" s="144"/>
      <c r="M674" s="144"/>
      <c r="N674" s="144"/>
      <c r="O674" s="144"/>
      <c r="P674" s="144"/>
    </row>
    <row r="675" spans="1:16" x14ac:dyDescent="0.2">
      <c r="A675" s="58" t="str">
        <v>0:00</v>
      </c>
      <c r="B675" s="122"/>
      <c r="C675" s="144"/>
      <c r="D675" s="144"/>
      <c r="E675" s="144"/>
      <c r="F675" s="144"/>
      <c r="G675" s="144"/>
      <c r="H675" s="144"/>
      <c r="I675" s="144"/>
      <c r="J675" s="144"/>
      <c r="K675" s="144"/>
      <c r="L675" s="144"/>
      <c r="M675" s="144"/>
      <c r="N675" s="144"/>
      <c r="O675" s="144"/>
      <c r="P675" s="144"/>
    </row>
    <row r="676" spans="1:16" x14ac:dyDescent="0.2">
      <c r="A676" s="58" t="str">
        <v>0:00</v>
      </c>
      <c r="B676" s="122"/>
      <c r="C676" s="144"/>
      <c r="D676" s="144"/>
      <c r="E676" s="144"/>
      <c r="F676" s="144"/>
      <c r="G676" s="144"/>
      <c r="H676" s="144"/>
      <c r="I676" s="144"/>
      <c r="J676" s="144"/>
      <c r="K676" s="144"/>
      <c r="L676" s="144"/>
      <c r="M676" s="144"/>
      <c r="N676" s="144"/>
      <c r="O676" s="144"/>
      <c r="P676" s="144"/>
    </row>
    <row r="677" spans="1:16" x14ac:dyDescent="0.2">
      <c r="A677" s="58" t="str">
        <v>0:00</v>
      </c>
      <c r="B677" s="122"/>
      <c r="C677" s="144"/>
      <c r="D677" s="144"/>
      <c r="E677" s="144"/>
      <c r="F677" s="144"/>
      <c r="G677" s="144"/>
      <c r="H677" s="144"/>
      <c r="I677" s="144"/>
      <c r="J677" s="144"/>
      <c r="K677" s="144"/>
      <c r="L677" s="144"/>
      <c r="M677" s="144"/>
      <c r="N677" s="144"/>
      <c r="O677" s="144"/>
      <c r="P677" s="144"/>
    </row>
    <row r="678" spans="1:16" x14ac:dyDescent="0.2">
      <c r="A678" s="58" t="str">
        <v>0:00</v>
      </c>
      <c r="B678" s="122"/>
      <c r="C678" s="144"/>
      <c r="D678" s="144"/>
      <c r="E678" s="144"/>
      <c r="F678" s="144"/>
      <c r="G678" s="144"/>
      <c r="H678" s="144"/>
      <c r="I678" s="144"/>
      <c r="J678" s="144"/>
      <c r="K678" s="144"/>
      <c r="L678" s="144"/>
      <c r="M678" s="144"/>
      <c r="N678" s="144"/>
      <c r="O678" s="144"/>
      <c r="P678" s="144"/>
    </row>
    <row r="679" spans="1:16" x14ac:dyDescent="0.2">
      <c r="A679" s="58" t="str">
        <v>0:00</v>
      </c>
      <c r="B679" s="122"/>
      <c r="C679" s="144"/>
      <c r="D679" s="144"/>
      <c r="E679" s="144"/>
      <c r="F679" s="144"/>
      <c r="G679" s="144"/>
      <c r="H679" s="144"/>
      <c r="I679" s="144"/>
      <c r="J679" s="144"/>
      <c r="K679" s="144"/>
      <c r="L679" s="144"/>
      <c r="M679" s="144"/>
      <c r="N679" s="144"/>
      <c r="O679" s="144"/>
      <c r="P679" s="144"/>
    </row>
    <row r="680" spans="1:16" x14ac:dyDescent="0.2">
      <c r="A680" s="58" t="str">
        <v>0:00</v>
      </c>
      <c r="B680" s="122"/>
      <c r="C680" s="144"/>
      <c r="D680" s="144"/>
      <c r="E680" s="144"/>
      <c r="F680" s="144"/>
      <c r="G680" s="144"/>
      <c r="H680" s="144"/>
      <c r="I680" s="144"/>
      <c r="J680" s="144"/>
      <c r="K680" s="144"/>
      <c r="L680" s="144"/>
      <c r="M680" s="144"/>
      <c r="N680" s="144"/>
      <c r="O680" s="144"/>
      <c r="P680" s="144"/>
    </row>
    <row r="681" spans="1:16" x14ac:dyDescent="0.2">
      <c r="A681" s="58" t="str">
        <v>0:00</v>
      </c>
      <c r="B681" s="122"/>
      <c r="C681" s="144"/>
      <c r="D681" s="144"/>
      <c r="E681" s="144"/>
      <c r="F681" s="144"/>
      <c r="G681" s="144"/>
      <c r="H681" s="144"/>
      <c r="I681" s="144"/>
      <c r="J681" s="144"/>
      <c r="K681" s="144"/>
      <c r="L681" s="144"/>
      <c r="M681" s="144"/>
      <c r="N681" s="144"/>
      <c r="O681" s="144"/>
      <c r="P681" s="144"/>
    </row>
    <row r="682" spans="1:16" x14ac:dyDescent="0.2">
      <c r="A682" s="58" t="str">
        <v>0:00</v>
      </c>
      <c r="B682" s="122"/>
      <c r="C682" s="144"/>
      <c r="D682" s="144"/>
      <c r="E682" s="144"/>
      <c r="F682" s="144"/>
      <c r="G682" s="144"/>
      <c r="H682" s="144"/>
      <c r="I682" s="144"/>
      <c r="J682" s="144"/>
      <c r="K682" s="144"/>
      <c r="L682" s="144"/>
      <c r="M682" s="144"/>
      <c r="N682" s="144"/>
      <c r="O682" s="144"/>
      <c r="P682" s="144"/>
    </row>
    <row r="683" spans="1:16" x14ac:dyDescent="0.2">
      <c r="A683" s="58" t="str">
        <v>0:00</v>
      </c>
      <c r="B683" s="122"/>
      <c r="C683" s="144"/>
      <c r="D683" s="144"/>
      <c r="E683" s="144"/>
      <c r="F683" s="144"/>
      <c r="G683" s="144"/>
      <c r="H683" s="144"/>
      <c r="I683" s="144"/>
      <c r="J683" s="144"/>
      <c r="K683" s="144"/>
      <c r="L683" s="144"/>
      <c r="M683" s="144"/>
      <c r="N683" s="144"/>
      <c r="O683" s="144"/>
      <c r="P683" s="144"/>
    </row>
    <row r="684" spans="1:16" x14ac:dyDescent="0.2">
      <c r="A684" s="58" t="str">
        <v>0:00</v>
      </c>
      <c r="B684" s="122"/>
      <c r="C684" s="144"/>
      <c r="D684" s="144"/>
      <c r="E684" s="144"/>
      <c r="F684" s="144"/>
      <c r="G684" s="144"/>
      <c r="H684" s="144"/>
      <c r="I684" s="144"/>
      <c r="J684" s="144"/>
      <c r="K684" s="144"/>
      <c r="L684" s="144"/>
      <c r="M684" s="144"/>
      <c r="N684" s="144"/>
      <c r="O684" s="144"/>
      <c r="P684" s="144"/>
    </row>
    <row r="685" spans="1:16" x14ac:dyDescent="0.2">
      <c r="A685" s="58" t="str">
        <v>0:00</v>
      </c>
      <c r="B685" s="122"/>
      <c r="C685" s="144"/>
      <c r="D685" s="144"/>
      <c r="E685" s="144"/>
      <c r="F685" s="144"/>
      <c r="G685" s="144"/>
      <c r="H685" s="144"/>
      <c r="I685" s="144"/>
      <c r="J685" s="144"/>
      <c r="K685" s="144"/>
      <c r="L685" s="144"/>
      <c r="M685" s="144"/>
      <c r="N685" s="144"/>
      <c r="O685" s="144"/>
      <c r="P685" s="144"/>
    </row>
    <row r="686" spans="1:16" x14ac:dyDescent="0.2">
      <c r="A686" s="58" t="str">
        <v>0:00</v>
      </c>
      <c r="B686" s="122"/>
      <c r="C686" s="144"/>
      <c r="D686" s="144"/>
      <c r="E686" s="144"/>
      <c r="F686" s="144"/>
      <c r="G686" s="144"/>
      <c r="H686" s="144"/>
      <c r="I686" s="144"/>
      <c r="J686" s="144"/>
      <c r="K686" s="144"/>
      <c r="L686" s="144"/>
      <c r="M686" s="144"/>
      <c r="N686" s="144"/>
      <c r="O686" s="144"/>
      <c r="P686" s="144"/>
    </row>
    <row r="687" spans="1:16" x14ac:dyDescent="0.2">
      <c r="A687" s="58" t="str">
        <v>0:00</v>
      </c>
      <c r="B687" s="122"/>
      <c r="C687" s="144"/>
      <c r="D687" s="144"/>
      <c r="E687" s="144"/>
      <c r="F687" s="144"/>
      <c r="G687" s="144"/>
      <c r="H687" s="144"/>
      <c r="I687" s="144"/>
      <c r="J687" s="144"/>
      <c r="K687" s="144"/>
      <c r="L687" s="144"/>
      <c r="M687" s="144"/>
      <c r="N687" s="144"/>
      <c r="O687" s="144"/>
      <c r="P687" s="144"/>
    </row>
    <row r="688" spans="1:16" x14ac:dyDescent="0.2">
      <c r="A688" s="58" t="str">
        <v>0:00</v>
      </c>
      <c r="B688" s="122"/>
      <c r="C688" s="144"/>
      <c r="D688" s="144"/>
      <c r="E688" s="144"/>
      <c r="F688" s="144"/>
      <c r="G688" s="144"/>
      <c r="H688" s="144"/>
      <c r="I688" s="144"/>
      <c r="J688" s="144"/>
      <c r="K688" s="144"/>
      <c r="L688" s="144"/>
      <c r="M688" s="144"/>
      <c r="N688" s="144"/>
      <c r="O688" s="144"/>
      <c r="P688" s="144"/>
    </row>
    <row r="689" spans="1:16" x14ac:dyDescent="0.2">
      <c r="A689" s="58" t="str">
        <v>0:00</v>
      </c>
      <c r="B689" s="122"/>
      <c r="C689" s="144"/>
      <c r="D689" s="144"/>
      <c r="E689" s="144"/>
      <c r="F689" s="144"/>
      <c r="G689" s="144"/>
      <c r="H689" s="144"/>
      <c r="I689" s="144"/>
      <c r="J689" s="144"/>
      <c r="K689" s="144"/>
      <c r="L689" s="144"/>
      <c r="M689" s="144"/>
      <c r="N689" s="144"/>
      <c r="O689" s="144"/>
      <c r="P689" s="144"/>
    </row>
    <row r="690" spans="1:16" x14ac:dyDescent="0.2">
      <c r="A690" s="58" t="str">
        <v>0:00</v>
      </c>
      <c r="B690" s="122"/>
      <c r="C690" s="144"/>
      <c r="D690" s="144"/>
      <c r="E690" s="144"/>
      <c r="F690" s="144"/>
      <c r="G690" s="144"/>
      <c r="H690" s="144"/>
      <c r="I690" s="144"/>
      <c r="J690" s="144"/>
      <c r="K690" s="144"/>
      <c r="L690" s="144"/>
      <c r="M690" s="144"/>
      <c r="N690" s="144"/>
      <c r="O690" s="144"/>
      <c r="P690" s="144"/>
    </row>
    <row r="691" spans="1:16" x14ac:dyDescent="0.2">
      <c r="A691" s="58" t="str">
        <v>0:00</v>
      </c>
      <c r="B691" s="122"/>
      <c r="C691" s="144"/>
      <c r="D691" s="144"/>
      <c r="E691" s="144"/>
      <c r="F691" s="144"/>
      <c r="G691" s="144"/>
      <c r="H691" s="144"/>
      <c r="I691" s="144"/>
      <c r="J691" s="144"/>
      <c r="K691" s="144"/>
      <c r="L691" s="144"/>
      <c r="M691" s="144"/>
      <c r="N691" s="144"/>
      <c r="O691" s="144"/>
      <c r="P691" s="144"/>
    </row>
    <row r="692" spans="1:16" x14ac:dyDescent="0.2">
      <c r="A692" s="58" t="str">
        <v>0:00</v>
      </c>
      <c r="B692" s="122"/>
      <c r="C692" s="144"/>
      <c r="D692" s="144"/>
      <c r="E692" s="144"/>
      <c r="F692" s="144"/>
      <c r="G692" s="144"/>
      <c r="H692" s="144"/>
      <c r="I692" s="144"/>
      <c r="J692" s="144"/>
      <c r="K692" s="144"/>
      <c r="L692" s="144"/>
      <c r="M692" s="144"/>
      <c r="N692" s="144"/>
      <c r="O692" s="144"/>
      <c r="P692" s="144"/>
    </row>
    <row r="693" spans="1:16" x14ac:dyDescent="0.2">
      <c r="A693" s="58" t="str">
        <v>0:00</v>
      </c>
      <c r="B693" s="122"/>
      <c r="C693" s="144"/>
      <c r="D693" s="144"/>
      <c r="E693" s="144"/>
      <c r="F693" s="144"/>
      <c r="G693" s="144"/>
      <c r="H693" s="144"/>
      <c r="I693" s="144"/>
      <c r="J693" s="144"/>
      <c r="K693" s="144"/>
      <c r="L693" s="144"/>
      <c r="M693" s="144"/>
      <c r="N693" s="144"/>
      <c r="O693" s="144"/>
      <c r="P693" s="144"/>
    </row>
    <row r="694" spans="1:16" x14ac:dyDescent="0.2">
      <c r="A694" s="58" t="str">
        <v>0:00</v>
      </c>
      <c r="B694" s="122"/>
      <c r="C694" s="144"/>
      <c r="D694" s="144"/>
      <c r="E694" s="144"/>
      <c r="F694" s="144"/>
      <c r="G694" s="144"/>
      <c r="H694" s="144"/>
      <c r="I694" s="144"/>
      <c r="J694" s="144"/>
      <c r="K694" s="144"/>
      <c r="L694" s="144"/>
      <c r="M694" s="144"/>
      <c r="N694" s="144"/>
      <c r="O694" s="144"/>
      <c r="P694" s="144"/>
    </row>
    <row r="695" spans="1:16" x14ac:dyDescent="0.2">
      <c r="A695" s="58" t="str">
        <v>0:00</v>
      </c>
      <c r="B695" s="122"/>
      <c r="C695" s="144"/>
      <c r="D695" s="144"/>
      <c r="E695" s="144"/>
      <c r="F695" s="144"/>
      <c r="G695" s="144"/>
      <c r="H695" s="144"/>
      <c r="I695" s="144"/>
      <c r="J695" s="144"/>
      <c r="K695" s="144"/>
      <c r="L695" s="144"/>
      <c r="M695" s="144"/>
      <c r="N695" s="144"/>
      <c r="O695" s="144"/>
      <c r="P695" s="144"/>
    </row>
    <row r="696" spans="1:16" x14ac:dyDescent="0.2">
      <c r="A696" s="58" t="str">
        <v>0:00</v>
      </c>
      <c r="B696" s="122"/>
      <c r="C696" s="144"/>
      <c r="D696" s="144"/>
      <c r="E696" s="144"/>
      <c r="F696" s="144"/>
      <c r="G696" s="144"/>
      <c r="H696" s="144"/>
      <c r="I696" s="144"/>
      <c r="J696" s="144"/>
      <c r="K696" s="144"/>
      <c r="L696" s="144"/>
      <c r="M696" s="144"/>
      <c r="N696" s="144"/>
      <c r="O696" s="144"/>
      <c r="P696" s="144"/>
    </row>
    <row r="697" spans="1:16" x14ac:dyDescent="0.2">
      <c r="A697" s="58" t="str">
        <v>0:00</v>
      </c>
      <c r="B697" s="122"/>
      <c r="C697" s="144"/>
      <c r="D697" s="144"/>
      <c r="E697" s="144"/>
      <c r="F697" s="144"/>
      <c r="G697" s="144"/>
      <c r="H697" s="144"/>
      <c r="I697" s="144"/>
      <c r="J697" s="144"/>
      <c r="K697" s="144"/>
      <c r="L697" s="144"/>
      <c r="M697" s="144"/>
      <c r="N697" s="144"/>
      <c r="O697" s="144"/>
      <c r="P697" s="144"/>
    </row>
    <row r="698" spans="1:16" x14ac:dyDescent="0.2">
      <c r="A698" s="58" t="str">
        <v>0:00</v>
      </c>
      <c r="B698" s="122"/>
      <c r="C698" s="144"/>
      <c r="D698" s="144"/>
      <c r="E698" s="144"/>
      <c r="F698" s="144"/>
      <c r="G698" s="144"/>
      <c r="H698" s="144"/>
      <c r="I698" s="144"/>
      <c r="J698" s="144"/>
      <c r="K698" s="144"/>
      <c r="L698" s="144"/>
      <c r="M698" s="144"/>
      <c r="N698" s="144"/>
      <c r="O698" s="144"/>
      <c r="P698" s="144"/>
    </row>
    <row r="699" spans="1:16" x14ac:dyDescent="0.2">
      <c r="A699" s="58" t="str">
        <v>0:00</v>
      </c>
      <c r="B699" s="122"/>
      <c r="C699" s="144"/>
      <c r="D699" s="144"/>
      <c r="E699" s="144"/>
      <c r="F699" s="144"/>
      <c r="G699" s="144"/>
      <c r="H699" s="144"/>
      <c r="I699" s="144"/>
      <c r="J699" s="144"/>
      <c r="K699" s="144"/>
      <c r="L699" s="144"/>
      <c r="M699" s="144"/>
      <c r="N699" s="144"/>
      <c r="O699" s="144"/>
      <c r="P699" s="144"/>
    </row>
    <row r="700" spans="1:16" x14ac:dyDescent="0.2">
      <c r="A700" s="58" t="str">
        <v>0:00</v>
      </c>
      <c r="B700" s="122"/>
      <c r="C700" s="144"/>
      <c r="D700" s="144"/>
      <c r="E700" s="144"/>
      <c r="F700" s="144"/>
      <c r="G700" s="144"/>
      <c r="H700" s="144"/>
      <c r="I700" s="144"/>
      <c r="J700" s="144"/>
      <c r="K700" s="144"/>
      <c r="L700" s="144"/>
      <c r="M700" s="144"/>
      <c r="N700" s="144"/>
      <c r="O700" s="144"/>
      <c r="P700" s="144"/>
    </row>
    <row r="701" spans="1:16" x14ac:dyDescent="0.2">
      <c r="A701" s="58" t="str">
        <v>0:00</v>
      </c>
      <c r="B701" s="122"/>
      <c r="C701" s="144"/>
      <c r="D701" s="144"/>
      <c r="E701" s="144"/>
      <c r="F701" s="144"/>
      <c r="G701" s="144"/>
      <c r="H701" s="144"/>
      <c r="I701" s="144"/>
      <c r="J701" s="144"/>
      <c r="K701" s="144"/>
      <c r="L701" s="144"/>
      <c r="M701" s="144"/>
      <c r="N701" s="144"/>
      <c r="O701" s="144"/>
      <c r="P701" s="144"/>
    </row>
    <row r="702" spans="1:16" x14ac:dyDescent="0.2">
      <c r="A702" s="58" t="str">
        <v>0:00</v>
      </c>
      <c r="B702" s="122"/>
      <c r="C702" s="144"/>
      <c r="D702" s="144"/>
      <c r="E702" s="144"/>
      <c r="F702" s="144"/>
      <c r="G702" s="144"/>
      <c r="H702" s="144"/>
      <c r="I702" s="144"/>
      <c r="J702" s="144"/>
      <c r="K702" s="144"/>
      <c r="L702" s="144"/>
      <c r="M702" s="144"/>
      <c r="N702" s="144"/>
      <c r="O702" s="144"/>
      <c r="P702" s="144"/>
    </row>
    <row r="703" spans="1:16" x14ac:dyDescent="0.2">
      <c r="A703" s="58" t="str">
        <v>0:00</v>
      </c>
      <c r="B703" s="122"/>
      <c r="C703" s="144"/>
      <c r="D703" s="144"/>
      <c r="E703" s="144"/>
      <c r="F703" s="144"/>
      <c r="G703" s="144"/>
      <c r="H703" s="144"/>
      <c r="I703" s="144"/>
      <c r="J703" s="144"/>
      <c r="K703" s="144"/>
      <c r="L703" s="144"/>
      <c r="M703" s="144"/>
      <c r="N703" s="144"/>
      <c r="O703" s="144"/>
      <c r="P703" s="144"/>
    </row>
    <row r="704" spans="1:16" x14ac:dyDescent="0.2">
      <c r="A704" s="58" t="str">
        <v>0:00</v>
      </c>
      <c r="B704" s="122"/>
      <c r="C704" s="144"/>
      <c r="D704" s="144"/>
      <c r="E704" s="144"/>
      <c r="F704" s="144"/>
      <c r="G704" s="144"/>
      <c r="H704" s="144"/>
      <c r="I704" s="144"/>
      <c r="J704" s="144"/>
      <c r="K704" s="144"/>
      <c r="L704" s="144"/>
      <c r="M704" s="144"/>
      <c r="N704" s="144"/>
      <c r="O704" s="144"/>
      <c r="P704" s="144"/>
    </row>
    <row r="705" spans="1:16" x14ac:dyDescent="0.2">
      <c r="A705" s="58" t="str">
        <v>0:00</v>
      </c>
      <c r="B705" s="122"/>
      <c r="C705" s="144"/>
      <c r="D705" s="144"/>
      <c r="E705" s="144"/>
      <c r="F705" s="144"/>
      <c r="G705" s="144"/>
      <c r="H705" s="144"/>
      <c r="I705" s="144"/>
      <c r="J705" s="144"/>
      <c r="K705" s="144"/>
      <c r="L705" s="144"/>
      <c r="M705" s="144"/>
      <c r="N705" s="144"/>
      <c r="O705" s="144"/>
      <c r="P705" s="144"/>
    </row>
    <row r="706" spans="1:16" x14ac:dyDescent="0.2">
      <c r="A706" s="58" t="str">
        <v>0:00</v>
      </c>
      <c r="B706" s="122"/>
      <c r="C706" s="144"/>
      <c r="D706" s="144"/>
      <c r="E706" s="144"/>
      <c r="F706" s="144"/>
      <c r="G706" s="144"/>
      <c r="H706" s="144"/>
      <c r="I706" s="144"/>
      <c r="J706" s="144"/>
      <c r="K706" s="144"/>
      <c r="L706" s="144"/>
      <c r="M706" s="144"/>
      <c r="N706" s="144"/>
      <c r="O706" s="144"/>
      <c r="P706" s="144"/>
    </row>
    <row r="707" spans="1:16" x14ac:dyDescent="0.2">
      <c r="A707" s="58" t="str">
        <v>0:00</v>
      </c>
      <c r="B707" s="122"/>
      <c r="C707" s="144"/>
      <c r="D707" s="144"/>
      <c r="E707" s="144"/>
      <c r="F707" s="144"/>
      <c r="G707" s="144"/>
      <c r="H707" s="144"/>
      <c r="I707" s="144"/>
      <c r="J707" s="144"/>
      <c r="K707" s="144"/>
      <c r="L707" s="144"/>
      <c r="M707" s="144"/>
      <c r="N707" s="144"/>
      <c r="O707" s="144"/>
      <c r="P707" s="144"/>
    </row>
    <row r="708" spans="1:16" x14ac:dyDescent="0.2">
      <c r="A708" s="58" t="str">
        <v>0:00</v>
      </c>
      <c r="B708" s="122"/>
      <c r="C708" s="144"/>
      <c r="D708" s="144"/>
      <c r="E708" s="144"/>
      <c r="F708" s="144"/>
      <c r="G708" s="144"/>
      <c r="H708" s="144"/>
      <c r="I708" s="144"/>
      <c r="J708" s="144"/>
      <c r="K708" s="144"/>
      <c r="L708" s="144"/>
      <c r="M708" s="144"/>
      <c r="N708" s="144"/>
      <c r="O708" s="144"/>
      <c r="P708" s="144"/>
    </row>
    <row r="709" spans="1:16" x14ac:dyDescent="0.2">
      <c r="A709" s="58" t="str">
        <v>0:00</v>
      </c>
      <c r="B709" s="122"/>
      <c r="C709" s="144"/>
      <c r="D709" s="144"/>
      <c r="E709" s="144"/>
      <c r="F709" s="144"/>
      <c r="G709" s="144"/>
      <c r="H709" s="144"/>
      <c r="I709" s="144"/>
      <c r="J709" s="144"/>
      <c r="K709" s="144"/>
      <c r="L709" s="144"/>
      <c r="M709" s="144"/>
      <c r="N709" s="144"/>
      <c r="O709" s="144"/>
      <c r="P709" s="144"/>
    </row>
    <row r="710" spans="1:16" x14ac:dyDescent="0.2">
      <c r="A710" s="58" t="str">
        <v>0:00</v>
      </c>
      <c r="B710" s="122"/>
      <c r="C710" s="144"/>
      <c r="D710" s="144"/>
      <c r="E710" s="144"/>
      <c r="F710" s="144"/>
      <c r="G710" s="144"/>
      <c r="H710" s="144"/>
      <c r="I710" s="144"/>
      <c r="J710" s="144"/>
      <c r="K710" s="144"/>
      <c r="L710" s="144"/>
      <c r="M710" s="144"/>
      <c r="N710" s="144"/>
      <c r="O710" s="144"/>
      <c r="P710" s="144"/>
    </row>
    <row r="711" spans="1:16" x14ac:dyDescent="0.2">
      <c r="A711" s="58" t="str">
        <v>0:00</v>
      </c>
      <c r="B711" s="122"/>
      <c r="C711" s="144"/>
      <c r="D711" s="144"/>
      <c r="E711" s="144"/>
      <c r="F711" s="144"/>
      <c r="G711" s="144"/>
      <c r="H711" s="144"/>
      <c r="I711" s="144"/>
      <c r="J711" s="144"/>
      <c r="K711" s="144"/>
      <c r="L711" s="144"/>
      <c r="M711" s="144"/>
      <c r="N711" s="144"/>
      <c r="O711" s="144"/>
      <c r="P711" s="144"/>
    </row>
    <row r="712" spans="1:16" x14ac:dyDescent="0.2">
      <c r="A712" s="58" t="str">
        <v>0:00</v>
      </c>
      <c r="B712" s="122"/>
      <c r="C712" s="144"/>
      <c r="D712" s="144"/>
      <c r="E712" s="144"/>
      <c r="F712" s="144"/>
      <c r="G712" s="144"/>
      <c r="H712" s="144"/>
      <c r="I712" s="144"/>
      <c r="J712" s="144"/>
      <c r="K712" s="144"/>
      <c r="L712" s="144"/>
      <c r="M712" s="144"/>
      <c r="N712" s="144"/>
      <c r="O712" s="144"/>
      <c r="P712" s="144"/>
    </row>
    <row r="713" spans="1:16" x14ac:dyDescent="0.2">
      <c r="A713" s="58" t="str">
        <v>0:00</v>
      </c>
      <c r="B713" s="122"/>
      <c r="C713" s="144"/>
      <c r="D713" s="144"/>
      <c r="E713" s="144"/>
      <c r="F713" s="144"/>
      <c r="G713" s="144"/>
      <c r="H713" s="144"/>
      <c r="I713" s="144"/>
      <c r="J713" s="144"/>
      <c r="K713" s="144"/>
      <c r="L713" s="144"/>
      <c r="M713" s="144"/>
      <c r="N713" s="144"/>
      <c r="O713" s="144"/>
      <c r="P713" s="144"/>
    </row>
    <row r="714" spans="1:16" x14ac:dyDescent="0.2">
      <c r="A714" s="58" t="str">
        <v>0:00</v>
      </c>
      <c r="B714" s="122"/>
      <c r="C714" s="144"/>
      <c r="D714" s="144"/>
      <c r="E714" s="144"/>
      <c r="F714" s="144"/>
      <c r="G714" s="144"/>
      <c r="H714" s="144"/>
      <c r="I714" s="144"/>
      <c r="J714" s="144"/>
      <c r="K714" s="144"/>
      <c r="L714" s="144"/>
      <c r="M714" s="144"/>
      <c r="N714" s="144"/>
      <c r="O714" s="144"/>
      <c r="P714" s="144"/>
    </row>
    <row r="715" spans="1:16" x14ac:dyDescent="0.2">
      <c r="A715" s="58" t="str">
        <v>0:00</v>
      </c>
      <c r="B715" s="122"/>
      <c r="C715" s="144"/>
      <c r="D715" s="144"/>
      <c r="E715" s="144"/>
      <c r="F715" s="144"/>
      <c r="G715" s="144"/>
      <c r="H715" s="144"/>
      <c r="I715" s="144"/>
      <c r="J715" s="144"/>
      <c r="K715" s="144"/>
      <c r="L715" s="144"/>
      <c r="M715" s="144"/>
      <c r="N715" s="144"/>
      <c r="O715" s="144"/>
      <c r="P715" s="144"/>
    </row>
    <row r="716" spans="1:16" x14ac:dyDescent="0.2">
      <c r="A716" s="58" t="str">
        <v>0:00</v>
      </c>
      <c r="B716" s="122"/>
      <c r="C716" s="144"/>
      <c r="D716" s="144"/>
      <c r="E716" s="144"/>
      <c r="F716" s="144"/>
      <c r="G716" s="144"/>
      <c r="H716" s="144"/>
      <c r="I716" s="144"/>
      <c r="J716" s="144"/>
      <c r="K716" s="144"/>
      <c r="L716" s="144"/>
      <c r="M716" s="144"/>
      <c r="N716" s="144"/>
      <c r="O716" s="144"/>
      <c r="P716" s="144"/>
    </row>
    <row r="717" spans="1:16" x14ac:dyDescent="0.2">
      <c r="A717" s="58" t="str">
        <v>0:00</v>
      </c>
      <c r="B717" s="122"/>
      <c r="C717" s="144"/>
      <c r="D717" s="144"/>
      <c r="E717" s="144"/>
      <c r="F717" s="144"/>
      <c r="G717" s="144"/>
      <c r="H717" s="144"/>
      <c r="I717" s="144"/>
      <c r="J717" s="144"/>
      <c r="K717" s="144"/>
      <c r="L717" s="144"/>
      <c r="M717" s="144"/>
      <c r="N717" s="144"/>
      <c r="O717" s="144"/>
      <c r="P717" s="144"/>
    </row>
    <row r="718" spans="1:16" x14ac:dyDescent="0.2">
      <c r="A718" s="58" t="str">
        <v>0:00</v>
      </c>
      <c r="B718" s="122"/>
      <c r="C718" s="144"/>
      <c r="D718" s="144"/>
      <c r="E718" s="144"/>
      <c r="F718" s="144"/>
      <c r="G718" s="144"/>
      <c r="H718" s="144"/>
      <c r="I718" s="144"/>
      <c r="J718" s="144"/>
      <c r="K718" s="144"/>
      <c r="L718" s="144"/>
      <c r="M718" s="144"/>
      <c r="N718" s="144"/>
      <c r="O718" s="144"/>
      <c r="P718" s="144"/>
    </row>
    <row r="719" spans="1:16" x14ac:dyDescent="0.2">
      <c r="A719" s="58" t="str">
        <v>0:00</v>
      </c>
      <c r="B719" s="122"/>
      <c r="C719" s="144"/>
      <c r="D719" s="144"/>
      <c r="E719" s="144"/>
      <c r="F719" s="144"/>
      <c r="G719" s="144"/>
      <c r="H719" s="144"/>
      <c r="I719" s="144"/>
      <c r="J719" s="144"/>
      <c r="K719" s="144"/>
      <c r="L719" s="144"/>
      <c r="M719" s="144"/>
      <c r="N719" s="144"/>
      <c r="O719" s="144"/>
      <c r="P719" s="144"/>
    </row>
    <row r="720" spans="1:16" x14ac:dyDescent="0.2">
      <c r="A720" s="58" t="str">
        <v>0:00</v>
      </c>
      <c r="B720" s="122"/>
      <c r="C720" s="144"/>
      <c r="D720" s="144"/>
      <c r="E720" s="144"/>
      <c r="F720" s="144"/>
      <c r="G720" s="144"/>
      <c r="H720" s="144"/>
      <c r="I720" s="144"/>
      <c r="J720" s="144"/>
      <c r="K720" s="144"/>
      <c r="L720" s="144"/>
      <c r="M720" s="144"/>
      <c r="N720" s="144"/>
      <c r="O720" s="144"/>
      <c r="P720" s="144"/>
    </row>
    <row r="721" spans="1:16" x14ac:dyDescent="0.2">
      <c r="A721" s="58" t="str">
        <v>0:00</v>
      </c>
      <c r="B721" s="122"/>
      <c r="C721" s="144"/>
      <c r="D721" s="144"/>
      <c r="E721" s="144"/>
      <c r="F721" s="144"/>
      <c r="G721" s="144"/>
      <c r="H721" s="144"/>
      <c r="I721" s="144"/>
      <c r="J721" s="144"/>
      <c r="K721" s="144"/>
      <c r="L721" s="144"/>
      <c r="M721" s="144"/>
      <c r="N721" s="144"/>
      <c r="O721" s="144"/>
      <c r="P721" s="144"/>
    </row>
    <row r="722" spans="1:16" x14ac:dyDescent="0.2">
      <c r="A722" s="58" t="str">
        <v>0:00</v>
      </c>
      <c r="B722" s="122"/>
      <c r="C722" s="144"/>
      <c r="D722" s="144"/>
      <c r="E722" s="144"/>
      <c r="F722" s="144"/>
      <c r="G722" s="144"/>
      <c r="H722" s="144"/>
      <c r="I722" s="144"/>
      <c r="J722" s="144"/>
      <c r="K722" s="144"/>
      <c r="L722" s="144"/>
      <c r="M722" s="144"/>
      <c r="N722" s="144"/>
      <c r="O722" s="144"/>
      <c r="P722" s="144"/>
    </row>
    <row r="723" spans="1:16" x14ac:dyDescent="0.2">
      <c r="A723" s="58" t="str">
        <v>0:00</v>
      </c>
      <c r="B723" s="122"/>
      <c r="C723" s="144"/>
      <c r="D723" s="144"/>
      <c r="E723" s="144"/>
      <c r="F723" s="144"/>
      <c r="G723" s="144"/>
      <c r="H723" s="144"/>
      <c r="I723" s="144"/>
      <c r="J723" s="144"/>
      <c r="K723" s="144"/>
      <c r="L723" s="144"/>
      <c r="M723" s="144"/>
      <c r="N723" s="144"/>
      <c r="O723" s="144"/>
      <c r="P723" s="144"/>
    </row>
    <row r="724" spans="1:16" x14ac:dyDescent="0.2">
      <c r="A724" s="58" t="str">
        <v>0:00</v>
      </c>
      <c r="B724" s="122"/>
      <c r="C724" s="144"/>
      <c r="D724" s="144"/>
      <c r="E724" s="144"/>
      <c r="F724" s="144"/>
      <c r="G724" s="144"/>
      <c r="H724" s="144"/>
      <c r="I724" s="144"/>
      <c r="J724" s="144"/>
      <c r="K724" s="144"/>
      <c r="L724" s="144"/>
      <c r="M724" s="144"/>
      <c r="N724" s="144"/>
      <c r="O724" s="144"/>
      <c r="P724" s="144"/>
    </row>
    <row r="725" spans="1:16" x14ac:dyDescent="0.2">
      <c r="A725" s="58" t="str">
        <v>0:00</v>
      </c>
      <c r="B725" s="122"/>
      <c r="C725" s="144"/>
      <c r="D725" s="144"/>
      <c r="E725" s="144"/>
      <c r="F725" s="144"/>
      <c r="G725" s="144"/>
      <c r="H725" s="144"/>
      <c r="I725" s="144"/>
      <c r="J725" s="144"/>
      <c r="K725" s="144"/>
      <c r="L725" s="144"/>
      <c r="M725" s="144"/>
      <c r="N725" s="144"/>
      <c r="O725" s="144"/>
      <c r="P725" s="144"/>
    </row>
    <row r="726" spans="1:16" x14ac:dyDescent="0.2">
      <c r="A726" s="58" t="str">
        <v>0:00</v>
      </c>
      <c r="B726" s="122"/>
      <c r="C726" s="144"/>
      <c r="D726" s="144"/>
      <c r="E726" s="144"/>
      <c r="F726" s="144"/>
      <c r="G726" s="144"/>
      <c r="H726" s="144"/>
      <c r="I726" s="144"/>
      <c r="J726" s="144"/>
      <c r="K726" s="144"/>
      <c r="L726" s="144"/>
      <c r="M726" s="144"/>
      <c r="N726" s="144"/>
      <c r="O726" s="144"/>
      <c r="P726" s="144"/>
    </row>
    <row r="727" spans="1:16" x14ac:dyDescent="0.2">
      <c r="A727" s="58" t="str">
        <v>0:00</v>
      </c>
      <c r="B727" s="122"/>
      <c r="C727" s="144"/>
      <c r="D727" s="144"/>
      <c r="E727" s="144"/>
      <c r="F727" s="144"/>
      <c r="G727" s="144"/>
      <c r="H727" s="144"/>
      <c r="I727" s="144"/>
      <c r="J727" s="144"/>
      <c r="K727" s="144"/>
      <c r="L727" s="144"/>
      <c r="M727" s="144"/>
      <c r="N727" s="144"/>
      <c r="O727" s="144"/>
      <c r="P727" s="144"/>
    </row>
    <row r="728" spans="1:16" x14ac:dyDescent="0.2">
      <c r="A728" s="58" t="str">
        <v>0:00</v>
      </c>
      <c r="B728" s="122"/>
      <c r="C728" s="144"/>
      <c r="D728" s="144"/>
      <c r="E728" s="144"/>
      <c r="F728" s="144"/>
      <c r="G728" s="144"/>
      <c r="H728" s="144"/>
      <c r="I728" s="144"/>
      <c r="J728" s="144"/>
      <c r="K728" s="144"/>
      <c r="L728" s="144"/>
      <c r="M728" s="144"/>
      <c r="N728" s="144"/>
      <c r="O728" s="144"/>
      <c r="P728" s="144"/>
    </row>
    <row r="729" spans="1:16" x14ac:dyDescent="0.2">
      <c r="A729" s="58" t="str">
        <v>0:00</v>
      </c>
      <c r="B729" s="122"/>
      <c r="C729" s="144"/>
      <c r="D729" s="144"/>
      <c r="E729" s="144"/>
      <c r="F729" s="144"/>
      <c r="G729" s="144"/>
      <c r="H729" s="144"/>
      <c r="I729" s="144"/>
      <c r="J729" s="144"/>
      <c r="K729" s="144"/>
      <c r="L729" s="144"/>
      <c r="M729" s="144"/>
      <c r="N729" s="144"/>
      <c r="O729" s="144"/>
      <c r="P729" s="144"/>
    </row>
    <row r="730" spans="1:16" x14ac:dyDescent="0.2">
      <c r="A730" s="58" t="str">
        <v>0:00</v>
      </c>
      <c r="B730" s="122"/>
      <c r="C730" s="144"/>
      <c r="D730" s="144"/>
      <c r="E730" s="144"/>
      <c r="F730" s="144"/>
      <c r="G730" s="144"/>
      <c r="H730" s="144"/>
      <c r="I730" s="144"/>
      <c r="J730" s="144"/>
      <c r="K730" s="144"/>
      <c r="L730" s="144"/>
      <c r="M730" s="144"/>
      <c r="N730" s="144"/>
      <c r="O730" s="144"/>
      <c r="P730" s="144"/>
    </row>
    <row r="731" spans="1:16" x14ac:dyDescent="0.2">
      <c r="A731" s="58" t="str">
        <v>0:00</v>
      </c>
      <c r="B731" s="122"/>
      <c r="C731" s="144"/>
      <c r="D731" s="144"/>
      <c r="E731" s="144"/>
      <c r="F731" s="144"/>
      <c r="G731" s="144"/>
      <c r="H731" s="144"/>
      <c r="I731" s="144"/>
      <c r="J731" s="144"/>
      <c r="K731" s="144"/>
      <c r="L731" s="144"/>
      <c r="M731" s="144"/>
      <c r="N731" s="144"/>
      <c r="O731" s="144"/>
      <c r="P731" s="144"/>
    </row>
    <row r="732" spans="1:16" x14ac:dyDescent="0.2">
      <c r="A732" s="58" t="str">
        <v>0:00</v>
      </c>
      <c r="B732" s="122"/>
      <c r="C732" s="144"/>
      <c r="D732" s="144"/>
      <c r="E732" s="144"/>
      <c r="F732" s="144"/>
      <c r="G732" s="144"/>
      <c r="H732" s="144"/>
      <c r="I732" s="144"/>
      <c r="J732" s="144"/>
      <c r="K732" s="144"/>
      <c r="L732" s="144"/>
      <c r="M732" s="144"/>
      <c r="N732" s="144"/>
      <c r="O732" s="144"/>
      <c r="P732" s="144"/>
    </row>
    <row r="733" spans="1:16" x14ac:dyDescent="0.2">
      <c r="A733" s="58" t="str">
        <v>0:00</v>
      </c>
      <c r="B733" s="122"/>
      <c r="C733" s="144"/>
      <c r="D733" s="144"/>
      <c r="E733" s="144"/>
      <c r="F733" s="144"/>
      <c r="G733" s="144"/>
      <c r="H733" s="144"/>
      <c r="I733" s="144"/>
      <c r="J733" s="144"/>
      <c r="K733" s="144"/>
      <c r="L733" s="144"/>
      <c r="M733" s="144"/>
      <c r="N733" s="144"/>
      <c r="O733" s="144"/>
      <c r="P733" s="144"/>
    </row>
    <row r="734" spans="1:16" x14ac:dyDescent="0.2">
      <c r="A734" s="58" t="str">
        <v>0:00</v>
      </c>
      <c r="B734" s="122"/>
      <c r="C734" s="144"/>
      <c r="D734" s="144"/>
      <c r="E734" s="144"/>
      <c r="F734" s="144"/>
      <c r="G734" s="144"/>
      <c r="H734" s="144"/>
      <c r="I734" s="144"/>
      <c r="J734" s="144"/>
      <c r="K734" s="144"/>
      <c r="L734" s="144"/>
      <c r="M734" s="144"/>
      <c r="N734" s="144"/>
      <c r="O734" s="144"/>
      <c r="P734" s="144"/>
    </row>
    <row r="735" spans="1:16" x14ac:dyDescent="0.2">
      <c r="A735" s="58" t="str">
        <v>0:00</v>
      </c>
      <c r="B735" s="122"/>
      <c r="C735" s="144"/>
      <c r="D735" s="144"/>
      <c r="E735" s="144"/>
      <c r="F735" s="144"/>
      <c r="G735" s="144"/>
      <c r="H735" s="144"/>
      <c r="I735" s="144"/>
      <c r="J735" s="144"/>
      <c r="K735" s="144"/>
      <c r="L735" s="144"/>
      <c r="M735" s="144"/>
      <c r="N735" s="144"/>
      <c r="O735" s="144"/>
      <c r="P735" s="144"/>
    </row>
    <row r="736" spans="1:16" x14ac:dyDescent="0.2">
      <c r="A736" s="58" t="str">
        <v>0:00</v>
      </c>
      <c r="B736" s="122"/>
      <c r="C736" s="144"/>
      <c r="D736" s="144"/>
      <c r="E736" s="144"/>
      <c r="F736" s="144"/>
      <c r="G736" s="144"/>
      <c r="H736" s="144"/>
      <c r="I736" s="144"/>
      <c r="J736" s="144"/>
      <c r="K736" s="144"/>
      <c r="L736" s="144"/>
      <c r="M736" s="144"/>
      <c r="N736" s="144"/>
      <c r="O736" s="144"/>
      <c r="P736" s="144"/>
    </row>
    <row r="737" spans="1:16" x14ac:dyDescent="0.2">
      <c r="A737" s="58" t="str">
        <v>0:00</v>
      </c>
      <c r="B737" s="122"/>
      <c r="C737" s="144"/>
      <c r="D737" s="144"/>
      <c r="E737" s="144"/>
      <c r="F737" s="144"/>
      <c r="G737" s="144"/>
      <c r="H737" s="144"/>
      <c r="I737" s="144"/>
      <c r="J737" s="144"/>
      <c r="K737" s="144"/>
      <c r="L737" s="144"/>
      <c r="M737" s="144"/>
      <c r="N737" s="144"/>
      <c r="O737" s="144"/>
      <c r="P737" s="144"/>
    </row>
    <row r="738" spans="1:16" x14ac:dyDescent="0.2">
      <c r="A738" s="58" t="str">
        <v>0:00</v>
      </c>
      <c r="B738" s="122"/>
      <c r="C738" s="144"/>
      <c r="D738" s="144"/>
      <c r="E738" s="144"/>
      <c r="F738" s="144"/>
      <c r="G738" s="144"/>
      <c r="H738" s="144"/>
      <c r="I738" s="144"/>
      <c r="J738" s="144"/>
      <c r="K738" s="144"/>
      <c r="L738" s="144"/>
      <c r="M738" s="144"/>
      <c r="N738" s="144"/>
      <c r="O738" s="144"/>
      <c r="P738" s="144"/>
    </row>
    <row r="739" spans="1:16" x14ac:dyDescent="0.2">
      <c r="A739" s="58" t="str">
        <v>0:00</v>
      </c>
      <c r="B739" s="122"/>
      <c r="C739" s="144"/>
      <c r="D739" s="144"/>
      <c r="E739" s="144"/>
      <c r="F739" s="144"/>
      <c r="G739" s="144"/>
      <c r="H739" s="144"/>
      <c r="I739" s="144"/>
      <c r="J739" s="144"/>
      <c r="K739" s="144"/>
      <c r="L739" s="144"/>
      <c r="M739" s="144"/>
      <c r="N739" s="144"/>
      <c r="O739" s="144"/>
      <c r="P739" s="144"/>
    </row>
    <row r="740" spans="1:16" x14ac:dyDescent="0.2">
      <c r="A740" s="58" t="str">
        <v>0:00</v>
      </c>
      <c r="B740" s="122"/>
      <c r="C740" s="144"/>
      <c r="D740" s="144"/>
      <c r="E740" s="144"/>
      <c r="F740" s="144"/>
      <c r="G740" s="144"/>
      <c r="H740" s="144"/>
      <c r="I740" s="144"/>
      <c r="J740" s="144"/>
      <c r="K740" s="144"/>
      <c r="L740" s="144"/>
      <c r="M740" s="144"/>
      <c r="N740" s="144"/>
      <c r="O740" s="144"/>
      <c r="P740" s="144"/>
    </row>
    <row r="741" spans="1:16" x14ac:dyDescent="0.2">
      <c r="A741" s="58" t="str">
        <v>0:00</v>
      </c>
      <c r="B741" s="122"/>
      <c r="C741" s="144"/>
      <c r="D741" s="144"/>
      <c r="E741" s="144"/>
      <c r="F741" s="144"/>
      <c r="G741" s="144"/>
      <c r="H741" s="144"/>
      <c r="I741" s="144"/>
      <c r="J741" s="144"/>
      <c r="K741" s="144"/>
      <c r="L741" s="144"/>
      <c r="M741" s="144"/>
      <c r="N741" s="144"/>
      <c r="O741" s="144"/>
      <c r="P741" s="144"/>
    </row>
    <row r="742" spans="1:16" x14ac:dyDescent="0.2">
      <c r="A742" s="58" t="str">
        <v>0:00</v>
      </c>
      <c r="B742" s="122"/>
      <c r="C742" s="144"/>
      <c r="D742" s="144"/>
      <c r="E742" s="144"/>
      <c r="F742" s="144"/>
      <c r="G742" s="144"/>
      <c r="H742" s="144"/>
      <c r="I742" s="144"/>
      <c r="J742" s="144"/>
      <c r="K742" s="144"/>
      <c r="L742" s="144"/>
      <c r="M742" s="144"/>
      <c r="N742" s="144"/>
      <c r="O742" s="144"/>
      <c r="P742" s="144"/>
    </row>
    <row r="743" spans="1:16" x14ac:dyDescent="0.2">
      <c r="A743" s="58" t="str">
        <v>0:00</v>
      </c>
      <c r="B743" s="122"/>
      <c r="C743" s="144"/>
      <c r="D743" s="144"/>
      <c r="E743" s="144"/>
      <c r="F743" s="144"/>
      <c r="G743" s="144"/>
      <c r="H743" s="144"/>
      <c r="I743" s="144"/>
      <c r="J743" s="144"/>
      <c r="K743" s="144"/>
      <c r="L743" s="144"/>
      <c r="M743" s="144"/>
      <c r="N743" s="144"/>
      <c r="O743" s="144"/>
      <c r="P743" s="144"/>
    </row>
    <row r="744" spans="1:16" x14ac:dyDescent="0.2">
      <c r="A744" s="58" t="str">
        <v>0:00</v>
      </c>
      <c r="B744" s="122"/>
      <c r="C744" s="144"/>
      <c r="D744" s="144"/>
      <c r="E744" s="144"/>
      <c r="F744" s="144"/>
      <c r="G744" s="144"/>
      <c r="H744" s="144"/>
      <c r="I744" s="144"/>
      <c r="J744" s="144"/>
      <c r="K744" s="144"/>
      <c r="L744" s="144"/>
      <c r="M744" s="144"/>
      <c r="N744" s="144"/>
      <c r="O744" s="144"/>
      <c r="P744" s="144"/>
    </row>
    <row r="745" spans="1:16" x14ac:dyDescent="0.2">
      <c r="A745" s="58" t="str">
        <v>0:00</v>
      </c>
      <c r="B745" s="122"/>
      <c r="C745" s="144"/>
      <c r="D745" s="144"/>
      <c r="E745" s="144"/>
      <c r="F745" s="144"/>
      <c r="G745" s="144"/>
      <c r="H745" s="144"/>
      <c r="I745" s="144"/>
      <c r="J745" s="144"/>
      <c r="K745" s="144"/>
      <c r="L745" s="144"/>
      <c r="M745" s="144"/>
      <c r="N745" s="144"/>
      <c r="O745" s="144"/>
      <c r="P745" s="144"/>
    </row>
    <row r="746" spans="1:16" x14ac:dyDescent="0.2">
      <c r="A746" s="58" t="str">
        <v>0:00</v>
      </c>
      <c r="B746" s="122"/>
      <c r="C746" s="144"/>
      <c r="D746" s="144"/>
      <c r="E746" s="144"/>
      <c r="F746" s="144"/>
      <c r="G746" s="144"/>
      <c r="H746" s="144"/>
      <c r="I746" s="144"/>
      <c r="J746" s="144"/>
      <c r="K746" s="144"/>
      <c r="L746" s="144"/>
      <c r="M746" s="144"/>
      <c r="N746" s="144"/>
      <c r="O746" s="144"/>
      <c r="P746" s="144"/>
    </row>
    <row r="747" spans="1:16" x14ac:dyDescent="0.2">
      <c r="A747" s="58" t="str">
        <v>0:00</v>
      </c>
      <c r="B747" s="122"/>
      <c r="C747" s="144"/>
      <c r="D747" s="144"/>
      <c r="E747" s="144"/>
      <c r="F747" s="144"/>
      <c r="G747" s="144"/>
      <c r="H747" s="144"/>
      <c r="I747" s="144"/>
      <c r="J747" s="144"/>
      <c r="K747" s="144"/>
      <c r="L747" s="144"/>
      <c r="M747" s="144"/>
      <c r="N747" s="144"/>
      <c r="O747" s="144"/>
      <c r="P747" s="144"/>
    </row>
    <row r="748" spans="1:16" x14ac:dyDescent="0.2">
      <c r="A748" s="58" t="str">
        <v>0:00</v>
      </c>
      <c r="B748" s="122"/>
      <c r="C748" s="144"/>
      <c r="D748" s="144"/>
      <c r="E748" s="144"/>
      <c r="F748" s="144"/>
      <c r="G748" s="144"/>
      <c r="H748" s="144"/>
      <c r="I748" s="144"/>
      <c r="J748" s="144"/>
      <c r="K748" s="144"/>
      <c r="L748" s="144"/>
      <c r="M748" s="144"/>
      <c r="N748" s="144"/>
      <c r="O748" s="144"/>
      <c r="P748" s="144"/>
    </row>
    <row r="749" spans="1:16" x14ac:dyDescent="0.2">
      <c r="A749" s="58" t="str">
        <v>0:00</v>
      </c>
      <c r="B749" s="122"/>
      <c r="C749" s="144"/>
      <c r="D749" s="144"/>
      <c r="E749" s="144"/>
      <c r="F749" s="144"/>
      <c r="G749" s="144"/>
      <c r="H749" s="144"/>
      <c r="I749" s="144"/>
      <c r="J749" s="144"/>
      <c r="K749" s="144"/>
      <c r="L749" s="144"/>
      <c r="M749" s="144"/>
      <c r="N749" s="144"/>
      <c r="O749" s="144"/>
      <c r="P749" s="144"/>
    </row>
    <row r="750" spans="1:16" x14ac:dyDescent="0.2">
      <c r="A750" s="58" t="str">
        <v>0:00</v>
      </c>
      <c r="B750" s="122"/>
      <c r="C750" s="144"/>
      <c r="D750" s="144"/>
      <c r="E750" s="144"/>
      <c r="F750" s="144"/>
      <c r="G750" s="144"/>
      <c r="H750" s="144"/>
      <c r="I750" s="144"/>
      <c r="J750" s="144"/>
      <c r="K750" s="144"/>
      <c r="L750" s="144"/>
      <c r="M750" s="144"/>
      <c r="N750" s="144"/>
      <c r="O750" s="144"/>
      <c r="P750" s="144"/>
    </row>
    <row r="751" spans="1:16" x14ac:dyDescent="0.2">
      <c r="A751" s="58" t="str">
        <v>0:00</v>
      </c>
      <c r="B751" s="122"/>
      <c r="C751" s="144"/>
      <c r="D751" s="144"/>
      <c r="E751" s="144"/>
      <c r="F751" s="144"/>
      <c r="G751" s="144"/>
      <c r="H751" s="144"/>
      <c r="I751" s="144"/>
      <c r="J751" s="144"/>
      <c r="K751" s="144"/>
      <c r="L751" s="144"/>
      <c r="M751" s="144"/>
      <c r="N751" s="144"/>
      <c r="O751" s="144"/>
      <c r="P751" s="144"/>
    </row>
    <row r="752" spans="1:16" x14ac:dyDescent="0.2">
      <c r="A752" s="58" t="str">
        <v>0:00</v>
      </c>
      <c r="B752" s="122"/>
      <c r="C752" s="144"/>
      <c r="D752" s="144"/>
      <c r="E752" s="144"/>
      <c r="F752" s="144"/>
      <c r="G752" s="144"/>
      <c r="H752" s="144"/>
      <c r="I752" s="144"/>
      <c r="J752" s="144"/>
      <c r="K752" s="144"/>
      <c r="L752" s="144"/>
      <c r="M752" s="144"/>
      <c r="N752" s="144"/>
      <c r="O752" s="144"/>
      <c r="P752" s="144"/>
    </row>
    <row r="753" spans="1:16" x14ac:dyDescent="0.2">
      <c r="A753" s="58" t="str">
        <v>0:00</v>
      </c>
      <c r="B753" s="122"/>
      <c r="C753" s="144"/>
      <c r="D753" s="144"/>
      <c r="E753" s="144"/>
      <c r="F753" s="144"/>
      <c r="G753" s="144"/>
      <c r="H753" s="144"/>
      <c r="I753" s="144"/>
      <c r="J753" s="144"/>
      <c r="K753" s="144"/>
      <c r="L753" s="144"/>
      <c r="M753" s="144"/>
      <c r="N753" s="144"/>
      <c r="O753" s="144"/>
      <c r="P753" s="144"/>
    </row>
    <row r="754" spans="1:16" x14ac:dyDescent="0.2">
      <c r="A754" s="58" t="str">
        <v>0:00</v>
      </c>
      <c r="B754" s="122"/>
      <c r="C754" s="144"/>
      <c r="D754" s="144"/>
      <c r="E754" s="144"/>
      <c r="F754" s="144"/>
      <c r="G754" s="144"/>
      <c r="H754" s="144"/>
      <c r="I754" s="144"/>
      <c r="J754" s="144"/>
      <c r="K754" s="144"/>
      <c r="L754" s="144"/>
      <c r="M754" s="144"/>
      <c r="N754" s="144"/>
      <c r="O754" s="144"/>
      <c r="P754" s="144"/>
    </row>
    <row r="755" spans="1:16" x14ac:dyDescent="0.2">
      <c r="A755" s="58" t="str">
        <v>0:00</v>
      </c>
      <c r="B755" s="122"/>
      <c r="C755" s="144"/>
      <c r="D755" s="144"/>
      <c r="E755" s="144"/>
      <c r="F755" s="144"/>
      <c r="G755" s="144"/>
      <c r="H755" s="144"/>
      <c r="I755" s="144"/>
      <c r="J755" s="144"/>
      <c r="K755" s="144"/>
      <c r="L755" s="144"/>
      <c r="M755" s="144"/>
      <c r="N755" s="144"/>
      <c r="O755" s="144"/>
      <c r="P755" s="144"/>
    </row>
    <row r="756" spans="1:16" x14ac:dyDescent="0.2">
      <c r="A756" s="58" t="str">
        <v>0:00</v>
      </c>
      <c r="B756" s="122"/>
      <c r="C756" s="144"/>
      <c r="D756" s="144"/>
      <c r="E756" s="144"/>
      <c r="F756" s="144"/>
      <c r="G756" s="144"/>
      <c r="H756" s="144"/>
      <c r="I756" s="144"/>
      <c r="J756" s="144"/>
      <c r="K756" s="144"/>
      <c r="L756" s="144"/>
      <c r="M756" s="144"/>
      <c r="N756" s="144"/>
      <c r="O756" s="144"/>
      <c r="P756" s="144"/>
    </row>
    <row r="757" spans="1:16" x14ac:dyDescent="0.2">
      <c r="A757" s="58" t="str">
        <v>0:00</v>
      </c>
      <c r="B757" s="122"/>
      <c r="C757" s="144"/>
      <c r="D757" s="144"/>
      <c r="E757" s="144"/>
      <c r="F757" s="144"/>
      <c r="G757" s="144"/>
      <c r="H757" s="144"/>
      <c r="I757" s="144"/>
      <c r="J757" s="144"/>
      <c r="K757" s="144"/>
      <c r="L757" s="144"/>
      <c r="M757" s="144"/>
      <c r="N757" s="144"/>
      <c r="O757" s="144"/>
      <c r="P757" s="144"/>
    </row>
    <row r="758" spans="1:16" x14ac:dyDescent="0.2">
      <c r="A758" s="58" t="str">
        <v>0:00</v>
      </c>
      <c r="B758" s="122"/>
      <c r="C758" s="144"/>
      <c r="D758" s="144"/>
      <c r="E758" s="144"/>
      <c r="F758" s="144"/>
      <c r="G758" s="144"/>
      <c r="H758" s="144"/>
      <c r="I758" s="144"/>
      <c r="J758" s="144"/>
      <c r="K758" s="144"/>
      <c r="L758" s="144"/>
      <c r="M758" s="144"/>
      <c r="N758" s="144"/>
      <c r="O758" s="144"/>
      <c r="P758" s="144"/>
    </row>
    <row r="759" spans="1:16" x14ac:dyDescent="0.2">
      <c r="A759" s="58" t="str">
        <v>0:00</v>
      </c>
      <c r="B759" s="122"/>
      <c r="C759" s="144"/>
      <c r="D759" s="144"/>
      <c r="E759" s="144"/>
      <c r="F759" s="144"/>
      <c r="G759" s="144"/>
      <c r="H759" s="144"/>
      <c r="I759" s="144"/>
      <c r="J759" s="144"/>
      <c r="K759" s="144"/>
      <c r="L759" s="144"/>
      <c r="M759" s="144"/>
      <c r="N759" s="144"/>
      <c r="O759" s="144"/>
      <c r="P759" s="144"/>
    </row>
    <row r="760" spans="1:16" x14ac:dyDescent="0.2">
      <c r="A760" s="58" t="str">
        <v>0:00</v>
      </c>
      <c r="B760" s="122"/>
      <c r="C760" s="144"/>
      <c r="D760" s="144"/>
      <c r="E760" s="144"/>
      <c r="F760" s="144"/>
      <c r="G760" s="144"/>
      <c r="H760" s="144"/>
      <c r="I760" s="144"/>
      <c r="J760" s="144"/>
      <c r="K760" s="144"/>
      <c r="L760" s="144"/>
      <c r="M760" s="144"/>
      <c r="N760" s="144"/>
      <c r="O760" s="144"/>
      <c r="P760" s="144"/>
    </row>
    <row r="761" spans="1:16" x14ac:dyDescent="0.2">
      <c r="A761" s="58" t="str">
        <v>0:00</v>
      </c>
      <c r="B761" s="122"/>
      <c r="C761" s="144"/>
      <c r="D761" s="144"/>
      <c r="E761" s="144"/>
      <c r="F761" s="144"/>
      <c r="G761" s="144"/>
      <c r="H761" s="144"/>
      <c r="I761" s="144"/>
      <c r="J761" s="144"/>
      <c r="K761" s="144"/>
      <c r="L761" s="144"/>
      <c r="M761" s="144"/>
      <c r="N761" s="144"/>
      <c r="O761" s="144"/>
      <c r="P761" s="144"/>
    </row>
    <row r="762" spans="1:16" x14ac:dyDescent="0.2">
      <c r="A762" s="58" t="str">
        <v>0:00</v>
      </c>
      <c r="B762" s="122"/>
      <c r="C762" s="144"/>
      <c r="D762" s="144"/>
      <c r="E762" s="144"/>
      <c r="F762" s="144"/>
      <c r="G762" s="144"/>
      <c r="H762" s="144"/>
      <c r="I762" s="144"/>
      <c r="J762" s="144"/>
      <c r="K762" s="144"/>
      <c r="L762" s="144"/>
      <c r="M762" s="144"/>
      <c r="N762" s="144"/>
      <c r="O762" s="144"/>
      <c r="P762" s="144"/>
    </row>
    <row r="763" spans="1:16" x14ac:dyDescent="0.2">
      <c r="A763" s="58" t="str">
        <v>0:00</v>
      </c>
      <c r="B763" s="122"/>
      <c r="C763" s="144"/>
      <c r="D763" s="144"/>
      <c r="E763" s="144"/>
      <c r="F763" s="144"/>
      <c r="G763" s="144"/>
      <c r="H763" s="144"/>
      <c r="I763" s="144"/>
      <c r="J763" s="144"/>
      <c r="K763" s="144"/>
      <c r="L763" s="144"/>
      <c r="M763" s="144"/>
      <c r="N763" s="144"/>
      <c r="O763" s="144"/>
      <c r="P763" s="144"/>
    </row>
    <row r="764" spans="1:16" x14ac:dyDescent="0.2">
      <c r="A764" s="58" t="str">
        <v>0:00</v>
      </c>
      <c r="B764" s="122"/>
      <c r="C764" s="144"/>
      <c r="D764" s="144"/>
      <c r="E764" s="144"/>
      <c r="F764" s="144"/>
      <c r="G764" s="144"/>
      <c r="H764" s="144"/>
      <c r="I764" s="144"/>
      <c r="J764" s="144"/>
      <c r="K764" s="144"/>
      <c r="L764" s="144"/>
      <c r="M764" s="144"/>
      <c r="N764" s="144"/>
      <c r="O764" s="144"/>
      <c r="P764" s="144"/>
    </row>
    <row r="765" spans="1:16" x14ac:dyDescent="0.2">
      <c r="A765" s="58" t="str">
        <v>0:00</v>
      </c>
      <c r="B765" s="122"/>
      <c r="C765" s="144"/>
      <c r="D765" s="144"/>
      <c r="E765" s="144"/>
      <c r="F765" s="144"/>
      <c r="G765" s="144"/>
      <c r="H765" s="144"/>
      <c r="I765" s="144"/>
      <c r="J765" s="144"/>
      <c r="K765" s="144"/>
      <c r="L765" s="144"/>
      <c r="M765" s="144"/>
      <c r="N765" s="144"/>
      <c r="O765" s="144"/>
      <c r="P765" s="144"/>
    </row>
    <row r="766" spans="1:16" x14ac:dyDescent="0.2">
      <c r="A766" s="58" t="str">
        <v>0:00</v>
      </c>
      <c r="B766" s="122"/>
      <c r="C766" s="144"/>
      <c r="D766" s="144"/>
      <c r="E766" s="144"/>
      <c r="F766" s="144"/>
      <c r="G766" s="144"/>
      <c r="H766" s="144"/>
      <c r="I766" s="144"/>
      <c r="J766" s="144"/>
      <c r="K766" s="144"/>
      <c r="L766" s="144"/>
      <c r="M766" s="144"/>
      <c r="N766" s="144"/>
      <c r="O766" s="144"/>
      <c r="P766" s="144"/>
    </row>
    <row r="767" spans="1:16" x14ac:dyDescent="0.2">
      <c r="A767" s="58" t="str">
        <v>0:00</v>
      </c>
      <c r="B767" s="122"/>
      <c r="C767" s="144"/>
      <c r="D767" s="144"/>
      <c r="E767" s="144"/>
      <c r="F767" s="144"/>
      <c r="G767" s="144"/>
      <c r="H767" s="144"/>
      <c r="I767" s="144"/>
      <c r="J767" s="144"/>
      <c r="K767" s="144"/>
      <c r="L767" s="144"/>
      <c r="M767" s="144"/>
      <c r="N767" s="144"/>
      <c r="O767" s="144"/>
      <c r="P767" s="144"/>
    </row>
    <row r="768" spans="1:16" x14ac:dyDescent="0.2">
      <c r="A768" s="58" t="str">
        <v>0:00</v>
      </c>
      <c r="B768" s="122"/>
      <c r="C768" s="144"/>
      <c r="D768" s="144"/>
      <c r="E768" s="144"/>
      <c r="F768" s="144"/>
      <c r="G768" s="144"/>
      <c r="H768" s="144"/>
      <c r="I768" s="144"/>
      <c r="J768" s="144"/>
      <c r="K768" s="144"/>
      <c r="L768" s="144"/>
      <c r="M768" s="144"/>
      <c r="N768" s="144"/>
      <c r="O768" s="144"/>
      <c r="P768" s="144"/>
    </row>
    <row r="769" spans="1:16" x14ac:dyDescent="0.2">
      <c r="A769" s="58" t="str">
        <v>0:00</v>
      </c>
      <c r="B769" s="122"/>
      <c r="C769" s="144"/>
      <c r="D769" s="144"/>
      <c r="E769" s="144"/>
      <c r="F769" s="144"/>
      <c r="G769" s="144"/>
      <c r="H769" s="144"/>
      <c r="I769" s="144"/>
      <c r="J769" s="144"/>
      <c r="K769" s="144"/>
      <c r="L769" s="144"/>
      <c r="M769" s="144"/>
      <c r="N769" s="144"/>
      <c r="O769" s="144"/>
      <c r="P769" s="144"/>
    </row>
    <row r="770" spans="1:16" x14ac:dyDescent="0.2">
      <c r="A770" s="58" t="str">
        <v>0:00</v>
      </c>
      <c r="B770" s="122"/>
      <c r="C770" s="144"/>
      <c r="D770" s="144"/>
      <c r="E770" s="144"/>
      <c r="F770" s="144"/>
      <c r="G770" s="144"/>
      <c r="H770" s="144"/>
      <c r="I770" s="144"/>
      <c r="J770" s="144"/>
      <c r="K770" s="144"/>
      <c r="L770" s="144"/>
      <c r="M770" s="144"/>
      <c r="N770" s="144"/>
      <c r="O770" s="144"/>
      <c r="P770" s="144"/>
    </row>
    <row r="771" spans="1:16" x14ac:dyDescent="0.2">
      <c r="A771" s="58" t="str">
        <v>0:00</v>
      </c>
      <c r="B771" s="122"/>
      <c r="C771" s="144"/>
      <c r="D771" s="144"/>
      <c r="E771" s="144"/>
      <c r="F771" s="144"/>
      <c r="G771" s="144"/>
      <c r="H771" s="144"/>
      <c r="I771" s="144"/>
      <c r="J771" s="144"/>
      <c r="K771" s="144"/>
      <c r="L771" s="144"/>
      <c r="M771" s="144"/>
      <c r="N771" s="144"/>
      <c r="O771" s="144"/>
      <c r="P771" s="144"/>
    </row>
    <row r="772" spans="1:16" x14ac:dyDescent="0.2">
      <c r="A772" s="58" t="str">
        <v>0:00</v>
      </c>
      <c r="B772" s="122"/>
      <c r="C772" s="144"/>
      <c r="D772" s="144"/>
      <c r="E772" s="144"/>
      <c r="F772" s="144"/>
      <c r="G772" s="144"/>
      <c r="H772" s="144"/>
      <c r="I772" s="144"/>
      <c r="J772" s="144"/>
      <c r="K772" s="144"/>
      <c r="L772" s="144"/>
      <c r="M772" s="144"/>
      <c r="N772" s="144"/>
      <c r="O772" s="144"/>
      <c r="P772" s="144"/>
    </row>
    <row r="773" spans="1:16" x14ac:dyDescent="0.2">
      <c r="A773" s="58" t="str">
        <v>0:00</v>
      </c>
      <c r="B773" s="122"/>
      <c r="C773" s="144"/>
      <c r="D773" s="144"/>
      <c r="E773" s="144"/>
      <c r="F773" s="144"/>
      <c r="G773" s="144"/>
      <c r="H773" s="144"/>
      <c r="I773" s="144"/>
      <c r="J773" s="144"/>
      <c r="K773" s="144"/>
      <c r="L773" s="144"/>
      <c r="M773" s="144"/>
      <c r="N773" s="144"/>
      <c r="O773" s="144"/>
      <c r="P773" s="144"/>
    </row>
    <row r="774" spans="1:16" x14ac:dyDescent="0.2">
      <c r="A774" s="58" t="str">
        <v>0:00</v>
      </c>
      <c r="B774" s="122"/>
      <c r="C774" s="144"/>
      <c r="D774" s="144"/>
      <c r="E774" s="144"/>
      <c r="F774" s="144"/>
      <c r="G774" s="144"/>
      <c r="H774" s="144"/>
      <c r="I774" s="144"/>
      <c r="J774" s="144"/>
      <c r="K774" s="144"/>
      <c r="L774" s="144"/>
      <c r="M774" s="144"/>
      <c r="N774" s="144"/>
      <c r="O774" s="144"/>
      <c r="P774" s="144"/>
    </row>
    <row r="775" spans="1:16" x14ac:dyDescent="0.2">
      <c r="A775" s="58" t="str">
        <v>0:00</v>
      </c>
      <c r="B775" s="122"/>
      <c r="C775" s="144"/>
      <c r="D775" s="144"/>
      <c r="E775" s="144"/>
      <c r="F775" s="144"/>
      <c r="G775" s="144"/>
      <c r="H775" s="144"/>
      <c r="I775" s="144"/>
      <c r="J775" s="144"/>
      <c r="K775" s="144"/>
      <c r="L775" s="144"/>
      <c r="M775" s="144"/>
      <c r="N775" s="144"/>
      <c r="O775" s="144"/>
      <c r="P775" s="144"/>
    </row>
    <row r="776" spans="1:16" x14ac:dyDescent="0.2">
      <c r="A776" s="58" t="str">
        <v>0:00</v>
      </c>
      <c r="B776" s="122"/>
      <c r="C776" s="144"/>
      <c r="D776" s="144"/>
      <c r="E776" s="144"/>
      <c r="F776" s="144"/>
      <c r="G776" s="144"/>
      <c r="H776" s="144"/>
      <c r="I776" s="144"/>
      <c r="J776" s="144"/>
      <c r="K776" s="144"/>
      <c r="L776" s="144"/>
      <c r="M776" s="144"/>
      <c r="N776" s="144"/>
      <c r="O776" s="144"/>
      <c r="P776" s="144"/>
    </row>
    <row r="777" spans="1:16" x14ac:dyDescent="0.2">
      <c r="A777" s="58" t="str">
        <v>0:00</v>
      </c>
      <c r="B777" s="122"/>
      <c r="C777" s="144"/>
      <c r="D777" s="144"/>
      <c r="E777" s="144"/>
      <c r="F777" s="144"/>
      <c r="G777" s="144"/>
      <c r="H777" s="144"/>
      <c r="I777" s="144"/>
      <c r="J777" s="144"/>
      <c r="K777" s="144"/>
      <c r="L777" s="144"/>
      <c r="M777" s="144"/>
      <c r="N777" s="144"/>
      <c r="O777" s="144"/>
      <c r="P777" s="144"/>
    </row>
    <row r="778" spans="1:16" x14ac:dyDescent="0.2">
      <c r="A778" s="58" t="str">
        <v>0:00</v>
      </c>
      <c r="B778" s="122"/>
      <c r="C778" s="144"/>
      <c r="D778" s="144"/>
      <c r="E778" s="144"/>
      <c r="F778" s="144"/>
      <c r="G778" s="144"/>
      <c r="H778" s="144"/>
      <c r="I778" s="144"/>
      <c r="J778" s="144"/>
      <c r="K778" s="144"/>
      <c r="L778" s="144"/>
      <c r="M778" s="144"/>
      <c r="N778" s="144"/>
      <c r="O778" s="144"/>
      <c r="P778" s="144"/>
    </row>
    <row r="779" spans="1:16" x14ac:dyDescent="0.2">
      <c r="A779" s="58" t="str">
        <v>0:00</v>
      </c>
      <c r="B779" s="122"/>
      <c r="C779" s="144"/>
      <c r="D779" s="144"/>
      <c r="E779" s="144"/>
      <c r="F779" s="144"/>
      <c r="G779" s="144"/>
      <c r="H779" s="144"/>
      <c r="I779" s="144"/>
      <c r="J779" s="144"/>
      <c r="K779" s="144"/>
      <c r="L779" s="144"/>
      <c r="M779" s="144"/>
      <c r="N779" s="144"/>
      <c r="O779" s="144"/>
      <c r="P779" s="144"/>
    </row>
    <row r="780" spans="1:16" x14ac:dyDescent="0.2">
      <c r="A780" s="58" t="str">
        <v>0:00</v>
      </c>
      <c r="B780" s="122"/>
      <c r="C780" s="144"/>
      <c r="D780" s="144"/>
      <c r="E780" s="144"/>
      <c r="F780" s="144"/>
      <c r="G780" s="144"/>
      <c r="H780" s="144"/>
      <c r="I780" s="144"/>
      <c r="J780" s="144"/>
      <c r="K780" s="144"/>
      <c r="L780" s="144"/>
      <c r="M780" s="144"/>
      <c r="N780" s="144"/>
      <c r="O780" s="144"/>
      <c r="P780" s="144"/>
    </row>
    <row r="781" spans="1:16" x14ac:dyDescent="0.2">
      <c r="A781" s="58" t="str">
        <v>0:00</v>
      </c>
      <c r="B781" s="122"/>
      <c r="C781" s="144"/>
      <c r="D781" s="144"/>
      <c r="E781" s="144"/>
      <c r="F781" s="144"/>
      <c r="G781" s="144"/>
      <c r="H781" s="144"/>
      <c r="I781" s="144"/>
      <c r="J781" s="144"/>
      <c r="K781" s="144"/>
      <c r="L781" s="144"/>
      <c r="M781" s="144"/>
      <c r="N781" s="144"/>
      <c r="O781" s="144"/>
      <c r="P781" s="144"/>
    </row>
    <row r="782" spans="1:16" x14ac:dyDescent="0.2">
      <c r="A782" s="58" t="str">
        <v>0:00</v>
      </c>
      <c r="B782" s="122"/>
      <c r="C782" s="144"/>
      <c r="D782" s="144"/>
      <c r="E782" s="144"/>
      <c r="F782" s="144"/>
      <c r="G782" s="144"/>
      <c r="H782" s="144"/>
      <c r="I782" s="144"/>
      <c r="J782" s="144"/>
      <c r="K782" s="144"/>
      <c r="L782" s="144"/>
      <c r="M782" s="144"/>
      <c r="N782" s="144"/>
      <c r="O782" s="144"/>
      <c r="P782" s="144"/>
    </row>
    <row r="783" spans="1:16" x14ac:dyDescent="0.2">
      <c r="A783" s="58" t="str">
        <v>0:00</v>
      </c>
      <c r="B783" s="122"/>
      <c r="C783" s="144"/>
      <c r="D783" s="144"/>
      <c r="E783" s="144"/>
      <c r="F783" s="144"/>
      <c r="G783" s="144"/>
      <c r="H783" s="144"/>
      <c r="I783" s="144"/>
      <c r="J783" s="144"/>
      <c r="K783" s="144"/>
      <c r="L783" s="144"/>
      <c r="M783" s="144"/>
      <c r="N783" s="144"/>
      <c r="O783" s="144"/>
      <c r="P783" s="144"/>
    </row>
    <row r="784" spans="1:16" x14ac:dyDescent="0.2">
      <c r="A784" s="58" t="str">
        <v>0:00</v>
      </c>
      <c r="B784" s="122"/>
      <c r="C784" s="144"/>
      <c r="D784" s="144"/>
      <c r="E784" s="144"/>
      <c r="F784" s="144"/>
      <c r="G784" s="144"/>
      <c r="H784" s="144"/>
      <c r="I784" s="144"/>
      <c r="J784" s="144"/>
      <c r="K784" s="144"/>
      <c r="L784" s="144"/>
      <c r="M784" s="144"/>
      <c r="N784" s="144"/>
      <c r="O784" s="144"/>
      <c r="P784" s="144"/>
    </row>
    <row r="785" spans="1:16" x14ac:dyDescent="0.2">
      <c r="A785" s="58" t="str">
        <v>0:00</v>
      </c>
      <c r="B785" s="122"/>
      <c r="C785" s="144"/>
      <c r="D785" s="144"/>
      <c r="E785" s="144"/>
      <c r="F785" s="144"/>
      <c r="G785" s="144"/>
      <c r="H785" s="144"/>
      <c r="I785" s="144"/>
      <c r="J785" s="144"/>
      <c r="K785" s="144"/>
      <c r="L785" s="144"/>
      <c r="M785" s="144"/>
      <c r="N785" s="144"/>
      <c r="O785" s="144"/>
      <c r="P785" s="144"/>
    </row>
    <row r="786" spans="1:16" x14ac:dyDescent="0.2">
      <c r="A786" s="58" t="str">
        <v>0:00</v>
      </c>
      <c r="B786" s="122"/>
      <c r="C786" s="144"/>
      <c r="D786" s="144"/>
      <c r="E786" s="144"/>
      <c r="F786" s="144"/>
      <c r="G786" s="144"/>
      <c r="H786" s="144"/>
      <c r="I786" s="144"/>
      <c r="J786" s="144"/>
      <c r="K786" s="144"/>
      <c r="L786" s="144"/>
      <c r="M786" s="144"/>
      <c r="N786" s="144"/>
      <c r="O786" s="144"/>
      <c r="P786" s="144"/>
    </row>
    <row r="787" spans="1:16" x14ac:dyDescent="0.2">
      <c r="A787" s="58" t="str">
        <v>0:00</v>
      </c>
      <c r="B787" s="122"/>
      <c r="C787" s="144"/>
      <c r="D787" s="144"/>
      <c r="E787" s="144"/>
      <c r="F787" s="144"/>
      <c r="G787" s="144"/>
      <c r="H787" s="144"/>
      <c r="I787" s="144"/>
      <c r="J787" s="144"/>
      <c r="K787" s="144"/>
      <c r="L787" s="144"/>
      <c r="M787" s="144"/>
      <c r="N787" s="144"/>
      <c r="O787" s="144"/>
      <c r="P787" s="144"/>
    </row>
    <row r="788" spans="1:16" x14ac:dyDescent="0.2">
      <c r="A788" s="58" t="str">
        <v>0:00</v>
      </c>
      <c r="B788" s="122"/>
      <c r="C788" s="144"/>
      <c r="D788" s="144"/>
      <c r="E788" s="144"/>
      <c r="F788" s="144"/>
      <c r="G788" s="144"/>
      <c r="H788" s="144"/>
      <c r="I788" s="144"/>
      <c r="J788" s="144"/>
      <c r="K788" s="144"/>
      <c r="L788" s="144"/>
      <c r="M788" s="144"/>
      <c r="N788" s="144"/>
      <c r="O788" s="144"/>
      <c r="P788" s="144"/>
    </row>
    <row r="789" spans="1:16" x14ac:dyDescent="0.2">
      <c r="A789" s="58" t="str">
        <v>0:00</v>
      </c>
      <c r="B789" s="122"/>
      <c r="C789" s="144"/>
      <c r="D789" s="144"/>
      <c r="E789" s="144"/>
      <c r="F789" s="144"/>
      <c r="G789" s="144"/>
      <c r="H789" s="144"/>
      <c r="I789" s="144"/>
      <c r="J789" s="144"/>
      <c r="K789" s="144"/>
      <c r="L789" s="144"/>
      <c r="M789" s="144"/>
      <c r="N789" s="144"/>
      <c r="O789" s="144"/>
      <c r="P789" s="144"/>
    </row>
    <row r="790" spans="1:16" x14ac:dyDescent="0.2">
      <c r="A790" s="58" t="str">
        <v>0:00</v>
      </c>
      <c r="B790" s="122"/>
      <c r="C790" s="144"/>
      <c r="D790" s="144"/>
      <c r="E790" s="144"/>
      <c r="F790" s="144"/>
      <c r="G790" s="144"/>
      <c r="H790" s="144"/>
      <c r="I790" s="144"/>
      <c r="J790" s="144"/>
      <c r="K790" s="144"/>
      <c r="L790" s="144"/>
      <c r="M790" s="144"/>
      <c r="N790" s="144"/>
      <c r="O790" s="144"/>
      <c r="P790" s="144"/>
    </row>
    <row r="791" spans="1:16" x14ac:dyDescent="0.2">
      <c r="A791" s="58" t="str">
        <v>0:00</v>
      </c>
      <c r="B791" s="122"/>
      <c r="C791" s="144"/>
      <c r="D791" s="144"/>
      <c r="E791" s="144"/>
      <c r="F791" s="144"/>
      <c r="G791" s="144"/>
      <c r="H791" s="144"/>
      <c r="I791" s="144"/>
      <c r="J791" s="144"/>
      <c r="K791" s="144"/>
      <c r="L791" s="144"/>
      <c r="M791" s="144"/>
      <c r="N791" s="144"/>
      <c r="O791" s="144"/>
      <c r="P791" s="144"/>
    </row>
    <row r="792" spans="1:16" x14ac:dyDescent="0.2">
      <c r="A792" s="58" t="str">
        <v>0:00</v>
      </c>
      <c r="B792" s="122"/>
      <c r="C792" s="144"/>
      <c r="D792" s="144"/>
      <c r="E792" s="144"/>
      <c r="F792" s="144"/>
      <c r="G792" s="144"/>
      <c r="H792" s="144"/>
      <c r="I792" s="144"/>
      <c r="J792" s="144"/>
      <c r="K792" s="144"/>
      <c r="L792" s="144"/>
      <c r="M792" s="144"/>
      <c r="N792" s="144"/>
      <c r="O792" s="144"/>
      <c r="P792" s="144"/>
    </row>
    <row r="793" spans="1:16" x14ac:dyDescent="0.2">
      <c r="A793" s="58" t="str">
        <v>0:00</v>
      </c>
      <c r="B793" s="122"/>
      <c r="C793" s="144"/>
      <c r="D793" s="144"/>
      <c r="E793" s="144"/>
      <c r="F793" s="144"/>
      <c r="G793" s="144"/>
      <c r="H793" s="144"/>
      <c r="I793" s="144"/>
      <c r="J793" s="144"/>
      <c r="K793" s="144"/>
      <c r="L793" s="144"/>
      <c r="M793" s="144"/>
      <c r="N793" s="144"/>
      <c r="O793" s="144"/>
      <c r="P793" s="144"/>
    </row>
    <row r="794" spans="1:16" x14ac:dyDescent="0.2">
      <c r="A794" s="58" t="str">
        <v>0:00</v>
      </c>
      <c r="B794" s="122"/>
      <c r="C794" s="144"/>
      <c r="D794" s="144"/>
      <c r="E794" s="144"/>
      <c r="F794" s="144"/>
      <c r="G794" s="144"/>
      <c r="H794" s="144"/>
      <c r="I794" s="144"/>
      <c r="J794" s="144"/>
      <c r="K794" s="144"/>
      <c r="L794" s="144"/>
      <c r="M794" s="144"/>
      <c r="N794" s="144"/>
      <c r="O794" s="144"/>
      <c r="P794" s="144"/>
    </row>
    <row r="795" spans="1:16" x14ac:dyDescent="0.2">
      <c r="A795" s="58" t="str">
        <v>0:00</v>
      </c>
      <c r="B795" s="122"/>
      <c r="C795" s="144"/>
      <c r="D795" s="144"/>
      <c r="E795" s="144"/>
      <c r="F795" s="144"/>
      <c r="G795" s="144"/>
      <c r="H795" s="144"/>
      <c r="I795" s="144"/>
      <c r="J795" s="144"/>
      <c r="K795" s="144"/>
      <c r="L795" s="144"/>
      <c r="M795" s="144"/>
      <c r="N795" s="144"/>
      <c r="O795" s="144"/>
      <c r="P795" s="144"/>
    </row>
    <row r="796" spans="1:16" x14ac:dyDescent="0.2">
      <c r="A796" s="58" t="str">
        <v>0:00</v>
      </c>
      <c r="B796" s="122"/>
      <c r="C796" s="144"/>
      <c r="D796" s="144"/>
      <c r="E796" s="144"/>
      <c r="F796" s="144"/>
      <c r="G796" s="144"/>
      <c r="H796" s="144"/>
      <c r="I796" s="144"/>
      <c r="J796" s="144"/>
      <c r="K796" s="144"/>
      <c r="L796" s="144"/>
      <c r="M796" s="144"/>
      <c r="N796" s="144"/>
      <c r="O796" s="144"/>
      <c r="P796" s="144"/>
    </row>
    <row r="797" spans="1:16" x14ac:dyDescent="0.2">
      <c r="A797" s="58" t="str">
        <v>0:00</v>
      </c>
      <c r="B797" s="122"/>
      <c r="C797" s="144"/>
      <c r="D797" s="144"/>
      <c r="E797" s="144"/>
      <c r="F797" s="144"/>
      <c r="G797" s="144"/>
      <c r="H797" s="144"/>
      <c r="I797" s="144"/>
      <c r="J797" s="144"/>
      <c r="K797" s="144"/>
      <c r="L797" s="144"/>
      <c r="M797" s="144"/>
      <c r="N797" s="144"/>
      <c r="O797" s="144"/>
      <c r="P797" s="144"/>
    </row>
    <row r="798" spans="1:16" x14ac:dyDescent="0.2">
      <c r="A798" s="58" t="str">
        <v>0:00</v>
      </c>
      <c r="B798" s="122"/>
      <c r="C798" s="144"/>
      <c r="D798" s="144"/>
      <c r="E798" s="144"/>
      <c r="F798" s="144"/>
      <c r="G798" s="144"/>
      <c r="H798" s="144"/>
      <c r="I798" s="144"/>
      <c r="J798" s="144"/>
      <c r="K798" s="144"/>
      <c r="L798" s="144"/>
      <c r="M798" s="144"/>
      <c r="N798" s="144"/>
      <c r="O798" s="144"/>
      <c r="P798" s="144"/>
    </row>
    <row r="799" spans="1:16" x14ac:dyDescent="0.2">
      <c r="A799" s="58" t="str">
        <v>0:00</v>
      </c>
      <c r="B799" s="122"/>
      <c r="C799" s="144"/>
      <c r="D799" s="144"/>
      <c r="E799" s="144"/>
      <c r="F799" s="144"/>
      <c r="G799" s="144"/>
      <c r="H799" s="144"/>
      <c r="I799" s="144"/>
      <c r="J799" s="144"/>
      <c r="K799" s="144"/>
      <c r="L799" s="144"/>
      <c r="M799" s="144"/>
      <c r="N799" s="144"/>
      <c r="O799" s="144"/>
      <c r="P799" s="144"/>
    </row>
    <row r="800" spans="1:16" x14ac:dyDescent="0.2">
      <c r="A800" s="58" t="str">
        <v>0:00</v>
      </c>
      <c r="B800" s="122"/>
      <c r="C800" s="144"/>
      <c r="D800" s="144"/>
      <c r="E800" s="144"/>
      <c r="F800" s="144"/>
      <c r="G800" s="144"/>
      <c r="H800" s="144"/>
      <c r="I800" s="144"/>
      <c r="J800" s="144"/>
      <c r="K800" s="144"/>
      <c r="L800" s="144"/>
      <c r="M800" s="144"/>
      <c r="N800" s="144"/>
      <c r="O800" s="144"/>
      <c r="P800" s="144"/>
    </row>
    <row r="801" spans="1:16" x14ac:dyDescent="0.2">
      <c r="A801" s="58" t="str">
        <v>0:00</v>
      </c>
      <c r="B801" s="122"/>
      <c r="C801" s="144"/>
      <c r="D801" s="144"/>
      <c r="E801" s="144"/>
      <c r="F801" s="144"/>
      <c r="G801" s="144"/>
      <c r="H801" s="144"/>
      <c r="I801" s="144"/>
      <c r="J801" s="144"/>
      <c r="K801" s="144"/>
      <c r="L801" s="144"/>
      <c r="M801" s="144"/>
      <c r="N801" s="144"/>
      <c r="O801" s="144"/>
      <c r="P801" s="144"/>
    </row>
    <row r="802" spans="1:16" x14ac:dyDescent="0.2">
      <c r="A802" s="58" t="str">
        <v>0:00</v>
      </c>
      <c r="B802" s="122"/>
      <c r="C802" s="144"/>
      <c r="D802" s="144"/>
      <c r="E802" s="144"/>
      <c r="F802" s="144"/>
      <c r="G802" s="144"/>
      <c r="H802" s="144"/>
      <c r="I802" s="144"/>
      <c r="J802" s="144"/>
      <c r="K802" s="144"/>
      <c r="L802" s="144"/>
      <c r="M802" s="144"/>
      <c r="N802" s="144"/>
      <c r="O802" s="144"/>
      <c r="P802" s="144"/>
    </row>
    <row r="803" spans="1:16" x14ac:dyDescent="0.2">
      <c r="A803" s="58" t="str">
        <v>0:00</v>
      </c>
      <c r="B803" s="122"/>
      <c r="C803" s="144"/>
      <c r="D803" s="144"/>
      <c r="E803" s="144"/>
      <c r="F803" s="144"/>
      <c r="G803" s="144"/>
      <c r="H803" s="144"/>
      <c r="I803" s="144"/>
      <c r="J803" s="144"/>
      <c r="K803" s="144"/>
      <c r="L803" s="144"/>
      <c r="M803" s="144"/>
      <c r="N803" s="144"/>
      <c r="O803" s="144"/>
      <c r="P803" s="144"/>
    </row>
    <row r="804" spans="1:16" x14ac:dyDescent="0.2">
      <c r="A804" s="58" t="str">
        <v>0:00</v>
      </c>
      <c r="B804" s="122"/>
      <c r="C804" s="144"/>
      <c r="D804" s="144"/>
      <c r="E804" s="144"/>
      <c r="F804" s="144"/>
      <c r="G804" s="144"/>
      <c r="H804" s="144"/>
      <c r="I804" s="144"/>
      <c r="J804" s="144"/>
      <c r="K804" s="144"/>
      <c r="L804" s="144"/>
      <c r="M804" s="144"/>
      <c r="N804" s="144"/>
      <c r="O804" s="144"/>
      <c r="P804" s="144"/>
    </row>
    <row r="805" spans="1:16" x14ac:dyDescent="0.2">
      <c r="A805" s="58" t="str">
        <v>0:00</v>
      </c>
      <c r="B805" s="122"/>
      <c r="C805" s="144"/>
      <c r="D805" s="144"/>
      <c r="E805" s="144"/>
      <c r="F805" s="144"/>
      <c r="G805" s="144"/>
      <c r="H805" s="144"/>
      <c r="I805" s="144"/>
      <c r="J805" s="144"/>
      <c r="K805" s="144"/>
      <c r="L805" s="144"/>
      <c r="M805" s="144"/>
      <c r="N805" s="144"/>
      <c r="O805" s="144"/>
      <c r="P805" s="144"/>
    </row>
    <row r="806" spans="1:16" x14ac:dyDescent="0.2">
      <c r="A806" s="58" t="str">
        <v>0:00</v>
      </c>
      <c r="B806" s="122"/>
      <c r="C806" s="144"/>
      <c r="D806" s="144"/>
      <c r="E806" s="144"/>
      <c r="F806" s="144"/>
      <c r="G806" s="144"/>
      <c r="H806" s="144"/>
      <c r="I806" s="144"/>
      <c r="J806" s="144"/>
      <c r="K806" s="144"/>
      <c r="L806" s="144"/>
      <c r="M806" s="144"/>
      <c r="N806" s="144"/>
      <c r="O806" s="144"/>
      <c r="P806" s="144"/>
    </row>
    <row r="807" spans="1:16" x14ac:dyDescent="0.2">
      <c r="A807" s="58" t="str">
        <v>0:00</v>
      </c>
      <c r="B807" s="122"/>
      <c r="C807" s="144"/>
      <c r="D807" s="144"/>
      <c r="E807" s="144"/>
      <c r="F807" s="144"/>
      <c r="G807" s="144"/>
      <c r="H807" s="144"/>
      <c r="I807" s="144"/>
      <c r="J807" s="144"/>
      <c r="K807" s="144"/>
      <c r="L807" s="144"/>
      <c r="M807" s="144"/>
      <c r="N807" s="144"/>
      <c r="O807" s="144"/>
      <c r="P807" s="144"/>
    </row>
    <row r="808" spans="1:16" x14ac:dyDescent="0.2">
      <c r="A808" s="58" t="str">
        <v>0:00</v>
      </c>
      <c r="B808" s="122"/>
      <c r="C808" s="144"/>
      <c r="D808" s="144"/>
      <c r="E808" s="144"/>
      <c r="F808" s="144"/>
      <c r="G808" s="144"/>
      <c r="H808" s="144"/>
      <c r="I808" s="144"/>
      <c r="J808" s="144"/>
      <c r="K808" s="144"/>
      <c r="L808" s="144"/>
      <c r="M808" s="144"/>
      <c r="N808" s="144"/>
      <c r="O808" s="144"/>
      <c r="P808" s="144"/>
    </row>
    <row r="809" spans="1:16" x14ac:dyDescent="0.2">
      <c r="A809" s="58" t="str">
        <v>0:00</v>
      </c>
      <c r="B809" s="122"/>
      <c r="C809" s="144"/>
      <c r="D809" s="144"/>
      <c r="E809" s="144"/>
      <c r="F809" s="144"/>
      <c r="G809" s="144"/>
      <c r="H809" s="144"/>
      <c r="I809" s="144"/>
      <c r="J809" s="144"/>
      <c r="K809" s="144"/>
      <c r="L809" s="144"/>
      <c r="M809" s="144"/>
      <c r="N809" s="144"/>
      <c r="O809" s="144"/>
      <c r="P809" s="144"/>
    </row>
    <row r="810" spans="1:16" x14ac:dyDescent="0.2">
      <c r="A810" s="58" t="str">
        <v>0:00</v>
      </c>
      <c r="B810" s="122"/>
      <c r="C810" s="144"/>
      <c r="D810" s="144"/>
      <c r="E810" s="144"/>
      <c r="F810" s="144"/>
      <c r="G810" s="144"/>
      <c r="H810" s="144"/>
      <c r="I810" s="144"/>
      <c r="J810" s="144"/>
      <c r="K810" s="144"/>
      <c r="L810" s="144"/>
      <c r="M810" s="144"/>
      <c r="N810" s="144"/>
      <c r="O810" s="144"/>
      <c r="P810" s="144"/>
    </row>
    <row r="811" spans="1:16" x14ac:dyDescent="0.2">
      <c r="A811" s="58" t="str">
        <v>0:00</v>
      </c>
      <c r="B811" s="122"/>
      <c r="C811" s="144"/>
      <c r="D811" s="144"/>
      <c r="E811" s="144"/>
      <c r="F811" s="144"/>
      <c r="G811" s="144"/>
      <c r="H811" s="144"/>
      <c r="I811" s="144"/>
      <c r="J811" s="144"/>
      <c r="K811" s="144"/>
      <c r="L811" s="144"/>
      <c r="M811" s="144"/>
      <c r="N811" s="144"/>
      <c r="O811" s="144"/>
      <c r="P811" s="144"/>
    </row>
    <row r="812" spans="1:16" x14ac:dyDescent="0.2">
      <c r="A812" s="58" t="str">
        <v>0:00</v>
      </c>
      <c r="B812" s="122"/>
      <c r="C812" s="144"/>
      <c r="D812" s="144"/>
      <c r="E812" s="144"/>
      <c r="F812" s="144"/>
      <c r="G812" s="144"/>
      <c r="H812" s="144"/>
      <c r="I812" s="144"/>
      <c r="J812" s="144"/>
      <c r="K812" s="144"/>
      <c r="L812" s="144"/>
      <c r="M812" s="144"/>
      <c r="N812" s="144"/>
      <c r="O812" s="144"/>
      <c r="P812" s="144"/>
    </row>
    <row r="813" spans="1:16" x14ac:dyDescent="0.2">
      <c r="A813" s="58" t="str">
        <v>0:00</v>
      </c>
      <c r="B813" s="122"/>
      <c r="C813" s="144"/>
      <c r="D813" s="144"/>
      <c r="E813" s="144"/>
      <c r="F813" s="144"/>
      <c r="G813" s="144"/>
      <c r="H813" s="144"/>
      <c r="I813" s="144"/>
      <c r="J813" s="144"/>
      <c r="K813" s="144"/>
      <c r="L813" s="144"/>
      <c r="M813" s="144"/>
      <c r="N813" s="144"/>
      <c r="O813" s="144"/>
      <c r="P813" s="144"/>
    </row>
    <row r="814" spans="1:16" x14ac:dyDescent="0.2">
      <c r="A814" s="58" t="str">
        <v>0:00</v>
      </c>
      <c r="B814" s="122"/>
      <c r="C814" s="144"/>
      <c r="D814" s="144"/>
      <c r="E814" s="144"/>
      <c r="F814" s="144"/>
      <c r="G814" s="144"/>
      <c r="H814" s="144"/>
      <c r="I814" s="144"/>
      <c r="J814" s="144"/>
      <c r="K814" s="144"/>
      <c r="L814" s="144"/>
      <c r="M814" s="144"/>
      <c r="N814" s="144"/>
      <c r="O814" s="144"/>
      <c r="P814" s="144"/>
    </row>
    <row r="815" spans="1:16" x14ac:dyDescent="0.2">
      <c r="A815" s="58" t="str">
        <v>0:00</v>
      </c>
      <c r="B815" s="122"/>
      <c r="C815" s="144"/>
      <c r="D815" s="144"/>
      <c r="E815" s="144"/>
      <c r="F815" s="144"/>
      <c r="G815" s="144"/>
      <c r="H815" s="144"/>
      <c r="I815" s="144"/>
      <c r="J815" s="144"/>
      <c r="K815" s="144"/>
      <c r="L815" s="144"/>
      <c r="M815" s="144"/>
      <c r="N815" s="144"/>
      <c r="O815" s="144"/>
      <c r="P815" s="144"/>
    </row>
    <row r="816" spans="1:16" x14ac:dyDescent="0.2">
      <c r="A816" s="58" t="str">
        <v>0:00</v>
      </c>
      <c r="B816" s="122"/>
      <c r="C816" s="144"/>
      <c r="D816" s="144"/>
      <c r="E816" s="144"/>
      <c r="F816" s="144"/>
      <c r="G816" s="144"/>
      <c r="H816" s="144"/>
      <c r="I816" s="144"/>
      <c r="J816" s="144"/>
      <c r="K816" s="144"/>
      <c r="L816" s="144"/>
      <c r="M816" s="144"/>
      <c r="N816" s="144"/>
      <c r="O816" s="144"/>
      <c r="P816" s="144"/>
    </row>
    <row r="817" spans="1:16" x14ac:dyDescent="0.2">
      <c r="A817" s="58" t="str">
        <v>0:00</v>
      </c>
      <c r="B817" s="122"/>
      <c r="C817" s="144"/>
      <c r="D817" s="144"/>
      <c r="E817" s="144"/>
      <c r="F817" s="144"/>
      <c r="G817" s="144"/>
      <c r="H817" s="144"/>
      <c r="I817" s="144"/>
      <c r="J817" s="144"/>
      <c r="K817" s="144"/>
      <c r="L817" s="144"/>
      <c r="M817" s="144"/>
      <c r="N817" s="144"/>
      <c r="O817" s="144"/>
      <c r="P817" s="144"/>
    </row>
    <row r="818" spans="1:16" x14ac:dyDescent="0.2">
      <c r="A818" s="58" t="str">
        <v>0:00</v>
      </c>
      <c r="B818" s="122"/>
      <c r="C818" s="144"/>
      <c r="D818" s="144"/>
      <c r="E818" s="144"/>
      <c r="F818" s="144"/>
      <c r="G818" s="144"/>
      <c r="H818" s="144"/>
      <c r="I818" s="144"/>
      <c r="J818" s="144"/>
      <c r="K818" s="144"/>
      <c r="L818" s="144"/>
      <c r="M818" s="144"/>
      <c r="N818" s="144"/>
      <c r="O818" s="144"/>
      <c r="P818" s="144"/>
    </row>
    <row r="819" spans="1:16" x14ac:dyDescent="0.2">
      <c r="A819" s="58" t="str">
        <v>0:00</v>
      </c>
      <c r="B819" s="122"/>
      <c r="C819" s="144"/>
      <c r="D819" s="144"/>
      <c r="E819" s="144"/>
      <c r="F819" s="144"/>
      <c r="G819" s="144"/>
      <c r="H819" s="144"/>
      <c r="I819" s="144"/>
      <c r="J819" s="144"/>
      <c r="K819" s="144"/>
      <c r="L819" s="144"/>
      <c r="M819" s="144"/>
      <c r="N819" s="144"/>
      <c r="O819" s="144"/>
      <c r="P819" s="144"/>
    </row>
    <row r="820" spans="1:16" x14ac:dyDescent="0.2">
      <c r="A820" s="58" t="str">
        <v>0:00</v>
      </c>
      <c r="B820" s="122"/>
      <c r="C820" s="144"/>
      <c r="D820" s="144"/>
      <c r="E820" s="144"/>
      <c r="F820" s="144"/>
      <c r="G820" s="144"/>
      <c r="H820" s="144"/>
      <c r="I820" s="144"/>
      <c r="J820" s="144"/>
      <c r="K820" s="144"/>
      <c r="L820" s="144"/>
      <c r="M820" s="144"/>
      <c r="N820" s="144"/>
      <c r="O820" s="144"/>
      <c r="P820" s="144"/>
    </row>
    <row r="821" spans="1:16" x14ac:dyDescent="0.2">
      <c r="A821" s="58" t="str">
        <v>0:00</v>
      </c>
      <c r="B821" s="122"/>
      <c r="C821" s="144"/>
      <c r="D821" s="144"/>
      <c r="E821" s="144"/>
      <c r="F821" s="144"/>
      <c r="G821" s="144"/>
      <c r="H821" s="144"/>
      <c r="I821" s="144"/>
      <c r="J821" s="144"/>
      <c r="K821" s="144"/>
      <c r="L821" s="144"/>
      <c r="M821" s="144"/>
      <c r="N821" s="144"/>
      <c r="O821" s="144"/>
      <c r="P821" s="144"/>
    </row>
    <row r="822" spans="1:16" x14ac:dyDescent="0.2">
      <c r="A822" s="58" t="str">
        <v>0:00</v>
      </c>
      <c r="B822" s="122"/>
      <c r="C822" s="144"/>
      <c r="D822" s="144"/>
      <c r="E822" s="144"/>
      <c r="F822" s="144"/>
      <c r="G822" s="144"/>
      <c r="H822" s="144"/>
      <c r="I822" s="144"/>
      <c r="J822" s="144"/>
      <c r="K822" s="144"/>
      <c r="L822" s="144"/>
      <c r="M822" s="144"/>
      <c r="N822" s="144"/>
      <c r="O822" s="144"/>
      <c r="P822" s="144"/>
    </row>
    <row r="823" spans="1:16" x14ac:dyDescent="0.2">
      <c r="A823" s="58" t="str">
        <v>0:00</v>
      </c>
      <c r="B823" s="122"/>
      <c r="C823" s="144"/>
      <c r="D823" s="144"/>
      <c r="E823" s="144"/>
      <c r="F823" s="144"/>
      <c r="G823" s="144"/>
      <c r="H823" s="144"/>
      <c r="I823" s="144"/>
      <c r="J823" s="144"/>
      <c r="K823" s="144"/>
      <c r="L823" s="144"/>
      <c r="M823" s="144"/>
      <c r="N823" s="144"/>
      <c r="O823" s="144"/>
      <c r="P823" s="144"/>
    </row>
    <row r="824" spans="1:16" x14ac:dyDescent="0.2">
      <c r="A824" s="58" t="str">
        <v>0:00</v>
      </c>
      <c r="B824" s="122"/>
      <c r="C824" s="144"/>
      <c r="D824" s="144"/>
      <c r="E824" s="144"/>
      <c r="F824" s="144"/>
      <c r="G824" s="144"/>
      <c r="H824" s="144"/>
      <c r="I824" s="144"/>
      <c r="J824" s="144"/>
      <c r="K824" s="144"/>
      <c r="L824" s="144"/>
      <c r="M824" s="144"/>
      <c r="N824" s="144"/>
      <c r="O824" s="144"/>
      <c r="P824" s="144"/>
    </row>
    <row r="825" spans="1:16" x14ac:dyDescent="0.2">
      <c r="A825" s="58" t="str">
        <v>0:00</v>
      </c>
      <c r="B825" s="122"/>
      <c r="C825" s="144"/>
      <c r="D825" s="144"/>
      <c r="E825" s="144"/>
      <c r="F825" s="144"/>
      <c r="G825" s="144"/>
      <c r="H825" s="144"/>
      <c r="I825" s="144"/>
      <c r="J825" s="144"/>
      <c r="K825" s="144"/>
      <c r="L825" s="144"/>
      <c r="M825" s="144"/>
      <c r="N825" s="144"/>
      <c r="O825" s="144"/>
      <c r="P825" s="144"/>
    </row>
    <row r="826" spans="1:16" x14ac:dyDescent="0.2">
      <c r="A826" s="58" t="str">
        <v>0:00</v>
      </c>
      <c r="B826" s="122"/>
      <c r="C826" s="144"/>
      <c r="D826" s="144"/>
      <c r="E826" s="144"/>
      <c r="F826" s="144"/>
      <c r="G826" s="144"/>
      <c r="H826" s="144"/>
      <c r="I826" s="144"/>
      <c r="J826" s="144"/>
      <c r="K826" s="144"/>
      <c r="L826" s="144"/>
      <c r="M826" s="144"/>
      <c r="N826" s="144"/>
      <c r="O826" s="144"/>
      <c r="P826" s="144"/>
    </row>
    <row r="827" spans="1:16" x14ac:dyDescent="0.2">
      <c r="A827" s="58" t="str">
        <v>0:00</v>
      </c>
      <c r="B827" s="122"/>
      <c r="C827" s="144"/>
      <c r="D827" s="144"/>
      <c r="E827" s="144"/>
      <c r="F827" s="144"/>
      <c r="G827" s="144"/>
      <c r="H827" s="144"/>
      <c r="I827" s="144"/>
      <c r="J827" s="144"/>
      <c r="K827" s="144"/>
      <c r="L827" s="144"/>
      <c r="M827" s="144"/>
      <c r="N827" s="144"/>
      <c r="O827" s="144"/>
      <c r="P827" s="144"/>
    </row>
    <row r="828" spans="1:16" x14ac:dyDescent="0.2">
      <c r="A828" s="58" t="str">
        <v>0:00</v>
      </c>
      <c r="B828" s="122"/>
      <c r="C828" s="144"/>
      <c r="D828" s="144"/>
      <c r="E828" s="144"/>
      <c r="F828" s="144"/>
      <c r="G828" s="144"/>
      <c r="H828" s="144"/>
      <c r="I828" s="144"/>
      <c r="J828" s="144"/>
      <c r="K828" s="144"/>
      <c r="L828" s="144"/>
      <c r="M828" s="144"/>
      <c r="N828" s="144"/>
      <c r="O828" s="144"/>
      <c r="P828" s="144"/>
    </row>
    <row r="829" spans="1:16" x14ac:dyDescent="0.2">
      <c r="A829" s="58" t="str">
        <v>0:00</v>
      </c>
      <c r="B829" s="122"/>
      <c r="C829" s="144"/>
      <c r="D829" s="144"/>
      <c r="E829" s="144"/>
      <c r="F829" s="144"/>
      <c r="G829" s="144"/>
      <c r="H829" s="144"/>
      <c r="I829" s="144"/>
      <c r="J829" s="144"/>
      <c r="K829" s="144"/>
      <c r="L829" s="144"/>
      <c r="M829" s="144"/>
      <c r="N829" s="144"/>
      <c r="O829" s="144"/>
      <c r="P829" s="144"/>
    </row>
    <row r="830" spans="1:16" x14ac:dyDescent="0.2">
      <c r="A830" s="58" t="str">
        <v>0:00</v>
      </c>
      <c r="B830" s="122"/>
      <c r="C830" s="144"/>
      <c r="D830" s="144"/>
      <c r="E830" s="144"/>
      <c r="F830" s="144"/>
      <c r="G830" s="144"/>
      <c r="H830" s="144"/>
      <c r="I830" s="144"/>
      <c r="J830" s="144"/>
      <c r="K830" s="144"/>
      <c r="L830" s="144"/>
      <c r="M830" s="144"/>
      <c r="N830" s="144"/>
      <c r="O830" s="144"/>
      <c r="P830" s="144"/>
    </row>
    <row r="831" spans="1:16" x14ac:dyDescent="0.2">
      <c r="A831" s="58" t="str">
        <v>0:00</v>
      </c>
      <c r="B831" s="122"/>
      <c r="C831" s="144"/>
      <c r="D831" s="144"/>
      <c r="E831" s="144"/>
      <c r="F831" s="144"/>
      <c r="G831" s="144"/>
      <c r="H831" s="144"/>
      <c r="I831" s="144"/>
      <c r="J831" s="144"/>
      <c r="K831" s="144"/>
      <c r="L831" s="144"/>
      <c r="M831" s="144"/>
      <c r="N831" s="144"/>
      <c r="O831" s="144"/>
      <c r="P831" s="144"/>
    </row>
    <row r="832" spans="1:16" x14ac:dyDescent="0.2">
      <c r="A832" s="58" t="str">
        <v>0:00</v>
      </c>
      <c r="B832" s="122"/>
      <c r="C832" s="144"/>
      <c r="D832" s="144"/>
      <c r="E832" s="144"/>
      <c r="F832" s="144"/>
      <c r="G832" s="144"/>
      <c r="H832" s="144"/>
      <c r="I832" s="144"/>
      <c r="J832" s="144"/>
      <c r="K832" s="144"/>
      <c r="L832" s="144"/>
      <c r="M832" s="144"/>
      <c r="N832" s="144"/>
      <c r="O832" s="144"/>
      <c r="P832" s="144"/>
    </row>
    <row r="833" spans="1:16" x14ac:dyDescent="0.2">
      <c r="A833" s="58" t="str">
        <v>0:00</v>
      </c>
      <c r="B833" s="122"/>
      <c r="C833" s="144"/>
      <c r="D833" s="144"/>
      <c r="E833" s="144"/>
      <c r="F833" s="144"/>
      <c r="G833" s="144"/>
      <c r="H833" s="144"/>
      <c r="I833" s="144"/>
      <c r="J833" s="144"/>
      <c r="K833" s="144"/>
      <c r="L833" s="144"/>
      <c r="M833" s="144"/>
      <c r="N833" s="144"/>
      <c r="O833" s="144"/>
      <c r="P833" s="144"/>
    </row>
    <row r="834" spans="1:16" x14ac:dyDescent="0.2">
      <c r="A834" s="58" t="str">
        <v>0:00</v>
      </c>
      <c r="B834" s="122"/>
      <c r="C834" s="144"/>
      <c r="D834" s="144"/>
      <c r="E834" s="144"/>
      <c r="F834" s="144"/>
      <c r="G834" s="144"/>
      <c r="H834" s="144"/>
      <c r="I834" s="144"/>
      <c r="J834" s="144"/>
      <c r="K834" s="144"/>
      <c r="L834" s="144"/>
      <c r="M834" s="144"/>
      <c r="N834" s="144"/>
      <c r="O834" s="144"/>
      <c r="P834" s="144"/>
    </row>
    <row r="835" spans="1:16" x14ac:dyDescent="0.2">
      <c r="A835" s="58" t="str">
        <v>0:00</v>
      </c>
      <c r="B835" s="122"/>
      <c r="C835" s="144"/>
      <c r="D835" s="144"/>
      <c r="E835" s="144"/>
      <c r="F835" s="144"/>
      <c r="G835" s="144"/>
      <c r="H835" s="144"/>
      <c r="I835" s="144"/>
      <c r="J835" s="144"/>
      <c r="K835" s="144"/>
      <c r="L835" s="144"/>
      <c r="M835" s="144"/>
      <c r="N835" s="144"/>
      <c r="O835" s="144"/>
      <c r="P835" s="144"/>
    </row>
    <row r="836" spans="1:16" x14ac:dyDescent="0.2">
      <c r="A836" s="58" t="str">
        <v>0:00</v>
      </c>
      <c r="B836" s="122"/>
      <c r="C836" s="144"/>
      <c r="D836" s="144"/>
      <c r="E836" s="144"/>
      <c r="F836" s="144"/>
      <c r="G836" s="144"/>
      <c r="H836" s="144"/>
      <c r="I836" s="144"/>
      <c r="J836" s="144"/>
      <c r="K836" s="144"/>
      <c r="L836" s="144"/>
      <c r="M836" s="144"/>
      <c r="N836" s="144"/>
      <c r="O836" s="144"/>
      <c r="P836" s="144"/>
    </row>
    <row r="837" spans="1:16" x14ac:dyDescent="0.2">
      <c r="A837" s="58" t="str">
        <v>0:00</v>
      </c>
      <c r="B837" s="122"/>
      <c r="C837" s="144"/>
      <c r="D837" s="144"/>
      <c r="E837" s="144"/>
      <c r="F837" s="144"/>
      <c r="G837" s="144"/>
      <c r="H837" s="144"/>
      <c r="I837" s="144"/>
      <c r="J837" s="144"/>
      <c r="K837" s="144"/>
      <c r="L837" s="144"/>
      <c r="M837" s="144"/>
      <c r="N837" s="144"/>
      <c r="O837" s="144"/>
      <c r="P837" s="144"/>
    </row>
    <row r="838" spans="1:16" x14ac:dyDescent="0.2">
      <c r="A838" s="58" t="str">
        <v>0:00</v>
      </c>
      <c r="B838" s="122"/>
      <c r="C838" s="144"/>
      <c r="D838" s="144"/>
      <c r="E838" s="144"/>
      <c r="F838" s="144"/>
      <c r="G838" s="144"/>
      <c r="H838" s="144"/>
      <c r="I838" s="144"/>
      <c r="J838" s="144"/>
      <c r="K838" s="144"/>
      <c r="L838" s="144"/>
      <c r="M838" s="144"/>
      <c r="N838" s="144"/>
      <c r="O838" s="144"/>
      <c r="P838" s="144"/>
    </row>
    <row r="839" spans="1:16" x14ac:dyDescent="0.2">
      <c r="A839" s="58" t="str">
        <v>0:00</v>
      </c>
      <c r="B839" s="122"/>
      <c r="C839" s="144"/>
      <c r="D839" s="144"/>
      <c r="E839" s="144"/>
      <c r="F839" s="144"/>
      <c r="G839" s="144"/>
      <c r="H839" s="144"/>
      <c r="I839" s="144"/>
      <c r="J839" s="144"/>
      <c r="K839" s="144"/>
      <c r="L839" s="144"/>
      <c r="M839" s="144"/>
      <c r="N839" s="144"/>
      <c r="O839" s="144"/>
      <c r="P839" s="144"/>
    </row>
    <row r="840" spans="1:16" x14ac:dyDescent="0.2">
      <c r="A840" s="58" t="str">
        <v>0:00</v>
      </c>
      <c r="B840" s="122"/>
      <c r="C840" s="144"/>
      <c r="D840" s="144"/>
      <c r="E840" s="144"/>
      <c r="F840" s="144"/>
      <c r="G840" s="144"/>
      <c r="H840" s="144"/>
      <c r="I840" s="144"/>
      <c r="J840" s="144"/>
      <c r="K840" s="144"/>
      <c r="L840" s="144"/>
      <c r="M840" s="144"/>
      <c r="N840" s="144"/>
      <c r="O840" s="144"/>
      <c r="P840" s="144"/>
    </row>
    <row r="841" spans="1:16" x14ac:dyDescent="0.2">
      <c r="A841" s="58" t="str">
        <v>0:00</v>
      </c>
      <c r="B841" s="122"/>
      <c r="C841" s="144"/>
      <c r="D841" s="144"/>
      <c r="E841" s="144"/>
      <c r="F841" s="144"/>
      <c r="G841" s="144"/>
      <c r="H841" s="144"/>
      <c r="I841" s="144"/>
      <c r="J841" s="144"/>
      <c r="K841" s="144"/>
      <c r="L841" s="144"/>
      <c r="M841" s="144"/>
      <c r="N841" s="144"/>
      <c r="O841" s="144"/>
      <c r="P841" s="144"/>
    </row>
    <row r="842" spans="1:16" x14ac:dyDescent="0.2">
      <c r="A842" s="58" t="str">
        <v>0:00</v>
      </c>
      <c r="B842" s="122"/>
      <c r="C842" s="144"/>
      <c r="D842" s="144"/>
      <c r="E842" s="144"/>
      <c r="F842" s="144"/>
      <c r="G842" s="144"/>
      <c r="H842" s="144"/>
      <c r="I842" s="144"/>
      <c r="J842" s="144"/>
      <c r="K842" s="144"/>
      <c r="L842" s="144"/>
      <c r="M842" s="144"/>
      <c r="N842" s="144"/>
      <c r="O842" s="144"/>
      <c r="P842" s="144"/>
    </row>
    <row r="843" spans="1:16" x14ac:dyDescent="0.2">
      <c r="A843" s="58" t="str">
        <v>0:00</v>
      </c>
      <c r="B843" s="122"/>
      <c r="C843" s="144"/>
      <c r="D843" s="144"/>
      <c r="E843" s="144"/>
      <c r="F843" s="144"/>
      <c r="G843" s="144"/>
      <c r="H843" s="144"/>
      <c r="I843" s="144"/>
      <c r="J843" s="144"/>
      <c r="K843" s="144"/>
      <c r="L843" s="144"/>
      <c r="M843" s="144"/>
      <c r="N843" s="144"/>
      <c r="O843" s="144"/>
      <c r="P843" s="144"/>
    </row>
    <row r="844" spans="1:16" x14ac:dyDescent="0.2">
      <c r="A844" s="58" t="str">
        <v>0:00</v>
      </c>
      <c r="B844" s="122"/>
      <c r="C844" s="144"/>
      <c r="D844" s="144"/>
      <c r="E844" s="144"/>
      <c r="F844" s="144"/>
      <c r="G844" s="144"/>
      <c r="H844" s="144"/>
      <c r="I844" s="144"/>
      <c r="J844" s="144"/>
      <c r="K844" s="144"/>
      <c r="L844" s="144"/>
      <c r="M844" s="144"/>
      <c r="N844" s="144"/>
      <c r="O844" s="144"/>
      <c r="P844" s="144"/>
    </row>
    <row r="845" spans="1:16" x14ac:dyDescent="0.2">
      <c r="A845" s="58" t="str">
        <v>0:00</v>
      </c>
      <c r="B845" s="122"/>
      <c r="C845" s="144"/>
      <c r="D845" s="144"/>
      <c r="E845" s="144"/>
      <c r="F845" s="144"/>
      <c r="G845" s="144"/>
      <c r="H845" s="144"/>
      <c r="I845" s="144"/>
      <c r="J845" s="144"/>
      <c r="K845" s="144"/>
      <c r="L845" s="144"/>
      <c r="M845" s="144"/>
      <c r="N845" s="144"/>
      <c r="O845" s="144"/>
      <c r="P845" s="144"/>
    </row>
    <row r="846" spans="1:16" x14ac:dyDescent="0.2">
      <c r="A846" s="58" t="str">
        <v>0:00</v>
      </c>
      <c r="B846" s="122"/>
      <c r="C846" s="144"/>
      <c r="D846" s="144"/>
      <c r="E846" s="144"/>
      <c r="F846" s="144"/>
      <c r="G846" s="144"/>
      <c r="H846" s="144"/>
      <c r="I846" s="144"/>
      <c r="J846" s="144"/>
      <c r="K846" s="144"/>
      <c r="L846" s="144"/>
      <c r="M846" s="144"/>
      <c r="N846" s="144"/>
      <c r="O846" s="144"/>
      <c r="P846" s="144"/>
    </row>
    <row r="847" spans="1:16" x14ac:dyDescent="0.2">
      <c r="A847" s="58" t="str">
        <v>0:00</v>
      </c>
      <c r="B847" s="122"/>
      <c r="C847" s="144"/>
      <c r="D847" s="144"/>
      <c r="E847" s="144"/>
      <c r="F847" s="144"/>
      <c r="G847" s="144"/>
      <c r="H847" s="144"/>
      <c r="I847" s="144"/>
      <c r="J847" s="144"/>
      <c r="K847" s="144"/>
      <c r="L847" s="144"/>
      <c r="M847" s="144"/>
      <c r="N847" s="144"/>
      <c r="O847" s="144"/>
      <c r="P847" s="144"/>
    </row>
    <row r="848" spans="1:16" x14ac:dyDescent="0.2">
      <c r="A848" s="58" t="str">
        <v>0:00</v>
      </c>
      <c r="B848" s="122"/>
      <c r="C848" s="144"/>
      <c r="D848" s="144"/>
      <c r="E848" s="144"/>
      <c r="F848" s="144"/>
      <c r="G848" s="144"/>
      <c r="H848" s="144"/>
      <c r="I848" s="144"/>
      <c r="J848" s="144"/>
      <c r="K848" s="144"/>
      <c r="L848" s="144"/>
      <c r="M848" s="144"/>
      <c r="N848" s="144"/>
      <c r="O848" s="144"/>
      <c r="P848" s="144"/>
    </row>
    <row r="849" spans="1:16" x14ac:dyDescent="0.2">
      <c r="A849" s="58" t="str">
        <v>0:00</v>
      </c>
      <c r="B849" s="122"/>
      <c r="C849" s="144"/>
      <c r="D849" s="144"/>
      <c r="E849" s="144"/>
      <c r="F849" s="144"/>
      <c r="G849" s="144"/>
      <c r="H849" s="144"/>
      <c r="I849" s="144"/>
      <c r="J849" s="144"/>
      <c r="K849" s="144"/>
      <c r="L849" s="144"/>
      <c r="M849" s="144"/>
      <c r="N849" s="144"/>
      <c r="O849" s="144"/>
      <c r="P849" s="144"/>
    </row>
    <row r="850" spans="1:16" x14ac:dyDescent="0.2">
      <c r="A850" s="58" t="str">
        <v>0:00</v>
      </c>
      <c r="B850" s="122"/>
      <c r="C850" s="144"/>
      <c r="D850" s="144"/>
      <c r="E850" s="144"/>
      <c r="F850" s="144"/>
      <c r="G850" s="144"/>
      <c r="H850" s="144"/>
      <c r="I850" s="144"/>
      <c r="J850" s="144"/>
      <c r="K850" s="144"/>
      <c r="L850" s="144"/>
      <c r="M850" s="144"/>
      <c r="N850" s="144"/>
      <c r="O850" s="144"/>
      <c r="P850" s="144"/>
    </row>
    <row r="851" spans="1:16" x14ac:dyDescent="0.2">
      <c r="A851" s="58" t="str">
        <v>0:00</v>
      </c>
      <c r="B851" s="122"/>
      <c r="C851" s="144"/>
      <c r="D851" s="144"/>
      <c r="E851" s="144"/>
      <c r="F851" s="144"/>
      <c r="G851" s="144"/>
      <c r="H851" s="144"/>
      <c r="I851" s="144"/>
      <c r="J851" s="144"/>
      <c r="K851" s="144"/>
      <c r="L851" s="144"/>
      <c r="M851" s="144"/>
      <c r="N851" s="144"/>
      <c r="O851" s="144"/>
      <c r="P851" s="144"/>
    </row>
    <row r="852" spans="1:16" x14ac:dyDescent="0.2">
      <c r="A852" s="58" t="str">
        <v>0:00</v>
      </c>
      <c r="B852" s="122"/>
      <c r="C852" s="144"/>
      <c r="D852" s="144"/>
      <c r="E852" s="144"/>
      <c r="F852" s="144"/>
      <c r="G852" s="144"/>
      <c r="H852" s="144"/>
      <c r="I852" s="144"/>
      <c r="J852" s="144"/>
      <c r="K852" s="144"/>
      <c r="L852" s="144"/>
      <c r="M852" s="144"/>
      <c r="N852" s="144"/>
      <c r="O852" s="144"/>
      <c r="P852" s="144"/>
    </row>
    <row r="853" spans="1:16" x14ac:dyDescent="0.2">
      <c r="A853" s="58" t="str">
        <v>0:00</v>
      </c>
      <c r="B853" s="122"/>
      <c r="C853" s="144"/>
      <c r="D853" s="144"/>
      <c r="E853" s="144"/>
      <c r="F853" s="144"/>
      <c r="G853" s="144"/>
      <c r="H853" s="144"/>
      <c r="I853" s="144"/>
      <c r="J853" s="144"/>
      <c r="K853" s="144"/>
      <c r="L853" s="144"/>
      <c r="M853" s="144"/>
      <c r="N853" s="144"/>
      <c r="O853" s="144"/>
      <c r="P853" s="144"/>
    </row>
    <row r="854" spans="1:16" x14ac:dyDescent="0.2">
      <c r="A854" s="58" t="str">
        <v>0:00</v>
      </c>
      <c r="B854" s="122"/>
      <c r="C854" s="144"/>
      <c r="D854" s="144"/>
      <c r="E854" s="144"/>
      <c r="F854" s="144"/>
      <c r="G854" s="144"/>
      <c r="H854" s="144"/>
      <c r="I854" s="144"/>
      <c r="J854" s="144"/>
      <c r="K854" s="144"/>
      <c r="L854" s="144"/>
      <c r="M854" s="144"/>
      <c r="N854" s="144"/>
      <c r="O854" s="144"/>
      <c r="P854" s="144"/>
    </row>
    <row r="855" spans="1:16" x14ac:dyDescent="0.2">
      <c r="A855" s="58" t="str">
        <v>0:00</v>
      </c>
      <c r="B855" s="122"/>
      <c r="C855" s="144"/>
      <c r="D855" s="144"/>
      <c r="E855" s="144"/>
      <c r="F855" s="144"/>
      <c r="G855" s="144"/>
      <c r="H855" s="144"/>
      <c r="I855" s="144"/>
      <c r="J855" s="144"/>
      <c r="K855" s="144"/>
      <c r="L855" s="144"/>
      <c r="M855" s="144"/>
      <c r="N855" s="144"/>
      <c r="O855" s="144"/>
      <c r="P855" s="144"/>
    </row>
    <row r="856" spans="1:16" x14ac:dyDescent="0.2">
      <c r="A856" s="58" t="str">
        <v>0:00</v>
      </c>
      <c r="B856" s="122"/>
      <c r="C856" s="144"/>
      <c r="D856" s="144"/>
      <c r="E856" s="144"/>
      <c r="F856" s="144"/>
      <c r="G856" s="144"/>
      <c r="H856" s="144"/>
      <c r="I856" s="144"/>
      <c r="J856" s="144"/>
      <c r="K856" s="144"/>
      <c r="L856" s="144"/>
      <c r="M856" s="144"/>
      <c r="N856" s="144"/>
      <c r="O856" s="144"/>
      <c r="P856" s="144"/>
    </row>
    <row r="857" spans="1:16" x14ac:dyDescent="0.2">
      <c r="A857" s="58" t="str">
        <v>0:00</v>
      </c>
      <c r="B857" s="122"/>
      <c r="C857" s="144"/>
      <c r="D857" s="144"/>
      <c r="E857" s="144"/>
      <c r="F857" s="144"/>
      <c r="G857" s="144"/>
      <c r="H857" s="144"/>
      <c r="I857" s="144"/>
      <c r="J857" s="144"/>
      <c r="K857" s="144"/>
      <c r="L857" s="144"/>
      <c r="M857" s="144"/>
      <c r="N857" s="144"/>
      <c r="O857" s="144"/>
      <c r="P857" s="144"/>
    </row>
    <row r="858" spans="1:16" x14ac:dyDescent="0.2">
      <c r="A858" s="58" t="str">
        <v>0:00</v>
      </c>
      <c r="B858" s="122"/>
      <c r="C858" s="144"/>
      <c r="D858" s="144"/>
      <c r="E858" s="144"/>
      <c r="F858" s="144"/>
      <c r="G858" s="144"/>
      <c r="H858" s="144"/>
      <c r="I858" s="144"/>
      <c r="J858" s="144"/>
      <c r="K858" s="144"/>
      <c r="L858" s="144"/>
      <c r="M858" s="144"/>
      <c r="N858" s="144"/>
      <c r="O858" s="144"/>
      <c r="P858" s="144"/>
    </row>
    <row r="859" spans="1:16" x14ac:dyDescent="0.2">
      <c r="A859" s="58" t="str">
        <v>0:00</v>
      </c>
      <c r="B859" s="122"/>
      <c r="C859" s="144"/>
      <c r="D859" s="144"/>
      <c r="E859" s="144"/>
      <c r="F859" s="144"/>
      <c r="G859" s="144"/>
      <c r="H859" s="144"/>
      <c r="I859" s="144"/>
      <c r="J859" s="144"/>
      <c r="K859" s="144"/>
      <c r="L859" s="144"/>
      <c r="M859" s="144"/>
      <c r="N859" s="144"/>
      <c r="O859" s="144"/>
      <c r="P859" s="144"/>
    </row>
    <row r="860" spans="1:16" x14ac:dyDescent="0.2">
      <c r="A860" s="58" t="str">
        <v>0:00</v>
      </c>
      <c r="B860" s="122"/>
      <c r="C860" s="144"/>
      <c r="D860" s="144"/>
      <c r="E860" s="144"/>
      <c r="F860" s="144"/>
      <c r="G860" s="144"/>
      <c r="H860" s="144"/>
      <c r="I860" s="144"/>
      <c r="J860" s="144"/>
      <c r="K860" s="144"/>
      <c r="L860" s="144"/>
      <c r="M860" s="144"/>
      <c r="N860" s="144"/>
      <c r="O860" s="144"/>
      <c r="P860" s="144"/>
    </row>
    <row r="861" spans="1:16" x14ac:dyDescent="0.2">
      <c r="A861" s="58" t="str">
        <v>0:00</v>
      </c>
      <c r="B861" s="122"/>
      <c r="C861" s="144"/>
      <c r="D861" s="144"/>
      <c r="E861" s="144"/>
      <c r="F861" s="144"/>
      <c r="G861" s="144"/>
      <c r="H861" s="144"/>
      <c r="I861" s="144"/>
      <c r="J861" s="144"/>
      <c r="K861" s="144"/>
      <c r="L861" s="144"/>
      <c r="M861" s="144"/>
      <c r="N861" s="144"/>
      <c r="O861" s="144"/>
      <c r="P861" s="144"/>
    </row>
    <row r="862" spans="1:16" x14ac:dyDescent="0.2">
      <c r="A862" s="58" t="str">
        <v>0:00</v>
      </c>
      <c r="B862" s="122"/>
      <c r="C862" s="144"/>
      <c r="D862" s="144"/>
      <c r="E862" s="144"/>
      <c r="F862" s="144"/>
      <c r="G862" s="144"/>
      <c r="H862" s="144"/>
      <c r="I862" s="144"/>
      <c r="J862" s="144"/>
      <c r="K862" s="144"/>
      <c r="L862" s="144"/>
      <c r="M862" s="144"/>
      <c r="N862" s="144"/>
      <c r="O862" s="144"/>
      <c r="P862" s="144"/>
    </row>
    <row r="863" spans="1:16" x14ac:dyDescent="0.2">
      <c r="A863" s="58" t="str">
        <v>0:00</v>
      </c>
      <c r="B863" s="122"/>
      <c r="C863" s="144"/>
      <c r="D863" s="144"/>
      <c r="E863" s="144"/>
      <c r="F863" s="144"/>
      <c r="G863" s="144"/>
      <c r="H863" s="144"/>
      <c r="I863" s="144"/>
      <c r="J863" s="144"/>
      <c r="K863" s="144"/>
      <c r="L863" s="144"/>
      <c r="M863" s="144"/>
      <c r="N863" s="144"/>
      <c r="O863" s="144"/>
      <c r="P863" s="144"/>
    </row>
    <row r="864" spans="1:16" x14ac:dyDescent="0.2">
      <c r="A864" s="58" t="str">
        <v>0:00</v>
      </c>
      <c r="B864" s="122"/>
      <c r="C864" s="144"/>
      <c r="D864" s="144"/>
      <c r="E864" s="144"/>
      <c r="F864" s="144"/>
      <c r="G864" s="144"/>
      <c r="H864" s="144"/>
      <c r="I864" s="144"/>
      <c r="J864" s="144"/>
      <c r="K864" s="144"/>
      <c r="L864" s="144"/>
      <c r="M864" s="144"/>
      <c r="N864" s="144"/>
      <c r="O864" s="144"/>
      <c r="P864" s="144"/>
    </row>
    <row r="865" spans="1:16" x14ac:dyDescent="0.2">
      <c r="A865" s="58" t="str">
        <v>0:00</v>
      </c>
      <c r="B865" s="122"/>
      <c r="C865" s="144"/>
      <c r="D865" s="144"/>
      <c r="E865" s="144"/>
      <c r="F865" s="144"/>
      <c r="G865" s="144"/>
      <c r="H865" s="144"/>
      <c r="I865" s="144"/>
      <c r="J865" s="144"/>
      <c r="K865" s="144"/>
      <c r="L865" s="144"/>
      <c r="M865" s="144"/>
      <c r="N865" s="144"/>
      <c r="O865" s="144"/>
      <c r="P865" s="144"/>
    </row>
    <row r="866" spans="1:16" x14ac:dyDescent="0.2">
      <c r="A866" s="58" t="str">
        <v>0:00</v>
      </c>
      <c r="B866" s="122"/>
      <c r="C866" s="144"/>
      <c r="D866" s="144"/>
      <c r="E866" s="144"/>
      <c r="F866" s="144"/>
      <c r="G866" s="144"/>
      <c r="H866" s="144"/>
      <c r="I866" s="144"/>
      <c r="J866" s="144"/>
      <c r="K866" s="144"/>
      <c r="L866" s="144"/>
      <c r="M866" s="144"/>
      <c r="N866" s="144"/>
      <c r="O866" s="144"/>
      <c r="P866" s="144"/>
    </row>
    <row r="867" spans="1:16" x14ac:dyDescent="0.2">
      <c r="A867" s="58" t="str">
        <v>0:00</v>
      </c>
      <c r="B867" s="122"/>
      <c r="C867" s="144"/>
      <c r="D867" s="144"/>
      <c r="E867" s="144"/>
      <c r="F867" s="144"/>
      <c r="G867" s="144"/>
      <c r="H867" s="144"/>
      <c r="I867" s="144"/>
      <c r="J867" s="144"/>
      <c r="K867" s="144"/>
      <c r="L867" s="144"/>
      <c r="M867" s="144"/>
      <c r="N867" s="144"/>
      <c r="O867" s="144"/>
      <c r="P867" s="144"/>
    </row>
    <row r="868" spans="1:16" x14ac:dyDescent="0.2">
      <c r="A868" s="58" t="str">
        <v>0:00</v>
      </c>
      <c r="B868" s="122"/>
      <c r="C868" s="144"/>
      <c r="D868" s="144"/>
      <c r="E868" s="144"/>
      <c r="F868" s="144"/>
      <c r="G868" s="144"/>
      <c r="H868" s="144"/>
      <c r="I868" s="144"/>
      <c r="J868" s="144"/>
      <c r="K868" s="144"/>
      <c r="L868" s="144"/>
      <c r="M868" s="144"/>
      <c r="N868" s="144"/>
      <c r="O868" s="144"/>
      <c r="P868" s="144"/>
    </row>
    <row r="869" spans="1:16" x14ac:dyDescent="0.2">
      <c r="A869" s="58" t="str">
        <v>0:00</v>
      </c>
      <c r="B869" s="122"/>
      <c r="C869" s="144"/>
      <c r="D869" s="144"/>
      <c r="E869" s="144"/>
      <c r="F869" s="144"/>
      <c r="G869" s="144"/>
      <c r="H869" s="144"/>
      <c r="I869" s="144"/>
      <c r="J869" s="144"/>
      <c r="K869" s="144"/>
      <c r="L869" s="144"/>
      <c r="M869" s="144"/>
      <c r="N869" s="144"/>
      <c r="O869" s="144"/>
      <c r="P869" s="144"/>
    </row>
    <row r="870" spans="1:16" x14ac:dyDescent="0.2">
      <c r="A870" s="58" t="str">
        <v>0:00</v>
      </c>
      <c r="B870" s="122"/>
      <c r="C870" s="144"/>
      <c r="D870" s="144"/>
      <c r="E870" s="144"/>
      <c r="F870" s="144"/>
      <c r="G870" s="144"/>
      <c r="H870" s="144"/>
      <c r="I870" s="144"/>
      <c r="J870" s="144"/>
      <c r="K870" s="144"/>
      <c r="L870" s="144"/>
      <c r="M870" s="144"/>
      <c r="N870" s="144"/>
      <c r="O870" s="144"/>
      <c r="P870" s="144"/>
    </row>
    <row r="871" spans="1:16" x14ac:dyDescent="0.2">
      <c r="A871" s="58" t="str">
        <v>0:00</v>
      </c>
      <c r="B871" s="122"/>
      <c r="C871" s="144"/>
      <c r="D871" s="144"/>
      <c r="E871" s="144"/>
      <c r="F871" s="144"/>
      <c r="G871" s="144"/>
      <c r="H871" s="144"/>
      <c r="I871" s="144"/>
      <c r="J871" s="144"/>
      <c r="K871" s="144"/>
      <c r="L871" s="144"/>
      <c r="M871" s="144"/>
      <c r="N871" s="144"/>
      <c r="O871" s="144"/>
      <c r="P871" s="144"/>
    </row>
    <row r="872" spans="1:16" x14ac:dyDescent="0.2">
      <c r="A872" s="58" t="str">
        <v>0:00</v>
      </c>
      <c r="B872" s="122"/>
      <c r="C872" s="144"/>
      <c r="D872" s="144"/>
      <c r="E872" s="144"/>
      <c r="F872" s="144"/>
      <c r="G872" s="144"/>
      <c r="H872" s="144"/>
      <c r="I872" s="144"/>
      <c r="J872" s="144"/>
      <c r="K872" s="144"/>
      <c r="L872" s="144"/>
      <c r="M872" s="144"/>
      <c r="N872" s="144"/>
      <c r="O872" s="144"/>
      <c r="P872" s="144"/>
    </row>
    <row r="873" spans="1:16" x14ac:dyDescent="0.2">
      <c r="A873" s="58" t="str">
        <v>0:00</v>
      </c>
      <c r="B873" s="122"/>
      <c r="C873" s="144"/>
      <c r="D873" s="144"/>
      <c r="E873" s="144"/>
      <c r="F873" s="144"/>
      <c r="G873" s="144"/>
      <c r="H873" s="144"/>
      <c r="I873" s="144"/>
      <c r="J873" s="144"/>
      <c r="K873" s="144"/>
      <c r="L873" s="144"/>
      <c r="M873" s="144"/>
      <c r="N873" s="144"/>
      <c r="O873" s="144"/>
      <c r="P873" s="144"/>
    </row>
    <row r="874" spans="1:16" x14ac:dyDescent="0.2">
      <c r="A874" s="58" t="str">
        <v>0:00</v>
      </c>
      <c r="B874" s="122"/>
      <c r="C874" s="144"/>
      <c r="D874" s="144"/>
      <c r="E874" s="144"/>
      <c r="F874" s="144"/>
      <c r="G874" s="144"/>
      <c r="H874" s="144"/>
      <c r="I874" s="144"/>
      <c r="J874" s="144"/>
      <c r="K874" s="144"/>
      <c r="L874" s="144"/>
      <c r="M874" s="144"/>
      <c r="N874" s="144"/>
      <c r="O874" s="144"/>
      <c r="P874" s="144"/>
    </row>
    <row r="875" spans="1:16" x14ac:dyDescent="0.2">
      <c r="A875" s="58" t="str">
        <v>0:00</v>
      </c>
      <c r="B875" s="122"/>
      <c r="C875" s="144"/>
      <c r="D875" s="144"/>
      <c r="E875" s="144"/>
      <c r="F875" s="144"/>
      <c r="G875" s="144"/>
      <c r="H875" s="144"/>
      <c r="I875" s="144"/>
      <c r="J875" s="144"/>
      <c r="K875" s="144"/>
      <c r="L875" s="144"/>
      <c r="M875" s="144"/>
      <c r="N875" s="144"/>
      <c r="O875" s="144"/>
      <c r="P875" s="144"/>
    </row>
    <row r="876" spans="1:16" x14ac:dyDescent="0.2">
      <c r="A876" s="58" t="str">
        <v>0:00</v>
      </c>
      <c r="B876" s="122"/>
      <c r="C876" s="144"/>
      <c r="D876" s="144"/>
      <c r="E876" s="144"/>
      <c r="F876" s="144"/>
      <c r="G876" s="144"/>
      <c r="H876" s="144"/>
      <c r="I876" s="144"/>
      <c r="J876" s="144"/>
      <c r="K876" s="144"/>
      <c r="L876" s="144"/>
      <c r="M876" s="144"/>
      <c r="N876" s="144"/>
      <c r="O876" s="144"/>
      <c r="P876" s="144"/>
    </row>
    <row r="877" spans="1:16" x14ac:dyDescent="0.2">
      <c r="A877" s="58" t="str">
        <v>0:00</v>
      </c>
      <c r="B877" s="122"/>
      <c r="C877" s="144"/>
      <c r="D877" s="144"/>
      <c r="E877" s="144"/>
      <c r="F877" s="144"/>
      <c r="G877" s="144"/>
      <c r="H877" s="144"/>
      <c r="I877" s="144"/>
      <c r="J877" s="144"/>
      <c r="K877" s="144"/>
      <c r="L877" s="144"/>
      <c r="M877" s="144"/>
      <c r="N877" s="144"/>
      <c r="O877" s="144"/>
      <c r="P877" s="144"/>
    </row>
    <row r="878" spans="1:16" x14ac:dyDescent="0.2">
      <c r="A878" s="58" t="str">
        <v>0:00</v>
      </c>
      <c r="B878" s="122"/>
      <c r="C878" s="144"/>
      <c r="D878" s="144"/>
      <c r="E878" s="144"/>
      <c r="F878" s="144"/>
      <c r="G878" s="144"/>
      <c r="H878" s="144"/>
      <c r="I878" s="144"/>
      <c r="J878" s="144"/>
      <c r="K878" s="144"/>
      <c r="L878" s="144"/>
      <c r="M878" s="144"/>
      <c r="N878" s="144"/>
      <c r="O878" s="144"/>
      <c r="P878" s="144"/>
    </row>
    <row r="879" spans="1:16" x14ac:dyDescent="0.2">
      <c r="A879" s="58" t="str">
        <v>0:00</v>
      </c>
      <c r="B879" s="122"/>
      <c r="C879" s="144"/>
      <c r="D879" s="144"/>
      <c r="E879" s="144"/>
      <c r="F879" s="144"/>
      <c r="G879" s="144"/>
      <c r="H879" s="144"/>
      <c r="I879" s="144"/>
      <c r="J879" s="144"/>
      <c r="K879" s="144"/>
      <c r="L879" s="144"/>
      <c r="M879" s="144"/>
      <c r="N879" s="144"/>
      <c r="O879" s="144"/>
      <c r="P879" s="144"/>
    </row>
    <row r="880" spans="1:16" x14ac:dyDescent="0.2">
      <c r="A880" s="58" t="str">
        <v>0:00</v>
      </c>
      <c r="B880" s="122"/>
      <c r="C880" s="144"/>
      <c r="D880" s="144"/>
      <c r="E880" s="144"/>
      <c r="F880" s="144"/>
      <c r="G880" s="144"/>
      <c r="H880" s="144"/>
      <c r="I880" s="144"/>
      <c r="J880" s="144"/>
      <c r="K880" s="144"/>
      <c r="L880" s="144"/>
      <c r="M880" s="144"/>
      <c r="N880" s="144"/>
      <c r="O880" s="144"/>
      <c r="P880" s="144"/>
    </row>
    <row r="881" spans="1:16" x14ac:dyDescent="0.2">
      <c r="A881" s="58" t="str">
        <v>0:00</v>
      </c>
      <c r="B881" s="122"/>
      <c r="C881" s="144"/>
      <c r="D881" s="144"/>
      <c r="E881" s="144"/>
      <c r="F881" s="144"/>
      <c r="G881" s="144"/>
      <c r="H881" s="144"/>
      <c r="I881" s="144"/>
      <c r="J881" s="144"/>
      <c r="K881" s="144"/>
      <c r="L881" s="144"/>
      <c r="M881" s="144"/>
      <c r="N881" s="144"/>
      <c r="O881" s="144"/>
      <c r="P881" s="144"/>
    </row>
    <row r="882" spans="1:16" x14ac:dyDescent="0.2">
      <c r="A882" s="58" t="str">
        <v>0:00</v>
      </c>
      <c r="B882" s="122"/>
      <c r="C882" s="144"/>
      <c r="D882" s="144"/>
      <c r="E882" s="144"/>
      <c r="F882" s="144"/>
      <c r="G882" s="144"/>
      <c r="H882" s="144"/>
      <c r="I882" s="144"/>
      <c r="J882" s="144"/>
      <c r="K882" s="144"/>
      <c r="L882" s="144"/>
      <c r="M882" s="144"/>
      <c r="N882" s="144"/>
      <c r="O882" s="144"/>
      <c r="P882" s="144"/>
    </row>
    <row r="883" spans="1:16" x14ac:dyDescent="0.2">
      <c r="A883" s="58" t="str">
        <v>0:00</v>
      </c>
      <c r="B883" s="122"/>
      <c r="C883" s="144"/>
      <c r="D883" s="144"/>
      <c r="E883" s="144"/>
      <c r="F883" s="144"/>
      <c r="G883" s="144"/>
      <c r="H883" s="144"/>
      <c r="I883" s="144"/>
      <c r="J883" s="144"/>
      <c r="K883" s="144"/>
      <c r="L883" s="144"/>
      <c r="M883" s="144"/>
      <c r="N883" s="144"/>
      <c r="O883" s="144"/>
      <c r="P883" s="144"/>
    </row>
    <row r="884" spans="1:16" x14ac:dyDescent="0.2">
      <c r="A884" s="58" t="str">
        <v>0:00</v>
      </c>
      <c r="B884" s="122"/>
      <c r="C884" s="144"/>
      <c r="D884" s="144"/>
      <c r="E884" s="144"/>
      <c r="F884" s="144"/>
      <c r="G884" s="144"/>
      <c r="H884" s="144"/>
      <c r="I884" s="144"/>
      <c r="J884" s="144"/>
      <c r="K884" s="144"/>
      <c r="L884" s="144"/>
      <c r="M884" s="144"/>
      <c r="N884" s="144"/>
      <c r="O884" s="144"/>
      <c r="P884" s="144"/>
    </row>
    <row r="885" spans="1:16" x14ac:dyDescent="0.2">
      <c r="A885" s="58" t="str">
        <v>0:00</v>
      </c>
      <c r="B885" s="122"/>
      <c r="C885" s="144"/>
      <c r="D885" s="144"/>
      <c r="E885" s="144"/>
      <c r="F885" s="144"/>
      <c r="G885" s="144"/>
      <c r="H885" s="144"/>
      <c r="I885" s="144"/>
      <c r="J885" s="144"/>
      <c r="K885" s="144"/>
      <c r="L885" s="144"/>
      <c r="M885" s="144"/>
      <c r="N885" s="144"/>
      <c r="O885" s="144"/>
      <c r="P885" s="144"/>
    </row>
    <row r="886" spans="1:16" x14ac:dyDescent="0.2">
      <c r="A886" s="58" t="str">
        <v>0:00</v>
      </c>
      <c r="B886" s="122"/>
      <c r="C886" s="144"/>
      <c r="D886" s="144"/>
      <c r="E886" s="144"/>
      <c r="F886" s="144"/>
      <c r="G886" s="144"/>
      <c r="H886" s="144"/>
      <c r="I886" s="144"/>
      <c r="J886" s="144"/>
      <c r="K886" s="144"/>
      <c r="L886" s="144"/>
      <c r="M886" s="144"/>
      <c r="N886" s="144"/>
      <c r="O886" s="144"/>
      <c r="P886" s="144"/>
    </row>
    <row r="887" spans="1:16" x14ac:dyDescent="0.2">
      <c r="A887" s="58" t="str">
        <v>0:00</v>
      </c>
      <c r="B887" s="122"/>
      <c r="C887" s="144"/>
      <c r="D887" s="144"/>
      <c r="E887" s="144"/>
      <c r="F887" s="144"/>
      <c r="G887" s="144"/>
      <c r="H887" s="144"/>
      <c r="I887" s="144"/>
      <c r="J887" s="144"/>
      <c r="K887" s="144"/>
      <c r="L887" s="144"/>
      <c r="M887" s="144"/>
      <c r="N887" s="144"/>
      <c r="O887" s="144"/>
      <c r="P887" s="144"/>
    </row>
    <row r="888" spans="1:16" x14ac:dyDescent="0.2">
      <c r="A888" s="58" t="str">
        <v>0:00</v>
      </c>
      <c r="B888" s="122"/>
      <c r="C888" s="144"/>
      <c r="D888" s="144"/>
      <c r="E888" s="144"/>
      <c r="F888" s="144"/>
      <c r="G888" s="144"/>
      <c r="H888" s="144"/>
      <c r="I888" s="144"/>
      <c r="J888" s="144"/>
      <c r="K888" s="144"/>
      <c r="L888" s="144"/>
      <c r="M888" s="144"/>
      <c r="N888" s="144"/>
      <c r="O888" s="144"/>
      <c r="P888" s="144"/>
    </row>
    <row r="889" spans="1:16" x14ac:dyDescent="0.2">
      <c r="A889" s="58" t="str">
        <v>0:00</v>
      </c>
      <c r="B889" s="122"/>
      <c r="C889" s="144"/>
      <c r="D889" s="144"/>
      <c r="E889" s="144"/>
      <c r="F889" s="144"/>
      <c r="G889" s="144"/>
      <c r="H889" s="144"/>
      <c r="I889" s="144"/>
      <c r="J889" s="144"/>
      <c r="K889" s="144"/>
      <c r="L889" s="144"/>
      <c r="M889" s="144"/>
      <c r="N889" s="144"/>
      <c r="O889" s="144"/>
      <c r="P889" s="144"/>
    </row>
    <row r="890" spans="1:16" x14ac:dyDescent="0.2">
      <c r="A890" s="58" t="str">
        <v>0:00</v>
      </c>
      <c r="B890" s="122"/>
      <c r="C890" s="144"/>
      <c r="D890" s="144"/>
      <c r="E890" s="144"/>
      <c r="F890" s="144"/>
      <c r="G890" s="144"/>
      <c r="H890" s="144"/>
      <c r="I890" s="144"/>
      <c r="J890" s="144"/>
      <c r="K890" s="144"/>
      <c r="L890" s="144"/>
      <c r="M890" s="144"/>
      <c r="N890" s="144"/>
      <c r="O890" s="144"/>
      <c r="P890" s="144"/>
    </row>
    <row r="891" spans="1:16" x14ac:dyDescent="0.2">
      <c r="A891" s="58" t="str">
        <v>0:00</v>
      </c>
      <c r="B891" s="122"/>
      <c r="C891" s="144"/>
      <c r="D891" s="144"/>
      <c r="E891" s="144"/>
      <c r="F891" s="144"/>
      <c r="G891" s="144"/>
      <c r="H891" s="144"/>
      <c r="I891" s="144"/>
      <c r="J891" s="144"/>
      <c r="K891" s="144"/>
      <c r="L891" s="144"/>
      <c r="M891" s="144"/>
      <c r="N891" s="144"/>
      <c r="O891" s="144"/>
      <c r="P891" s="144"/>
    </row>
    <row r="892" spans="1:16" x14ac:dyDescent="0.2">
      <c r="A892" s="58" t="str">
        <v>0:00</v>
      </c>
      <c r="B892" s="122"/>
      <c r="C892" s="144"/>
      <c r="D892" s="144"/>
      <c r="E892" s="144"/>
      <c r="F892" s="144"/>
      <c r="G892" s="144"/>
      <c r="H892" s="144"/>
      <c r="I892" s="144"/>
      <c r="J892" s="144"/>
      <c r="K892" s="144"/>
      <c r="L892" s="144"/>
      <c r="M892" s="144"/>
      <c r="N892" s="144"/>
      <c r="O892" s="144"/>
      <c r="P892" s="144"/>
    </row>
    <row r="893" spans="1:16" x14ac:dyDescent="0.2">
      <c r="A893" s="58" t="str">
        <v>0:00</v>
      </c>
      <c r="B893" s="122"/>
      <c r="C893" s="144"/>
      <c r="D893" s="144"/>
      <c r="E893" s="144"/>
      <c r="F893" s="144"/>
      <c r="G893" s="144"/>
      <c r="H893" s="144"/>
      <c r="I893" s="144"/>
      <c r="J893" s="144"/>
      <c r="K893" s="144"/>
      <c r="L893" s="144"/>
      <c r="M893" s="144"/>
      <c r="N893" s="144"/>
      <c r="O893" s="144"/>
      <c r="P893" s="144"/>
    </row>
    <row r="894" spans="1:16" x14ac:dyDescent="0.2">
      <c r="A894" s="58" t="str">
        <v>0:00</v>
      </c>
      <c r="B894" s="122"/>
      <c r="C894" s="144"/>
      <c r="D894" s="144"/>
      <c r="E894" s="144"/>
      <c r="F894" s="144"/>
      <c r="G894" s="144"/>
      <c r="H894" s="144"/>
      <c r="I894" s="144"/>
      <c r="J894" s="144"/>
      <c r="K894" s="144"/>
      <c r="L894" s="144"/>
      <c r="M894" s="144"/>
      <c r="N894" s="144"/>
      <c r="O894" s="144"/>
      <c r="P894" s="144"/>
    </row>
    <row r="895" spans="1:16" x14ac:dyDescent="0.2">
      <c r="A895" s="58" t="str">
        <v>0:00</v>
      </c>
      <c r="B895" s="122"/>
      <c r="C895" s="144"/>
      <c r="D895" s="144"/>
      <c r="E895" s="144"/>
      <c r="F895" s="144"/>
      <c r="G895" s="144"/>
      <c r="H895" s="144"/>
      <c r="I895" s="144"/>
      <c r="J895" s="144"/>
      <c r="K895" s="144"/>
      <c r="L895" s="144"/>
      <c r="M895" s="144"/>
      <c r="N895" s="144"/>
      <c r="O895" s="144"/>
      <c r="P895" s="144"/>
    </row>
    <row r="896" spans="1:16" x14ac:dyDescent="0.2">
      <c r="A896" s="58" t="str">
        <v>0:00</v>
      </c>
      <c r="B896" s="122"/>
      <c r="C896" s="144"/>
      <c r="D896" s="144"/>
      <c r="E896" s="144"/>
      <c r="F896" s="144"/>
      <c r="G896" s="144"/>
      <c r="H896" s="144"/>
      <c r="I896" s="144"/>
      <c r="J896" s="144"/>
      <c r="K896" s="144"/>
      <c r="L896" s="144"/>
      <c r="M896" s="144"/>
      <c r="N896" s="144"/>
      <c r="O896" s="144"/>
      <c r="P896" s="144"/>
    </row>
    <row r="897" spans="1:16" x14ac:dyDescent="0.2">
      <c r="A897" s="58" t="str">
        <v>0:00</v>
      </c>
      <c r="B897" s="122"/>
      <c r="C897" s="144"/>
      <c r="D897" s="144"/>
      <c r="E897" s="144"/>
      <c r="F897" s="144"/>
      <c r="G897" s="144"/>
      <c r="H897" s="144"/>
      <c r="I897" s="144"/>
      <c r="J897" s="144"/>
      <c r="K897" s="144"/>
      <c r="L897" s="144"/>
      <c r="M897" s="144"/>
      <c r="N897" s="144"/>
      <c r="O897" s="144"/>
      <c r="P897" s="144"/>
    </row>
    <row r="898" spans="1:16" x14ac:dyDescent="0.2">
      <c r="A898" s="58" t="str">
        <v>0:00</v>
      </c>
      <c r="B898" s="122"/>
      <c r="C898" s="144"/>
      <c r="D898" s="144"/>
      <c r="E898" s="144"/>
      <c r="F898" s="144"/>
      <c r="G898" s="144"/>
      <c r="H898" s="144"/>
      <c r="I898" s="144"/>
      <c r="J898" s="144"/>
      <c r="K898" s="144"/>
      <c r="L898" s="144"/>
      <c r="M898" s="144"/>
      <c r="N898" s="144"/>
      <c r="O898" s="144"/>
      <c r="P898" s="144"/>
    </row>
    <row r="899" spans="1:16" x14ac:dyDescent="0.2">
      <c r="A899" s="58" t="str">
        <v>0:00</v>
      </c>
      <c r="B899" s="122"/>
      <c r="C899" s="144"/>
      <c r="D899" s="144"/>
      <c r="E899" s="144"/>
      <c r="F899" s="144"/>
      <c r="G899" s="144"/>
      <c r="H899" s="144"/>
      <c r="I899" s="144"/>
      <c r="J899" s="144"/>
      <c r="K899" s="144"/>
      <c r="L899" s="144"/>
      <c r="M899" s="144"/>
      <c r="N899" s="144"/>
      <c r="O899" s="144"/>
      <c r="P899" s="144"/>
    </row>
    <row r="900" spans="1:16" x14ac:dyDescent="0.2">
      <c r="A900" s="58" t="str">
        <v>0:00</v>
      </c>
      <c r="B900" s="122"/>
      <c r="C900" s="144"/>
      <c r="D900" s="144"/>
      <c r="E900" s="144"/>
      <c r="F900" s="144"/>
      <c r="G900" s="144"/>
      <c r="H900" s="144"/>
      <c r="I900" s="144"/>
      <c r="J900" s="144"/>
      <c r="K900" s="144"/>
      <c r="L900" s="144"/>
      <c r="M900" s="144"/>
      <c r="N900" s="144"/>
      <c r="O900" s="144"/>
      <c r="P900" s="144"/>
    </row>
    <row r="901" spans="1:16" x14ac:dyDescent="0.2">
      <c r="A901" s="58" t="str">
        <v>0:00</v>
      </c>
      <c r="B901" s="122"/>
      <c r="C901" s="144"/>
      <c r="D901" s="144"/>
      <c r="E901" s="144"/>
      <c r="F901" s="144"/>
      <c r="G901" s="144"/>
      <c r="H901" s="144"/>
      <c r="I901" s="144"/>
      <c r="J901" s="144"/>
      <c r="K901" s="144"/>
      <c r="L901" s="144"/>
      <c r="M901" s="144"/>
      <c r="N901" s="144"/>
      <c r="O901" s="144"/>
      <c r="P901" s="144"/>
    </row>
    <row r="902" spans="1:16" x14ac:dyDescent="0.2">
      <c r="A902" s="58" t="str">
        <v>0:00</v>
      </c>
      <c r="B902" s="122"/>
      <c r="C902" s="144"/>
      <c r="D902" s="144"/>
      <c r="E902" s="144"/>
      <c r="F902" s="144"/>
      <c r="G902" s="144"/>
      <c r="H902" s="144"/>
      <c r="I902" s="144"/>
      <c r="J902" s="144"/>
      <c r="K902" s="144"/>
      <c r="L902" s="144"/>
      <c r="M902" s="144"/>
      <c r="N902" s="144"/>
      <c r="O902" s="144"/>
      <c r="P902" s="144"/>
    </row>
    <row r="903" spans="1:16" x14ac:dyDescent="0.2">
      <c r="A903" s="58" t="str">
        <v>0:00</v>
      </c>
      <c r="B903" s="122"/>
      <c r="C903" s="144"/>
      <c r="D903" s="144"/>
      <c r="E903" s="144"/>
      <c r="F903" s="144"/>
      <c r="G903" s="144"/>
      <c r="H903" s="144"/>
      <c r="I903" s="144"/>
      <c r="J903" s="144"/>
      <c r="K903" s="144"/>
      <c r="L903" s="144"/>
      <c r="M903" s="144"/>
      <c r="N903" s="144"/>
      <c r="O903" s="144"/>
      <c r="P903" s="144"/>
    </row>
  </sheetData>
  <sheetProtection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2"/>
      <c r="B1" s="139">
        <f>Main!$D$16</f>
        <v>0</v>
      </c>
      <c r="C1" s="133">
        <f>$B$1-$B$2</f>
        <v>0</v>
      </c>
      <c r="D1" s="133"/>
      <c r="E1" s="139">
        <f>B1-D2</f>
        <v>0</v>
      </c>
      <c r="F1" s="38" t="s">
        <v>79</v>
      </c>
      <c r="P1" s="339" t="str">
        <f>IF(Main!$E$30="","A10",ADDRESS(13+(MATCH(Main!$E$30,Data_Sheet!$A$14:$A$903,0)),1,4))</f>
        <v>A10</v>
      </c>
      <c r="Q1" s="339">
        <f>VALUE(MID(P1, 2, LEN(P1)-1))</f>
        <v>10</v>
      </c>
    </row>
    <row r="2" spans="1:17" x14ac:dyDescent="0.2">
      <c r="A2" s="132"/>
      <c r="B2" s="139">
        <f>Main!$D$19</f>
        <v>0</v>
      </c>
      <c r="C2" s="133">
        <f>$B$1+$B$2</f>
        <v>0</v>
      </c>
      <c r="D2" s="133">
        <f>(Main!$D$19)/2</f>
        <v>0</v>
      </c>
      <c r="E2" s="139">
        <f>B1+D2</f>
        <v>0</v>
      </c>
      <c r="F2" s="125"/>
      <c r="I2" s="93" t="s">
        <v>232</v>
      </c>
      <c r="M2" s="611" t="s">
        <v>108</v>
      </c>
      <c r="N2" s="611"/>
      <c r="O2" s="611"/>
      <c r="P2" s="339" t="str">
        <f>IF(Main!$E$30="","A10",ADDRESS(13+Standards_Info!W2+(MATCH(Main!$E$30,Data_Sheet!$A$14:$A$903,0)),1,4))</f>
        <v>A10</v>
      </c>
      <c r="Q2" s="339">
        <f>VALUE(MID(P2, 2, LEN(P2)-1))</f>
        <v>10</v>
      </c>
    </row>
    <row r="3" spans="1:17" ht="15" x14ac:dyDescent="0.25">
      <c r="B3" s="148" t="s">
        <v>0</v>
      </c>
      <c r="C3" s="4"/>
      <c r="M3" s="599" t="s">
        <v>109</v>
      </c>
      <c r="N3" s="600"/>
      <c r="O3" s="601"/>
      <c r="P3" s="47"/>
    </row>
    <row r="4" spans="1:17" ht="15" x14ac:dyDescent="0.25">
      <c r="B4" s="135" t="s">
        <v>30</v>
      </c>
      <c r="C4" s="5"/>
      <c r="M4" s="602" t="s">
        <v>150</v>
      </c>
      <c r="N4" s="603"/>
      <c r="O4" s="604"/>
    </row>
    <row r="5" spans="1:17" x14ac:dyDescent="0.2">
      <c r="B5" s="136" t="s">
        <v>31</v>
      </c>
      <c r="C5" s="74">
        <f>Main!D3</f>
        <v>0</v>
      </c>
      <c r="D5" s="44"/>
      <c r="E5" s="44"/>
      <c r="F5" s="44"/>
      <c r="G5" s="44"/>
      <c r="H5" s="44"/>
      <c r="I5" s="72" t="s">
        <v>7</v>
      </c>
      <c r="J5" s="44" t="str">
        <f>Main!D5</f>
        <v>CHROME PLUS INT'L - WICHITA</v>
      </c>
      <c r="L5" s="44"/>
      <c r="M5" s="605" t="s">
        <v>149</v>
      </c>
      <c r="N5" s="606"/>
      <c r="O5" s="607"/>
    </row>
    <row r="6" spans="1:17" ht="13.5" thickBot="1" x14ac:dyDescent="0.25">
      <c r="B6" s="136" t="s">
        <v>6</v>
      </c>
      <c r="C6" s="75" t="str">
        <f>Main!D6</f>
        <v>DESPATCH RS4HD Temperature Uniformity Survey, 10 points</v>
      </c>
      <c r="D6" s="44"/>
      <c r="E6" s="44"/>
      <c r="F6" s="44"/>
      <c r="G6" s="44"/>
      <c r="H6" s="44"/>
      <c r="I6" s="72" t="s">
        <v>8</v>
      </c>
      <c r="J6" s="71">
        <f>Main!D16</f>
        <v>0</v>
      </c>
      <c r="L6" s="44"/>
      <c r="M6" s="608" t="s">
        <v>148</v>
      </c>
      <c r="N6" s="609"/>
      <c r="O6" s="610"/>
    </row>
    <row r="7" spans="1:17" ht="13.5" thickBot="1" x14ac:dyDescent="0.25">
      <c r="B7" s="136" t="s">
        <v>32</v>
      </c>
      <c r="C7" s="75" t="str">
        <f>Main!D7</f>
        <v>Jeff Hall</v>
      </c>
      <c r="D7" s="44"/>
      <c r="E7" s="44"/>
      <c r="F7" s="44"/>
      <c r="G7" s="44"/>
      <c r="H7" s="44"/>
      <c r="I7" s="77" t="s">
        <v>174</v>
      </c>
      <c r="J7" s="596">
        <f>Main!$D$30</f>
        <v>0</v>
      </c>
      <c r="K7" s="597"/>
      <c r="L7" s="122"/>
      <c r="M7" s="595" t="s">
        <v>147</v>
      </c>
      <c r="N7" s="595"/>
      <c r="O7" s="595"/>
    </row>
    <row r="8" spans="1:17" x14ac:dyDescent="0.2">
      <c r="B8" s="136"/>
      <c r="C8" s="75"/>
      <c r="D8" s="44"/>
      <c r="E8" s="44"/>
      <c r="F8" s="44"/>
      <c r="G8" s="44"/>
      <c r="H8" s="44"/>
      <c r="I8" s="77"/>
      <c r="J8" s="145"/>
      <c r="K8" s="145"/>
      <c r="L8" s="122"/>
      <c r="M8" s="146"/>
      <c r="N8" s="146"/>
      <c r="O8" s="146"/>
    </row>
    <row r="9" spans="1:17" x14ac:dyDescent="0.2">
      <c r="B9" s="136"/>
      <c r="C9" s="75"/>
      <c r="D9" s="44"/>
      <c r="E9" s="44"/>
      <c r="F9" s="44"/>
      <c r="G9" s="44"/>
      <c r="H9" s="44"/>
      <c r="I9" s="149" t="str">
        <f>IF(Main!K15="SIM Load Hot",Main!N59,"")</f>
        <v/>
      </c>
      <c r="J9" s="145"/>
      <c r="K9" s="145"/>
      <c r="L9" s="122"/>
      <c r="M9" s="146"/>
      <c r="N9" s="146"/>
      <c r="O9" s="146"/>
    </row>
    <row r="10" spans="1:17" s="82" customFormat="1" x14ac:dyDescent="0.2">
      <c r="A10" s="123"/>
      <c r="B10" s="157"/>
      <c r="C10" s="158"/>
      <c r="I10" s="149" t="str">
        <f>IF(OR(Main!E60="",Main!K60=""),IF(OR(Main!E61="",Main!K61=""),"",Main!N61),Main!N60)</f>
        <v/>
      </c>
      <c r="J10" s="159"/>
      <c r="K10" s="159"/>
      <c r="L10" s="137"/>
      <c r="M10" s="160"/>
      <c r="N10" s="160"/>
      <c r="O10" s="160"/>
    </row>
    <row r="11" spans="1:17" s="82" customFormat="1" x14ac:dyDescent="0.2">
      <c r="A11" s="123"/>
      <c r="B11" s="137"/>
      <c r="C11" s="153"/>
      <c r="D11" s="153"/>
      <c r="E11" s="153"/>
      <c r="F11" s="153"/>
      <c r="G11" s="153"/>
      <c r="H11" s="153"/>
      <c r="I11" s="153"/>
      <c r="J11" s="153"/>
      <c r="K11" s="153"/>
      <c r="L11" s="153"/>
      <c r="M11" s="153"/>
      <c r="N11" s="153"/>
      <c r="O11" s="153"/>
      <c r="P11" s="153"/>
    </row>
    <row r="12" spans="1:17" s="662" customFormat="1" x14ac:dyDescent="0.2">
      <c r="A12" s="661"/>
      <c r="B12" s="145" t="str" cm="1">
        <f t="array" ref="B12:N12">_xlfn.LET(
  _xlpm.tbl, DataForChannels29to40[],
  _xlpm.hdrs, DataForChannels29to40[#Headers],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c r="P12" s="72"/>
    </row>
    <row r="13" spans="1:17" s="82" customFormat="1" x14ac:dyDescent="0.2">
      <c r="A13" s="123"/>
      <c r="B13" s="122"/>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2" customFormat="1" x14ac:dyDescent="0.2">
      <c r="A14" s="123" t="str" cm="1">
        <f t="array" ref="A14:A903">TEXT(B14:B903, "h:mm")</f>
        <v>0:00</v>
      </c>
      <c r="B14" s="122" cm="1">
        <f t="array" ref="B14:N14">DataForChannels29to40[]</f>
        <v>0</v>
      </c>
      <c r="C14" s="144">
        <v>0</v>
      </c>
      <c r="D14" s="144">
        <v>0</v>
      </c>
      <c r="E14" s="144">
        <v>0</v>
      </c>
      <c r="F14" s="144">
        <v>0</v>
      </c>
      <c r="G14" s="144">
        <v>0</v>
      </c>
      <c r="H14" s="144">
        <v>0</v>
      </c>
      <c r="I14" s="144">
        <v>0</v>
      </c>
      <c r="J14" s="144">
        <v>0</v>
      </c>
      <c r="K14" s="144">
        <v>0</v>
      </c>
      <c r="L14" s="144">
        <v>0</v>
      </c>
      <c r="M14" s="144">
        <v>0</v>
      </c>
      <c r="N14" s="144">
        <v>0</v>
      </c>
      <c r="O14" s="144"/>
      <c r="P14" s="144"/>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44"/>
      <c r="P501" s="44"/>
    </row>
    <row r="502" spans="1:16" x14ac:dyDescent="0.2">
      <c r="A502" s="58" t="str">
        <v>0:00</v>
      </c>
      <c r="B502" s="122"/>
      <c r="C502" s="144"/>
      <c r="D502" s="144"/>
      <c r="E502" s="144"/>
      <c r="F502" s="144"/>
      <c r="G502" s="144"/>
      <c r="H502" s="144"/>
      <c r="I502" s="144"/>
      <c r="J502" s="144"/>
      <c r="K502" s="144"/>
      <c r="L502" s="144"/>
      <c r="M502" s="144"/>
      <c r="N502" s="144"/>
      <c r="O502" s="44"/>
      <c r="P502" s="44"/>
    </row>
    <row r="503" spans="1:16" x14ac:dyDescent="0.2">
      <c r="A503" s="58" t="str">
        <v>0:00</v>
      </c>
      <c r="B503" s="122"/>
      <c r="C503" s="144"/>
      <c r="D503" s="144"/>
      <c r="E503" s="144"/>
      <c r="F503" s="144"/>
      <c r="G503" s="144"/>
      <c r="H503" s="144"/>
      <c r="I503" s="144"/>
      <c r="J503" s="144"/>
      <c r="K503" s="144"/>
      <c r="L503" s="144"/>
      <c r="M503" s="144"/>
      <c r="N503" s="144"/>
      <c r="O503" s="44"/>
      <c r="P503" s="44"/>
    </row>
    <row r="504" spans="1:16" x14ac:dyDescent="0.2">
      <c r="A504" s="58" t="str">
        <v>0:00</v>
      </c>
      <c r="B504" s="122"/>
      <c r="C504" s="144"/>
      <c r="D504" s="144"/>
      <c r="E504" s="144"/>
      <c r="F504" s="144"/>
      <c r="G504" s="144"/>
      <c r="H504" s="144"/>
      <c r="I504" s="144"/>
      <c r="J504" s="144"/>
      <c r="K504" s="144"/>
      <c r="L504" s="144"/>
      <c r="M504" s="144"/>
      <c r="N504" s="144"/>
      <c r="O504" s="44"/>
      <c r="P504" s="44"/>
    </row>
    <row r="505" spans="1:16" x14ac:dyDescent="0.2">
      <c r="A505" s="58" t="str">
        <v>0:00</v>
      </c>
      <c r="B505" s="122"/>
      <c r="C505" s="144"/>
      <c r="D505" s="144"/>
      <c r="E505" s="144"/>
      <c r="F505" s="144"/>
      <c r="G505" s="144"/>
      <c r="H505" s="144"/>
      <c r="I505" s="144"/>
      <c r="J505" s="144"/>
      <c r="K505" s="144"/>
      <c r="L505" s="144"/>
      <c r="M505" s="144"/>
      <c r="N505" s="144"/>
      <c r="O505" s="44"/>
      <c r="P505" s="44"/>
    </row>
    <row r="506" spans="1:16" x14ac:dyDescent="0.2">
      <c r="A506" s="58" t="str">
        <v>0:00</v>
      </c>
      <c r="B506" s="122"/>
      <c r="C506" s="144"/>
      <c r="D506" s="144"/>
      <c r="E506" s="144"/>
      <c r="F506" s="144"/>
      <c r="G506" s="144"/>
      <c r="H506" s="144"/>
      <c r="I506" s="144"/>
      <c r="J506" s="144"/>
      <c r="K506" s="144"/>
      <c r="L506" s="144"/>
      <c r="M506" s="144"/>
      <c r="N506" s="144"/>
      <c r="O506" s="44"/>
      <c r="P506" s="44"/>
    </row>
    <row r="507" spans="1:16" x14ac:dyDescent="0.2">
      <c r="A507" s="58" t="str">
        <v>0:00</v>
      </c>
      <c r="B507" s="122"/>
      <c r="C507" s="144"/>
      <c r="D507" s="144"/>
      <c r="E507" s="144"/>
      <c r="F507" s="144"/>
      <c r="G507" s="144"/>
      <c r="H507" s="144"/>
      <c r="I507" s="144"/>
      <c r="J507" s="144"/>
      <c r="K507" s="144"/>
      <c r="L507" s="144"/>
      <c r="M507" s="144"/>
      <c r="N507" s="144"/>
      <c r="O507" s="44"/>
      <c r="P507" s="44"/>
    </row>
    <row r="508" spans="1:16" x14ac:dyDescent="0.2">
      <c r="A508" s="58" t="str">
        <v>0:00</v>
      </c>
      <c r="B508" s="122"/>
      <c r="C508" s="144"/>
      <c r="D508" s="144"/>
      <c r="E508" s="144"/>
      <c r="F508" s="144"/>
      <c r="G508" s="144"/>
      <c r="H508" s="144"/>
      <c r="I508" s="144"/>
      <c r="J508" s="144"/>
      <c r="K508" s="144"/>
      <c r="L508" s="144"/>
      <c r="M508" s="144"/>
      <c r="N508" s="144"/>
      <c r="O508" s="44"/>
      <c r="P508" s="44"/>
    </row>
    <row r="509" spans="1:16" x14ac:dyDescent="0.2">
      <c r="A509" s="58" t="str">
        <v>0:00</v>
      </c>
      <c r="B509" s="122"/>
      <c r="C509" s="144"/>
      <c r="D509" s="144"/>
      <c r="E509" s="144"/>
      <c r="F509" s="144"/>
      <c r="G509" s="144"/>
      <c r="H509" s="144"/>
      <c r="I509" s="144"/>
      <c r="J509" s="144"/>
      <c r="K509" s="144"/>
      <c r="L509" s="144"/>
      <c r="M509" s="144"/>
      <c r="N509" s="144"/>
      <c r="O509" s="44"/>
      <c r="P509" s="44"/>
    </row>
    <row r="510" spans="1:16" x14ac:dyDescent="0.2">
      <c r="A510" s="58" t="str">
        <v>0:00</v>
      </c>
      <c r="B510" s="122"/>
      <c r="C510" s="144"/>
      <c r="D510" s="144"/>
      <c r="E510" s="144"/>
      <c r="F510" s="144"/>
      <c r="G510" s="144"/>
      <c r="H510" s="144"/>
      <c r="I510" s="144"/>
      <c r="J510" s="144"/>
      <c r="K510" s="144"/>
      <c r="L510" s="144"/>
      <c r="M510" s="144"/>
      <c r="N510" s="144"/>
      <c r="O510" s="44"/>
      <c r="P510" s="44"/>
    </row>
    <row r="511" spans="1:16" x14ac:dyDescent="0.2">
      <c r="A511" s="58" t="str">
        <v>0:00</v>
      </c>
      <c r="B511" s="122"/>
      <c r="C511" s="144"/>
      <c r="D511" s="144"/>
      <c r="E511" s="144"/>
      <c r="F511" s="144"/>
      <c r="G511" s="144"/>
      <c r="H511" s="144"/>
      <c r="I511" s="144"/>
      <c r="J511" s="144"/>
      <c r="K511" s="144"/>
      <c r="L511" s="144"/>
      <c r="M511" s="144"/>
      <c r="N511" s="144"/>
      <c r="O511" s="44"/>
      <c r="P511" s="44"/>
    </row>
    <row r="512" spans="1:16" x14ac:dyDescent="0.2">
      <c r="A512" s="58" t="str">
        <v>0:00</v>
      </c>
      <c r="B512" s="122"/>
      <c r="C512" s="144"/>
      <c r="D512" s="144"/>
      <c r="E512" s="144"/>
      <c r="F512" s="144"/>
      <c r="G512" s="144"/>
      <c r="H512" s="144"/>
      <c r="I512" s="144"/>
      <c r="J512" s="144"/>
      <c r="K512" s="144"/>
      <c r="L512" s="144"/>
      <c r="M512" s="144"/>
      <c r="N512" s="144"/>
      <c r="O512" s="44"/>
      <c r="P512" s="44"/>
    </row>
    <row r="513" spans="1:16" x14ac:dyDescent="0.2">
      <c r="A513" s="58" t="str">
        <v>0:00</v>
      </c>
      <c r="B513" s="122"/>
      <c r="C513" s="144"/>
      <c r="D513" s="144"/>
      <c r="E513" s="144"/>
      <c r="F513" s="144"/>
      <c r="G513" s="144"/>
      <c r="H513" s="144"/>
      <c r="I513" s="144"/>
      <c r="J513" s="144"/>
      <c r="K513" s="144"/>
      <c r="L513" s="144"/>
      <c r="M513" s="144"/>
      <c r="N513" s="144"/>
      <c r="O513" s="44"/>
      <c r="P513" s="44"/>
    </row>
    <row r="514" spans="1:16" x14ac:dyDescent="0.2">
      <c r="A514" s="58" t="str">
        <v>0:00</v>
      </c>
      <c r="B514" s="122"/>
      <c r="C514" s="144"/>
      <c r="D514" s="144"/>
      <c r="E514" s="144"/>
      <c r="F514" s="144"/>
      <c r="G514" s="144"/>
      <c r="H514" s="144"/>
      <c r="I514" s="144"/>
      <c r="J514" s="144"/>
      <c r="K514" s="144"/>
      <c r="L514" s="144"/>
      <c r="M514" s="144"/>
      <c r="N514" s="144"/>
      <c r="O514" s="44"/>
      <c r="P514" s="44"/>
    </row>
    <row r="515" spans="1:16" x14ac:dyDescent="0.2">
      <c r="A515" s="58" t="str">
        <v>0:00</v>
      </c>
      <c r="B515" s="122"/>
      <c r="C515" s="144"/>
      <c r="D515" s="144"/>
      <c r="E515" s="144"/>
      <c r="F515" s="144"/>
      <c r="G515" s="144"/>
      <c r="H515" s="144"/>
      <c r="I515" s="144"/>
      <c r="J515" s="144"/>
      <c r="K515" s="144"/>
      <c r="L515" s="144"/>
      <c r="M515" s="144"/>
      <c r="N515" s="144"/>
      <c r="O515" s="44"/>
      <c r="P515" s="44"/>
    </row>
    <row r="516" spans="1:16" x14ac:dyDescent="0.2">
      <c r="A516" s="58" t="str">
        <v>0:00</v>
      </c>
      <c r="B516" s="122"/>
      <c r="C516" s="144"/>
      <c r="D516" s="144"/>
      <c r="E516" s="144"/>
      <c r="F516" s="144"/>
      <c r="G516" s="144"/>
      <c r="H516" s="144"/>
      <c r="I516" s="144"/>
      <c r="J516" s="144"/>
      <c r="K516" s="144"/>
      <c r="L516" s="144"/>
      <c r="M516" s="144"/>
      <c r="N516" s="144"/>
      <c r="O516" s="44"/>
      <c r="P516" s="44"/>
    </row>
    <row r="517" spans="1:16" x14ac:dyDescent="0.2">
      <c r="A517" s="58" t="str">
        <v>0:00</v>
      </c>
      <c r="B517" s="122"/>
      <c r="C517" s="144"/>
      <c r="D517" s="144"/>
      <c r="E517" s="144"/>
      <c r="F517" s="144"/>
      <c r="G517" s="144"/>
      <c r="H517" s="144"/>
      <c r="I517" s="144"/>
      <c r="J517" s="144"/>
      <c r="K517" s="144"/>
      <c r="L517" s="144"/>
      <c r="M517" s="144"/>
      <c r="N517" s="144"/>
      <c r="O517" s="44"/>
      <c r="P517" s="44"/>
    </row>
    <row r="518" spans="1:16" x14ac:dyDescent="0.2">
      <c r="A518" s="58" t="str">
        <v>0:00</v>
      </c>
      <c r="B518" s="122"/>
      <c r="C518" s="144"/>
      <c r="D518" s="144"/>
      <c r="E518" s="144"/>
      <c r="F518" s="144"/>
      <c r="G518" s="144"/>
      <c r="H518" s="144"/>
      <c r="I518" s="144"/>
      <c r="J518" s="144"/>
      <c r="K518" s="144"/>
      <c r="L518" s="144"/>
      <c r="M518" s="144"/>
      <c r="N518" s="144"/>
      <c r="O518" s="44"/>
      <c r="P518" s="44"/>
    </row>
    <row r="519" spans="1:16" x14ac:dyDescent="0.2">
      <c r="A519" s="58" t="str">
        <v>0:00</v>
      </c>
      <c r="B519" s="122"/>
      <c r="C519" s="144"/>
      <c r="D519" s="144"/>
      <c r="E519" s="144"/>
      <c r="F519" s="144"/>
      <c r="G519" s="144"/>
      <c r="H519" s="144"/>
      <c r="I519" s="144"/>
      <c r="J519" s="144"/>
      <c r="K519" s="144"/>
      <c r="L519" s="144"/>
      <c r="M519" s="144"/>
      <c r="N519" s="144"/>
      <c r="O519" s="44"/>
      <c r="P519" s="44"/>
    </row>
    <row r="520" spans="1:16" x14ac:dyDescent="0.2">
      <c r="A520" s="58" t="str">
        <v>0:00</v>
      </c>
      <c r="B520" s="122"/>
      <c r="C520" s="144"/>
      <c r="D520" s="144"/>
      <c r="E520" s="144"/>
      <c r="F520" s="144"/>
      <c r="G520" s="144"/>
      <c r="H520" s="144"/>
      <c r="I520" s="144"/>
      <c r="J520" s="144"/>
      <c r="K520" s="144"/>
      <c r="L520" s="144"/>
      <c r="M520" s="144"/>
      <c r="N520" s="144"/>
      <c r="O520" s="44"/>
      <c r="P520" s="44"/>
    </row>
    <row r="521" spans="1:16" x14ac:dyDescent="0.2">
      <c r="A521" s="58" t="str">
        <v>0:00</v>
      </c>
      <c r="B521" s="122"/>
      <c r="C521" s="144"/>
      <c r="D521" s="144"/>
      <c r="E521" s="144"/>
      <c r="F521" s="144"/>
      <c r="G521" s="144"/>
      <c r="H521" s="144"/>
      <c r="I521" s="144"/>
      <c r="J521" s="144"/>
      <c r="K521" s="144"/>
      <c r="L521" s="144"/>
      <c r="M521" s="144"/>
      <c r="N521" s="144"/>
      <c r="O521" s="44"/>
      <c r="P521" s="44"/>
    </row>
    <row r="522" spans="1:16" x14ac:dyDescent="0.2">
      <c r="A522" s="58" t="str">
        <v>0:00</v>
      </c>
      <c r="B522" s="122"/>
      <c r="C522" s="144"/>
      <c r="D522" s="144"/>
      <c r="E522" s="144"/>
      <c r="F522" s="144"/>
      <c r="G522" s="144"/>
      <c r="H522" s="144"/>
      <c r="I522" s="144"/>
      <c r="J522" s="144"/>
      <c r="K522" s="144"/>
      <c r="L522" s="144"/>
      <c r="M522" s="144"/>
      <c r="N522" s="144"/>
      <c r="O522" s="44"/>
      <c r="P522" s="44"/>
    </row>
    <row r="523" spans="1:16" x14ac:dyDescent="0.2">
      <c r="A523" s="58" t="str">
        <v>0:00</v>
      </c>
      <c r="B523" s="122"/>
      <c r="C523" s="144"/>
      <c r="D523" s="144"/>
      <c r="E523" s="144"/>
      <c r="F523" s="144"/>
      <c r="G523" s="144"/>
      <c r="H523" s="144"/>
      <c r="I523" s="144"/>
      <c r="J523" s="144"/>
      <c r="K523" s="144"/>
      <c r="L523" s="144"/>
      <c r="M523" s="144"/>
      <c r="N523" s="144"/>
      <c r="O523" s="44"/>
      <c r="P523" s="44"/>
    </row>
    <row r="524" spans="1:16" x14ac:dyDescent="0.2">
      <c r="A524" s="58" t="str">
        <v>0:00</v>
      </c>
      <c r="B524" s="122"/>
      <c r="C524" s="144"/>
      <c r="D524" s="144"/>
      <c r="E524" s="144"/>
      <c r="F524" s="144"/>
      <c r="G524" s="144"/>
      <c r="H524" s="144"/>
      <c r="I524" s="144"/>
      <c r="J524" s="144"/>
      <c r="K524" s="144"/>
      <c r="L524" s="144"/>
      <c r="M524" s="144"/>
      <c r="N524" s="144"/>
      <c r="O524" s="44"/>
      <c r="P524" s="44"/>
    </row>
    <row r="525" spans="1:16" x14ac:dyDescent="0.2">
      <c r="A525" s="58" t="str">
        <v>0:00</v>
      </c>
      <c r="B525" s="122"/>
      <c r="C525" s="144"/>
      <c r="D525" s="144"/>
      <c r="E525" s="144"/>
      <c r="F525" s="144"/>
      <c r="G525" s="144"/>
      <c r="H525" s="144"/>
      <c r="I525" s="144"/>
      <c r="J525" s="144"/>
      <c r="K525" s="144"/>
      <c r="L525" s="144"/>
      <c r="M525" s="144"/>
      <c r="N525" s="144"/>
      <c r="O525" s="44"/>
      <c r="P525" s="44"/>
    </row>
    <row r="526" spans="1:16" x14ac:dyDescent="0.2">
      <c r="A526" s="58" t="str">
        <v>0:00</v>
      </c>
      <c r="B526" s="122"/>
      <c r="C526" s="144"/>
      <c r="D526" s="144"/>
      <c r="E526" s="144"/>
      <c r="F526" s="144"/>
      <c r="G526" s="144"/>
      <c r="H526" s="144"/>
      <c r="I526" s="144"/>
      <c r="J526" s="144"/>
      <c r="K526" s="144"/>
      <c r="L526" s="144"/>
      <c r="M526" s="144"/>
      <c r="N526" s="144"/>
      <c r="O526" s="44"/>
      <c r="P526" s="44"/>
    </row>
    <row r="527" spans="1:16" x14ac:dyDescent="0.2">
      <c r="A527" s="58" t="str">
        <v>0:00</v>
      </c>
      <c r="B527" s="122"/>
      <c r="C527" s="144"/>
      <c r="D527" s="144"/>
      <c r="E527" s="144"/>
      <c r="F527" s="144"/>
      <c r="G527" s="144"/>
      <c r="H527" s="144"/>
      <c r="I527" s="144"/>
      <c r="J527" s="144"/>
      <c r="K527" s="144"/>
      <c r="L527" s="144"/>
      <c r="M527" s="144"/>
      <c r="N527" s="144"/>
      <c r="O527" s="44"/>
      <c r="P527" s="44"/>
    </row>
    <row r="528" spans="1:16" x14ac:dyDescent="0.2">
      <c r="A528" s="58" t="str">
        <v>0:00</v>
      </c>
      <c r="B528" s="122"/>
      <c r="C528" s="144"/>
      <c r="D528" s="144"/>
      <c r="E528" s="144"/>
      <c r="F528" s="144"/>
      <c r="G528" s="144"/>
      <c r="H528" s="144"/>
      <c r="I528" s="144"/>
      <c r="J528" s="144"/>
      <c r="K528" s="144"/>
      <c r="L528" s="144"/>
      <c r="M528" s="144"/>
      <c r="N528" s="144"/>
      <c r="O528" s="44"/>
      <c r="P528" s="44"/>
    </row>
    <row r="529" spans="1:16" x14ac:dyDescent="0.2">
      <c r="A529" s="58" t="str">
        <v>0:00</v>
      </c>
      <c r="B529" s="122"/>
      <c r="C529" s="144"/>
      <c r="D529" s="144"/>
      <c r="E529" s="144"/>
      <c r="F529" s="144"/>
      <c r="G529" s="144"/>
      <c r="H529" s="144"/>
      <c r="I529" s="144"/>
      <c r="J529" s="144"/>
      <c r="K529" s="144"/>
      <c r="L529" s="144"/>
      <c r="M529" s="144"/>
      <c r="N529" s="144"/>
      <c r="O529" s="44"/>
      <c r="P529" s="44"/>
    </row>
    <row r="530" spans="1:16" x14ac:dyDescent="0.2">
      <c r="A530" s="58" t="str">
        <v>0:00</v>
      </c>
      <c r="B530" s="122"/>
      <c r="C530" s="144"/>
      <c r="D530" s="144"/>
      <c r="E530" s="144"/>
      <c r="F530" s="144"/>
      <c r="G530" s="144"/>
      <c r="H530" s="144"/>
      <c r="I530" s="144"/>
      <c r="J530" s="144"/>
      <c r="K530" s="144"/>
      <c r="L530" s="144"/>
      <c r="M530" s="144"/>
      <c r="N530" s="144"/>
      <c r="O530" s="44"/>
      <c r="P530" s="44"/>
    </row>
    <row r="531" spans="1:16" x14ac:dyDescent="0.2">
      <c r="A531" s="58" t="str">
        <v>0:00</v>
      </c>
      <c r="B531" s="122"/>
      <c r="C531" s="144"/>
      <c r="D531" s="144"/>
      <c r="E531" s="144"/>
      <c r="F531" s="144"/>
      <c r="G531" s="144"/>
      <c r="H531" s="144"/>
      <c r="I531" s="144"/>
      <c r="J531" s="144"/>
      <c r="K531" s="144"/>
      <c r="L531" s="144"/>
      <c r="M531" s="144"/>
      <c r="N531" s="144"/>
      <c r="O531" s="44"/>
      <c r="P531" s="44"/>
    </row>
    <row r="532" spans="1:16" x14ac:dyDescent="0.2">
      <c r="A532" s="58" t="str">
        <v>0:00</v>
      </c>
      <c r="B532" s="122"/>
      <c r="C532" s="144"/>
      <c r="D532" s="144"/>
      <c r="E532" s="144"/>
      <c r="F532" s="144"/>
      <c r="G532" s="144"/>
      <c r="H532" s="144"/>
      <c r="I532" s="144"/>
      <c r="J532" s="144"/>
      <c r="K532" s="144"/>
      <c r="L532" s="144"/>
      <c r="M532" s="144"/>
      <c r="N532" s="144"/>
      <c r="O532" s="44"/>
      <c r="P532" s="44"/>
    </row>
    <row r="533" spans="1:16" x14ac:dyDescent="0.2">
      <c r="A533" s="58" t="str">
        <v>0:00</v>
      </c>
      <c r="B533" s="122"/>
      <c r="C533" s="144"/>
      <c r="D533" s="144"/>
      <c r="E533" s="144"/>
      <c r="F533" s="144"/>
      <c r="G533" s="144"/>
      <c r="H533" s="144"/>
      <c r="I533" s="144"/>
      <c r="J533" s="144"/>
      <c r="K533" s="144"/>
      <c r="L533" s="144"/>
      <c r="M533" s="144"/>
      <c r="N533" s="144"/>
      <c r="O533" s="44"/>
      <c r="P533" s="44"/>
    </row>
    <row r="534" spans="1:16" x14ac:dyDescent="0.2">
      <c r="A534" s="58" t="str">
        <v>0:00</v>
      </c>
      <c r="B534" s="122"/>
      <c r="C534" s="144"/>
      <c r="D534" s="144"/>
      <c r="E534" s="144"/>
      <c r="F534" s="144"/>
      <c r="G534" s="144"/>
      <c r="H534" s="144"/>
      <c r="I534" s="144"/>
      <c r="J534" s="144"/>
      <c r="K534" s="144"/>
      <c r="L534" s="144"/>
      <c r="M534" s="144"/>
      <c r="N534" s="144"/>
      <c r="O534" s="44"/>
      <c r="P534" s="44"/>
    </row>
    <row r="535" spans="1:16" x14ac:dyDescent="0.2">
      <c r="A535" s="58" t="str">
        <v>0:00</v>
      </c>
      <c r="B535" s="122"/>
      <c r="C535" s="144"/>
      <c r="D535" s="144"/>
      <c r="E535" s="144"/>
      <c r="F535" s="144"/>
      <c r="G535" s="144"/>
      <c r="H535" s="144"/>
      <c r="I535" s="144"/>
      <c r="J535" s="144"/>
      <c r="K535" s="144"/>
      <c r="L535" s="144"/>
      <c r="M535" s="144"/>
      <c r="N535" s="144"/>
      <c r="O535" s="44"/>
      <c r="P535" s="44"/>
    </row>
    <row r="536" spans="1:16" x14ac:dyDescent="0.2">
      <c r="A536" s="58" t="str">
        <v>0:00</v>
      </c>
      <c r="B536" s="122"/>
      <c r="C536" s="144"/>
      <c r="D536" s="144"/>
      <c r="E536" s="144"/>
      <c r="F536" s="144"/>
      <c r="G536" s="144"/>
      <c r="H536" s="144"/>
      <c r="I536" s="144"/>
      <c r="J536" s="144"/>
      <c r="K536" s="144"/>
      <c r="L536" s="144"/>
      <c r="M536" s="144"/>
      <c r="N536" s="144"/>
      <c r="O536" s="44"/>
      <c r="P536" s="44"/>
    </row>
    <row r="537" spans="1:16" x14ac:dyDescent="0.2">
      <c r="A537" s="58" t="str">
        <v>0:00</v>
      </c>
      <c r="B537" s="122"/>
      <c r="C537" s="144"/>
      <c r="D537" s="144"/>
      <c r="E537" s="144"/>
      <c r="F537" s="144"/>
      <c r="G537" s="144"/>
      <c r="H537" s="144"/>
      <c r="I537" s="144"/>
      <c r="J537" s="144"/>
      <c r="K537" s="144"/>
      <c r="L537" s="144"/>
      <c r="M537" s="144"/>
      <c r="N537" s="144"/>
      <c r="O537" s="44"/>
      <c r="P537" s="44"/>
    </row>
    <row r="538" spans="1:16" x14ac:dyDescent="0.2">
      <c r="A538" s="58" t="str">
        <v>0:00</v>
      </c>
      <c r="B538" s="122"/>
      <c r="C538" s="144"/>
      <c r="D538" s="144"/>
      <c r="E538" s="144"/>
      <c r="F538" s="144"/>
      <c r="G538" s="144"/>
      <c r="H538" s="144"/>
      <c r="I538" s="144"/>
      <c r="J538" s="144"/>
      <c r="K538" s="144"/>
      <c r="L538" s="144"/>
      <c r="M538" s="144"/>
      <c r="N538" s="144"/>
      <c r="O538" s="44"/>
      <c r="P538" s="44"/>
    </row>
    <row r="539" spans="1:16" x14ac:dyDescent="0.2">
      <c r="A539" s="58" t="str">
        <v>0:00</v>
      </c>
      <c r="B539" s="122"/>
      <c r="C539" s="144"/>
      <c r="D539" s="144"/>
      <c r="E539" s="144"/>
      <c r="F539" s="144"/>
      <c r="G539" s="144"/>
      <c r="H539" s="144"/>
      <c r="I539" s="144"/>
      <c r="J539" s="144"/>
      <c r="K539" s="144"/>
      <c r="L539" s="144"/>
      <c r="M539" s="144"/>
      <c r="N539" s="144"/>
      <c r="O539" s="44"/>
      <c r="P539" s="44"/>
    </row>
    <row r="540" spans="1:16" x14ac:dyDescent="0.2">
      <c r="A540" s="58" t="str">
        <v>0:00</v>
      </c>
      <c r="B540" s="122"/>
      <c r="C540" s="144"/>
      <c r="D540" s="144"/>
      <c r="E540" s="144"/>
      <c r="F540" s="144"/>
      <c r="G540" s="144"/>
      <c r="H540" s="144"/>
      <c r="I540" s="144"/>
      <c r="J540" s="144"/>
      <c r="K540" s="144"/>
      <c r="L540" s="144"/>
      <c r="M540" s="144"/>
      <c r="N540" s="144"/>
      <c r="O540" s="44"/>
      <c r="P540" s="44"/>
    </row>
    <row r="541" spans="1:16" x14ac:dyDescent="0.2">
      <c r="A541" s="58" t="str">
        <v>0:00</v>
      </c>
      <c r="B541" s="122"/>
      <c r="C541" s="144"/>
      <c r="D541" s="144"/>
      <c r="E541" s="144"/>
      <c r="F541" s="144"/>
      <c r="G541" s="144"/>
      <c r="H541" s="144"/>
      <c r="I541" s="144"/>
      <c r="J541" s="144"/>
      <c r="K541" s="144"/>
      <c r="L541" s="144"/>
      <c r="M541" s="144"/>
      <c r="N541" s="144"/>
      <c r="O541" s="44"/>
      <c r="P541" s="44"/>
    </row>
    <row r="542" spans="1:16" x14ac:dyDescent="0.2">
      <c r="A542" s="58" t="str">
        <v>0:00</v>
      </c>
      <c r="B542" s="122"/>
      <c r="C542" s="144"/>
      <c r="D542" s="144"/>
      <c r="E542" s="144"/>
      <c r="F542" s="144"/>
      <c r="G542" s="144"/>
      <c r="H542" s="144"/>
      <c r="I542" s="144"/>
      <c r="J542" s="144"/>
      <c r="K542" s="144"/>
      <c r="L542" s="144"/>
      <c r="M542" s="144"/>
      <c r="N542" s="144"/>
      <c r="O542" s="44"/>
      <c r="P542" s="44"/>
    </row>
    <row r="543" spans="1:16" x14ac:dyDescent="0.2">
      <c r="A543" s="58" t="str">
        <v>0:00</v>
      </c>
      <c r="B543" s="122"/>
      <c r="C543" s="144"/>
      <c r="D543" s="144"/>
      <c r="E543" s="144"/>
      <c r="F543" s="144"/>
      <c r="G543" s="144"/>
      <c r="H543" s="144"/>
      <c r="I543" s="144"/>
      <c r="J543" s="144"/>
      <c r="K543" s="144"/>
      <c r="L543" s="144"/>
      <c r="M543" s="144"/>
      <c r="N543" s="144"/>
      <c r="O543" s="44"/>
      <c r="P543" s="44"/>
    </row>
    <row r="544" spans="1:16" x14ac:dyDescent="0.2">
      <c r="A544" s="58" t="str">
        <v>0:00</v>
      </c>
      <c r="B544" s="122"/>
      <c r="C544" s="144"/>
      <c r="D544" s="144"/>
      <c r="E544" s="144"/>
      <c r="F544" s="144"/>
      <c r="G544" s="144"/>
      <c r="H544" s="144"/>
      <c r="I544" s="144"/>
      <c r="J544" s="144"/>
      <c r="K544" s="144"/>
      <c r="L544" s="144"/>
      <c r="M544" s="144"/>
      <c r="N544" s="144"/>
      <c r="O544" s="44"/>
      <c r="P544" s="44"/>
    </row>
    <row r="545" spans="1:16" x14ac:dyDescent="0.2">
      <c r="A545" s="58" t="str">
        <v>0:00</v>
      </c>
      <c r="B545" s="122"/>
      <c r="C545" s="144"/>
      <c r="D545" s="144"/>
      <c r="E545" s="144"/>
      <c r="F545" s="144"/>
      <c r="G545" s="144"/>
      <c r="H545" s="144"/>
      <c r="I545" s="144"/>
      <c r="J545" s="144"/>
      <c r="K545" s="144"/>
      <c r="L545" s="144"/>
      <c r="M545" s="144"/>
      <c r="N545" s="144"/>
      <c r="O545" s="44"/>
      <c r="P545" s="44"/>
    </row>
    <row r="546" spans="1:16" x14ac:dyDescent="0.2">
      <c r="A546" s="58" t="str">
        <v>0:00</v>
      </c>
      <c r="B546" s="122"/>
      <c r="C546" s="144"/>
      <c r="D546" s="144"/>
      <c r="E546" s="144"/>
      <c r="F546" s="144"/>
      <c r="G546" s="144"/>
      <c r="H546" s="144"/>
      <c r="I546" s="144"/>
      <c r="J546" s="144"/>
      <c r="K546" s="144"/>
      <c r="L546" s="144"/>
      <c r="M546" s="144"/>
      <c r="N546" s="144"/>
      <c r="O546" s="44"/>
      <c r="P546" s="44"/>
    </row>
    <row r="547" spans="1:16" x14ac:dyDescent="0.2">
      <c r="A547" s="58" t="str">
        <v>0:00</v>
      </c>
      <c r="B547" s="122"/>
      <c r="C547" s="144"/>
      <c r="D547" s="144"/>
      <c r="E547" s="144"/>
      <c r="F547" s="144"/>
      <c r="G547" s="144"/>
      <c r="H547" s="144"/>
      <c r="I547" s="144"/>
      <c r="J547" s="144"/>
      <c r="K547" s="144"/>
      <c r="L547" s="144"/>
      <c r="M547" s="144"/>
      <c r="N547" s="144"/>
      <c r="O547" s="44"/>
      <c r="P547" s="44"/>
    </row>
    <row r="548" spans="1:16" x14ac:dyDescent="0.2">
      <c r="A548" s="58" t="str">
        <v>0:00</v>
      </c>
      <c r="B548" s="122"/>
      <c r="C548" s="144"/>
      <c r="D548" s="144"/>
      <c r="E548" s="144"/>
      <c r="F548" s="144"/>
      <c r="G548" s="144"/>
      <c r="H548" s="144"/>
      <c r="I548" s="144"/>
      <c r="J548" s="144"/>
      <c r="K548" s="144"/>
      <c r="L548" s="144"/>
      <c r="M548" s="144"/>
      <c r="N548" s="144"/>
      <c r="O548" s="44"/>
      <c r="P548" s="44"/>
    </row>
    <row r="549" spans="1:16" x14ac:dyDescent="0.2">
      <c r="A549" s="58" t="str">
        <v>0:00</v>
      </c>
      <c r="B549" s="122"/>
      <c r="C549" s="144"/>
      <c r="D549" s="144"/>
      <c r="E549" s="144"/>
      <c r="F549" s="144"/>
      <c r="G549" s="144"/>
      <c r="H549" s="144"/>
      <c r="I549" s="144"/>
      <c r="J549" s="144"/>
      <c r="K549" s="144"/>
      <c r="L549" s="144"/>
      <c r="M549" s="144"/>
      <c r="N549" s="144"/>
      <c r="O549" s="44"/>
      <c r="P549" s="44"/>
    </row>
    <row r="550" spans="1:16" x14ac:dyDescent="0.2">
      <c r="A550" s="58" t="str">
        <v>0:00</v>
      </c>
      <c r="B550" s="122"/>
      <c r="C550" s="144"/>
      <c r="D550" s="144"/>
      <c r="E550" s="144"/>
      <c r="F550" s="144"/>
      <c r="G550" s="144"/>
      <c r="H550" s="144"/>
      <c r="I550" s="144"/>
      <c r="J550" s="144"/>
      <c r="K550" s="144"/>
      <c r="L550" s="144"/>
      <c r="M550" s="144"/>
      <c r="N550" s="144"/>
      <c r="O550" s="44"/>
      <c r="P550" s="44"/>
    </row>
    <row r="551" spans="1:16" x14ac:dyDescent="0.2">
      <c r="A551" s="58" t="str">
        <v>0:00</v>
      </c>
      <c r="B551" s="122"/>
      <c r="C551" s="144"/>
      <c r="D551" s="144"/>
      <c r="E551" s="144"/>
      <c r="F551" s="144"/>
      <c r="G551" s="144"/>
      <c r="H551" s="144"/>
      <c r="I551" s="144"/>
      <c r="J551" s="144"/>
      <c r="K551" s="144"/>
      <c r="L551" s="144"/>
      <c r="M551" s="144"/>
      <c r="N551" s="144"/>
      <c r="O551" s="44"/>
      <c r="P551" s="44"/>
    </row>
    <row r="552" spans="1:16" x14ac:dyDescent="0.2">
      <c r="A552" s="58" t="str">
        <v>0:00</v>
      </c>
      <c r="B552" s="122"/>
      <c r="C552" s="144"/>
      <c r="D552" s="144"/>
      <c r="E552" s="144"/>
      <c r="F552" s="144"/>
      <c r="G552" s="144"/>
      <c r="H552" s="144"/>
      <c r="I552" s="144"/>
      <c r="J552" s="144"/>
      <c r="K552" s="144"/>
      <c r="L552" s="144"/>
      <c r="M552" s="144"/>
      <c r="N552" s="144"/>
      <c r="O552" s="44"/>
      <c r="P552" s="44"/>
    </row>
    <row r="553" spans="1:16" x14ac:dyDescent="0.2">
      <c r="A553" s="58" t="str">
        <v>0:00</v>
      </c>
      <c r="B553" s="122"/>
      <c r="C553" s="144"/>
      <c r="D553" s="144"/>
      <c r="E553" s="144"/>
      <c r="F553" s="144"/>
      <c r="G553" s="144"/>
      <c r="H553" s="144"/>
      <c r="I553" s="144"/>
      <c r="J553" s="144"/>
      <c r="K553" s="144"/>
      <c r="L553" s="144"/>
      <c r="M553" s="144"/>
      <c r="N553" s="144"/>
      <c r="O553" s="44"/>
      <c r="P553" s="44"/>
    </row>
    <row r="554" spans="1:16" x14ac:dyDescent="0.2">
      <c r="A554" s="58" t="str">
        <v>0:00</v>
      </c>
      <c r="B554" s="122"/>
      <c r="C554" s="144"/>
      <c r="D554" s="144"/>
      <c r="E554" s="144"/>
      <c r="F554" s="144"/>
      <c r="G554" s="144"/>
      <c r="H554" s="144"/>
      <c r="I554" s="144"/>
      <c r="J554" s="144"/>
      <c r="K554" s="144"/>
      <c r="L554" s="144"/>
      <c r="M554" s="144"/>
      <c r="N554" s="144"/>
      <c r="O554" s="44"/>
      <c r="P554" s="44"/>
    </row>
    <row r="555" spans="1:16" x14ac:dyDescent="0.2">
      <c r="A555" s="58" t="str">
        <v>0:00</v>
      </c>
      <c r="B555" s="122"/>
      <c r="C555" s="144"/>
      <c r="D555" s="144"/>
      <c r="E555" s="144"/>
      <c r="F555" s="144"/>
      <c r="G555" s="144"/>
      <c r="H555" s="144"/>
      <c r="I555" s="144"/>
      <c r="J555" s="144"/>
      <c r="K555" s="144"/>
      <c r="L555" s="144"/>
      <c r="M555" s="144"/>
      <c r="N555" s="144"/>
      <c r="O555" s="44"/>
      <c r="P555" s="44"/>
    </row>
    <row r="556" spans="1:16" x14ac:dyDescent="0.2">
      <c r="A556" s="58" t="str">
        <v>0:00</v>
      </c>
      <c r="B556" s="122"/>
      <c r="C556" s="144"/>
      <c r="D556" s="144"/>
      <c r="E556" s="144"/>
      <c r="F556" s="144"/>
      <c r="G556" s="144"/>
      <c r="H556" s="144"/>
      <c r="I556" s="144"/>
      <c r="J556" s="144"/>
      <c r="K556" s="144"/>
      <c r="L556" s="144"/>
      <c r="M556" s="144"/>
      <c r="N556" s="144"/>
      <c r="O556" s="44"/>
      <c r="P556" s="44"/>
    </row>
    <row r="557" spans="1:16" x14ac:dyDescent="0.2">
      <c r="A557" s="58" t="str">
        <v>0:00</v>
      </c>
      <c r="B557" s="122"/>
      <c r="C557" s="144"/>
      <c r="D557" s="144"/>
      <c r="E557" s="144"/>
      <c r="F557" s="144"/>
      <c r="G557" s="144"/>
      <c r="H557" s="144"/>
      <c r="I557" s="144"/>
      <c r="J557" s="144"/>
      <c r="K557" s="144"/>
      <c r="L557" s="144"/>
      <c r="M557" s="144"/>
      <c r="N557" s="144"/>
      <c r="O557" s="44"/>
      <c r="P557" s="44"/>
    </row>
    <row r="558" spans="1:16" x14ac:dyDescent="0.2">
      <c r="A558" s="58" t="str">
        <v>0:00</v>
      </c>
      <c r="B558" s="122"/>
      <c r="C558" s="144"/>
      <c r="D558" s="144"/>
      <c r="E558" s="144"/>
      <c r="F558" s="144"/>
      <c r="G558" s="144"/>
      <c r="H558" s="144"/>
      <c r="I558" s="144"/>
      <c r="J558" s="144"/>
      <c r="K558" s="144"/>
      <c r="L558" s="144"/>
      <c r="M558" s="144"/>
      <c r="N558" s="144"/>
      <c r="O558" s="44"/>
      <c r="P558" s="44"/>
    </row>
    <row r="559" spans="1:16" x14ac:dyDescent="0.2">
      <c r="A559" s="58" t="str">
        <v>0:00</v>
      </c>
      <c r="B559" s="122"/>
      <c r="C559" s="144"/>
      <c r="D559" s="144"/>
      <c r="E559" s="144"/>
      <c r="F559" s="144"/>
      <c r="G559" s="144"/>
      <c r="H559" s="144"/>
      <c r="I559" s="144"/>
      <c r="J559" s="144"/>
      <c r="K559" s="144"/>
      <c r="L559" s="144"/>
      <c r="M559" s="144"/>
      <c r="N559" s="144"/>
      <c r="O559" s="44"/>
      <c r="P559" s="44"/>
    </row>
    <row r="560" spans="1:16" x14ac:dyDescent="0.2">
      <c r="A560" s="58" t="str">
        <v>0:00</v>
      </c>
      <c r="B560" s="122"/>
      <c r="C560" s="144"/>
      <c r="D560" s="144"/>
      <c r="E560" s="144"/>
      <c r="F560" s="144"/>
      <c r="G560" s="144"/>
      <c r="H560" s="144"/>
      <c r="I560" s="144"/>
      <c r="J560" s="144"/>
      <c r="K560" s="144"/>
      <c r="L560" s="144"/>
      <c r="M560" s="144"/>
      <c r="N560" s="144"/>
      <c r="O560" s="44"/>
      <c r="P560" s="44"/>
    </row>
    <row r="561" spans="1:16" x14ac:dyDescent="0.2">
      <c r="A561" s="58" t="str">
        <v>0:00</v>
      </c>
      <c r="B561" s="122"/>
      <c r="C561" s="144"/>
      <c r="D561" s="144"/>
      <c r="E561" s="144"/>
      <c r="F561" s="144"/>
      <c r="G561" s="144"/>
      <c r="H561" s="144"/>
      <c r="I561" s="144"/>
      <c r="J561" s="144"/>
      <c r="K561" s="144"/>
      <c r="L561" s="144"/>
      <c r="M561" s="144"/>
      <c r="N561" s="144"/>
      <c r="O561" s="44"/>
      <c r="P561" s="44"/>
    </row>
    <row r="562" spans="1:16" x14ac:dyDescent="0.2">
      <c r="A562" s="58" t="str">
        <v>0:00</v>
      </c>
      <c r="B562" s="122"/>
      <c r="C562" s="144"/>
      <c r="D562" s="144"/>
      <c r="E562" s="144"/>
      <c r="F562" s="144"/>
      <c r="G562" s="144"/>
      <c r="H562" s="144"/>
      <c r="I562" s="144"/>
      <c r="J562" s="144"/>
      <c r="K562" s="144"/>
      <c r="L562" s="144"/>
      <c r="M562" s="144"/>
      <c r="N562" s="144"/>
      <c r="O562" s="44"/>
      <c r="P562" s="44"/>
    </row>
    <row r="563" spans="1:16" x14ac:dyDescent="0.2">
      <c r="A563" s="58" t="str">
        <v>0:00</v>
      </c>
      <c r="B563" s="122"/>
      <c r="C563" s="144"/>
      <c r="D563" s="144"/>
      <c r="E563" s="144"/>
      <c r="F563" s="144"/>
      <c r="G563" s="144"/>
      <c r="H563" s="144"/>
      <c r="I563" s="144"/>
      <c r="J563" s="144"/>
      <c r="K563" s="144"/>
      <c r="L563" s="144"/>
      <c r="M563" s="144"/>
      <c r="N563" s="144"/>
      <c r="O563" s="44"/>
      <c r="P563" s="44"/>
    </row>
    <row r="564" spans="1:16" x14ac:dyDescent="0.2">
      <c r="A564" s="58" t="str">
        <v>0:00</v>
      </c>
      <c r="B564" s="122"/>
      <c r="C564" s="144"/>
      <c r="D564" s="144"/>
      <c r="E564" s="144"/>
      <c r="F564" s="144"/>
      <c r="G564" s="144"/>
      <c r="H564" s="144"/>
      <c r="I564" s="144"/>
      <c r="J564" s="144"/>
      <c r="K564" s="144"/>
      <c r="L564" s="144"/>
      <c r="M564" s="144"/>
      <c r="N564" s="144"/>
      <c r="O564" s="44"/>
      <c r="P564" s="44"/>
    </row>
    <row r="565" spans="1:16" x14ac:dyDescent="0.2">
      <c r="A565" s="58" t="str">
        <v>0:00</v>
      </c>
      <c r="B565" s="122"/>
      <c r="C565" s="144"/>
      <c r="D565" s="144"/>
      <c r="E565" s="144"/>
      <c r="F565" s="144"/>
      <c r="G565" s="144"/>
      <c r="H565" s="144"/>
      <c r="I565" s="144"/>
      <c r="J565" s="144"/>
      <c r="K565" s="144"/>
      <c r="L565" s="144"/>
      <c r="M565" s="144"/>
      <c r="N565" s="144"/>
      <c r="O565" s="44"/>
      <c r="P565" s="44"/>
    </row>
    <row r="566" spans="1:16" x14ac:dyDescent="0.2">
      <c r="A566" s="58" t="str">
        <v>0:00</v>
      </c>
      <c r="B566" s="122"/>
      <c r="C566" s="144"/>
      <c r="D566" s="144"/>
      <c r="E566" s="144"/>
      <c r="F566" s="144"/>
      <c r="G566" s="144"/>
      <c r="H566" s="144"/>
      <c r="I566" s="144"/>
      <c r="J566" s="144"/>
      <c r="K566" s="144"/>
      <c r="L566" s="144"/>
      <c r="M566" s="144"/>
      <c r="N566" s="144"/>
      <c r="O566" s="44"/>
      <c r="P566" s="44"/>
    </row>
    <row r="567" spans="1:16" x14ac:dyDescent="0.2">
      <c r="A567" s="58" t="str">
        <v>0:00</v>
      </c>
      <c r="B567" s="122"/>
      <c r="C567" s="144"/>
      <c r="D567" s="144"/>
      <c r="E567" s="144"/>
      <c r="F567" s="144"/>
      <c r="G567" s="144"/>
      <c r="H567" s="144"/>
      <c r="I567" s="144"/>
      <c r="J567" s="144"/>
      <c r="K567" s="144"/>
      <c r="L567" s="144"/>
      <c r="M567" s="144"/>
      <c r="N567" s="144"/>
      <c r="O567" s="44"/>
      <c r="P567" s="44"/>
    </row>
    <row r="568" spans="1:16" x14ac:dyDescent="0.2">
      <c r="A568" s="58" t="str">
        <v>0:00</v>
      </c>
      <c r="B568" s="122"/>
      <c r="C568" s="144"/>
      <c r="D568" s="144"/>
      <c r="E568" s="144"/>
      <c r="F568" s="144"/>
      <c r="G568" s="144"/>
      <c r="H568" s="144"/>
      <c r="I568" s="144"/>
      <c r="J568" s="144"/>
      <c r="K568" s="144"/>
      <c r="L568" s="144"/>
      <c r="M568" s="144"/>
      <c r="N568" s="144"/>
      <c r="O568" s="44"/>
      <c r="P568" s="44"/>
    </row>
    <row r="569" spans="1:16" x14ac:dyDescent="0.2">
      <c r="A569" s="58" t="str">
        <v>0:00</v>
      </c>
      <c r="B569" s="122"/>
      <c r="C569" s="144"/>
      <c r="D569" s="144"/>
      <c r="E569" s="144"/>
      <c r="F569" s="144"/>
      <c r="G569" s="144"/>
      <c r="H569" s="144"/>
      <c r="I569" s="144"/>
      <c r="J569" s="144"/>
      <c r="K569" s="144"/>
      <c r="L569" s="144"/>
      <c r="M569" s="144"/>
      <c r="N569" s="144"/>
      <c r="O569" s="44"/>
      <c r="P569" s="44"/>
    </row>
    <row r="570" spans="1:16" x14ac:dyDescent="0.2">
      <c r="A570" s="58" t="str">
        <v>0:00</v>
      </c>
      <c r="B570" s="122"/>
      <c r="C570" s="144"/>
      <c r="D570" s="144"/>
      <c r="E570" s="144"/>
      <c r="F570" s="144"/>
      <c r="G570" s="144"/>
      <c r="H570" s="144"/>
      <c r="I570" s="144"/>
      <c r="J570" s="144"/>
      <c r="K570" s="144"/>
      <c r="L570" s="144"/>
      <c r="M570" s="144"/>
      <c r="N570" s="144"/>
      <c r="O570" s="44"/>
      <c r="P570" s="44"/>
    </row>
    <row r="571" spans="1:16" x14ac:dyDescent="0.2">
      <c r="A571" s="58" t="str">
        <v>0:00</v>
      </c>
      <c r="B571" s="122"/>
      <c r="C571" s="144"/>
      <c r="D571" s="144"/>
      <c r="E571" s="144"/>
      <c r="F571" s="144"/>
      <c r="G571" s="144"/>
      <c r="H571" s="144"/>
      <c r="I571" s="144"/>
      <c r="J571" s="144"/>
      <c r="K571" s="144"/>
      <c r="L571" s="144"/>
      <c r="M571" s="144"/>
      <c r="N571" s="144"/>
      <c r="O571" s="44"/>
      <c r="P571" s="44"/>
    </row>
    <row r="572" spans="1:16" x14ac:dyDescent="0.2">
      <c r="A572" s="58" t="str">
        <v>0:00</v>
      </c>
      <c r="B572" s="122"/>
      <c r="C572" s="144"/>
      <c r="D572" s="144"/>
      <c r="E572" s="144"/>
      <c r="F572" s="144"/>
      <c r="G572" s="144"/>
      <c r="H572" s="144"/>
      <c r="I572" s="144"/>
      <c r="J572" s="144"/>
      <c r="K572" s="144"/>
      <c r="L572" s="144"/>
      <c r="M572" s="144"/>
      <c r="N572" s="144"/>
      <c r="O572" s="44"/>
      <c r="P572" s="44"/>
    </row>
    <row r="573" spans="1:16" x14ac:dyDescent="0.2">
      <c r="A573" s="58" t="str">
        <v>0:00</v>
      </c>
      <c r="B573" s="122"/>
      <c r="C573" s="144"/>
      <c r="D573" s="144"/>
      <c r="E573" s="144"/>
      <c r="F573" s="144"/>
      <c r="G573" s="144"/>
      <c r="H573" s="144"/>
      <c r="I573" s="144"/>
      <c r="J573" s="144"/>
      <c r="K573" s="144"/>
      <c r="L573" s="144"/>
      <c r="M573" s="144"/>
      <c r="N573" s="144"/>
      <c r="O573" s="44"/>
      <c r="P573" s="44"/>
    </row>
    <row r="574" spans="1:16" x14ac:dyDescent="0.2">
      <c r="A574" s="58" t="str">
        <v>0:00</v>
      </c>
      <c r="B574" s="122"/>
      <c r="C574" s="144"/>
      <c r="D574" s="144"/>
      <c r="E574" s="144"/>
      <c r="F574" s="144"/>
      <c r="G574" s="144"/>
      <c r="H574" s="144"/>
      <c r="I574" s="144"/>
      <c r="J574" s="144"/>
      <c r="K574" s="144"/>
      <c r="L574" s="144"/>
      <c r="M574" s="144"/>
      <c r="N574" s="144"/>
      <c r="O574" s="44"/>
      <c r="P574" s="44"/>
    </row>
    <row r="575" spans="1:16" x14ac:dyDescent="0.2">
      <c r="A575" s="58" t="str">
        <v>0:00</v>
      </c>
      <c r="B575" s="122"/>
      <c r="C575" s="144"/>
      <c r="D575" s="144"/>
      <c r="E575" s="144"/>
      <c r="F575" s="144"/>
      <c r="G575" s="144"/>
      <c r="H575" s="144"/>
      <c r="I575" s="144"/>
      <c r="J575" s="144"/>
      <c r="K575" s="144"/>
      <c r="L575" s="144"/>
      <c r="M575" s="144"/>
      <c r="N575" s="144"/>
      <c r="O575" s="44"/>
      <c r="P575" s="44"/>
    </row>
    <row r="576" spans="1:16" x14ac:dyDescent="0.2">
      <c r="A576" s="58" t="str">
        <v>0:00</v>
      </c>
      <c r="B576" s="122"/>
      <c r="C576" s="144"/>
      <c r="D576" s="144"/>
      <c r="E576" s="144"/>
      <c r="F576" s="144"/>
      <c r="G576" s="144"/>
      <c r="H576" s="144"/>
      <c r="I576" s="144"/>
      <c r="J576" s="144"/>
      <c r="K576" s="144"/>
      <c r="L576" s="144"/>
      <c r="M576" s="144"/>
      <c r="N576" s="144"/>
      <c r="O576" s="44"/>
      <c r="P576" s="44"/>
    </row>
    <row r="577" spans="1:16" x14ac:dyDescent="0.2">
      <c r="A577" s="58" t="str">
        <v>0:00</v>
      </c>
      <c r="B577" s="122"/>
      <c r="C577" s="144"/>
      <c r="D577" s="144"/>
      <c r="E577" s="144"/>
      <c r="F577" s="144"/>
      <c r="G577" s="144"/>
      <c r="H577" s="144"/>
      <c r="I577" s="144"/>
      <c r="J577" s="144"/>
      <c r="K577" s="144"/>
      <c r="L577" s="144"/>
      <c r="M577" s="144"/>
      <c r="N577" s="144"/>
      <c r="O577" s="44"/>
      <c r="P577" s="44"/>
    </row>
    <row r="578" spans="1:16" x14ac:dyDescent="0.2">
      <c r="A578" s="58" t="str">
        <v>0:00</v>
      </c>
      <c r="B578" s="122"/>
      <c r="C578" s="144"/>
      <c r="D578" s="144"/>
      <c r="E578" s="144"/>
      <c r="F578" s="144"/>
      <c r="G578" s="144"/>
      <c r="H578" s="144"/>
      <c r="I578" s="144"/>
      <c r="J578" s="144"/>
      <c r="K578" s="144"/>
      <c r="L578" s="144"/>
      <c r="M578" s="144"/>
      <c r="N578" s="144"/>
      <c r="O578" s="44"/>
      <c r="P578" s="44"/>
    </row>
    <row r="579" spans="1:16" x14ac:dyDescent="0.2">
      <c r="A579" s="58" t="str">
        <v>0:00</v>
      </c>
      <c r="B579" s="122"/>
      <c r="C579" s="144"/>
      <c r="D579" s="144"/>
      <c r="E579" s="144"/>
      <c r="F579" s="144"/>
      <c r="G579" s="144"/>
      <c r="H579" s="144"/>
      <c r="I579" s="144"/>
      <c r="J579" s="144"/>
      <c r="K579" s="144"/>
      <c r="L579" s="144"/>
      <c r="M579" s="144"/>
      <c r="N579" s="144"/>
      <c r="O579" s="44"/>
      <c r="P579" s="44"/>
    </row>
    <row r="580" spans="1:16" x14ac:dyDescent="0.2">
      <c r="A580" s="58" t="str">
        <v>0:00</v>
      </c>
      <c r="B580" s="122"/>
      <c r="C580" s="144"/>
      <c r="D580" s="144"/>
      <c r="E580" s="144"/>
      <c r="F580" s="144"/>
      <c r="G580" s="144"/>
      <c r="H580" s="144"/>
      <c r="I580" s="144"/>
      <c r="J580" s="144"/>
      <c r="K580" s="144"/>
      <c r="L580" s="144"/>
      <c r="M580" s="144"/>
      <c r="N580" s="144"/>
      <c r="O580" s="44"/>
      <c r="P580" s="44"/>
    </row>
    <row r="581" spans="1:16" x14ac:dyDescent="0.2">
      <c r="A581" s="58" t="str">
        <v>0:00</v>
      </c>
      <c r="B581" s="122"/>
      <c r="C581" s="144"/>
      <c r="D581" s="144"/>
      <c r="E581" s="144"/>
      <c r="F581" s="144"/>
      <c r="G581" s="144"/>
      <c r="H581" s="144"/>
      <c r="I581" s="144"/>
      <c r="J581" s="144"/>
      <c r="K581" s="144"/>
      <c r="L581" s="144"/>
      <c r="M581" s="144"/>
      <c r="N581" s="144"/>
      <c r="O581" s="44"/>
      <c r="P581" s="44"/>
    </row>
    <row r="582" spans="1:16" x14ac:dyDescent="0.2">
      <c r="A582" s="58" t="str">
        <v>0:00</v>
      </c>
      <c r="B582" s="122"/>
      <c r="C582" s="144"/>
      <c r="D582" s="144"/>
      <c r="E582" s="144"/>
      <c r="F582" s="144"/>
      <c r="G582" s="144"/>
      <c r="H582" s="144"/>
      <c r="I582" s="144"/>
      <c r="J582" s="144"/>
      <c r="K582" s="144"/>
      <c r="L582" s="144"/>
      <c r="M582" s="144"/>
      <c r="N582" s="144"/>
      <c r="O582" s="44"/>
      <c r="P582" s="44"/>
    </row>
    <row r="583" spans="1:16" x14ac:dyDescent="0.2">
      <c r="A583" s="58" t="str">
        <v>0:00</v>
      </c>
      <c r="B583" s="122"/>
      <c r="C583" s="144"/>
      <c r="D583" s="144"/>
      <c r="E583" s="144"/>
      <c r="F583" s="144"/>
      <c r="G583" s="144"/>
      <c r="H583" s="144"/>
      <c r="I583" s="144"/>
      <c r="J583" s="144"/>
      <c r="K583" s="144"/>
      <c r="L583" s="144"/>
      <c r="M583" s="144"/>
      <c r="N583" s="144"/>
      <c r="O583" s="44"/>
      <c r="P583" s="44"/>
    </row>
    <row r="584" spans="1:16" x14ac:dyDescent="0.2">
      <c r="A584" s="58" t="str">
        <v>0:00</v>
      </c>
      <c r="B584" s="122"/>
      <c r="C584" s="144"/>
      <c r="D584" s="144"/>
      <c r="E584" s="144"/>
      <c r="F584" s="144"/>
      <c r="G584" s="144"/>
      <c r="H584" s="144"/>
      <c r="I584" s="144"/>
      <c r="J584" s="144"/>
      <c r="K584" s="144"/>
      <c r="L584" s="144"/>
      <c r="M584" s="144"/>
      <c r="N584" s="144"/>
      <c r="O584" s="44"/>
      <c r="P584" s="44"/>
    </row>
    <row r="585" spans="1:16" x14ac:dyDescent="0.2">
      <c r="A585" s="58" t="str">
        <v>0:00</v>
      </c>
      <c r="B585" s="122"/>
      <c r="C585" s="144"/>
      <c r="D585" s="144"/>
      <c r="E585" s="144"/>
      <c r="F585" s="144"/>
      <c r="G585" s="144"/>
      <c r="H585" s="144"/>
      <c r="I585" s="144"/>
      <c r="J585" s="144"/>
      <c r="K585" s="144"/>
      <c r="L585" s="144"/>
      <c r="M585" s="144"/>
      <c r="N585" s="144"/>
      <c r="O585" s="44"/>
      <c r="P585" s="44"/>
    </row>
    <row r="586" spans="1:16" x14ac:dyDescent="0.2">
      <c r="A586" s="58" t="str">
        <v>0:00</v>
      </c>
      <c r="B586" s="122"/>
      <c r="C586" s="144"/>
      <c r="D586" s="144"/>
      <c r="E586" s="144"/>
      <c r="F586" s="144"/>
      <c r="G586" s="144"/>
      <c r="H586" s="144"/>
      <c r="I586" s="144"/>
      <c r="J586" s="144"/>
      <c r="K586" s="144"/>
      <c r="L586" s="144"/>
      <c r="M586" s="144"/>
      <c r="N586" s="144"/>
      <c r="O586" s="44"/>
      <c r="P586" s="44"/>
    </row>
    <row r="587" spans="1:16" x14ac:dyDescent="0.2">
      <c r="A587" s="58" t="str">
        <v>0:00</v>
      </c>
      <c r="B587" s="122"/>
      <c r="C587" s="144"/>
      <c r="D587" s="144"/>
      <c r="E587" s="144"/>
      <c r="F587" s="144"/>
      <c r="G587" s="144"/>
      <c r="H587" s="144"/>
      <c r="I587" s="144"/>
      <c r="J587" s="144"/>
      <c r="K587" s="144"/>
      <c r="L587" s="144"/>
      <c r="M587" s="144"/>
      <c r="N587" s="144"/>
      <c r="O587" s="44"/>
      <c r="P587" s="44"/>
    </row>
    <row r="588" spans="1:16" x14ac:dyDescent="0.2">
      <c r="A588" s="58" t="str">
        <v>0:00</v>
      </c>
      <c r="B588" s="122"/>
      <c r="C588" s="144"/>
      <c r="D588" s="144"/>
      <c r="E588" s="144"/>
      <c r="F588" s="144"/>
      <c r="G588" s="144"/>
      <c r="H588" s="144"/>
      <c r="I588" s="144"/>
      <c r="J588" s="144"/>
      <c r="K588" s="144"/>
      <c r="L588" s="144"/>
      <c r="M588" s="144"/>
      <c r="N588" s="144"/>
      <c r="O588" s="44"/>
      <c r="P588" s="44"/>
    </row>
    <row r="589" spans="1:16" x14ac:dyDescent="0.2">
      <c r="A589" s="58" t="str">
        <v>0:00</v>
      </c>
      <c r="B589" s="122"/>
      <c r="C589" s="144"/>
      <c r="D589" s="144"/>
      <c r="E589" s="144"/>
      <c r="F589" s="144"/>
      <c r="G589" s="144"/>
      <c r="H589" s="144"/>
      <c r="I589" s="144"/>
      <c r="J589" s="144"/>
      <c r="K589" s="144"/>
      <c r="L589" s="144"/>
      <c r="M589" s="144"/>
      <c r="N589" s="144"/>
      <c r="O589" s="44"/>
      <c r="P589" s="44"/>
    </row>
    <row r="590" spans="1:16" x14ac:dyDescent="0.2">
      <c r="A590" s="58" t="str">
        <v>0:00</v>
      </c>
      <c r="B590" s="122"/>
      <c r="C590" s="144"/>
      <c r="D590" s="144"/>
      <c r="E590" s="144"/>
      <c r="F590" s="144"/>
      <c r="G590" s="144"/>
      <c r="H590" s="144"/>
      <c r="I590" s="144"/>
      <c r="J590" s="144"/>
      <c r="K590" s="144"/>
      <c r="L590" s="144"/>
      <c r="M590" s="144"/>
      <c r="N590" s="144"/>
      <c r="O590" s="44"/>
      <c r="P590" s="44"/>
    </row>
    <row r="591" spans="1:16" x14ac:dyDescent="0.2">
      <c r="A591" s="58" t="str">
        <v>0:00</v>
      </c>
      <c r="B591" s="122"/>
      <c r="C591" s="144"/>
      <c r="D591" s="144"/>
      <c r="E591" s="144"/>
      <c r="F591" s="144"/>
      <c r="G591" s="144"/>
      <c r="H591" s="144"/>
      <c r="I591" s="144"/>
      <c r="J591" s="144"/>
      <c r="K591" s="144"/>
      <c r="L591" s="144"/>
      <c r="M591" s="144"/>
      <c r="N591" s="144"/>
      <c r="O591" s="44"/>
      <c r="P591" s="44"/>
    </row>
    <row r="592" spans="1:16" x14ac:dyDescent="0.2">
      <c r="A592" s="58" t="str">
        <v>0:00</v>
      </c>
      <c r="B592" s="122"/>
      <c r="C592" s="144"/>
      <c r="D592" s="144"/>
      <c r="E592" s="144"/>
      <c r="F592" s="144"/>
      <c r="G592" s="144"/>
      <c r="H592" s="144"/>
      <c r="I592" s="144"/>
      <c r="J592" s="144"/>
      <c r="K592" s="144"/>
      <c r="L592" s="144"/>
      <c r="M592" s="144"/>
      <c r="N592" s="144"/>
      <c r="O592" s="44"/>
      <c r="P592" s="44"/>
    </row>
    <row r="593" spans="1:16" x14ac:dyDescent="0.2">
      <c r="A593" s="58" t="str">
        <v>0:00</v>
      </c>
      <c r="B593" s="122"/>
      <c r="C593" s="144"/>
      <c r="D593" s="144"/>
      <c r="E593" s="144"/>
      <c r="F593" s="144"/>
      <c r="G593" s="144"/>
      <c r="H593" s="144"/>
      <c r="I593" s="144"/>
      <c r="J593" s="144"/>
      <c r="K593" s="144"/>
      <c r="L593" s="144"/>
      <c r="M593" s="144"/>
      <c r="N593" s="144"/>
      <c r="O593" s="44"/>
      <c r="P593" s="44"/>
    </row>
    <row r="594" spans="1:16" x14ac:dyDescent="0.2">
      <c r="A594" s="58" t="str">
        <v>0:00</v>
      </c>
      <c r="B594" s="122"/>
      <c r="C594" s="144"/>
      <c r="D594" s="144"/>
      <c r="E594" s="144"/>
      <c r="F594" s="144"/>
      <c r="G594" s="144"/>
      <c r="H594" s="144"/>
      <c r="I594" s="144"/>
      <c r="J594" s="144"/>
      <c r="K594" s="144"/>
      <c r="L594" s="144"/>
      <c r="M594" s="144"/>
      <c r="N594" s="144"/>
      <c r="O594" s="44"/>
      <c r="P594" s="44"/>
    </row>
    <row r="595" spans="1:16" x14ac:dyDescent="0.2">
      <c r="A595" s="58" t="str">
        <v>0:00</v>
      </c>
      <c r="B595" s="122"/>
      <c r="C595" s="144"/>
      <c r="D595" s="144"/>
      <c r="E595" s="144"/>
      <c r="F595" s="144"/>
      <c r="G595" s="144"/>
      <c r="H595" s="144"/>
      <c r="I595" s="144"/>
      <c r="J595" s="144"/>
      <c r="K595" s="144"/>
      <c r="L595" s="144"/>
      <c r="M595" s="144"/>
      <c r="N595" s="144"/>
      <c r="O595" s="44"/>
      <c r="P595" s="44"/>
    </row>
    <row r="596" spans="1:16" x14ac:dyDescent="0.2">
      <c r="A596" s="58" t="str">
        <v>0:00</v>
      </c>
      <c r="B596" s="122"/>
      <c r="C596" s="144"/>
      <c r="D596" s="144"/>
      <c r="E596" s="144"/>
      <c r="F596" s="144"/>
      <c r="G596" s="144"/>
      <c r="H596" s="144"/>
      <c r="I596" s="144"/>
      <c r="J596" s="144"/>
      <c r="K596" s="144"/>
      <c r="L596" s="144"/>
      <c r="M596" s="144"/>
      <c r="N596" s="144"/>
      <c r="O596" s="44"/>
      <c r="P596" s="44"/>
    </row>
    <row r="597" spans="1:16" x14ac:dyDescent="0.2">
      <c r="A597" s="58" t="str">
        <v>0:00</v>
      </c>
      <c r="B597" s="122"/>
      <c r="C597" s="144"/>
      <c r="D597" s="144"/>
      <c r="E597" s="144"/>
      <c r="F597" s="144"/>
      <c r="G597" s="144"/>
      <c r="H597" s="144"/>
      <c r="I597" s="144"/>
      <c r="J597" s="144"/>
      <c r="K597" s="144"/>
      <c r="L597" s="144"/>
      <c r="M597" s="144"/>
      <c r="N597" s="144"/>
      <c r="O597" s="44"/>
      <c r="P597" s="44"/>
    </row>
    <row r="598" spans="1:16" x14ac:dyDescent="0.2">
      <c r="A598" s="58" t="str">
        <v>0:00</v>
      </c>
      <c r="B598" s="122"/>
      <c r="C598" s="144"/>
      <c r="D598" s="144"/>
      <c r="E598" s="144"/>
      <c r="F598" s="144"/>
      <c r="G598" s="144"/>
      <c r="H598" s="144"/>
      <c r="I598" s="144"/>
      <c r="J598" s="144"/>
      <c r="K598" s="144"/>
      <c r="L598" s="144"/>
      <c r="M598" s="144"/>
      <c r="N598" s="144"/>
      <c r="O598" s="44"/>
      <c r="P598" s="44"/>
    </row>
    <row r="599" spans="1:16" x14ac:dyDescent="0.2">
      <c r="A599" s="58" t="str">
        <v>0:00</v>
      </c>
      <c r="B599" s="122"/>
      <c r="C599" s="144"/>
      <c r="D599" s="144"/>
      <c r="E599" s="144"/>
      <c r="F599" s="144"/>
      <c r="G599" s="144"/>
      <c r="H599" s="144"/>
      <c r="I599" s="144"/>
      <c r="J599" s="144"/>
      <c r="K599" s="144"/>
      <c r="L599" s="144"/>
      <c r="M599" s="144"/>
      <c r="N599" s="144"/>
      <c r="O599" s="44"/>
      <c r="P599" s="44"/>
    </row>
    <row r="600" spans="1:16" x14ac:dyDescent="0.2">
      <c r="A600" s="58" t="str">
        <v>0:00</v>
      </c>
      <c r="B600" s="122"/>
      <c r="C600" s="144"/>
      <c r="D600" s="144"/>
      <c r="E600" s="144"/>
      <c r="F600" s="144"/>
      <c r="G600" s="144"/>
      <c r="H600" s="144"/>
      <c r="I600" s="144"/>
      <c r="J600" s="144"/>
      <c r="K600" s="144"/>
      <c r="L600" s="144"/>
      <c r="M600" s="144"/>
      <c r="N600" s="144"/>
      <c r="O600" s="44"/>
      <c r="P600" s="44"/>
    </row>
    <row r="601" spans="1:16" x14ac:dyDescent="0.2">
      <c r="A601" s="58" t="str">
        <v>0:00</v>
      </c>
      <c r="B601" s="122"/>
      <c r="C601" s="144"/>
      <c r="D601" s="144"/>
      <c r="E601" s="144"/>
      <c r="F601" s="144"/>
      <c r="G601" s="144"/>
      <c r="H601" s="144"/>
      <c r="I601" s="144"/>
      <c r="J601" s="144"/>
      <c r="K601" s="144"/>
      <c r="L601" s="144"/>
      <c r="M601" s="144"/>
      <c r="N601" s="144"/>
      <c r="O601" s="44"/>
      <c r="P601" s="44"/>
    </row>
    <row r="602" spans="1:16" x14ac:dyDescent="0.2">
      <c r="A602" s="58" t="str">
        <v>0:00</v>
      </c>
      <c r="B602" s="122"/>
      <c r="C602" s="144"/>
      <c r="D602" s="144"/>
      <c r="E602" s="144"/>
      <c r="F602" s="144"/>
      <c r="G602" s="144"/>
      <c r="H602" s="144"/>
      <c r="I602" s="144"/>
      <c r="J602" s="144"/>
      <c r="K602" s="144"/>
      <c r="L602" s="144"/>
      <c r="M602" s="144"/>
      <c r="N602" s="144"/>
      <c r="O602" s="44"/>
      <c r="P602" s="44"/>
    </row>
    <row r="603" spans="1:16" x14ac:dyDescent="0.2">
      <c r="A603" s="58" t="str">
        <v>0:00</v>
      </c>
      <c r="B603" s="122"/>
      <c r="C603" s="144"/>
      <c r="D603" s="144"/>
      <c r="E603" s="144"/>
      <c r="F603" s="144"/>
      <c r="G603" s="144"/>
      <c r="H603" s="144"/>
      <c r="I603" s="144"/>
      <c r="J603" s="144"/>
      <c r="K603" s="144"/>
      <c r="L603" s="144"/>
      <c r="M603" s="144"/>
      <c r="N603" s="144"/>
      <c r="O603" s="44"/>
      <c r="P603" s="44"/>
    </row>
    <row r="604" spans="1:16" x14ac:dyDescent="0.2">
      <c r="A604" s="58" t="str">
        <v>0:00</v>
      </c>
      <c r="B604" s="122"/>
      <c r="C604" s="144"/>
      <c r="D604" s="144"/>
      <c r="E604" s="144"/>
      <c r="F604" s="144"/>
      <c r="G604" s="144"/>
      <c r="H604" s="144"/>
      <c r="I604" s="144"/>
      <c r="J604" s="144"/>
      <c r="K604" s="144"/>
      <c r="L604" s="144"/>
      <c r="M604" s="144"/>
      <c r="N604" s="144"/>
      <c r="O604" s="44"/>
      <c r="P604" s="44"/>
    </row>
    <row r="605" spans="1:16" x14ac:dyDescent="0.2">
      <c r="A605" s="58" t="str">
        <v>0:00</v>
      </c>
      <c r="B605" s="122"/>
      <c r="C605" s="144"/>
      <c r="D605" s="144"/>
      <c r="E605" s="144"/>
      <c r="F605" s="144"/>
      <c r="G605" s="144"/>
      <c r="H605" s="144"/>
      <c r="I605" s="144"/>
      <c r="J605" s="144"/>
      <c r="K605" s="144"/>
      <c r="L605" s="144"/>
      <c r="M605" s="144"/>
      <c r="N605" s="144"/>
      <c r="O605" s="44"/>
      <c r="P605" s="44"/>
    </row>
    <row r="606" spans="1:16" x14ac:dyDescent="0.2">
      <c r="A606" s="58" t="str">
        <v>0:00</v>
      </c>
      <c r="B606" s="122"/>
      <c r="C606" s="144"/>
      <c r="D606" s="144"/>
      <c r="E606" s="144"/>
      <c r="F606" s="144"/>
      <c r="G606" s="144"/>
      <c r="H606" s="144"/>
      <c r="I606" s="144"/>
      <c r="J606" s="144"/>
      <c r="K606" s="144"/>
      <c r="L606" s="144"/>
      <c r="M606" s="144"/>
      <c r="N606" s="144"/>
      <c r="O606" s="44"/>
      <c r="P606" s="44"/>
    </row>
    <row r="607" spans="1:16" x14ac:dyDescent="0.2">
      <c r="A607" s="58" t="str">
        <v>0:00</v>
      </c>
      <c r="B607" s="122"/>
      <c r="C607" s="144"/>
      <c r="D607" s="144"/>
      <c r="E607" s="144"/>
      <c r="F607" s="144"/>
      <c r="G607" s="144"/>
      <c r="H607" s="144"/>
      <c r="I607" s="144"/>
      <c r="J607" s="144"/>
      <c r="K607" s="144"/>
      <c r="L607" s="144"/>
      <c r="M607" s="144"/>
      <c r="N607" s="144"/>
      <c r="O607" s="44"/>
      <c r="P607" s="44"/>
    </row>
    <row r="608" spans="1:16" x14ac:dyDescent="0.2">
      <c r="A608" s="58" t="str">
        <v>0:00</v>
      </c>
      <c r="B608" s="122"/>
      <c r="C608" s="144"/>
      <c r="D608" s="144"/>
      <c r="E608" s="144"/>
      <c r="F608" s="144"/>
      <c r="G608" s="144"/>
      <c r="H608" s="144"/>
      <c r="I608" s="144"/>
      <c r="J608" s="144"/>
      <c r="K608" s="144"/>
      <c r="L608" s="144"/>
      <c r="M608" s="144"/>
      <c r="N608" s="144"/>
      <c r="O608" s="44"/>
      <c r="P608" s="44"/>
    </row>
    <row r="609" spans="1:16" x14ac:dyDescent="0.2">
      <c r="A609" s="58" t="str">
        <v>0:00</v>
      </c>
      <c r="B609" s="122"/>
      <c r="C609" s="144"/>
      <c r="D609" s="144"/>
      <c r="E609" s="144"/>
      <c r="F609" s="144"/>
      <c r="G609" s="144"/>
      <c r="H609" s="144"/>
      <c r="I609" s="144"/>
      <c r="J609" s="144"/>
      <c r="K609" s="144"/>
      <c r="L609" s="144"/>
      <c r="M609" s="144"/>
      <c r="N609" s="144"/>
      <c r="O609" s="44"/>
      <c r="P609" s="44"/>
    </row>
    <row r="610" spans="1:16" x14ac:dyDescent="0.2">
      <c r="A610" s="58" t="str">
        <v>0:00</v>
      </c>
      <c r="B610" s="122"/>
      <c r="C610" s="144"/>
      <c r="D610" s="144"/>
      <c r="E610" s="144"/>
      <c r="F610" s="144"/>
      <c r="G610" s="144"/>
      <c r="H610" s="144"/>
      <c r="I610" s="144"/>
      <c r="J610" s="144"/>
      <c r="K610" s="144"/>
      <c r="L610" s="144"/>
      <c r="M610" s="144"/>
      <c r="N610" s="144"/>
      <c r="O610" s="44"/>
      <c r="P610" s="44"/>
    </row>
    <row r="611" spans="1:16" x14ac:dyDescent="0.2">
      <c r="A611" s="58" t="str">
        <v>0:00</v>
      </c>
      <c r="B611" s="122"/>
      <c r="C611" s="144"/>
      <c r="D611" s="144"/>
      <c r="E611" s="144"/>
      <c r="F611" s="144"/>
      <c r="G611" s="144"/>
      <c r="H611" s="144"/>
      <c r="I611" s="144"/>
      <c r="J611" s="144"/>
      <c r="K611" s="144"/>
      <c r="L611" s="144"/>
      <c r="M611" s="144"/>
      <c r="N611" s="144"/>
      <c r="O611" s="44"/>
      <c r="P611" s="44"/>
    </row>
    <row r="612" spans="1:16" x14ac:dyDescent="0.2">
      <c r="A612" s="58" t="str">
        <v>0:00</v>
      </c>
      <c r="B612" s="122"/>
      <c r="C612" s="144"/>
      <c r="D612" s="144"/>
      <c r="E612" s="144"/>
      <c r="F612" s="144"/>
      <c r="G612" s="144"/>
      <c r="H612" s="144"/>
      <c r="I612" s="144"/>
      <c r="J612" s="144"/>
      <c r="K612" s="144"/>
      <c r="L612" s="144"/>
      <c r="M612" s="144"/>
      <c r="N612" s="144"/>
      <c r="O612" s="44"/>
      <c r="P612" s="44"/>
    </row>
    <row r="613" spans="1:16" x14ac:dyDescent="0.2">
      <c r="A613" s="58" t="str">
        <v>0:00</v>
      </c>
      <c r="B613" s="122"/>
      <c r="C613" s="144"/>
      <c r="D613" s="144"/>
      <c r="E613" s="144"/>
      <c r="F613" s="144"/>
      <c r="G613" s="144"/>
      <c r="H613" s="144"/>
      <c r="I613" s="144"/>
      <c r="J613" s="144"/>
      <c r="K613" s="144"/>
      <c r="L613" s="144"/>
      <c r="M613" s="144"/>
      <c r="N613" s="144"/>
      <c r="O613" s="44"/>
      <c r="P613" s="44"/>
    </row>
    <row r="614" spans="1:16" x14ac:dyDescent="0.2">
      <c r="A614" s="58" t="str">
        <v>0:00</v>
      </c>
      <c r="B614" s="122"/>
      <c r="C614" s="144"/>
      <c r="D614" s="144"/>
      <c r="E614" s="144"/>
      <c r="F614" s="144"/>
      <c r="G614" s="144"/>
      <c r="H614" s="144"/>
      <c r="I614" s="144"/>
      <c r="J614" s="144"/>
      <c r="K614" s="144"/>
      <c r="L614" s="144"/>
      <c r="M614" s="144"/>
      <c r="N614" s="144"/>
      <c r="O614" s="44"/>
      <c r="P614" s="44"/>
    </row>
    <row r="615" spans="1:16" x14ac:dyDescent="0.2">
      <c r="A615" s="58" t="str">
        <v>0:00</v>
      </c>
      <c r="B615" s="122"/>
      <c r="C615" s="144"/>
      <c r="D615" s="144"/>
      <c r="E615" s="144"/>
      <c r="F615" s="144"/>
      <c r="G615" s="144"/>
      <c r="H615" s="144"/>
      <c r="I615" s="144"/>
      <c r="J615" s="144"/>
      <c r="K615" s="144"/>
      <c r="L615" s="144"/>
      <c r="M615" s="144"/>
      <c r="N615" s="144"/>
      <c r="O615" s="44"/>
      <c r="P615" s="44"/>
    </row>
    <row r="616" spans="1:16" x14ac:dyDescent="0.2">
      <c r="A616" s="58" t="str">
        <v>0:00</v>
      </c>
      <c r="B616" s="122"/>
      <c r="C616" s="144"/>
      <c r="D616" s="144"/>
      <c r="E616" s="144"/>
      <c r="F616" s="144"/>
      <c r="G616" s="144"/>
      <c r="H616" s="144"/>
      <c r="I616" s="144"/>
      <c r="J616" s="144"/>
      <c r="K616" s="144"/>
      <c r="L616" s="144"/>
      <c r="M616" s="144"/>
      <c r="N616" s="144"/>
      <c r="O616" s="44"/>
      <c r="P616" s="44"/>
    </row>
    <row r="617" spans="1:16" x14ac:dyDescent="0.2">
      <c r="A617" s="58" t="str">
        <v>0:00</v>
      </c>
      <c r="B617" s="122"/>
      <c r="C617" s="144"/>
      <c r="D617" s="144"/>
      <c r="E617" s="144"/>
      <c r="F617" s="144"/>
      <c r="G617" s="144"/>
      <c r="H617" s="144"/>
      <c r="I617" s="144"/>
      <c r="J617" s="144"/>
      <c r="K617" s="144"/>
      <c r="L617" s="144"/>
      <c r="M617" s="144"/>
      <c r="N617" s="144"/>
      <c r="O617" s="44"/>
      <c r="P617" s="44"/>
    </row>
    <row r="618" spans="1:16" x14ac:dyDescent="0.2">
      <c r="A618" s="58" t="str">
        <v>0:00</v>
      </c>
      <c r="B618" s="122"/>
      <c r="C618" s="144"/>
      <c r="D618" s="144"/>
      <c r="E618" s="144"/>
      <c r="F618" s="144"/>
      <c r="G618" s="144"/>
      <c r="H618" s="144"/>
      <c r="I618" s="144"/>
      <c r="J618" s="144"/>
      <c r="K618" s="144"/>
      <c r="L618" s="144"/>
      <c r="M618" s="144"/>
      <c r="N618" s="144"/>
      <c r="O618" s="44"/>
      <c r="P618" s="44"/>
    </row>
    <row r="619" spans="1:16" x14ac:dyDescent="0.2">
      <c r="A619" s="58" t="str">
        <v>0:00</v>
      </c>
      <c r="B619" s="122"/>
      <c r="C619" s="144"/>
      <c r="D619" s="144"/>
      <c r="E619" s="144"/>
      <c r="F619" s="144"/>
      <c r="G619" s="144"/>
      <c r="H619" s="144"/>
      <c r="I619" s="144"/>
      <c r="J619" s="144"/>
      <c r="K619" s="144"/>
      <c r="L619" s="144"/>
      <c r="M619" s="144"/>
      <c r="N619" s="144"/>
      <c r="O619" s="44"/>
      <c r="P619" s="44"/>
    </row>
    <row r="620" spans="1:16" x14ac:dyDescent="0.2">
      <c r="A620" s="58" t="str">
        <v>0:00</v>
      </c>
      <c r="B620" s="122"/>
      <c r="C620" s="144"/>
      <c r="D620" s="144"/>
      <c r="E620" s="144"/>
      <c r="F620" s="144"/>
      <c r="G620" s="144"/>
      <c r="H620" s="144"/>
      <c r="I620" s="144"/>
      <c r="J620" s="144"/>
      <c r="K620" s="144"/>
      <c r="L620" s="144"/>
      <c r="M620" s="144"/>
      <c r="N620" s="144"/>
      <c r="O620" s="44"/>
      <c r="P620" s="44"/>
    </row>
    <row r="621" spans="1:16" x14ac:dyDescent="0.2">
      <c r="A621" s="58" t="str">
        <v>0:00</v>
      </c>
      <c r="B621" s="122"/>
      <c r="C621" s="144"/>
      <c r="D621" s="144"/>
      <c r="E621" s="144"/>
      <c r="F621" s="144"/>
      <c r="G621" s="144"/>
      <c r="H621" s="144"/>
      <c r="I621" s="144"/>
      <c r="J621" s="144"/>
      <c r="K621" s="144"/>
      <c r="L621" s="144"/>
      <c r="M621" s="144"/>
      <c r="N621" s="144"/>
      <c r="O621" s="44"/>
      <c r="P621" s="44"/>
    </row>
    <row r="622" spans="1:16" x14ac:dyDescent="0.2">
      <c r="A622" s="58" t="str">
        <v>0:00</v>
      </c>
      <c r="B622" s="122"/>
      <c r="C622" s="144"/>
      <c r="D622" s="144"/>
      <c r="E622" s="144"/>
      <c r="F622" s="144"/>
      <c r="G622" s="144"/>
      <c r="H622" s="144"/>
      <c r="I622" s="144"/>
      <c r="J622" s="144"/>
      <c r="K622" s="144"/>
      <c r="L622" s="144"/>
      <c r="M622" s="144"/>
      <c r="N622" s="144"/>
      <c r="O622" s="44"/>
      <c r="P622" s="44"/>
    </row>
    <row r="623" spans="1:16" x14ac:dyDescent="0.2">
      <c r="A623" s="58" t="str">
        <v>0:00</v>
      </c>
      <c r="B623" s="122"/>
      <c r="C623" s="144"/>
      <c r="D623" s="144"/>
      <c r="E623" s="144"/>
      <c r="F623" s="144"/>
      <c r="G623" s="144"/>
      <c r="H623" s="144"/>
      <c r="I623" s="144"/>
      <c r="J623" s="144"/>
      <c r="K623" s="144"/>
      <c r="L623" s="144"/>
      <c r="M623" s="144"/>
      <c r="N623" s="144"/>
      <c r="O623" s="44"/>
      <c r="P623" s="44"/>
    </row>
    <row r="624" spans="1:16" x14ac:dyDescent="0.2">
      <c r="A624" s="58" t="str">
        <v>0:00</v>
      </c>
      <c r="B624" s="122"/>
      <c r="C624" s="144"/>
      <c r="D624" s="144"/>
      <c r="E624" s="144"/>
      <c r="F624" s="144"/>
      <c r="G624" s="144"/>
      <c r="H624" s="144"/>
      <c r="I624" s="144"/>
      <c r="J624" s="144"/>
      <c r="K624" s="144"/>
      <c r="L624" s="144"/>
      <c r="M624" s="144"/>
      <c r="N624" s="144"/>
      <c r="O624" s="44"/>
      <c r="P624" s="44"/>
    </row>
    <row r="625" spans="1:16" x14ac:dyDescent="0.2">
      <c r="A625" s="58" t="str">
        <v>0:00</v>
      </c>
      <c r="B625" s="122"/>
      <c r="C625" s="144"/>
      <c r="D625" s="144"/>
      <c r="E625" s="144"/>
      <c r="F625" s="144"/>
      <c r="G625" s="144"/>
      <c r="H625" s="144"/>
      <c r="I625" s="144"/>
      <c r="J625" s="144"/>
      <c r="K625" s="144"/>
      <c r="L625" s="144"/>
      <c r="M625" s="144"/>
      <c r="N625" s="144"/>
      <c r="O625" s="44"/>
      <c r="P625" s="44"/>
    </row>
    <row r="626" spans="1:16" x14ac:dyDescent="0.2">
      <c r="A626" s="58" t="str">
        <v>0:00</v>
      </c>
      <c r="B626" s="122"/>
      <c r="C626" s="144"/>
      <c r="D626" s="144"/>
      <c r="E626" s="144"/>
      <c r="F626" s="144"/>
      <c r="G626" s="144"/>
      <c r="H626" s="144"/>
      <c r="I626" s="144"/>
      <c r="J626" s="144"/>
      <c r="K626" s="144"/>
      <c r="L626" s="144"/>
      <c r="M626" s="144"/>
      <c r="N626" s="144"/>
      <c r="O626" s="44"/>
      <c r="P626" s="44"/>
    </row>
    <row r="627" spans="1:16" x14ac:dyDescent="0.2">
      <c r="A627" s="58" t="str">
        <v>0:00</v>
      </c>
      <c r="B627" s="122"/>
      <c r="C627" s="144"/>
      <c r="D627" s="144"/>
      <c r="E627" s="144"/>
      <c r="F627" s="144"/>
      <c r="G627" s="144"/>
      <c r="H627" s="144"/>
      <c r="I627" s="144"/>
      <c r="J627" s="144"/>
      <c r="K627" s="144"/>
      <c r="L627" s="144"/>
      <c r="M627" s="144"/>
      <c r="N627" s="144"/>
      <c r="O627" s="44"/>
      <c r="P627" s="44"/>
    </row>
    <row r="628" spans="1:16" x14ac:dyDescent="0.2">
      <c r="A628" s="58" t="str">
        <v>0:00</v>
      </c>
      <c r="B628" s="122"/>
      <c r="C628" s="144"/>
      <c r="D628" s="144"/>
      <c r="E628" s="144"/>
      <c r="F628" s="144"/>
      <c r="G628" s="144"/>
      <c r="H628" s="144"/>
      <c r="I628" s="144"/>
      <c r="J628" s="144"/>
      <c r="K628" s="144"/>
      <c r="L628" s="144"/>
      <c r="M628" s="144"/>
      <c r="N628" s="144"/>
      <c r="O628" s="44"/>
      <c r="P628" s="44"/>
    </row>
    <row r="629" spans="1:16" x14ac:dyDescent="0.2">
      <c r="A629" s="58" t="str">
        <v>0:00</v>
      </c>
      <c r="B629" s="122"/>
      <c r="C629" s="144"/>
      <c r="D629" s="144"/>
      <c r="E629" s="144"/>
      <c r="F629" s="144"/>
      <c r="G629" s="144"/>
      <c r="H629" s="144"/>
      <c r="I629" s="144"/>
      <c r="J629" s="144"/>
      <c r="K629" s="144"/>
      <c r="L629" s="144"/>
      <c r="M629" s="144"/>
      <c r="N629" s="144"/>
      <c r="O629" s="44"/>
      <c r="P629" s="44"/>
    </row>
    <row r="630" spans="1:16" x14ac:dyDescent="0.2">
      <c r="A630" s="58" t="str">
        <v>0:00</v>
      </c>
      <c r="B630" s="122"/>
      <c r="C630" s="144"/>
      <c r="D630" s="144"/>
      <c r="E630" s="144"/>
      <c r="F630" s="144"/>
      <c r="G630" s="144"/>
      <c r="H630" s="144"/>
      <c r="I630" s="144"/>
      <c r="J630" s="144"/>
      <c r="K630" s="144"/>
      <c r="L630" s="144"/>
      <c r="M630" s="144"/>
      <c r="N630" s="144"/>
      <c r="O630" s="44"/>
      <c r="P630" s="44"/>
    </row>
    <row r="631" spans="1:16" x14ac:dyDescent="0.2">
      <c r="A631" s="58" t="str">
        <v>0:00</v>
      </c>
      <c r="B631" s="122"/>
      <c r="C631" s="144"/>
      <c r="D631" s="144"/>
      <c r="E631" s="144"/>
      <c r="F631" s="144"/>
      <c r="G631" s="144"/>
      <c r="H631" s="144"/>
      <c r="I631" s="144"/>
      <c r="J631" s="144"/>
      <c r="K631" s="144"/>
      <c r="L631" s="144"/>
      <c r="M631" s="144"/>
      <c r="N631" s="144"/>
      <c r="O631" s="44"/>
      <c r="P631" s="44"/>
    </row>
    <row r="632" spans="1:16" x14ac:dyDescent="0.2">
      <c r="A632" s="58" t="str">
        <v>0:00</v>
      </c>
      <c r="B632" s="122"/>
      <c r="C632" s="144"/>
      <c r="D632" s="144"/>
      <c r="E632" s="144"/>
      <c r="F632" s="144"/>
      <c r="G632" s="144"/>
      <c r="H632" s="144"/>
      <c r="I632" s="144"/>
      <c r="J632" s="144"/>
      <c r="K632" s="144"/>
      <c r="L632" s="144"/>
      <c r="M632" s="144"/>
      <c r="N632" s="144"/>
      <c r="O632" s="44"/>
      <c r="P632" s="44"/>
    </row>
    <row r="633" spans="1:16" x14ac:dyDescent="0.2">
      <c r="A633" s="58" t="str">
        <v>0:00</v>
      </c>
      <c r="B633" s="122"/>
      <c r="C633" s="144"/>
      <c r="D633" s="144"/>
      <c r="E633" s="144"/>
      <c r="F633" s="144"/>
      <c r="G633" s="144"/>
      <c r="H633" s="144"/>
      <c r="I633" s="144"/>
      <c r="J633" s="144"/>
      <c r="K633" s="144"/>
      <c r="L633" s="144"/>
      <c r="M633" s="144"/>
      <c r="N633" s="144"/>
      <c r="O633" s="44"/>
      <c r="P633" s="44"/>
    </row>
    <row r="634" spans="1:16" x14ac:dyDescent="0.2">
      <c r="A634" s="58" t="str">
        <v>0:00</v>
      </c>
      <c r="B634" s="122"/>
      <c r="C634" s="144"/>
      <c r="D634" s="144"/>
      <c r="E634" s="144"/>
      <c r="F634" s="144"/>
      <c r="G634" s="144"/>
      <c r="H634" s="144"/>
      <c r="I634" s="144"/>
      <c r="J634" s="144"/>
      <c r="K634" s="144"/>
      <c r="L634" s="144"/>
      <c r="M634" s="144"/>
      <c r="N634" s="144"/>
      <c r="O634" s="44"/>
      <c r="P634" s="44"/>
    </row>
    <row r="635" spans="1:16" x14ac:dyDescent="0.2">
      <c r="A635" s="58" t="str">
        <v>0:00</v>
      </c>
      <c r="B635" s="122"/>
      <c r="C635" s="144"/>
      <c r="D635" s="144"/>
      <c r="E635" s="144"/>
      <c r="F635" s="144"/>
      <c r="G635" s="144"/>
      <c r="H635" s="144"/>
      <c r="I635" s="144"/>
      <c r="J635" s="144"/>
      <c r="K635" s="144"/>
      <c r="L635" s="144"/>
      <c r="M635" s="144"/>
      <c r="N635" s="144"/>
      <c r="O635" s="44"/>
      <c r="P635" s="44"/>
    </row>
    <row r="636" spans="1:16" x14ac:dyDescent="0.2">
      <c r="A636" s="58" t="str">
        <v>0:00</v>
      </c>
      <c r="B636" s="122"/>
      <c r="C636" s="144"/>
      <c r="D636" s="144"/>
      <c r="E636" s="144"/>
      <c r="F636" s="144"/>
      <c r="G636" s="144"/>
      <c r="H636" s="144"/>
      <c r="I636" s="144"/>
      <c r="J636" s="144"/>
      <c r="K636" s="144"/>
      <c r="L636" s="144"/>
      <c r="M636" s="144"/>
      <c r="N636" s="144"/>
      <c r="O636" s="44"/>
      <c r="P636" s="44"/>
    </row>
    <row r="637" spans="1:16" x14ac:dyDescent="0.2">
      <c r="A637" s="58" t="str">
        <v>0:00</v>
      </c>
      <c r="B637" s="122"/>
      <c r="C637" s="144"/>
      <c r="D637" s="144"/>
      <c r="E637" s="144"/>
      <c r="F637" s="144"/>
      <c r="G637" s="144"/>
      <c r="H637" s="144"/>
      <c r="I637" s="144"/>
      <c r="J637" s="144"/>
      <c r="K637" s="144"/>
      <c r="L637" s="144"/>
      <c r="M637" s="144"/>
      <c r="N637" s="144"/>
      <c r="O637" s="44"/>
      <c r="P637" s="44"/>
    </row>
    <row r="638" spans="1:16" x14ac:dyDescent="0.2">
      <c r="A638" s="58" t="str">
        <v>0:00</v>
      </c>
      <c r="B638" s="122"/>
      <c r="C638" s="144"/>
      <c r="D638" s="144"/>
      <c r="E638" s="144"/>
      <c r="F638" s="144"/>
      <c r="G638" s="144"/>
      <c r="H638" s="144"/>
      <c r="I638" s="144"/>
      <c r="J638" s="144"/>
      <c r="K638" s="144"/>
      <c r="L638" s="144"/>
      <c r="M638" s="144"/>
      <c r="N638" s="144"/>
      <c r="O638" s="44"/>
      <c r="P638" s="44"/>
    </row>
    <row r="639" spans="1:16" x14ac:dyDescent="0.2">
      <c r="A639" s="58" t="str">
        <v>0:00</v>
      </c>
      <c r="B639" s="122"/>
      <c r="C639" s="144"/>
      <c r="D639" s="144"/>
      <c r="E639" s="144"/>
      <c r="F639" s="144"/>
      <c r="G639" s="144"/>
      <c r="H639" s="144"/>
      <c r="I639" s="144"/>
      <c r="J639" s="144"/>
      <c r="K639" s="144"/>
      <c r="L639" s="144"/>
      <c r="M639" s="144"/>
      <c r="N639" s="144"/>
      <c r="O639" s="44"/>
      <c r="P639" s="44"/>
    </row>
    <row r="640" spans="1:16" x14ac:dyDescent="0.2">
      <c r="A640" s="58" t="str">
        <v>0:00</v>
      </c>
      <c r="B640" s="122"/>
      <c r="C640" s="144"/>
      <c r="D640" s="144"/>
      <c r="E640" s="144"/>
      <c r="F640" s="144"/>
      <c r="G640" s="144"/>
      <c r="H640" s="144"/>
      <c r="I640" s="144"/>
      <c r="J640" s="144"/>
      <c r="K640" s="144"/>
      <c r="L640" s="144"/>
      <c r="M640" s="144"/>
      <c r="N640" s="144"/>
      <c r="O640" s="44"/>
      <c r="P640" s="44"/>
    </row>
    <row r="641" spans="1:16" x14ac:dyDescent="0.2">
      <c r="A641" s="58" t="str">
        <v>0:00</v>
      </c>
      <c r="B641" s="122"/>
      <c r="C641" s="144"/>
      <c r="D641" s="144"/>
      <c r="E641" s="144"/>
      <c r="F641" s="144"/>
      <c r="G641" s="144"/>
      <c r="H641" s="144"/>
      <c r="I641" s="144"/>
      <c r="J641" s="144"/>
      <c r="K641" s="144"/>
      <c r="L641" s="144"/>
      <c r="M641" s="144"/>
      <c r="N641" s="144"/>
      <c r="O641" s="44"/>
      <c r="P641" s="44"/>
    </row>
    <row r="642" spans="1:16" x14ac:dyDescent="0.2">
      <c r="A642" s="58" t="str">
        <v>0:00</v>
      </c>
      <c r="B642" s="122"/>
      <c r="C642" s="144"/>
      <c r="D642" s="144"/>
      <c r="E642" s="144"/>
      <c r="F642" s="144"/>
      <c r="G642" s="144"/>
      <c r="H642" s="144"/>
      <c r="I642" s="144"/>
      <c r="J642" s="144"/>
      <c r="K642" s="144"/>
      <c r="L642" s="144"/>
      <c r="M642" s="144"/>
      <c r="N642" s="144"/>
      <c r="O642" s="44"/>
      <c r="P642" s="44"/>
    </row>
    <row r="643" spans="1:16" x14ac:dyDescent="0.2">
      <c r="A643" s="58" t="str">
        <v>0:00</v>
      </c>
      <c r="B643" s="122"/>
      <c r="C643" s="144"/>
      <c r="D643" s="144"/>
      <c r="E643" s="144"/>
      <c r="F643" s="144"/>
      <c r="G643" s="144"/>
      <c r="H643" s="144"/>
      <c r="I643" s="144"/>
      <c r="J643" s="144"/>
      <c r="K643" s="144"/>
      <c r="L643" s="144"/>
      <c r="M643" s="144"/>
      <c r="N643" s="144"/>
      <c r="O643" s="44"/>
      <c r="P643" s="44"/>
    </row>
    <row r="644" spans="1:16" x14ac:dyDescent="0.2">
      <c r="A644" s="58" t="str">
        <v>0:00</v>
      </c>
      <c r="B644" s="122"/>
      <c r="C644" s="144"/>
      <c r="D644" s="144"/>
      <c r="E644" s="144"/>
      <c r="F644" s="144"/>
      <c r="G644" s="144"/>
      <c r="H644" s="144"/>
      <c r="I644" s="144"/>
      <c r="J644" s="144"/>
      <c r="K644" s="144"/>
      <c r="L644" s="144"/>
      <c r="M644" s="144"/>
      <c r="N644" s="144"/>
      <c r="O644" s="44"/>
      <c r="P644" s="44"/>
    </row>
    <row r="645" spans="1:16" x14ac:dyDescent="0.2">
      <c r="A645" s="58" t="str">
        <v>0:00</v>
      </c>
      <c r="B645" s="122"/>
      <c r="C645" s="144"/>
      <c r="D645" s="144"/>
      <c r="E645" s="144"/>
      <c r="F645" s="144"/>
      <c r="G645" s="144"/>
      <c r="H645" s="144"/>
      <c r="I645" s="144"/>
      <c r="J645" s="144"/>
      <c r="K645" s="144"/>
      <c r="L645" s="144"/>
      <c r="M645" s="144"/>
      <c r="N645" s="144"/>
      <c r="O645" s="44"/>
      <c r="P645" s="44"/>
    </row>
    <row r="646" spans="1:16" x14ac:dyDescent="0.2">
      <c r="A646" s="58" t="str">
        <v>0:00</v>
      </c>
      <c r="B646" s="122"/>
      <c r="C646" s="144"/>
      <c r="D646" s="144"/>
      <c r="E646" s="144"/>
      <c r="F646" s="144"/>
      <c r="G646" s="144"/>
      <c r="H646" s="144"/>
      <c r="I646" s="144"/>
      <c r="J646" s="144"/>
      <c r="K646" s="144"/>
      <c r="L646" s="144"/>
      <c r="M646" s="144"/>
      <c r="N646" s="144"/>
      <c r="O646" s="44"/>
      <c r="P646" s="44"/>
    </row>
    <row r="647" spans="1:16" x14ac:dyDescent="0.2">
      <c r="A647" s="58" t="str">
        <v>0:00</v>
      </c>
      <c r="B647" s="122"/>
      <c r="C647" s="144"/>
      <c r="D647" s="144"/>
      <c r="E647" s="144"/>
      <c r="F647" s="144"/>
      <c r="G647" s="144"/>
      <c r="H647" s="144"/>
      <c r="I647" s="144"/>
      <c r="J647" s="144"/>
      <c r="K647" s="144"/>
      <c r="L647" s="144"/>
      <c r="M647" s="144"/>
      <c r="N647" s="144"/>
      <c r="O647" s="44"/>
      <c r="P647" s="44"/>
    </row>
    <row r="648" spans="1:16" x14ac:dyDescent="0.2">
      <c r="A648" s="58" t="str">
        <v>0:00</v>
      </c>
      <c r="B648" s="122"/>
      <c r="C648" s="144"/>
      <c r="D648" s="144"/>
      <c r="E648" s="144"/>
      <c r="F648" s="144"/>
      <c r="G648" s="144"/>
      <c r="H648" s="144"/>
      <c r="I648" s="144"/>
      <c r="J648" s="144"/>
      <c r="K648" s="144"/>
      <c r="L648" s="144"/>
      <c r="M648" s="144"/>
      <c r="N648" s="144"/>
      <c r="O648" s="44"/>
      <c r="P648" s="44"/>
    </row>
    <row r="649" spans="1:16" x14ac:dyDescent="0.2">
      <c r="A649" s="58" t="str">
        <v>0:00</v>
      </c>
      <c r="B649" s="122"/>
      <c r="C649" s="144"/>
      <c r="D649" s="144"/>
      <c r="E649" s="144"/>
      <c r="F649" s="144"/>
      <c r="G649" s="144"/>
      <c r="H649" s="144"/>
      <c r="I649" s="144"/>
      <c r="J649" s="144"/>
      <c r="K649" s="144"/>
      <c r="L649" s="144"/>
      <c r="M649" s="144"/>
      <c r="N649" s="144"/>
      <c r="O649" s="44"/>
      <c r="P649" s="44"/>
    </row>
    <row r="650" spans="1:16" x14ac:dyDescent="0.2">
      <c r="A650" s="58" t="str">
        <v>0:00</v>
      </c>
      <c r="B650" s="122"/>
      <c r="C650" s="144"/>
      <c r="D650" s="144"/>
      <c r="E650" s="144"/>
      <c r="F650" s="144"/>
      <c r="G650" s="144"/>
      <c r="H650" s="144"/>
      <c r="I650" s="144"/>
      <c r="J650" s="144"/>
      <c r="K650" s="144"/>
      <c r="L650" s="144"/>
      <c r="M650" s="144"/>
      <c r="N650" s="144"/>
      <c r="O650" s="44"/>
      <c r="P650" s="44"/>
    </row>
    <row r="651" spans="1:16" x14ac:dyDescent="0.2">
      <c r="A651" s="58" t="str">
        <v>0:00</v>
      </c>
      <c r="B651" s="122"/>
      <c r="C651" s="144"/>
      <c r="D651" s="144"/>
      <c r="E651" s="144"/>
      <c r="F651" s="144"/>
      <c r="G651" s="144"/>
      <c r="H651" s="144"/>
      <c r="I651" s="144"/>
      <c r="J651" s="144"/>
      <c r="K651" s="144"/>
      <c r="L651" s="144"/>
      <c r="M651" s="144"/>
      <c r="N651" s="144"/>
      <c r="O651" s="44"/>
      <c r="P651" s="44"/>
    </row>
    <row r="652" spans="1:16" x14ac:dyDescent="0.2">
      <c r="A652" s="58" t="str">
        <v>0:00</v>
      </c>
      <c r="B652" s="122"/>
      <c r="C652" s="144"/>
      <c r="D652" s="144"/>
      <c r="E652" s="144"/>
      <c r="F652" s="144"/>
      <c r="G652" s="144"/>
      <c r="H652" s="144"/>
      <c r="I652" s="144"/>
      <c r="J652" s="144"/>
      <c r="K652" s="144"/>
      <c r="L652" s="144"/>
      <c r="M652" s="144"/>
      <c r="N652" s="144"/>
      <c r="O652" s="44"/>
      <c r="P652" s="44"/>
    </row>
    <row r="653" spans="1:16" x14ac:dyDescent="0.2">
      <c r="A653" s="58" t="str">
        <v>0:00</v>
      </c>
      <c r="B653" s="122"/>
      <c r="C653" s="144"/>
      <c r="D653" s="144"/>
      <c r="E653" s="144"/>
      <c r="F653" s="144"/>
      <c r="G653" s="144"/>
      <c r="H653" s="144"/>
      <c r="I653" s="144"/>
      <c r="J653" s="144"/>
      <c r="K653" s="144"/>
      <c r="L653" s="144"/>
      <c r="M653" s="144"/>
      <c r="N653" s="144"/>
      <c r="O653" s="44"/>
      <c r="P653" s="44"/>
    </row>
    <row r="654" spans="1:16" x14ac:dyDescent="0.2">
      <c r="A654" s="58" t="str">
        <v>0:00</v>
      </c>
      <c r="B654" s="122"/>
      <c r="C654" s="144"/>
      <c r="D654" s="144"/>
      <c r="E654" s="144"/>
      <c r="F654" s="144"/>
      <c r="G654" s="144"/>
      <c r="H654" s="144"/>
      <c r="I654" s="144"/>
      <c r="J654" s="144"/>
      <c r="K654" s="144"/>
      <c r="L654" s="144"/>
      <c r="M654" s="144"/>
      <c r="N654" s="144"/>
      <c r="O654" s="44"/>
      <c r="P654" s="44"/>
    </row>
    <row r="655" spans="1:16" x14ac:dyDescent="0.2">
      <c r="A655" s="58" t="str">
        <v>0:00</v>
      </c>
      <c r="B655" s="122"/>
      <c r="C655" s="144"/>
      <c r="D655" s="144"/>
      <c r="E655" s="144"/>
      <c r="F655" s="144"/>
      <c r="G655" s="144"/>
      <c r="H655" s="144"/>
      <c r="I655" s="144"/>
      <c r="J655" s="144"/>
      <c r="K655" s="144"/>
      <c r="L655" s="144"/>
      <c r="M655" s="144"/>
      <c r="N655" s="144"/>
      <c r="O655" s="44"/>
      <c r="P655" s="44"/>
    </row>
    <row r="656" spans="1:16" x14ac:dyDescent="0.2">
      <c r="A656" s="58" t="str">
        <v>0:00</v>
      </c>
      <c r="B656" s="122"/>
      <c r="C656" s="144"/>
      <c r="D656" s="144"/>
      <c r="E656" s="144"/>
      <c r="F656" s="144"/>
      <c r="G656" s="144"/>
      <c r="H656" s="144"/>
      <c r="I656" s="144"/>
      <c r="J656" s="144"/>
      <c r="K656" s="144"/>
      <c r="L656" s="144"/>
      <c r="M656" s="144"/>
      <c r="N656" s="144"/>
      <c r="O656" s="44"/>
      <c r="P656" s="44"/>
    </row>
    <row r="657" spans="1:16" x14ac:dyDescent="0.2">
      <c r="A657" s="58" t="str">
        <v>0:00</v>
      </c>
      <c r="B657" s="122"/>
      <c r="C657" s="144"/>
      <c r="D657" s="144"/>
      <c r="E657" s="144"/>
      <c r="F657" s="144"/>
      <c r="G657" s="144"/>
      <c r="H657" s="144"/>
      <c r="I657" s="144"/>
      <c r="J657" s="144"/>
      <c r="K657" s="144"/>
      <c r="L657" s="144"/>
      <c r="M657" s="144"/>
      <c r="N657" s="144"/>
      <c r="O657" s="44"/>
      <c r="P657" s="44"/>
    </row>
    <row r="658" spans="1:16" x14ac:dyDescent="0.2">
      <c r="A658" s="58" t="str">
        <v>0:00</v>
      </c>
      <c r="B658" s="122"/>
      <c r="C658" s="144"/>
      <c r="D658" s="144"/>
      <c r="E658" s="144"/>
      <c r="F658" s="144"/>
      <c r="G658" s="144"/>
      <c r="H658" s="144"/>
      <c r="I658" s="144"/>
      <c r="J658" s="144"/>
      <c r="K658" s="144"/>
      <c r="L658" s="144"/>
      <c r="M658" s="144"/>
      <c r="N658" s="144"/>
      <c r="O658" s="44"/>
      <c r="P658" s="44"/>
    </row>
    <row r="659" spans="1:16" x14ac:dyDescent="0.2">
      <c r="A659" s="58" t="str">
        <v>0:00</v>
      </c>
      <c r="B659" s="122"/>
      <c r="C659" s="144"/>
      <c r="D659" s="144"/>
      <c r="E659" s="144"/>
      <c r="F659" s="144"/>
      <c r="G659" s="144"/>
      <c r="H659" s="144"/>
      <c r="I659" s="144"/>
      <c r="J659" s="144"/>
      <c r="K659" s="144"/>
      <c r="L659" s="144"/>
      <c r="M659" s="144"/>
      <c r="N659" s="144"/>
      <c r="O659" s="44"/>
      <c r="P659" s="44"/>
    </row>
    <row r="660" spans="1:16" x14ac:dyDescent="0.2">
      <c r="A660" s="58" t="str">
        <v>0:00</v>
      </c>
      <c r="B660" s="122"/>
      <c r="C660" s="144"/>
      <c r="D660" s="144"/>
      <c r="E660" s="144"/>
      <c r="F660" s="144"/>
      <c r="G660" s="144"/>
      <c r="H660" s="144"/>
      <c r="I660" s="144"/>
      <c r="J660" s="144"/>
      <c r="K660" s="144"/>
      <c r="L660" s="144"/>
      <c r="M660" s="144"/>
      <c r="N660" s="144"/>
      <c r="O660" s="44"/>
      <c r="P660" s="44"/>
    </row>
    <row r="661" spans="1:16" x14ac:dyDescent="0.2">
      <c r="A661" s="58" t="str">
        <v>0:00</v>
      </c>
      <c r="B661" s="122"/>
      <c r="C661" s="144"/>
      <c r="D661" s="144"/>
      <c r="E661" s="144"/>
      <c r="F661" s="144"/>
      <c r="G661" s="144"/>
      <c r="H661" s="144"/>
      <c r="I661" s="144"/>
      <c r="J661" s="144"/>
      <c r="K661" s="144"/>
      <c r="L661" s="144"/>
      <c r="M661" s="144"/>
      <c r="N661" s="144"/>
      <c r="O661" s="44"/>
      <c r="P661" s="44"/>
    </row>
    <row r="662" spans="1:16" x14ac:dyDescent="0.2">
      <c r="A662" s="58" t="str">
        <v>0:00</v>
      </c>
      <c r="B662" s="122"/>
      <c r="C662" s="144"/>
      <c r="D662" s="144"/>
      <c r="E662" s="144"/>
      <c r="F662" s="144"/>
      <c r="G662" s="144"/>
      <c r="H662" s="144"/>
      <c r="I662" s="144"/>
      <c r="J662" s="144"/>
      <c r="K662" s="144"/>
      <c r="L662" s="144"/>
      <c r="M662" s="144"/>
      <c r="N662" s="144"/>
      <c r="O662" s="44"/>
      <c r="P662" s="44"/>
    </row>
    <row r="663" spans="1:16" x14ac:dyDescent="0.2">
      <c r="A663" s="58" t="str">
        <v>0:00</v>
      </c>
      <c r="B663" s="122"/>
      <c r="C663" s="144"/>
      <c r="D663" s="144"/>
      <c r="E663" s="144"/>
      <c r="F663" s="144"/>
      <c r="G663" s="144"/>
      <c r="H663" s="144"/>
      <c r="I663" s="144"/>
      <c r="J663" s="144"/>
      <c r="K663" s="144"/>
      <c r="L663" s="144"/>
      <c r="M663" s="144"/>
      <c r="N663" s="144"/>
      <c r="O663" s="44"/>
      <c r="P663" s="44"/>
    </row>
    <row r="664" spans="1:16" x14ac:dyDescent="0.2">
      <c r="A664" s="58" t="str">
        <v>0:00</v>
      </c>
      <c r="B664" s="122"/>
      <c r="C664" s="144"/>
      <c r="D664" s="144"/>
      <c r="E664" s="144"/>
      <c r="F664" s="144"/>
      <c r="G664" s="144"/>
      <c r="H664" s="144"/>
      <c r="I664" s="144"/>
      <c r="J664" s="144"/>
      <c r="K664" s="144"/>
      <c r="L664" s="144"/>
      <c r="M664" s="144"/>
      <c r="N664" s="144"/>
      <c r="O664" s="44"/>
      <c r="P664" s="44"/>
    </row>
    <row r="665" spans="1:16" x14ac:dyDescent="0.2">
      <c r="A665" s="58" t="str">
        <v>0:00</v>
      </c>
      <c r="B665" s="122"/>
      <c r="C665" s="144"/>
      <c r="D665" s="144"/>
      <c r="E665" s="144"/>
      <c r="F665" s="144"/>
      <c r="G665" s="144"/>
      <c r="H665" s="144"/>
      <c r="I665" s="144"/>
      <c r="J665" s="144"/>
      <c r="K665" s="144"/>
      <c r="L665" s="144"/>
      <c r="M665" s="144"/>
      <c r="N665" s="144"/>
      <c r="O665" s="44"/>
      <c r="P665" s="44"/>
    </row>
    <row r="666" spans="1:16" x14ac:dyDescent="0.2">
      <c r="A666" s="58" t="str">
        <v>0:00</v>
      </c>
      <c r="B666" s="122"/>
      <c r="C666" s="144"/>
      <c r="D666" s="144"/>
      <c r="E666" s="144"/>
      <c r="F666" s="144"/>
      <c r="G666" s="144"/>
      <c r="H666" s="144"/>
      <c r="I666" s="144"/>
      <c r="J666" s="144"/>
      <c r="K666" s="144"/>
      <c r="L666" s="144"/>
      <c r="M666" s="144"/>
      <c r="N666" s="144"/>
      <c r="O666" s="44"/>
      <c r="P666" s="44"/>
    </row>
    <row r="667" spans="1:16" x14ac:dyDescent="0.2">
      <c r="A667" s="58" t="str">
        <v>0:00</v>
      </c>
      <c r="B667" s="122"/>
      <c r="C667" s="144"/>
      <c r="D667" s="144"/>
      <c r="E667" s="144"/>
      <c r="F667" s="144"/>
      <c r="G667" s="144"/>
      <c r="H667" s="144"/>
      <c r="I667" s="144"/>
      <c r="J667" s="144"/>
      <c r="K667" s="144"/>
      <c r="L667" s="144"/>
      <c r="M667" s="144"/>
      <c r="N667" s="144"/>
      <c r="O667" s="44"/>
      <c r="P667" s="44"/>
    </row>
    <row r="668" spans="1:16" x14ac:dyDescent="0.2">
      <c r="A668" s="58" t="str">
        <v>0:00</v>
      </c>
      <c r="B668" s="122"/>
      <c r="C668" s="144"/>
      <c r="D668" s="144"/>
      <c r="E668" s="144"/>
      <c r="F668" s="144"/>
      <c r="G668" s="144"/>
      <c r="H668" s="144"/>
      <c r="I668" s="144"/>
      <c r="J668" s="144"/>
      <c r="K668" s="144"/>
      <c r="L668" s="144"/>
      <c r="M668" s="144"/>
      <c r="N668" s="144"/>
      <c r="O668" s="44"/>
      <c r="P668" s="44"/>
    </row>
    <row r="669" spans="1:16" x14ac:dyDescent="0.2">
      <c r="A669" s="58" t="str">
        <v>0:00</v>
      </c>
      <c r="B669" s="122"/>
      <c r="C669" s="144"/>
      <c r="D669" s="144"/>
      <c r="E669" s="144"/>
      <c r="F669" s="144"/>
      <c r="G669" s="144"/>
      <c r="H669" s="144"/>
      <c r="I669" s="144"/>
      <c r="J669" s="144"/>
      <c r="K669" s="144"/>
      <c r="L669" s="144"/>
      <c r="M669" s="144"/>
      <c r="N669" s="144"/>
      <c r="O669" s="44"/>
      <c r="P669" s="44"/>
    </row>
    <row r="670" spans="1:16" x14ac:dyDescent="0.2">
      <c r="A670" s="58" t="str">
        <v>0:00</v>
      </c>
      <c r="B670" s="122"/>
      <c r="C670" s="144"/>
      <c r="D670" s="144"/>
      <c r="E670" s="144"/>
      <c r="F670" s="144"/>
      <c r="G670" s="144"/>
      <c r="H670" s="144"/>
      <c r="I670" s="144"/>
      <c r="J670" s="144"/>
      <c r="K670" s="144"/>
      <c r="L670" s="144"/>
      <c r="M670" s="144"/>
      <c r="N670" s="144"/>
      <c r="O670" s="44"/>
      <c r="P670" s="44"/>
    </row>
    <row r="671" spans="1:16" x14ac:dyDescent="0.2">
      <c r="A671" s="58" t="str">
        <v>0:00</v>
      </c>
      <c r="B671" s="122"/>
      <c r="C671" s="144"/>
      <c r="D671" s="144"/>
      <c r="E671" s="144"/>
      <c r="F671" s="144"/>
      <c r="G671" s="144"/>
      <c r="H671" s="144"/>
      <c r="I671" s="144"/>
      <c r="J671" s="144"/>
      <c r="K671" s="144"/>
      <c r="L671" s="144"/>
      <c r="M671" s="144"/>
      <c r="N671" s="144"/>
      <c r="O671" s="44"/>
      <c r="P671" s="44"/>
    </row>
    <row r="672" spans="1:16" x14ac:dyDescent="0.2">
      <c r="A672" s="58" t="str">
        <v>0:00</v>
      </c>
      <c r="B672" s="122"/>
      <c r="C672" s="144"/>
      <c r="D672" s="144"/>
      <c r="E672" s="144"/>
      <c r="F672" s="144"/>
      <c r="G672" s="144"/>
      <c r="H672" s="144"/>
      <c r="I672" s="144"/>
      <c r="J672" s="144"/>
      <c r="K672" s="144"/>
      <c r="L672" s="144"/>
      <c r="M672" s="144"/>
      <c r="N672" s="144"/>
      <c r="O672" s="44"/>
      <c r="P672" s="44"/>
    </row>
    <row r="673" spans="1:16" x14ac:dyDescent="0.2">
      <c r="A673" s="58" t="str">
        <v>0:00</v>
      </c>
      <c r="B673" s="122"/>
      <c r="C673" s="144"/>
      <c r="D673" s="144"/>
      <c r="E673" s="144"/>
      <c r="F673" s="144"/>
      <c r="G673" s="144"/>
      <c r="H673" s="144"/>
      <c r="I673" s="144"/>
      <c r="J673" s="144"/>
      <c r="K673" s="144"/>
      <c r="L673" s="144"/>
      <c r="M673" s="144"/>
      <c r="N673" s="144"/>
      <c r="O673" s="44"/>
      <c r="P673" s="44"/>
    </row>
    <row r="674" spans="1:16" x14ac:dyDescent="0.2">
      <c r="A674" s="58" t="str">
        <v>0:00</v>
      </c>
      <c r="B674" s="122"/>
      <c r="C674" s="144"/>
      <c r="D674" s="144"/>
      <c r="E674" s="144"/>
      <c r="F674" s="144"/>
      <c r="G674" s="144"/>
      <c r="H674" s="144"/>
      <c r="I674" s="144"/>
      <c r="J674" s="144"/>
      <c r="K674" s="144"/>
      <c r="L674" s="144"/>
      <c r="M674" s="144"/>
      <c r="N674" s="144"/>
      <c r="O674" s="44"/>
      <c r="P674" s="44"/>
    </row>
    <row r="675" spans="1:16" x14ac:dyDescent="0.2">
      <c r="A675" s="58" t="str">
        <v>0:00</v>
      </c>
      <c r="B675" s="122"/>
      <c r="C675" s="144"/>
      <c r="D675" s="144"/>
      <c r="E675" s="144"/>
      <c r="F675" s="144"/>
      <c r="G675" s="144"/>
      <c r="H675" s="144"/>
      <c r="I675" s="144"/>
      <c r="J675" s="144"/>
      <c r="K675" s="144"/>
      <c r="L675" s="144"/>
      <c r="M675" s="144"/>
      <c r="N675" s="144"/>
      <c r="O675" s="44"/>
      <c r="P675" s="44"/>
    </row>
    <row r="676" spans="1:16" x14ac:dyDescent="0.2">
      <c r="A676" s="58" t="str">
        <v>0:00</v>
      </c>
      <c r="B676" s="122"/>
      <c r="C676" s="144"/>
      <c r="D676" s="144"/>
      <c r="E676" s="144"/>
      <c r="F676" s="144"/>
      <c r="G676" s="144"/>
      <c r="H676" s="144"/>
      <c r="I676" s="144"/>
      <c r="J676" s="144"/>
      <c r="K676" s="144"/>
      <c r="L676" s="144"/>
      <c r="M676" s="144"/>
      <c r="N676" s="144"/>
      <c r="O676" s="44"/>
      <c r="P676" s="44"/>
    </row>
    <row r="677" spans="1:16" x14ac:dyDescent="0.2">
      <c r="A677" s="58" t="str">
        <v>0:00</v>
      </c>
      <c r="B677" s="122"/>
      <c r="C677" s="144"/>
      <c r="D677" s="144"/>
      <c r="E677" s="144"/>
      <c r="F677" s="144"/>
      <c r="G677" s="144"/>
      <c r="H677" s="144"/>
      <c r="I677" s="144"/>
      <c r="J677" s="144"/>
      <c r="K677" s="144"/>
      <c r="L677" s="144"/>
      <c r="M677" s="144"/>
      <c r="N677" s="144"/>
      <c r="O677" s="44"/>
      <c r="P677" s="44"/>
    </row>
    <row r="678" spans="1:16" x14ac:dyDescent="0.2">
      <c r="A678" s="58" t="str">
        <v>0:00</v>
      </c>
      <c r="B678" s="122"/>
      <c r="C678" s="144"/>
      <c r="D678" s="144"/>
      <c r="E678" s="144"/>
      <c r="F678" s="144"/>
      <c r="G678" s="144"/>
      <c r="H678" s="144"/>
      <c r="I678" s="144"/>
      <c r="J678" s="144"/>
      <c r="K678" s="144"/>
      <c r="L678" s="144"/>
      <c r="M678" s="144"/>
      <c r="N678" s="144"/>
      <c r="O678" s="44"/>
      <c r="P678" s="44"/>
    </row>
    <row r="679" spans="1:16" x14ac:dyDescent="0.2">
      <c r="A679" s="58" t="str">
        <v>0:00</v>
      </c>
      <c r="B679" s="122"/>
      <c r="C679" s="144"/>
      <c r="D679" s="144"/>
      <c r="E679" s="144"/>
      <c r="F679" s="144"/>
      <c r="G679" s="144"/>
      <c r="H679" s="144"/>
      <c r="I679" s="144"/>
      <c r="J679" s="144"/>
      <c r="K679" s="144"/>
      <c r="L679" s="144"/>
      <c r="M679" s="144"/>
      <c r="N679" s="144"/>
      <c r="O679" s="44"/>
      <c r="P679" s="44"/>
    </row>
    <row r="680" spans="1:16" x14ac:dyDescent="0.2">
      <c r="A680" s="58" t="str">
        <v>0:00</v>
      </c>
      <c r="B680" s="122"/>
      <c r="C680" s="144"/>
      <c r="D680" s="144"/>
      <c r="E680" s="144"/>
      <c r="F680" s="144"/>
      <c r="G680" s="144"/>
      <c r="H680" s="144"/>
      <c r="I680" s="144"/>
      <c r="J680" s="144"/>
      <c r="K680" s="144"/>
      <c r="L680" s="144"/>
      <c r="M680" s="144"/>
      <c r="N680" s="144"/>
      <c r="O680" s="44"/>
      <c r="P680" s="44"/>
    </row>
    <row r="681" spans="1:16" x14ac:dyDescent="0.2">
      <c r="A681" s="58" t="str">
        <v>0:00</v>
      </c>
      <c r="B681" s="122"/>
      <c r="C681" s="144"/>
      <c r="D681" s="144"/>
      <c r="E681" s="144"/>
      <c r="F681" s="144"/>
      <c r="G681" s="144"/>
      <c r="H681" s="144"/>
      <c r="I681" s="144"/>
      <c r="J681" s="144"/>
      <c r="K681" s="144"/>
      <c r="L681" s="144"/>
      <c r="M681" s="144"/>
      <c r="N681" s="144"/>
      <c r="O681" s="44"/>
      <c r="P681" s="44"/>
    </row>
    <row r="682" spans="1:16" x14ac:dyDescent="0.2">
      <c r="A682" s="58" t="str">
        <v>0:00</v>
      </c>
      <c r="B682" s="122"/>
      <c r="C682" s="144"/>
      <c r="D682" s="144"/>
      <c r="E682" s="144"/>
      <c r="F682" s="144"/>
      <c r="G682" s="144"/>
      <c r="H682" s="144"/>
      <c r="I682" s="144"/>
      <c r="J682" s="144"/>
      <c r="K682" s="144"/>
      <c r="L682" s="144"/>
      <c r="M682" s="144"/>
      <c r="N682" s="144"/>
      <c r="O682" s="44"/>
      <c r="P682" s="44"/>
    </row>
    <row r="683" spans="1:16" x14ac:dyDescent="0.2">
      <c r="A683" s="58" t="str">
        <v>0:00</v>
      </c>
      <c r="B683" s="122"/>
      <c r="C683" s="144"/>
      <c r="D683" s="144"/>
      <c r="E683" s="144"/>
      <c r="F683" s="144"/>
      <c r="G683" s="144"/>
      <c r="H683" s="144"/>
      <c r="I683" s="144"/>
      <c r="J683" s="144"/>
      <c r="K683" s="144"/>
      <c r="L683" s="144"/>
      <c r="M683" s="144"/>
      <c r="N683" s="144"/>
      <c r="O683" s="44"/>
      <c r="P683" s="44"/>
    </row>
    <row r="684" spans="1:16" x14ac:dyDescent="0.2">
      <c r="A684" s="58" t="str">
        <v>0:00</v>
      </c>
      <c r="B684" s="122"/>
      <c r="C684" s="144"/>
      <c r="D684" s="144"/>
      <c r="E684" s="144"/>
      <c r="F684" s="144"/>
      <c r="G684" s="144"/>
      <c r="H684" s="144"/>
      <c r="I684" s="144"/>
      <c r="J684" s="144"/>
      <c r="K684" s="144"/>
      <c r="L684" s="144"/>
      <c r="M684" s="144"/>
      <c r="N684" s="144"/>
      <c r="O684" s="44"/>
      <c r="P684" s="44"/>
    </row>
    <row r="685" spans="1:16" x14ac:dyDescent="0.2">
      <c r="A685" s="58" t="str">
        <v>0:00</v>
      </c>
      <c r="B685" s="122"/>
      <c r="C685" s="144"/>
      <c r="D685" s="144"/>
      <c r="E685" s="144"/>
      <c r="F685" s="144"/>
      <c r="G685" s="144"/>
      <c r="H685" s="144"/>
      <c r="I685" s="144"/>
      <c r="J685" s="144"/>
      <c r="K685" s="144"/>
      <c r="L685" s="144"/>
      <c r="M685" s="144"/>
      <c r="N685" s="144"/>
      <c r="O685" s="44"/>
      <c r="P685" s="44"/>
    </row>
    <row r="686" spans="1:16" x14ac:dyDescent="0.2">
      <c r="A686" s="58" t="str">
        <v>0:00</v>
      </c>
      <c r="B686" s="122"/>
      <c r="C686" s="144"/>
      <c r="D686" s="144"/>
      <c r="E686" s="144"/>
      <c r="F686" s="144"/>
      <c r="G686" s="144"/>
      <c r="H686" s="144"/>
      <c r="I686" s="144"/>
      <c r="J686" s="144"/>
      <c r="K686" s="144"/>
      <c r="L686" s="144"/>
      <c r="M686" s="144"/>
      <c r="N686" s="144"/>
      <c r="O686" s="44"/>
      <c r="P686" s="44"/>
    </row>
    <row r="687" spans="1:16" x14ac:dyDescent="0.2">
      <c r="A687" s="58" t="str">
        <v>0:00</v>
      </c>
      <c r="B687" s="122"/>
      <c r="C687" s="144"/>
      <c r="D687" s="144"/>
      <c r="E687" s="144"/>
      <c r="F687" s="144"/>
      <c r="G687" s="144"/>
      <c r="H687" s="144"/>
      <c r="I687" s="144"/>
      <c r="J687" s="144"/>
      <c r="K687" s="144"/>
      <c r="L687" s="144"/>
      <c r="M687" s="144"/>
      <c r="N687" s="144"/>
      <c r="O687" s="44"/>
      <c r="P687" s="44"/>
    </row>
    <row r="688" spans="1:16" x14ac:dyDescent="0.2">
      <c r="A688" s="58" t="str">
        <v>0:00</v>
      </c>
      <c r="B688" s="122"/>
      <c r="C688" s="144"/>
      <c r="D688" s="144"/>
      <c r="E688" s="144"/>
      <c r="F688" s="144"/>
      <c r="G688" s="144"/>
      <c r="H688" s="144"/>
      <c r="I688" s="144"/>
      <c r="J688" s="144"/>
      <c r="K688" s="144"/>
      <c r="L688" s="144"/>
      <c r="M688" s="144"/>
      <c r="N688" s="144"/>
      <c r="O688" s="44"/>
      <c r="P688" s="44"/>
    </row>
    <row r="689" spans="1:16" x14ac:dyDescent="0.2">
      <c r="A689" s="58" t="str">
        <v>0:00</v>
      </c>
      <c r="B689" s="122"/>
      <c r="C689" s="144"/>
      <c r="D689" s="144"/>
      <c r="E689" s="144"/>
      <c r="F689" s="144"/>
      <c r="G689" s="144"/>
      <c r="H689" s="144"/>
      <c r="I689" s="144"/>
      <c r="J689" s="144"/>
      <c r="K689" s="144"/>
      <c r="L689" s="144"/>
      <c r="M689" s="144"/>
      <c r="N689" s="144"/>
      <c r="O689" s="44"/>
      <c r="P689" s="44"/>
    </row>
    <row r="690" spans="1:16" x14ac:dyDescent="0.2">
      <c r="A690" s="58" t="str">
        <v>0:00</v>
      </c>
      <c r="B690" s="122"/>
      <c r="C690" s="144"/>
      <c r="D690" s="144"/>
      <c r="E690" s="144"/>
      <c r="F690" s="144"/>
      <c r="G690" s="144"/>
      <c r="H690" s="144"/>
      <c r="I690" s="144"/>
      <c r="J690" s="144"/>
      <c r="K690" s="144"/>
      <c r="L690" s="144"/>
      <c r="M690" s="144"/>
      <c r="N690" s="144"/>
      <c r="O690" s="44"/>
      <c r="P690" s="44"/>
    </row>
    <row r="691" spans="1:16" x14ac:dyDescent="0.2">
      <c r="A691" s="58" t="str">
        <v>0:00</v>
      </c>
      <c r="B691" s="122"/>
      <c r="C691" s="144"/>
      <c r="D691" s="144"/>
      <c r="E691" s="144"/>
      <c r="F691" s="144"/>
      <c r="G691" s="144"/>
      <c r="H691" s="144"/>
      <c r="I691" s="144"/>
      <c r="J691" s="144"/>
      <c r="K691" s="144"/>
      <c r="L691" s="144"/>
      <c r="M691" s="144"/>
      <c r="N691" s="144"/>
      <c r="O691" s="44"/>
      <c r="P691" s="44"/>
    </row>
    <row r="692" spans="1:16" x14ac:dyDescent="0.2">
      <c r="A692" s="58" t="str">
        <v>0:00</v>
      </c>
      <c r="B692" s="122"/>
      <c r="C692" s="144"/>
      <c r="D692" s="144"/>
      <c r="E692" s="144"/>
      <c r="F692" s="144"/>
      <c r="G692" s="144"/>
      <c r="H692" s="144"/>
      <c r="I692" s="144"/>
      <c r="J692" s="144"/>
      <c r="K692" s="144"/>
      <c r="L692" s="144"/>
      <c r="M692" s="144"/>
      <c r="N692" s="144"/>
      <c r="O692" s="44"/>
      <c r="P692" s="44"/>
    </row>
    <row r="693" spans="1:16" x14ac:dyDescent="0.2">
      <c r="A693" s="58" t="str">
        <v>0:00</v>
      </c>
      <c r="B693" s="122"/>
      <c r="C693" s="144"/>
      <c r="D693" s="144"/>
      <c r="E693" s="144"/>
      <c r="F693" s="144"/>
      <c r="G693" s="144"/>
      <c r="H693" s="144"/>
      <c r="I693" s="144"/>
      <c r="J693" s="144"/>
      <c r="K693" s="144"/>
      <c r="L693" s="144"/>
      <c r="M693" s="144"/>
      <c r="N693" s="144"/>
      <c r="O693" s="44"/>
      <c r="P693" s="44"/>
    </row>
    <row r="694" spans="1:16" x14ac:dyDescent="0.2">
      <c r="A694" s="58" t="str">
        <v>0:00</v>
      </c>
      <c r="B694" s="122"/>
      <c r="C694" s="144"/>
      <c r="D694" s="144"/>
      <c r="E694" s="144"/>
      <c r="F694" s="144"/>
      <c r="G694" s="144"/>
      <c r="H694" s="144"/>
      <c r="I694" s="144"/>
      <c r="J694" s="144"/>
      <c r="K694" s="144"/>
      <c r="L694" s="144"/>
      <c r="M694" s="144"/>
      <c r="N694" s="144"/>
      <c r="O694" s="44"/>
      <c r="P694" s="44"/>
    </row>
    <row r="695" spans="1:16" x14ac:dyDescent="0.2">
      <c r="A695" s="58" t="str">
        <v>0:00</v>
      </c>
      <c r="B695" s="122"/>
      <c r="C695" s="144"/>
      <c r="D695" s="144"/>
      <c r="E695" s="144"/>
      <c r="F695" s="144"/>
      <c r="G695" s="144"/>
      <c r="H695" s="144"/>
      <c r="I695" s="144"/>
      <c r="J695" s="144"/>
      <c r="K695" s="144"/>
      <c r="L695" s="144"/>
      <c r="M695" s="144"/>
      <c r="N695" s="144"/>
      <c r="O695" s="44"/>
      <c r="P695" s="44"/>
    </row>
    <row r="696" spans="1:16" x14ac:dyDescent="0.2">
      <c r="A696" s="58" t="str">
        <v>0:00</v>
      </c>
      <c r="B696" s="122"/>
      <c r="C696" s="144"/>
      <c r="D696" s="144"/>
      <c r="E696" s="144"/>
      <c r="F696" s="144"/>
      <c r="G696" s="144"/>
      <c r="H696" s="144"/>
      <c r="I696" s="144"/>
      <c r="J696" s="144"/>
      <c r="K696" s="144"/>
      <c r="L696" s="144"/>
      <c r="M696" s="144"/>
      <c r="N696" s="144"/>
      <c r="O696" s="44"/>
      <c r="P696" s="44"/>
    </row>
    <row r="697" spans="1:16" x14ac:dyDescent="0.2">
      <c r="A697" s="58" t="str">
        <v>0:00</v>
      </c>
      <c r="B697" s="122"/>
      <c r="C697" s="144"/>
      <c r="D697" s="144"/>
      <c r="E697" s="144"/>
      <c r="F697" s="144"/>
      <c r="G697" s="144"/>
      <c r="H697" s="144"/>
      <c r="I697" s="144"/>
      <c r="J697" s="144"/>
      <c r="K697" s="144"/>
      <c r="L697" s="144"/>
      <c r="M697" s="144"/>
      <c r="N697" s="144"/>
      <c r="O697" s="44"/>
      <c r="P697" s="44"/>
    </row>
    <row r="698" spans="1:16" x14ac:dyDescent="0.2">
      <c r="A698" s="58" t="str">
        <v>0:00</v>
      </c>
      <c r="B698" s="122"/>
      <c r="C698" s="144"/>
      <c r="D698" s="144"/>
      <c r="E698" s="144"/>
      <c r="F698" s="144"/>
      <c r="G698" s="144"/>
      <c r="H698" s="144"/>
      <c r="I698" s="144"/>
      <c r="J698" s="144"/>
      <c r="K698" s="144"/>
      <c r="L698" s="144"/>
      <c r="M698" s="144"/>
      <c r="N698" s="144"/>
      <c r="O698" s="44"/>
      <c r="P698" s="44"/>
    </row>
    <row r="699" spans="1:16" x14ac:dyDescent="0.2">
      <c r="A699" s="58" t="str">
        <v>0:00</v>
      </c>
      <c r="B699" s="122"/>
      <c r="C699" s="144"/>
      <c r="D699" s="144"/>
      <c r="E699" s="144"/>
      <c r="F699" s="144"/>
      <c r="G699" s="144"/>
      <c r="H699" s="144"/>
      <c r="I699" s="144"/>
      <c r="J699" s="144"/>
      <c r="K699" s="144"/>
      <c r="L699" s="144"/>
      <c r="M699" s="144"/>
      <c r="N699" s="144"/>
      <c r="O699" s="44"/>
      <c r="P699" s="44"/>
    </row>
    <row r="700" spans="1:16" x14ac:dyDescent="0.2">
      <c r="A700" s="58" t="str">
        <v>0:00</v>
      </c>
      <c r="B700" s="122"/>
      <c r="C700" s="144"/>
      <c r="D700" s="144"/>
      <c r="E700" s="144"/>
      <c r="F700" s="144"/>
      <c r="G700" s="144"/>
      <c r="H700" s="144"/>
      <c r="I700" s="144"/>
      <c r="J700" s="144"/>
      <c r="K700" s="144"/>
      <c r="L700" s="144"/>
      <c r="M700" s="144"/>
      <c r="N700" s="144"/>
      <c r="O700" s="44"/>
      <c r="P700" s="44"/>
    </row>
    <row r="701" spans="1:16" x14ac:dyDescent="0.2">
      <c r="A701" s="58" t="str">
        <v>0:00</v>
      </c>
      <c r="B701" s="122"/>
      <c r="C701" s="144"/>
      <c r="D701" s="144"/>
      <c r="E701" s="144"/>
      <c r="F701" s="144"/>
      <c r="G701" s="144"/>
      <c r="H701" s="144"/>
      <c r="I701" s="144"/>
      <c r="J701" s="144"/>
      <c r="K701" s="144"/>
      <c r="L701" s="144"/>
      <c r="M701" s="144"/>
      <c r="N701" s="144"/>
      <c r="O701" s="44"/>
      <c r="P701" s="44"/>
    </row>
    <row r="702" spans="1:16" x14ac:dyDescent="0.2">
      <c r="A702" s="58" t="str">
        <v>0:00</v>
      </c>
      <c r="B702" s="122"/>
      <c r="C702" s="144"/>
      <c r="D702" s="144"/>
      <c r="E702" s="144"/>
      <c r="F702" s="144"/>
      <c r="G702" s="144"/>
      <c r="H702" s="144"/>
      <c r="I702" s="144"/>
      <c r="J702" s="144"/>
      <c r="K702" s="144"/>
      <c r="L702" s="144"/>
      <c r="M702" s="144"/>
      <c r="N702" s="144"/>
      <c r="O702" s="44"/>
      <c r="P702" s="44"/>
    </row>
    <row r="703" spans="1:16" x14ac:dyDescent="0.2">
      <c r="A703" s="58" t="str">
        <v>0:00</v>
      </c>
      <c r="B703" s="122"/>
      <c r="C703" s="144"/>
      <c r="D703" s="144"/>
      <c r="E703" s="144"/>
      <c r="F703" s="144"/>
      <c r="G703" s="144"/>
      <c r="H703" s="144"/>
      <c r="I703" s="144"/>
      <c r="J703" s="144"/>
      <c r="K703" s="144"/>
      <c r="L703" s="144"/>
      <c r="M703" s="144"/>
      <c r="N703" s="144"/>
      <c r="O703" s="44"/>
      <c r="P703" s="44"/>
    </row>
    <row r="704" spans="1:16" x14ac:dyDescent="0.2">
      <c r="A704" s="58" t="str">
        <v>0:00</v>
      </c>
      <c r="B704" s="122"/>
      <c r="C704" s="144"/>
      <c r="D704" s="144"/>
      <c r="E704" s="144"/>
      <c r="F704" s="144"/>
      <c r="G704" s="144"/>
      <c r="H704" s="144"/>
      <c r="I704" s="144"/>
      <c r="J704" s="144"/>
      <c r="K704" s="144"/>
      <c r="L704" s="144"/>
      <c r="M704" s="144"/>
      <c r="N704" s="144"/>
      <c r="O704" s="44"/>
      <c r="P704" s="44"/>
    </row>
    <row r="705" spans="1:16" x14ac:dyDescent="0.2">
      <c r="A705" s="58" t="str">
        <v>0:00</v>
      </c>
      <c r="B705" s="122"/>
      <c r="C705" s="144"/>
      <c r="D705" s="144"/>
      <c r="E705" s="144"/>
      <c r="F705" s="144"/>
      <c r="G705" s="144"/>
      <c r="H705" s="144"/>
      <c r="I705" s="144"/>
      <c r="J705" s="144"/>
      <c r="K705" s="144"/>
      <c r="L705" s="144"/>
      <c r="M705" s="144"/>
      <c r="N705" s="144"/>
      <c r="O705" s="44"/>
      <c r="P705" s="44"/>
    </row>
    <row r="706" spans="1:16" x14ac:dyDescent="0.2">
      <c r="A706" s="58" t="str">
        <v>0:00</v>
      </c>
      <c r="B706" s="122"/>
      <c r="C706" s="144"/>
      <c r="D706" s="144"/>
      <c r="E706" s="144"/>
      <c r="F706" s="144"/>
      <c r="G706" s="144"/>
      <c r="H706" s="144"/>
      <c r="I706" s="144"/>
      <c r="J706" s="144"/>
      <c r="K706" s="144"/>
      <c r="L706" s="144"/>
      <c r="M706" s="144"/>
      <c r="N706" s="144"/>
      <c r="O706" s="44"/>
      <c r="P706" s="44"/>
    </row>
    <row r="707" spans="1:16" x14ac:dyDescent="0.2">
      <c r="A707" s="58" t="str">
        <v>0:00</v>
      </c>
      <c r="B707" s="122"/>
      <c r="C707" s="144"/>
      <c r="D707" s="144"/>
      <c r="E707" s="144"/>
      <c r="F707" s="144"/>
      <c r="G707" s="144"/>
      <c r="H707" s="144"/>
      <c r="I707" s="144"/>
      <c r="J707" s="144"/>
      <c r="K707" s="144"/>
      <c r="L707" s="144"/>
      <c r="M707" s="144"/>
      <c r="N707" s="144"/>
      <c r="O707" s="44"/>
      <c r="P707" s="44"/>
    </row>
    <row r="708" spans="1:16" x14ac:dyDescent="0.2">
      <c r="A708" s="58" t="str">
        <v>0:00</v>
      </c>
      <c r="B708" s="122"/>
      <c r="C708" s="144"/>
      <c r="D708" s="144"/>
      <c r="E708" s="144"/>
      <c r="F708" s="144"/>
      <c r="G708" s="144"/>
      <c r="H708" s="144"/>
      <c r="I708" s="144"/>
      <c r="J708" s="144"/>
      <c r="K708" s="144"/>
      <c r="L708" s="144"/>
      <c r="M708" s="144"/>
      <c r="N708" s="144"/>
      <c r="O708" s="44"/>
      <c r="P708" s="44"/>
    </row>
    <row r="709" spans="1:16" x14ac:dyDescent="0.2">
      <c r="A709" s="58" t="str">
        <v>0:00</v>
      </c>
      <c r="B709" s="122"/>
      <c r="C709" s="144"/>
      <c r="D709" s="144"/>
      <c r="E709" s="144"/>
      <c r="F709" s="144"/>
      <c r="G709" s="144"/>
      <c r="H709" s="144"/>
      <c r="I709" s="144"/>
      <c r="J709" s="144"/>
      <c r="K709" s="144"/>
      <c r="L709" s="144"/>
      <c r="M709" s="144"/>
      <c r="N709" s="144"/>
      <c r="O709" s="44"/>
      <c r="P709" s="44"/>
    </row>
    <row r="710" spans="1:16" x14ac:dyDescent="0.2">
      <c r="A710" s="58" t="str">
        <v>0:00</v>
      </c>
      <c r="B710" s="122"/>
      <c r="C710" s="144"/>
      <c r="D710" s="144"/>
      <c r="E710" s="144"/>
      <c r="F710" s="144"/>
      <c r="G710" s="144"/>
      <c r="H710" s="144"/>
      <c r="I710" s="144"/>
      <c r="J710" s="144"/>
      <c r="K710" s="144"/>
      <c r="L710" s="144"/>
      <c r="M710" s="144"/>
      <c r="N710" s="144"/>
      <c r="O710" s="44"/>
      <c r="P710" s="44"/>
    </row>
    <row r="711" spans="1:16" x14ac:dyDescent="0.2">
      <c r="A711" s="58" t="str">
        <v>0:00</v>
      </c>
      <c r="B711" s="122"/>
      <c r="C711" s="144"/>
      <c r="D711" s="144"/>
      <c r="E711" s="144"/>
      <c r="F711" s="144"/>
      <c r="G711" s="144"/>
      <c r="H711" s="144"/>
      <c r="I711" s="144"/>
      <c r="J711" s="144"/>
      <c r="K711" s="144"/>
      <c r="L711" s="144"/>
      <c r="M711" s="144"/>
      <c r="N711" s="144"/>
      <c r="O711" s="44"/>
      <c r="P711" s="44"/>
    </row>
    <row r="712" spans="1:16" x14ac:dyDescent="0.2">
      <c r="A712" s="58" t="str">
        <v>0:00</v>
      </c>
      <c r="B712" s="122"/>
      <c r="C712" s="144"/>
      <c r="D712" s="144"/>
      <c r="E712" s="144"/>
      <c r="F712" s="144"/>
      <c r="G712" s="144"/>
      <c r="H712" s="144"/>
      <c r="I712" s="144"/>
      <c r="J712" s="144"/>
      <c r="K712" s="144"/>
      <c r="L712" s="144"/>
      <c r="M712" s="144"/>
      <c r="N712" s="144"/>
      <c r="O712" s="44"/>
      <c r="P712" s="44"/>
    </row>
    <row r="713" spans="1:16" x14ac:dyDescent="0.2">
      <c r="A713" s="58" t="str">
        <v>0:00</v>
      </c>
      <c r="B713" s="122"/>
      <c r="C713" s="144"/>
      <c r="D713" s="144"/>
      <c r="E713" s="144"/>
      <c r="F713" s="144"/>
      <c r="G713" s="144"/>
      <c r="H713" s="144"/>
      <c r="I713" s="144"/>
      <c r="J713" s="144"/>
      <c r="K713" s="144"/>
      <c r="L713" s="144"/>
      <c r="M713" s="144"/>
      <c r="N713" s="144"/>
      <c r="O713" s="44"/>
      <c r="P713" s="44"/>
    </row>
    <row r="714" spans="1:16" x14ac:dyDescent="0.2">
      <c r="A714" s="58" t="str">
        <v>0:00</v>
      </c>
      <c r="B714" s="122"/>
      <c r="C714" s="144"/>
      <c r="D714" s="144"/>
      <c r="E714" s="144"/>
      <c r="F714" s="144"/>
      <c r="G714" s="144"/>
      <c r="H714" s="144"/>
      <c r="I714" s="144"/>
      <c r="J714" s="144"/>
      <c r="K714" s="144"/>
      <c r="L714" s="144"/>
      <c r="M714" s="144"/>
      <c r="N714" s="144"/>
      <c r="O714" s="44"/>
      <c r="P714" s="44"/>
    </row>
    <row r="715" spans="1:16" x14ac:dyDescent="0.2">
      <c r="A715" s="58" t="str">
        <v>0:00</v>
      </c>
      <c r="B715" s="122"/>
      <c r="C715" s="144"/>
      <c r="D715" s="144"/>
      <c r="E715" s="144"/>
      <c r="F715" s="144"/>
      <c r="G715" s="144"/>
      <c r="H715" s="144"/>
      <c r="I715" s="144"/>
      <c r="J715" s="144"/>
      <c r="K715" s="144"/>
      <c r="L715" s="144"/>
      <c r="M715" s="144"/>
      <c r="N715" s="144"/>
      <c r="O715" s="44"/>
      <c r="P715" s="44"/>
    </row>
    <row r="716" spans="1:16" x14ac:dyDescent="0.2">
      <c r="A716" s="58" t="str">
        <v>0:00</v>
      </c>
      <c r="B716" s="122"/>
      <c r="C716" s="144"/>
      <c r="D716" s="144"/>
      <c r="E716" s="144"/>
      <c r="F716" s="144"/>
      <c r="G716" s="144"/>
      <c r="H716" s="144"/>
      <c r="I716" s="144"/>
      <c r="J716" s="144"/>
      <c r="K716" s="144"/>
      <c r="L716" s="144"/>
      <c r="M716" s="144"/>
      <c r="N716" s="144"/>
      <c r="O716" s="44"/>
      <c r="P716" s="44"/>
    </row>
    <row r="717" spans="1:16" x14ac:dyDescent="0.2">
      <c r="A717" s="58" t="str">
        <v>0:00</v>
      </c>
      <c r="B717" s="122"/>
      <c r="C717" s="144"/>
      <c r="D717" s="144"/>
      <c r="E717" s="144"/>
      <c r="F717" s="144"/>
      <c r="G717" s="144"/>
      <c r="H717" s="144"/>
      <c r="I717" s="144"/>
      <c r="J717" s="144"/>
      <c r="K717" s="144"/>
      <c r="L717" s="144"/>
      <c r="M717" s="144"/>
      <c r="N717" s="144"/>
      <c r="O717" s="44"/>
      <c r="P717" s="44"/>
    </row>
    <row r="718" spans="1:16" x14ac:dyDescent="0.2">
      <c r="A718" s="58" t="str">
        <v>0:00</v>
      </c>
      <c r="B718" s="122"/>
      <c r="C718" s="144"/>
      <c r="D718" s="144"/>
      <c r="E718" s="144"/>
      <c r="F718" s="144"/>
      <c r="G718" s="144"/>
      <c r="H718" s="144"/>
      <c r="I718" s="144"/>
      <c r="J718" s="144"/>
      <c r="K718" s="144"/>
      <c r="L718" s="144"/>
      <c r="M718" s="144"/>
      <c r="N718" s="144"/>
      <c r="O718" s="44"/>
      <c r="P718" s="44"/>
    </row>
    <row r="719" spans="1:16" x14ac:dyDescent="0.2">
      <c r="A719" s="58" t="str">
        <v>0:00</v>
      </c>
      <c r="B719" s="122"/>
      <c r="C719" s="144"/>
      <c r="D719" s="144"/>
      <c r="E719" s="144"/>
      <c r="F719" s="144"/>
      <c r="G719" s="144"/>
      <c r="H719" s="144"/>
      <c r="I719" s="144"/>
      <c r="J719" s="144"/>
      <c r="K719" s="144"/>
      <c r="L719" s="144"/>
      <c r="M719" s="144"/>
      <c r="N719" s="144"/>
      <c r="O719" s="44"/>
      <c r="P719" s="44"/>
    </row>
    <row r="720" spans="1:16" x14ac:dyDescent="0.2">
      <c r="A720" s="58" t="str">
        <v>0:00</v>
      </c>
      <c r="B720" s="122"/>
      <c r="C720" s="144"/>
      <c r="D720" s="144"/>
      <c r="E720" s="144"/>
      <c r="F720" s="144"/>
      <c r="G720" s="144"/>
      <c r="H720" s="144"/>
      <c r="I720" s="144"/>
      <c r="J720" s="144"/>
      <c r="K720" s="144"/>
      <c r="L720" s="144"/>
      <c r="M720" s="144"/>
      <c r="N720" s="144"/>
      <c r="O720" s="44"/>
      <c r="P720" s="44"/>
    </row>
    <row r="721" spans="1:16" x14ac:dyDescent="0.2">
      <c r="A721" s="58" t="str">
        <v>0:00</v>
      </c>
      <c r="B721" s="122"/>
      <c r="C721" s="144"/>
      <c r="D721" s="144"/>
      <c r="E721" s="144"/>
      <c r="F721" s="144"/>
      <c r="G721" s="144"/>
      <c r="H721" s="144"/>
      <c r="I721" s="144"/>
      <c r="J721" s="144"/>
      <c r="K721" s="144"/>
      <c r="L721" s="144"/>
      <c r="M721" s="144"/>
      <c r="N721" s="144"/>
      <c r="O721" s="44"/>
      <c r="P721" s="44"/>
    </row>
    <row r="722" spans="1:16" x14ac:dyDescent="0.2">
      <c r="A722" s="58" t="str">
        <v>0:00</v>
      </c>
      <c r="B722" s="122"/>
      <c r="C722" s="144"/>
      <c r="D722" s="144"/>
      <c r="E722" s="144"/>
      <c r="F722" s="144"/>
      <c r="G722" s="144"/>
      <c r="H722" s="144"/>
      <c r="I722" s="144"/>
      <c r="J722" s="144"/>
      <c r="K722" s="144"/>
      <c r="L722" s="144"/>
      <c r="M722" s="144"/>
      <c r="N722" s="144"/>
      <c r="O722" s="44"/>
      <c r="P722" s="44"/>
    </row>
    <row r="723" spans="1:16" x14ac:dyDescent="0.2">
      <c r="A723" s="58" t="str">
        <v>0:00</v>
      </c>
      <c r="B723" s="122"/>
      <c r="C723" s="144"/>
      <c r="D723" s="144"/>
      <c r="E723" s="144"/>
      <c r="F723" s="144"/>
      <c r="G723" s="144"/>
      <c r="H723" s="144"/>
      <c r="I723" s="144"/>
      <c r="J723" s="144"/>
      <c r="K723" s="144"/>
      <c r="L723" s="144"/>
      <c r="M723" s="144"/>
      <c r="N723" s="144"/>
      <c r="O723" s="44"/>
      <c r="P723" s="44"/>
    </row>
    <row r="724" spans="1:16" x14ac:dyDescent="0.2">
      <c r="A724" s="58" t="str">
        <v>0:00</v>
      </c>
      <c r="B724" s="122"/>
      <c r="C724" s="144"/>
      <c r="D724" s="144"/>
      <c r="E724" s="144"/>
      <c r="F724" s="144"/>
      <c r="G724" s="144"/>
      <c r="H724" s="144"/>
      <c r="I724" s="144"/>
      <c r="J724" s="144"/>
      <c r="K724" s="144"/>
      <c r="L724" s="144"/>
      <c r="M724" s="144"/>
      <c r="N724" s="144"/>
      <c r="O724" s="44"/>
      <c r="P724" s="44"/>
    </row>
    <row r="725" spans="1:16" x14ac:dyDescent="0.2">
      <c r="A725" s="58" t="str">
        <v>0:00</v>
      </c>
      <c r="B725" s="122"/>
      <c r="C725" s="144"/>
      <c r="D725" s="144"/>
      <c r="E725" s="144"/>
      <c r="F725" s="144"/>
      <c r="G725" s="144"/>
      <c r="H725" s="144"/>
      <c r="I725" s="144"/>
      <c r="J725" s="144"/>
      <c r="K725" s="144"/>
      <c r="L725" s="144"/>
      <c r="M725" s="144"/>
      <c r="N725" s="144"/>
      <c r="O725" s="44"/>
      <c r="P725" s="44"/>
    </row>
    <row r="726" spans="1:16" x14ac:dyDescent="0.2">
      <c r="A726" s="58" t="str">
        <v>0:00</v>
      </c>
      <c r="B726" s="122"/>
      <c r="C726" s="144"/>
      <c r="D726" s="144"/>
      <c r="E726" s="144"/>
      <c r="F726" s="144"/>
      <c r="G726" s="144"/>
      <c r="H726" s="144"/>
      <c r="I726" s="144"/>
      <c r="J726" s="144"/>
      <c r="K726" s="144"/>
      <c r="L726" s="144"/>
      <c r="M726" s="144"/>
      <c r="N726" s="144"/>
      <c r="O726" s="44"/>
      <c r="P726" s="44"/>
    </row>
    <row r="727" spans="1:16" x14ac:dyDescent="0.2">
      <c r="A727" s="58" t="str">
        <v>0:00</v>
      </c>
      <c r="B727" s="122"/>
      <c r="C727" s="144"/>
      <c r="D727" s="144"/>
      <c r="E727" s="144"/>
      <c r="F727" s="144"/>
      <c r="G727" s="144"/>
      <c r="H727" s="144"/>
      <c r="I727" s="144"/>
      <c r="J727" s="144"/>
      <c r="K727" s="144"/>
      <c r="L727" s="144"/>
      <c r="M727" s="144"/>
      <c r="N727" s="144"/>
      <c r="O727" s="44"/>
      <c r="P727" s="44"/>
    </row>
    <row r="728" spans="1:16" x14ac:dyDescent="0.2">
      <c r="A728" s="58" t="str">
        <v>0:00</v>
      </c>
      <c r="B728" s="122"/>
      <c r="C728" s="144"/>
      <c r="D728" s="144"/>
      <c r="E728" s="144"/>
      <c r="F728" s="144"/>
      <c r="G728" s="144"/>
      <c r="H728" s="144"/>
      <c r="I728" s="144"/>
      <c r="J728" s="144"/>
      <c r="K728" s="144"/>
      <c r="L728" s="144"/>
      <c r="M728" s="144"/>
      <c r="N728" s="144"/>
      <c r="O728" s="44"/>
      <c r="P728" s="44"/>
    </row>
    <row r="729" spans="1:16" x14ac:dyDescent="0.2">
      <c r="A729" s="58" t="str">
        <v>0:00</v>
      </c>
      <c r="B729" s="122"/>
      <c r="C729" s="144"/>
      <c r="D729" s="144"/>
      <c r="E729" s="144"/>
      <c r="F729" s="144"/>
      <c r="G729" s="144"/>
      <c r="H729" s="144"/>
      <c r="I729" s="144"/>
      <c r="J729" s="144"/>
      <c r="K729" s="144"/>
      <c r="L729" s="144"/>
      <c r="M729" s="144"/>
      <c r="N729" s="144"/>
      <c r="O729" s="44"/>
      <c r="P729" s="44"/>
    </row>
    <row r="730" spans="1:16" x14ac:dyDescent="0.2">
      <c r="A730" s="58" t="str">
        <v>0:00</v>
      </c>
      <c r="B730" s="122"/>
      <c r="C730" s="144"/>
      <c r="D730" s="144"/>
      <c r="E730" s="144"/>
      <c r="F730" s="144"/>
      <c r="G730" s="144"/>
      <c r="H730" s="144"/>
      <c r="I730" s="144"/>
      <c r="J730" s="144"/>
      <c r="K730" s="144"/>
      <c r="L730" s="144"/>
      <c r="M730" s="144"/>
      <c r="N730" s="144"/>
      <c r="O730" s="44"/>
      <c r="P730" s="44"/>
    </row>
    <row r="731" spans="1:16" x14ac:dyDescent="0.2">
      <c r="A731" s="58" t="str">
        <v>0:00</v>
      </c>
      <c r="B731" s="122"/>
      <c r="C731" s="144"/>
      <c r="D731" s="144"/>
      <c r="E731" s="144"/>
      <c r="F731" s="144"/>
      <c r="G731" s="144"/>
      <c r="H731" s="144"/>
      <c r="I731" s="144"/>
      <c r="J731" s="144"/>
      <c r="K731" s="144"/>
      <c r="L731" s="144"/>
      <c r="M731" s="144"/>
      <c r="N731" s="144"/>
      <c r="O731" s="44"/>
      <c r="P731" s="44"/>
    </row>
    <row r="732" spans="1:16" x14ac:dyDescent="0.2">
      <c r="A732" s="58" t="str">
        <v>0:00</v>
      </c>
      <c r="B732" s="122"/>
      <c r="C732" s="144"/>
      <c r="D732" s="144"/>
      <c r="E732" s="144"/>
      <c r="F732" s="144"/>
      <c r="G732" s="144"/>
      <c r="H732" s="144"/>
      <c r="I732" s="144"/>
      <c r="J732" s="144"/>
      <c r="K732" s="144"/>
      <c r="L732" s="144"/>
      <c r="M732" s="144"/>
      <c r="N732" s="144"/>
      <c r="O732" s="44"/>
      <c r="P732" s="44"/>
    </row>
    <row r="733" spans="1:16" x14ac:dyDescent="0.2">
      <c r="A733" s="58" t="str">
        <v>0:00</v>
      </c>
      <c r="B733" s="122"/>
      <c r="C733" s="144"/>
      <c r="D733" s="144"/>
      <c r="E733" s="144"/>
      <c r="F733" s="144"/>
      <c r="G733" s="144"/>
      <c r="H733" s="144"/>
      <c r="I733" s="144"/>
      <c r="J733" s="144"/>
      <c r="K733" s="144"/>
      <c r="L733" s="144"/>
      <c r="M733" s="144"/>
      <c r="N733" s="144"/>
      <c r="O733" s="44"/>
      <c r="P733" s="44"/>
    </row>
    <row r="734" spans="1:16" x14ac:dyDescent="0.2">
      <c r="A734" s="58" t="str">
        <v>0:00</v>
      </c>
      <c r="B734" s="122"/>
      <c r="C734" s="144"/>
      <c r="D734" s="144"/>
      <c r="E734" s="144"/>
      <c r="F734" s="144"/>
      <c r="G734" s="144"/>
      <c r="H734" s="144"/>
      <c r="I734" s="144"/>
      <c r="J734" s="144"/>
      <c r="K734" s="144"/>
      <c r="L734" s="144"/>
      <c r="M734" s="144"/>
      <c r="N734" s="144"/>
      <c r="O734" s="44"/>
      <c r="P734" s="44"/>
    </row>
    <row r="735" spans="1:16" x14ac:dyDescent="0.2">
      <c r="A735" s="58" t="str">
        <v>0:00</v>
      </c>
      <c r="B735" s="122"/>
      <c r="C735" s="144"/>
      <c r="D735" s="144"/>
      <c r="E735" s="144"/>
      <c r="F735" s="144"/>
      <c r="G735" s="144"/>
      <c r="H735" s="144"/>
      <c r="I735" s="144"/>
      <c r="J735" s="144"/>
      <c r="K735" s="144"/>
      <c r="L735" s="144"/>
      <c r="M735" s="144"/>
      <c r="N735" s="144"/>
      <c r="O735" s="44"/>
      <c r="P735" s="44"/>
    </row>
    <row r="736" spans="1:16" x14ac:dyDescent="0.2">
      <c r="A736" s="58" t="str">
        <v>0:00</v>
      </c>
      <c r="B736" s="122"/>
      <c r="C736" s="144"/>
      <c r="D736" s="144"/>
      <c r="E736" s="144"/>
      <c r="F736" s="144"/>
      <c r="G736" s="144"/>
      <c r="H736" s="144"/>
      <c r="I736" s="144"/>
      <c r="J736" s="144"/>
      <c r="K736" s="144"/>
      <c r="L736" s="144"/>
      <c r="M736" s="144"/>
      <c r="N736" s="144"/>
      <c r="O736" s="44"/>
      <c r="P736" s="44"/>
    </row>
    <row r="737" spans="1:16" x14ac:dyDescent="0.2">
      <c r="A737" s="58" t="str">
        <v>0:00</v>
      </c>
      <c r="B737" s="122"/>
      <c r="C737" s="144"/>
      <c r="D737" s="144"/>
      <c r="E737" s="144"/>
      <c r="F737" s="144"/>
      <c r="G737" s="144"/>
      <c r="H737" s="144"/>
      <c r="I737" s="144"/>
      <c r="J737" s="144"/>
      <c r="K737" s="144"/>
      <c r="L737" s="144"/>
      <c r="M737" s="144"/>
      <c r="N737" s="144"/>
      <c r="O737" s="44"/>
      <c r="P737" s="44"/>
    </row>
    <row r="738" spans="1:16" x14ac:dyDescent="0.2">
      <c r="A738" s="58" t="str">
        <v>0:00</v>
      </c>
      <c r="B738" s="122"/>
      <c r="C738" s="144"/>
      <c r="D738" s="144"/>
      <c r="E738" s="144"/>
      <c r="F738" s="144"/>
      <c r="G738" s="144"/>
      <c r="H738" s="144"/>
      <c r="I738" s="144"/>
      <c r="J738" s="144"/>
      <c r="K738" s="144"/>
      <c r="L738" s="144"/>
      <c r="M738" s="144"/>
      <c r="N738" s="144"/>
      <c r="O738" s="44"/>
      <c r="P738" s="44"/>
    </row>
    <row r="739" spans="1:16" x14ac:dyDescent="0.2">
      <c r="A739" s="58" t="str">
        <v>0:00</v>
      </c>
      <c r="B739" s="122"/>
      <c r="C739" s="144"/>
      <c r="D739" s="144"/>
      <c r="E739" s="144"/>
      <c r="F739" s="144"/>
      <c r="G739" s="144"/>
      <c r="H739" s="144"/>
      <c r="I739" s="144"/>
      <c r="J739" s="144"/>
      <c r="K739" s="144"/>
      <c r="L739" s="144"/>
      <c r="M739" s="144"/>
      <c r="N739" s="144"/>
      <c r="O739" s="44"/>
      <c r="P739" s="44"/>
    </row>
    <row r="740" spans="1:16" x14ac:dyDescent="0.2">
      <c r="A740" s="58" t="str">
        <v>0:00</v>
      </c>
      <c r="B740" s="122"/>
      <c r="C740" s="144"/>
      <c r="D740" s="144"/>
      <c r="E740" s="144"/>
      <c r="F740" s="144"/>
      <c r="G740" s="144"/>
      <c r="H740" s="144"/>
      <c r="I740" s="144"/>
      <c r="J740" s="144"/>
      <c r="K740" s="144"/>
      <c r="L740" s="144"/>
      <c r="M740" s="144"/>
      <c r="N740" s="144"/>
      <c r="O740" s="44"/>
      <c r="P740" s="44"/>
    </row>
    <row r="741" spans="1:16" x14ac:dyDescent="0.2">
      <c r="A741" s="58" t="str">
        <v>0:00</v>
      </c>
      <c r="B741" s="122"/>
      <c r="C741" s="144"/>
      <c r="D741" s="144"/>
      <c r="E741" s="144"/>
      <c r="F741" s="144"/>
      <c r="G741" s="144"/>
      <c r="H741" s="144"/>
      <c r="I741" s="144"/>
      <c r="J741" s="144"/>
      <c r="K741" s="144"/>
      <c r="L741" s="144"/>
      <c r="M741" s="144"/>
      <c r="N741" s="144"/>
      <c r="O741" s="44"/>
      <c r="P741" s="44"/>
    </row>
    <row r="742" spans="1:16" x14ac:dyDescent="0.2">
      <c r="A742" s="58" t="str">
        <v>0:00</v>
      </c>
      <c r="B742" s="122"/>
      <c r="C742" s="144"/>
      <c r="D742" s="144"/>
      <c r="E742" s="144"/>
      <c r="F742" s="144"/>
      <c r="G742" s="144"/>
      <c r="H742" s="144"/>
      <c r="I742" s="144"/>
      <c r="J742" s="144"/>
      <c r="K742" s="144"/>
      <c r="L742" s="144"/>
      <c r="M742" s="144"/>
      <c r="N742" s="144"/>
      <c r="O742" s="44"/>
      <c r="P742" s="44"/>
    </row>
    <row r="743" spans="1:16" x14ac:dyDescent="0.2">
      <c r="A743" s="58" t="str">
        <v>0:00</v>
      </c>
      <c r="B743" s="122"/>
      <c r="C743" s="144"/>
      <c r="D743" s="144"/>
      <c r="E743" s="144"/>
      <c r="F743" s="144"/>
      <c r="G743" s="144"/>
      <c r="H743" s="144"/>
      <c r="I743" s="144"/>
      <c r="J743" s="144"/>
      <c r="K743" s="144"/>
      <c r="L743" s="144"/>
      <c r="M743" s="144"/>
      <c r="N743" s="144"/>
      <c r="O743" s="44"/>
      <c r="P743" s="44"/>
    </row>
    <row r="744" spans="1:16" x14ac:dyDescent="0.2">
      <c r="A744" s="58" t="str">
        <v>0:00</v>
      </c>
      <c r="B744" s="122"/>
      <c r="C744" s="144"/>
      <c r="D744" s="144"/>
      <c r="E744" s="144"/>
      <c r="F744" s="144"/>
      <c r="G744" s="144"/>
      <c r="H744" s="144"/>
      <c r="I744" s="144"/>
      <c r="J744" s="144"/>
      <c r="K744" s="144"/>
      <c r="L744" s="144"/>
      <c r="M744" s="144"/>
      <c r="N744" s="144"/>
      <c r="O744" s="44"/>
      <c r="P744" s="44"/>
    </row>
    <row r="745" spans="1:16" x14ac:dyDescent="0.2">
      <c r="A745" s="58" t="str">
        <v>0:00</v>
      </c>
      <c r="B745" s="122"/>
      <c r="C745" s="144"/>
      <c r="D745" s="144"/>
      <c r="E745" s="144"/>
      <c r="F745" s="144"/>
      <c r="G745" s="144"/>
      <c r="H745" s="144"/>
      <c r="I745" s="144"/>
      <c r="J745" s="144"/>
      <c r="K745" s="144"/>
      <c r="L745" s="144"/>
      <c r="M745" s="144"/>
      <c r="N745" s="144"/>
      <c r="O745" s="44"/>
      <c r="P745" s="44"/>
    </row>
    <row r="746" spans="1:16" x14ac:dyDescent="0.2">
      <c r="A746" s="58" t="str">
        <v>0:00</v>
      </c>
      <c r="B746" s="122"/>
      <c r="C746" s="144"/>
      <c r="D746" s="144"/>
      <c r="E746" s="144"/>
      <c r="F746" s="144"/>
      <c r="G746" s="144"/>
      <c r="H746" s="144"/>
      <c r="I746" s="144"/>
      <c r="J746" s="144"/>
      <c r="K746" s="144"/>
      <c r="L746" s="144"/>
      <c r="M746" s="144"/>
      <c r="N746" s="144"/>
      <c r="O746" s="44"/>
      <c r="P746" s="44"/>
    </row>
    <row r="747" spans="1:16" x14ac:dyDescent="0.2">
      <c r="A747" s="58" t="str">
        <v>0:00</v>
      </c>
      <c r="B747" s="122"/>
      <c r="C747" s="144"/>
      <c r="D747" s="144"/>
      <c r="E747" s="144"/>
      <c r="F747" s="144"/>
      <c r="G747" s="144"/>
      <c r="H747" s="144"/>
      <c r="I747" s="144"/>
      <c r="J747" s="144"/>
      <c r="K747" s="144"/>
      <c r="L747" s="144"/>
      <c r="M747" s="144"/>
      <c r="N747" s="144"/>
      <c r="O747" s="44"/>
      <c r="P747" s="44"/>
    </row>
    <row r="748" spans="1:16" x14ac:dyDescent="0.2">
      <c r="A748" s="58" t="str">
        <v>0:00</v>
      </c>
      <c r="B748" s="122"/>
      <c r="C748" s="144"/>
      <c r="D748" s="144"/>
      <c r="E748" s="144"/>
      <c r="F748" s="144"/>
      <c r="G748" s="144"/>
      <c r="H748" s="144"/>
      <c r="I748" s="144"/>
      <c r="J748" s="144"/>
      <c r="K748" s="144"/>
      <c r="L748" s="144"/>
      <c r="M748" s="144"/>
      <c r="N748" s="144"/>
      <c r="O748" s="44"/>
      <c r="P748" s="44"/>
    </row>
    <row r="749" spans="1:16" x14ac:dyDescent="0.2">
      <c r="A749" s="58" t="str">
        <v>0:00</v>
      </c>
      <c r="B749" s="122"/>
      <c r="C749" s="144"/>
      <c r="D749" s="144"/>
      <c r="E749" s="144"/>
      <c r="F749" s="144"/>
      <c r="G749" s="144"/>
      <c r="H749" s="144"/>
      <c r="I749" s="144"/>
      <c r="J749" s="144"/>
      <c r="K749" s="144"/>
      <c r="L749" s="144"/>
      <c r="M749" s="144"/>
      <c r="N749" s="144"/>
      <c r="O749" s="44"/>
      <c r="P749" s="44"/>
    </row>
    <row r="750" spans="1:16" x14ac:dyDescent="0.2">
      <c r="A750" s="58" t="str">
        <v>0:00</v>
      </c>
      <c r="B750" s="122"/>
      <c r="C750" s="144"/>
      <c r="D750" s="144"/>
      <c r="E750" s="144"/>
      <c r="F750" s="144"/>
      <c r="G750" s="144"/>
      <c r="H750" s="144"/>
      <c r="I750" s="144"/>
      <c r="J750" s="144"/>
      <c r="K750" s="144"/>
      <c r="L750" s="144"/>
      <c r="M750" s="144"/>
      <c r="N750" s="144"/>
      <c r="O750" s="44"/>
      <c r="P750" s="44"/>
    </row>
    <row r="751" spans="1:16" x14ac:dyDescent="0.2">
      <c r="A751" s="58" t="str">
        <v>0:00</v>
      </c>
      <c r="B751" s="122"/>
      <c r="C751" s="144"/>
      <c r="D751" s="144"/>
      <c r="E751" s="144"/>
      <c r="F751" s="144"/>
      <c r="G751" s="144"/>
      <c r="H751" s="144"/>
      <c r="I751" s="144"/>
      <c r="J751" s="144"/>
      <c r="K751" s="144"/>
      <c r="L751" s="144"/>
      <c r="M751" s="144"/>
      <c r="N751" s="144"/>
      <c r="O751" s="44"/>
      <c r="P751" s="44"/>
    </row>
    <row r="752" spans="1:16" x14ac:dyDescent="0.2">
      <c r="A752" s="58" t="str">
        <v>0:00</v>
      </c>
      <c r="B752" s="122"/>
      <c r="C752" s="144"/>
      <c r="D752" s="144"/>
      <c r="E752" s="144"/>
      <c r="F752" s="144"/>
      <c r="G752" s="144"/>
      <c r="H752" s="144"/>
      <c r="I752" s="144"/>
      <c r="J752" s="144"/>
      <c r="K752" s="144"/>
      <c r="L752" s="144"/>
      <c r="M752" s="144"/>
      <c r="N752" s="144"/>
      <c r="O752" s="44"/>
      <c r="P752" s="44"/>
    </row>
    <row r="753" spans="1:16" x14ac:dyDescent="0.2">
      <c r="A753" s="58" t="str">
        <v>0:00</v>
      </c>
      <c r="B753" s="122"/>
      <c r="C753" s="144"/>
      <c r="D753" s="144"/>
      <c r="E753" s="144"/>
      <c r="F753" s="144"/>
      <c r="G753" s="144"/>
      <c r="H753" s="144"/>
      <c r="I753" s="144"/>
      <c r="J753" s="144"/>
      <c r="K753" s="144"/>
      <c r="L753" s="144"/>
      <c r="M753" s="144"/>
      <c r="N753" s="144"/>
      <c r="O753" s="44"/>
      <c r="P753" s="44"/>
    </row>
    <row r="754" spans="1:16" x14ac:dyDescent="0.2">
      <c r="A754" s="58" t="str">
        <v>0:00</v>
      </c>
      <c r="B754" s="122"/>
      <c r="C754" s="144"/>
      <c r="D754" s="144"/>
      <c r="E754" s="144"/>
      <c r="F754" s="144"/>
      <c r="G754" s="144"/>
      <c r="H754" s="144"/>
      <c r="I754" s="144"/>
      <c r="J754" s="144"/>
      <c r="K754" s="144"/>
      <c r="L754" s="144"/>
      <c r="M754" s="144"/>
      <c r="N754" s="144"/>
      <c r="O754" s="44"/>
      <c r="P754" s="44"/>
    </row>
    <row r="755" spans="1:16" x14ac:dyDescent="0.2">
      <c r="A755" s="58" t="str">
        <v>0:00</v>
      </c>
      <c r="B755" s="122"/>
      <c r="C755" s="144"/>
      <c r="D755" s="144"/>
      <c r="E755" s="144"/>
      <c r="F755" s="144"/>
      <c r="G755" s="144"/>
      <c r="H755" s="144"/>
      <c r="I755" s="144"/>
      <c r="J755" s="144"/>
      <c r="K755" s="144"/>
      <c r="L755" s="144"/>
      <c r="M755" s="144"/>
      <c r="N755" s="144"/>
      <c r="O755" s="44"/>
      <c r="P755" s="44"/>
    </row>
    <row r="756" spans="1:16" x14ac:dyDescent="0.2">
      <c r="A756" s="58" t="str">
        <v>0:00</v>
      </c>
      <c r="B756" s="122"/>
      <c r="C756" s="144"/>
      <c r="D756" s="144"/>
      <c r="E756" s="144"/>
      <c r="F756" s="144"/>
      <c r="G756" s="144"/>
      <c r="H756" s="144"/>
      <c r="I756" s="144"/>
      <c r="J756" s="144"/>
      <c r="K756" s="144"/>
      <c r="L756" s="144"/>
      <c r="M756" s="144"/>
      <c r="N756" s="144"/>
      <c r="O756" s="44"/>
      <c r="P756" s="44"/>
    </row>
    <row r="757" spans="1:16" x14ac:dyDescent="0.2">
      <c r="A757" s="58" t="str">
        <v>0:00</v>
      </c>
      <c r="B757" s="122"/>
      <c r="C757" s="144"/>
      <c r="D757" s="144"/>
      <c r="E757" s="144"/>
      <c r="F757" s="144"/>
      <c r="G757" s="144"/>
      <c r="H757" s="144"/>
      <c r="I757" s="144"/>
      <c r="J757" s="144"/>
      <c r="K757" s="144"/>
      <c r="L757" s="144"/>
      <c r="M757" s="144"/>
      <c r="N757" s="144"/>
      <c r="O757" s="44"/>
      <c r="P757" s="44"/>
    </row>
    <row r="758" spans="1:16" x14ac:dyDescent="0.2">
      <c r="A758" s="58" t="str">
        <v>0:00</v>
      </c>
      <c r="B758" s="122"/>
      <c r="C758" s="144"/>
      <c r="D758" s="144"/>
      <c r="E758" s="144"/>
      <c r="F758" s="144"/>
      <c r="G758" s="144"/>
      <c r="H758" s="144"/>
      <c r="I758" s="144"/>
      <c r="J758" s="144"/>
      <c r="K758" s="144"/>
      <c r="L758" s="144"/>
      <c r="M758" s="144"/>
      <c r="N758" s="144"/>
      <c r="O758" s="44"/>
      <c r="P758" s="44"/>
    </row>
    <row r="759" spans="1:16" x14ac:dyDescent="0.2">
      <c r="A759" s="58" t="str">
        <v>0:00</v>
      </c>
      <c r="B759" s="122"/>
      <c r="C759" s="144"/>
      <c r="D759" s="144"/>
      <c r="E759" s="144"/>
      <c r="F759" s="144"/>
      <c r="G759" s="144"/>
      <c r="H759" s="144"/>
      <c r="I759" s="144"/>
      <c r="J759" s="144"/>
      <c r="K759" s="144"/>
      <c r="L759" s="144"/>
      <c r="M759" s="144"/>
      <c r="N759" s="144"/>
      <c r="O759" s="44"/>
      <c r="P759" s="44"/>
    </row>
    <row r="760" spans="1:16" x14ac:dyDescent="0.2">
      <c r="A760" s="58" t="str">
        <v>0:00</v>
      </c>
      <c r="B760" s="122"/>
      <c r="C760" s="144"/>
      <c r="D760" s="144"/>
      <c r="E760" s="144"/>
      <c r="F760" s="144"/>
      <c r="G760" s="144"/>
      <c r="H760" s="144"/>
      <c r="I760" s="144"/>
      <c r="J760" s="144"/>
      <c r="K760" s="144"/>
      <c r="L760" s="144"/>
      <c r="M760" s="144"/>
      <c r="N760" s="144"/>
      <c r="O760" s="44"/>
      <c r="P760" s="44"/>
    </row>
    <row r="761" spans="1:16" x14ac:dyDescent="0.2">
      <c r="A761" s="58" t="str">
        <v>0:00</v>
      </c>
      <c r="B761" s="122"/>
      <c r="C761" s="144"/>
      <c r="D761" s="144"/>
      <c r="E761" s="144"/>
      <c r="F761" s="144"/>
      <c r="G761" s="144"/>
      <c r="H761" s="144"/>
      <c r="I761" s="144"/>
      <c r="J761" s="144"/>
      <c r="K761" s="144"/>
      <c r="L761" s="144"/>
      <c r="M761" s="144"/>
      <c r="N761" s="144"/>
      <c r="O761" s="44"/>
      <c r="P761" s="44"/>
    </row>
    <row r="762" spans="1:16" x14ac:dyDescent="0.2">
      <c r="A762" s="58" t="str">
        <v>0:00</v>
      </c>
      <c r="B762" s="122"/>
      <c r="C762" s="144"/>
      <c r="D762" s="144"/>
      <c r="E762" s="144"/>
      <c r="F762" s="144"/>
      <c r="G762" s="144"/>
      <c r="H762" s="144"/>
      <c r="I762" s="144"/>
      <c r="J762" s="144"/>
      <c r="K762" s="144"/>
      <c r="L762" s="144"/>
      <c r="M762" s="144"/>
      <c r="N762" s="144"/>
      <c r="O762" s="44"/>
      <c r="P762" s="44"/>
    </row>
    <row r="763" spans="1:16" x14ac:dyDescent="0.2">
      <c r="A763" s="58" t="str">
        <v>0:00</v>
      </c>
      <c r="B763" s="122"/>
      <c r="C763" s="144"/>
      <c r="D763" s="144"/>
      <c r="E763" s="144"/>
      <c r="F763" s="144"/>
      <c r="G763" s="144"/>
      <c r="H763" s="144"/>
      <c r="I763" s="144"/>
      <c r="J763" s="144"/>
      <c r="K763" s="144"/>
      <c r="L763" s="144"/>
      <c r="M763" s="144"/>
      <c r="N763" s="144"/>
      <c r="O763" s="44"/>
      <c r="P763" s="44"/>
    </row>
    <row r="764" spans="1:16" x14ac:dyDescent="0.2">
      <c r="A764" s="58" t="str">
        <v>0:00</v>
      </c>
      <c r="B764" s="122"/>
      <c r="C764" s="144"/>
      <c r="D764" s="144"/>
      <c r="E764" s="144"/>
      <c r="F764" s="144"/>
      <c r="G764" s="144"/>
      <c r="H764" s="144"/>
      <c r="I764" s="144"/>
      <c r="J764" s="144"/>
      <c r="K764" s="144"/>
      <c r="L764" s="144"/>
      <c r="M764" s="144"/>
      <c r="N764" s="144"/>
      <c r="O764" s="44"/>
      <c r="P764" s="44"/>
    </row>
    <row r="765" spans="1:16" x14ac:dyDescent="0.2">
      <c r="A765" s="58" t="str">
        <v>0:00</v>
      </c>
      <c r="B765" s="122"/>
      <c r="C765" s="144"/>
      <c r="D765" s="144"/>
      <c r="E765" s="144"/>
      <c r="F765" s="144"/>
      <c r="G765" s="144"/>
      <c r="H765" s="144"/>
      <c r="I765" s="144"/>
      <c r="J765" s="144"/>
      <c r="K765" s="144"/>
      <c r="L765" s="144"/>
      <c r="M765" s="144"/>
      <c r="N765" s="144"/>
      <c r="O765" s="44"/>
      <c r="P765" s="44"/>
    </row>
    <row r="766" spans="1:16" x14ac:dyDescent="0.2">
      <c r="A766" s="58" t="str">
        <v>0:00</v>
      </c>
      <c r="B766" s="122"/>
      <c r="C766" s="144"/>
      <c r="D766" s="144"/>
      <c r="E766" s="144"/>
      <c r="F766" s="144"/>
      <c r="G766" s="144"/>
      <c r="H766" s="144"/>
      <c r="I766" s="144"/>
      <c r="J766" s="144"/>
      <c r="K766" s="144"/>
      <c r="L766" s="144"/>
      <c r="M766" s="144"/>
      <c r="N766" s="144"/>
      <c r="O766" s="44"/>
      <c r="P766" s="44"/>
    </row>
    <row r="767" spans="1:16" x14ac:dyDescent="0.2">
      <c r="A767" s="58" t="str">
        <v>0:00</v>
      </c>
      <c r="B767" s="122"/>
      <c r="C767" s="144"/>
      <c r="D767" s="144"/>
      <c r="E767" s="144"/>
      <c r="F767" s="144"/>
      <c r="G767" s="144"/>
      <c r="H767" s="144"/>
      <c r="I767" s="144"/>
      <c r="J767" s="144"/>
      <c r="K767" s="144"/>
      <c r="L767" s="144"/>
      <c r="M767" s="144"/>
      <c r="N767" s="144"/>
      <c r="O767" s="44"/>
      <c r="P767" s="44"/>
    </row>
    <row r="768" spans="1:16" x14ac:dyDescent="0.2">
      <c r="A768" s="58" t="str">
        <v>0:00</v>
      </c>
      <c r="B768" s="122"/>
      <c r="C768" s="144"/>
      <c r="D768" s="144"/>
      <c r="E768" s="144"/>
      <c r="F768" s="144"/>
      <c r="G768" s="144"/>
      <c r="H768" s="144"/>
      <c r="I768" s="144"/>
      <c r="J768" s="144"/>
      <c r="K768" s="144"/>
      <c r="L768" s="144"/>
      <c r="M768" s="144"/>
      <c r="N768" s="144"/>
      <c r="O768" s="44"/>
      <c r="P768" s="44"/>
    </row>
    <row r="769" spans="1:16" x14ac:dyDescent="0.2">
      <c r="A769" s="58" t="str">
        <v>0:00</v>
      </c>
      <c r="B769" s="122"/>
      <c r="C769" s="144"/>
      <c r="D769" s="144"/>
      <c r="E769" s="144"/>
      <c r="F769" s="144"/>
      <c r="G769" s="144"/>
      <c r="H769" s="144"/>
      <c r="I769" s="144"/>
      <c r="J769" s="144"/>
      <c r="K769" s="144"/>
      <c r="L769" s="144"/>
      <c r="M769" s="144"/>
      <c r="N769" s="144"/>
      <c r="O769" s="44"/>
      <c r="P769" s="44"/>
    </row>
    <row r="770" spans="1:16" x14ac:dyDescent="0.2">
      <c r="A770" s="58" t="str">
        <v>0:00</v>
      </c>
      <c r="B770" s="122"/>
      <c r="C770" s="144"/>
      <c r="D770" s="144"/>
      <c r="E770" s="144"/>
      <c r="F770" s="144"/>
      <c r="G770" s="144"/>
      <c r="H770" s="144"/>
      <c r="I770" s="144"/>
      <c r="J770" s="144"/>
      <c r="K770" s="144"/>
      <c r="L770" s="144"/>
      <c r="M770" s="144"/>
      <c r="N770" s="144"/>
      <c r="O770" s="44"/>
      <c r="P770" s="44"/>
    </row>
    <row r="771" spans="1:16" x14ac:dyDescent="0.2">
      <c r="A771" s="58" t="str">
        <v>0:00</v>
      </c>
      <c r="B771" s="122"/>
      <c r="C771" s="144"/>
      <c r="D771" s="144"/>
      <c r="E771" s="144"/>
      <c r="F771" s="144"/>
      <c r="G771" s="144"/>
      <c r="H771" s="144"/>
      <c r="I771" s="144"/>
      <c r="J771" s="144"/>
      <c r="K771" s="144"/>
      <c r="L771" s="144"/>
      <c r="M771" s="144"/>
      <c r="N771" s="144"/>
      <c r="O771" s="44"/>
      <c r="P771" s="44"/>
    </row>
    <row r="772" spans="1:16" x14ac:dyDescent="0.2">
      <c r="A772" s="58" t="str">
        <v>0:00</v>
      </c>
      <c r="B772" s="122"/>
      <c r="C772" s="144"/>
      <c r="D772" s="144"/>
      <c r="E772" s="144"/>
      <c r="F772" s="144"/>
      <c r="G772" s="144"/>
      <c r="H772" s="144"/>
      <c r="I772" s="144"/>
      <c r="J772" s="144"/>
      <c r="K772" s="144"/>
      <c r="L772" s="144"/>
      <c r="M772" s="144"/>
      <c r="N772" s="144"/>
      <c r="O772" s="44"/>
      <c r="P772" s="44"/>
    </row>
    <row r="773" spans="1:16" x14ac:dyDescent="0.2">
      <c r="A773" s="58" t="str">
        <v>0:00</v>
      </c>
      <c r="B773" s="122"/>
      <c r="C773" s="144"/>
      <c r="D773" s="144"/>
      <c r="E773" s="144"/>
      <c r="F773" s="144"/>
      <c r="G773" s="144"/>
      <c r="H773" s="144"/>
      <c r="I773" s="144"/>
      <c r="J773" s="144"/>
      <c r="K773" s="144"/>
      <c r="L773" s="144"/>
      <c r="M773" s="144"/>
      <c r="N773" s="144"/>
      <c r="O773" s="44"/>
      <c r="P773" s="44"/>
    </row>
    <row r="774" spans="1:16" x14ac:dyDescent="0.2">
      <c r="A774" s="58" t="str">
        <v>0:00</v>
      </c>
      <c r="B774" s="122"/>
      <c r="C774" s="144"/>
      <c r="D774" s="144"/>
      <c r="E774" s="144"/>
      <c r="F774" s="144"/>
      <c r="G774" s="144"/>
      <c r="H774" s="144"/>
      <c r="I774" s="144"/>
      <c r="J774" s="144"/>
      <c r="K774" s="144"/>
      <c r="L774" s="144"/>
      <c r="M774" s="144"/>
      <c r="N774" s="144"/>
      <c r="O774" s="44"/>
      <c r="P774" s="44"/>
    </row>
    <row r="775" spans="1:16" x14ac:dyDescent="0.2">
      <c r="A775" s="58" t="str">
        <v>0:00</v>
      </c>
      <c r="B775" s="122"/>
      <c r="C775" s="144"/>
      <c r="D775" s="144"/>
      <c r="E775" s="144"/>
      <c r="F775" s="144"/>
      <c r="G775" s="144"/>
      <c r="H775" s="144"/>
      <c r="I775" s="144"/>
      <c r="J775" s="144"/>
      <c r="K775" s="144"/>
      <c r="L775" s="144"/>
      <c r="M775" s="144"/>
      <c r="N775" s="144"/>
      <c r="O775" s="44"/>
      <c r="P775" s="44"/>
    </row>
    <row r="776" spans="1:16" x14ac:dyDescent="0.2">
      <c r="A776" s="58" t="str">
        <v>0:00</v>
      </c>
      <c r="B776" s="122"/>
      <c r="C776" s="144"/>
      <c r="D776" s="144"/>
      <c r="E776" s="144"/>
      <c r="F776" s="144"/>
      <c r="G776" s="144"/>
      <c r="H776" s="144"/>
      <c r="I776" s="144"/>
      <c r="J776" s="144"/>
      <c r="K776" s="144"/>
      <c r="L776" s="144"/>
      <c r="M776" s="144"/>
      <c r="N776" s="144"/>
      <c r="O776" s="44"/>
      <c r="P776" s="44"/>
    </row>
    <row r="777" spans="1:16" x14ac:dyDescent="0.2">
      <c r="A777" s="58" t="str">
        <v>0:00</v>
      </c>
      <c r="B777" s="122"/>
      <c r="C777" s="144"/>
      <c r="D777" s="144"/>
      <c r="E777" s="144"/>
      <c r="F777" s="144"/>
      <c r="G777" s="144"/>
      <c r="H777" s="144"/>
      <c r="I777" s="144"/>
      <c r="J777" s="144"/>
      <c r="K777" s="144"/>
      <c r="L777" s="144"/>
      <c r="M777" s="144"/>
      <c r="N777" s="144"/>
      <c r="O777" s="44"/>
      <c r="P777" s="44"/>
    </row>
    <row r="778" spans="1:16" x14ac:dyDescent="0.2">
      <c r="A778" s="58" t="str">
        <v>0:00</v>
      </c>
      <c r="B778" s="122"/>
      <c r="C778" s="144"/>
      <c r="D778" s="144"/>
      <c r="E778" s="144"/>
      <c r="F778" s="144"/>
      <c r="G778" s="144"/>
      <c r="H778" s="144"/>
      <c r="I778" s="144"/>
      <c r="J778" s="144"/>
      <c r="K778" s="144"/>
      <c r="L778" s="144"/>
      <c r="M778" s="144"/>
      <c r="N778" s="144"/>
      <c r="O778" s="44"/>
      <c r="P778" s="44"/>
    </row>
    <row r="779" spans="1:16" x14ac:dyDescent="0.2">
      <c r="A779" s="58" t="str">
        <v>0:00</v>
      </c>
      <c r="B779" s="122"/>
      <c r="C779" s="144"/>
      <c r="D779" s="144"/>
      <c r="E779" s="144"/>
      <c r="F779" s="144"/>
      <c r="G779" s="144"/>
      <c r="H779" s="144"/>
      <c r="I779" s="144"/>
      <c r="J779" s="144"/>
      <c r="K779" s="144"/>
      <c r="L779" s="144"/>
      <c r="M779" s="144"/>
      <c r="N779" s="144"/>
      <c r="O779" s="44"/>
      <c r="P779" s="44"/>
    </row>
    <row r="780" spans="1:16" x14ac:dyDescent="0.2">
      <c r="A780" s="58" t="str">
        <v>0:00</v>
      </c>
      <c r="B780" s="122"/>
      <c r="C780" s="144"/>
      <c r="D780" s="144"/>
      <c r="E780" s="144"/>
      <c r="F780" s="144"/>
      <c r="G780" s="144"/>
      <c r="H780" s="144"/>
      <c r="I780" s="144"/>
      <c r="J780" s="144"/>
      <c r="K780" s="144"/>
      <c r="L780" s="144"/>
      <c r="M780" s="144"/>
      <c r="N780" s="144"/>
      <c r="O780" s="44"/>
      <c r="P780" s="44"/>
    </row>
    <row r="781" spans="1:16" x14ac:dyDescent="0.2">
      <c r="A781" s="58" t="str">
        <v>0:00</v>
      </c>
      <c r="B781" s="122"/>
      <c r="C781" s="144"/>
      <c r="D781" s="144"/>
      <c r="E781" s="144"/>
      <c r="F781" s="144"/>
      <c r="G781" s="144"/>
      <c r="H781" s="144"/>
      <c r="I781" s="144"/>
      <c r="J781" s="144"/>
      <c r="K781" s="144"/>
      <c r="L781" s="144"/>
      <c r="M781" s="144"/>
      <c r="N781" s="144"/>
      <c r="O781" s="44"/>
      <c r="P781" s="44"/>
    </row>
    <row r="782" spans="1:16" x14ac:dyDescent="0.2">
      <c r="A782" s="58" t="str">
        <v>0:00</v>
      </c>
      <c r="B782" s="122"/>
      <c r="C782" s="144"/>
      <c r="D782" s="144"/>
      <c r="E782" s="144"/>
      <c r="F782" s="144"/>
      <c r="G782" s="144"/>
      <c r="H782" s="144"/>
      <c r="I782" s="144"/>
      <c r="J782" s="144"/>
      <c r="K782" s="144"/>
      <c r="L782" s="144"/>
      <c r="M782" s="144"/>
      <c r="N782" s="144"/>
      <c r="O782" s="44"/>
      <c r="P782" s="44"/>
    </row>
    <row r="783" spans="1:16" x14ac:dyDescent="0.2">
      <c r="A783" s="58" t="str">
        <v>0:00</v>
      </c>
      <c r="B783" s="122"/>
      <c r="C783" s="144"/>
      <c r="D783" s="144"/>
      <c r="E783" s="144"/>
      <c r="F783" s="144"/>
      <c r="G783" s="144"/>
      <c r="H783" s="144"/>
      <c r="I783" s="144"/>
      <c r="J783" s="144"/>
      <c r="K783" s="144"/>
      <c r="L783" s="144"/>
      <c r="M783" s="144"/>
      <c r="N783" s="144"/>
      <c r="O783" s="44"/>
      <c r="P783" s="44"/>
    </row>
    <row r="784" spans="1:16" x14ac:dyDescent="0.2">
      <c r="A784" s="58" t="str">
        <v>0:00</v>
      </c>
      <c r="B784" s="122"/>
      <c r="C784" s="144"/>
      <c r="D784" s="144"/>
      <c r="E784" s="144"/>
      <c r="F784" s="144"/>
      <c r="G784" s="144"/>
      <c r="H784" s="144"/>
      <c r="I784" s="144"/>
      <c r="J784" s="144"/>
      <c r="K784" s="144"/>
      <c r="L784" s="144"/>
      <c r="M784" s="144"/>
      <c r="N784" s="144"/>
      <c r="O784" s="44"/>
      <c r="P784" s="44"/>
    </row>
    <row r="785" spans="1:16" x14ac:dyDescent="0.2">
      <c r="A785" s="58" t="str">
        <v>0:00</v>
      </c>
      <c r="B785" s="122"/>
      <c r="C785" s="144"/>
      <c r="D785" s="144"/>
      <c r="E785" s="144"/>
      <c r="F785" s="144"/>
      <c r="G785" s="144"/>
      <c r="H785" s="144"/>
      <c r="I785" s="144"/>
      <c r="J785" s="144"/>
      <c r="K785" s="144"/>
      <c r="L785" s="144"/>
      <c r="M785" s="144"/>
      <c r="N785" s="144"/>
      <c r="O785" s="44"/>
      <c r="P785" s="44"/>
    </row>
    <row r="786" spans="1:16" x14ac:dyDescent="0.2">
      <c r="A786" s="58" t="str">
        <v>0:00</v>
      </c>
      <c r="B786" s="122"/>
      <c r="C786" s="144"/>
      <c r="D786" s="144"/>
      <c r="E786" s="144"/>
      <c r="F786" s="144"/>
      <c r="G786" s="144"/>
      <c r="H786" s="144"/>
      <c r="I786" s="144"/>
      <c r="J786" s="144"/>
      <c r="K786" s="144"/>
      <c r="L786" s="144"/>
      <c r="M786" s="144"/>
      <c r="N786" s="144"/>
      <c r="O786" s="44"/>
      <c r="P786" s="44"/>
    </row>
    <row r="787" spans="1:16" x14ac:dyDescent="0.2">
      <c r="A787" s="58" t="str">
        <v>0:00</v>
      </c>
      <c r="B787" s="122"/>
      <c r="C787" s="144"/>
      <c r="D787" s="144"/>
      <c r="E787" s="144"/>
      <c r="F787" s="144"/>
      <c r="G787" s="144"/>
      <c r="H787" s="144"/>
      <c r="I787" s="144"/>
      <c r="J787" s="144"/>
      <c r="K787" s="144"/>
      <c r="L787" s="144"/>
      <c r="M787" s="144"/>
      <c r="N787" s="144"/>
      <c r="O787" s="44"/>
      <c r="P787" s="44"/>
    </row>
    <row r="788" spans="1:16" x14ac:dyDescent="0.2">
      <c r="A788" s="58" t="str">
        <v>0:00</v>
      </c>
      <c r="B788" s="122"/>
      <c r="C788" s="144"/>
      <c r="D788" s="144"/>
      <c r="E788" s="144"/>
      <c r="F788" s="144"/>
      <c r="G788" s="144"/>
      <c r="H788" s="144"/>
      <c r="I788" s="144"/>
      <c r="J788" s="144"/>
      <c r="K788" s="144"/>
      <c r="L788" s="144"/>
      <c r="M788" s="144"/>
      <c r="N788" s="144"/>
      <c r="O788" s="44"/>
      <c r="P788" s="44"/>
    </row>
    <row r="789" spans="1:16" x14ac:dyDescent="0.2">
      <c r="A789" s="58" t="str">
        <v>0:00</v>
      </c>
      <c r="B789" s="122"/>
      <c r="C789" s="144"/>
      <c r="D789" s="144"/>
      <c r="E789" s="144"/>
      <c r="F789" s="144"/>
      <c r="G789" s="144"/>
      <c r="H789" s="144"/>
      <c r="I789" s="144"/>
      <c r="J789" s="144"/>
      <c r="K789" s="144"/>
      <c r="L789" s="144"/>
      <c r="M789" s="144"/>
      <c r="N789" s="144"/>
      <c r="O789" s="44"/>
      <c r="P789" s="44"/>
    </row>
    <row r="790" spans="1:16" x14ac:dyDescent="0.2">
      <c r="A790" s="58" t="str">
        <v>0:00</v>
      </c>
      <c r="B790" s="122"/>
      <c r="C790" s="144"/>
      <c r="D790" s="144"/>
      <c r="E790" s="144"/>
      <c r="F790" s="144"/>
      <c r="G790" s="144"/>
      <c r="H790" s="144"/>
      <c r="I790" s="144"/>
      <c r="J790" s="144"/>
      <c r="K790" s="144"/>
      <c r="L790" s="144"/>
      <c r="M790" s="144"/>
      <c r="N790" s="144"/>
      <c r="O790" s="44"/>
      <c r="P790" s="44"/>
    </row>
    <row r="791" spans="1:16" x14ac:dyDescent="0.2">
      <c r="A791" s="58" t="str">
        <v>0:00</v>
      </c>
      <c r="B791" s="122"/>
      <c r="C791" s="144"/>
      <c r="D791" s="144"/>
      <c r="E791" s="144"/>
      <c r="F791" s="144"/>
      <c r="G791" s="144"/>
      <c r="H791" s="144"/>
      <c r="I791" s="144"/>
      <c r="J791" s="144"/>
      <c r="K791" s="144"/>
      <c r="L791" s="144"/>
      <c r="M791" s="144"/>
      <c r="N791" s="144"/>
      <c r="O791" s="44"/>
      <c r="P791" s="44"/>
    </row>
    <row r="792" spans="1:16" x14ac:dyDescent="0.2">
      <c r="A792" s="58" t="str">
        <v>0:00</v>
      </c>
      <c r="B792" s="122"/>
      <c r="C792" s="144"/>
      <c r="D792" s="144"/>
      <c r="E792" s="144"/>
      <c r="F792" s="144"/>
      <c r="G792" s="144"/>
      <c r="H792" s="144"/>
      <c r="I792" s="144"/>
      <c r="J792" s="144"/>
      <c r="K792" s="144"/>
      <c r="L792" s="144"/>
      <c r="M792" s="144"/>
      <c r="N792" s="144"/>
      <c r="O792" s="44"/>
      <c r="P792" s="44"/>
    </row>
    <row r="793" spans="1:16" x14ac:dyDescent="0.2">
      <c r="A793" s="58" t="str">
        <v>0:00</v>
      </c>
      <c r="B793" s="122"/>
      <c r="C793" s="144"/>
      <c r="D793" s="144"/>
      <c r="E793" s="144"/>
      <c r="F793" s="144"/>
      <c r="G793" s="144"/>
      <c r="H793" s="144"/>
      <c r="I793" s="144"/>
      <c r="J793" s="144"/>
      <c r="K793" s="144"/>
      <c r="L793" s="144"/>
      <c r="M793" s="144"/>
      <c r="N793" s="144"/>
      <c r="O793" s="44"/>
      <c r="P793" s="44"/>
    </row>
    <row r="794" spans="1:16" x14ac:dyDescent="0.2">
      <c r="A794" s="58" t="str">
        <v>0:00</v>
      </c>
      <c r="B794" s="122"/>
      <c r="C794" s="144"/>
      <c r="D794" s="144"/>
      <c r="E794" s="144"/>
      <c r="F794" s="144"/>
      <c r="G794" s="144"/>
      <c r="H794" s="144"/>
      <c r="I794" s="144"/>
      <c r="J794" s="144"/>
      <c r="K794" s="144"/>
      <c r="L794" s="144"/>
      <c r="M794" s="144"/>
      <c r="N794" s="144"/>
      <c r="O794" s="44"/>
      <c r="P794" s="44"/>
    </row>
    <row r="795" spans="1:16" x14ac:dyDescent="0.2">
      <c r="A795" s="58" t="str">
        <v>0:00</v>
      </c>
      <c r="B795" s="122"/>
      <c r="C795" s="144"/>
      <c r="D795" s="144"/>
      <c r="E795" s="144"/>
      <c r="F795" s="144"/>
      <c r="G795" s="144"/>
      <c r="H795" s="144"/>
      <c r="I795" s="144"/>
      <c r="J795" s="144"/>
      <c r="K795" s="144"/>
      <c r="L795" s="144"/>
      <c r="M795" s="144"/>
      <c r="N795" s="144"/>
      <c r="O795" s="44"/>
      <c r="P795" s="44"/>
    </row>
    <row r="796" spans="1:16" x14ac:dyDescent="0.2">
      <c r="A796" s="58" t="str">
        <v>0:00</v>
      </c>
      <c r="B796" s="122"/>
      <c r="C796" s="144"/>
      <c r="D796" s="144"/>
      <c r="E796" s="144"/>
      <c r="F796" s="144"/>
      <c r="G796" s="144"/>
      <c r="H796" s="144"/>
      <c r="I796" s="144"/>
      <c r="J796" s="144"/>
      <c r="K796" s="144"/>
      <c r="L796" s="144"/>
      <c r="M796" s="144"/>
      <c r="N796" s="144"/>
      <c r="O796" s="44"/>
      <c r="P796" s="44"/>
    </row>
    <row r="797" spans="1:16" x14ac:dyDescent="0.2">
      <c r="A797" s="58" t="str">
        <v>0:00</v>
      </c>
      <c r="B797" s="122"/>
      <c r="C797" s="144"/>
      <c r="D797" s="144"/>
      <c r="E797" s="144"/>
      <c r="F797" s="144"/>
      <c r="G797" s="144"/>
      <c r="H797" s="144"/>
      <c r="I797" s="144"/>
      <c r="J797" s="144"/>
      <c r="K797" s="144"/>
      <c r="L797" s="144"/>
      <c r="M797" s="144"/>
      <c r="N797" s="144"/>
      <c r="O797" s="44"/>
      <c r="P797" s="44"/>
    </row>
    <row r="798" spans="1:16" x14ac:dyDescent="0.2">
      <c r="A798" s="58" t="str">
        <v>0:00</v>
      </c>
      <c r="B798" s="122"/>
      <c r="C798" s="144"/>
      <c r="D798" s="144"/>
      <c r="E798" s="144"/>
      <c r="F798" s="144"/>
      <c r="G798" s="144"/>
      <c r="H798" s="144"/>
      <c r="I798" s="144"/>
      <c r="J798" s="144"/>
      <c r="K798" s="144"/>
      <c r="L798" s="144"/>
      <c r="M798" s="144"/>
      <c r="N798" s="144"/>
      <c r="O798" s="44"/>
      <c r="P798" s="44"/>
    </row>
    <row r="799" spans="1:16" x14ac:dyDescent="0.2">
      <c r="A799" s="58" t="str">
        <v>0:00</v>
      </c>
      <c r="B799" s="122"/>
      <c r="C799" s="144"/>
      <c r="D799" s="144"/>
      <c r="E799" s="144"/>
      <c r="F799" s="144"/>
      <c r="G799" s="144"/>
      <c r="H799" s="144"/>
      <c r="I799" s="144"/>
      <c r="J799" s="144"/>
      <c r="K799" s="144"/>
      <c r="L799" s="144"/>
      <c r="M799" s="144"/>
      <c r="N799" s="144"/>
      <c r="O799" s="44"/>
      <c r="P799" s="44"/>
    </row>
    <row r="800" spans="1:16" x14ac:dyDescent="0.2">
      <c r="A800" s="58" t="str">
        <v>0:00</v>
      </c>
      <c r="B800" s="122"/>
      <c r="C800" s="144"/>
      <c r="D800" s="144"/>
      <c r="E800" s="144"/>
      <c r="F800" s="144"/>
      <c r="G800" s="144"/>
      <c r="H800" s="144"/>
      <c r="I800" s="144"/>
      <c r="J800" s="144"/>
      <c r="K800" s="144"/>
      <c r="L800" s="144"/>
      <c r="M800" s="144"/>
      <c r="N800" s="144"/>
      <c r="O800" s="44"/>
      <c r="P800" s="44"/>
    </row>
    <row r="801" spans="1:16" x14ac:dyDescent="0.2">
      <c r="A801" s="58" t="str">
        <v>0:00</v>
      </c>
      <c r="B801" s="122"/>
      <c r="C801" s="144"/>
      <c r="D801" s="144"/>
      <c r="E801" s="144"/>
      <c r="F801" s="144"/>
      <c r="G801" s="144"/>
      <c r="H801" s="144"/>
      <c r="I801" s="144"/>
      <c r="J801" s="144"/>
      <c r="K801" s="144"/>
      <c r="L801" s="144"/>
      <c r="M801" s="144"/>
      <c r="N801" s="144"/>
      <c r="O801" s="44"/>
      <c r="P801" s="44"/>
    </row>
    <row r="802" spans="1:16" x14ac:dyDescent="0.2">
      <c r="A802" s="58" t="str">
        <v>0:00</v>
      </c>
      <c r="B802" s="122"/>
      <c r="C802" s="144"/>
      <c r="D802" s="144"/>
      <c r="E802" s="144"/>
      <c r="F802" s="144"/>
      <c r="G802" s="144"/>
      <c r="H802" s="144"/>
      <c r="I802" s="144"/>
      <c r="J802" s="144"/>
      <c r="K802" s="144"/>
      <c r="L802" s="144"/>
      <c r="M802" s="144"/>
      <c r="N802" s="144"/>
      <c r="O802" s="44"/>
      <c r="P802" s="44"/>
    </row>
    <row r="803" spans="1:16" x14ac:dyDescent="0.2">
      <c r="A803" s="58" t="str">
        <v>0:00</v>
      </c>
      <c r="B803" s="122"/>
      <c r="C803" s="144"/>
      <c r="D803" s="144"/>
      <c r="E803" s="144"/>
      <c r="F803" s="144"/>
      <c r="G803" s="144"/>
      <c r="H803" s="144"/>
      <c r="I803" s="144"/>
      <c r="J803" s="144"/>
      <c r="K803" s="144"/>
      <c r="L803" s="144"/>
      <c r="M803" s="144"/>
      <c r="N803" s="144"/>
      <c r="O803" s="44"/>
      <c r="P803" s="44"/>
    </row>
    <row r="804" spans="1:16" x14ac:dyDescent="0.2">
      <c r="A804" s="58" t="str">
        <v>0:00</v>
      </c>
      <c r="B804" s="122"/>
      <c r="C804" s="144"/>
      <c r="D804" s="144"/>
      <c r="E804" s="144"/>
      <c r="F804" s="144"/>
      <c r="G804" s="144"/>
      <c r="H804" s="144"/>
      <c r="I804" s="144"/>
      <c r="J804" s="144"/>
      <c r="K804" s="144"/>
      <c r="L804" s="144"/>
      <c r="M804" s="144"/>
      <c r="N804" s="144"/>
      <c r="O804" s="44"/>
      <c r="P804" s="44"/>
    </row>
    <row r="805" spans="1:16" x14ac:dyDescent="0.2">
      <c r="A805" s="58" t="str">
        <v>0:00</v>
      </c>
      <c r="B805" s="122"/>
      <c r="C805" s="144"/>
      <c r="D805" s="144"/>
      <c r="E805" s="144"/>
      <c r="F805" s="144"/>
      <c r="G805" s="144"/>
      <c r="H805" s="144"/>
      <c r="I805" s="144"/>
      <c r="J805" s="144"/>
      <c r="K805" s="144"/>
      <c r="L805" s="144"/>
      <c r="M805" s="144"/>
      <c r="N805" s="144"/>
      <c r="O805" s="44"/>
      <c r="P805" s="44"/>
    </row>
    <row r="806" spans="1:16" x14ac:dyDescent="0.2">
      <c r="A806" s="58" t="str">
        <v>0:00</v>
      </c>
      <c r="B806" s="122"/>
      <c r="C806" s="144"/>
      <c r="D806" s="144"/>
      <c r="E806" s="144"/>
      <c r="F806" s="144"/>
      <c r="G806" s="144"/>
      <c r="H806" s="144"/>
      <c r="I806" s="144"/>
      <c r="J806" s="144"/>
      <c r="K806" s="144"/>
      <c r="L806" s="144"/>
      <c r="M806" s="144"/>
      <c r="N806" s="144"/>
      <c r="O806" s="44"/>
      <c r="P806" s="44"/>
    </row>
    <row r="807" spans="1:16" x14ac:dyDescent="0.2">
      <c r="A807" s="58" t="str">
        <v>0:00</v>
      </c>
      <c r="B807" s="122"/>
      <c r="C807" s="144"/>
      <c r="D807" s="144"/>
      <c r="E807" s="144"/>
      <c r="F807" s="144"/>
      <c r="G807" s="144"/>
      <c r="H807" s="144"/>
      <c r="I807" s="144"/>
      <c r="J807" s="144"/>
      <c r="K807" s="144"/>
      <c r="L807" s="144"/>
      <c r="M807" s="144"/>
      <c r="N807" s="144"/>
      <c r="O807" s="44"/>
      <c r="P807" s="44"/>
    </row>
    <row r="808" spans="1:16" x14ac:dyDescent="0.2">
      <c r="A808" s="58" t="str">
        <v>0:00</v>
      </c>
      <c r="B808" s="122"/>
      <c r="C808" s="144"/>
      <c r="D808" s="144"/>
      <c r="E808" s="144"/>
      <c r="F808" s="144"/>
      <c r="G808" s="144"/>
      <c r="H808" s="144"/>
      <c r="I808" s="144"/>
      <c r="J808" s="144"/>
      <c r="K808" s="144"/>
      <c r="L808" s="144"/>
      <c r="M808" s="144"/>
      <c r="N808" s="144"/>
      <c r="O808" s="44"/>
      <c r="P808" s="44"/>
    </row>
    <row r="809" spans="1:16" x14ac:dyDescent="0.2">
      <c r="A809" s="58" t="str">
        <v>0:00</v>
      </c>
      <c r="B809" s="122"/>
      <c r="C809" s="144"/>
      <c r="D809" s="144"/>
      <c r="E809" s="144"/>
      <c r="F809" s="144"/>
      <c r="G809" s="144"/>
      <c r="H809" s="144"/>
      <c r="I809" s="144"/>
      <c r="J809" s="144"/>
      <c r="K809" s="144"/>
      <c r="L809" s="144"/>
      <c r="M809" s="144"/>
      <c r="N809" s="144"/>
      <c r="O809" s="44"/>
      <c r="P809" s="44"/>
    </row>
    <row r="810" spans="1:16" x14ac:dyDescent="0.2">
      <c r="A810" s="58" t="str">
        <v>0:00</v>
      </c>
      <c r="B810" s="122"/>
      <c r="C810" s="144"/>
      <c r="D810" s="144"/>
      <c r="E810" s="144"/>
      <c r="F810" s="144"/>
      <c r="G810" s="144"/>
      <c r="H810" s="144"/>
      <c r="I810" s="144"/>
      <c r="J810" s="144"/>
      <c r="K810" s="144"/>
      <c r="L810" s="144"/>
      <c r="M810" s="144"/>
      <c r="N810" s="144"/>
      <c r="O810" s="44"/>
      <c r="P810" s="44"/>
    </row>
    <row r="811" spans="1:16" x14ac:dyDescent="0.2">
      <c r="A811" s="58" t="str">
        <v>0:00</v>
      </c>
      <c r="B811" s="122"/>
      <c r="C811" s="144"/>
      <c r="D811" s="144"/>
      <c r="E811" s="144"/>
      <c r="F811" s="144"/>
      <c r="G811" s="144"/>
      <c r="H811" s="144"/>
      <c r="I811" s="144"/>
      <c r="J811" s="144"/>
      <c r="K811" s="144"/>
      <c r="L811" s="144"/>
      <c r="M811" s="144"/>
      <c r="N811" s="144"/>
      <c r="O811" s="44"/>
      <c r="P811" s="44"/>
    </row>
    <row r="812" spans="1:16" x14ac:dyDescent="0.2">
      <c r="A812" s="58" t="str">
        <v>0:00</v>
      </c>
      <c r="B812" s="122"/>
      <c r="C812" s="144"/>
      <c r="D812" s="144"/>
      <c r="E812" s="144"/>
      <c r="F812" s="144"/>
      <c r="G812" s="144"/>
      <c r="H812" s="144"/>
      <c r="I812" s="144"/>
      <c r="J812" s="144"/>
      <c r="K812" s="144"/>
      <c r="L812" s="144"/>
      <c r="M812" s="144"/>
      <c r="N812" s="144"/>
      <c r="O812" s="44"/>
      <c r="P812" s="44"/>
    </row>
    <row r="813" spans="1:16" x14ac:dyDescent="0.2">
      <c r="A813" s="58" t="str">
        <v>0:00</v>
      </c>
      <c r="B813" s="122"/>
      <c r="C813" s="144"/>
      <c r="D813" s="144"/>
      <c r="E813" s="144"/>
      <c r="F813" s="144"/>
      <c r="G813" s="144"/>
      <c r="H813" s="144"/>
      <c r="I813" s="144"/>
      <c r="J813" s="144"/>
      <c r="K813" s="144"/>
      <c r="L813" s="144"/>
      <c r="M813" s="144"/>
      <c r="N813" s="144"/>
      <c r="O813" s="44"/>
      <c r="P813" s="44"/>
    </row>
    <row r="814" spans="1:16" x14ac:dyDescent="0.2">
      <c r="A814" s="58" t="str">
        <v>0:00</v>
      </c>
      <c r="B814" s="122"/>
      <c r="C814" s="144"/>
      <c r="D814" s="144"/>
      <c r="E814" s="144"/>
      <c r="F814" s="144"/>
      <c r="G814" s="144"/>
      <c r="H814" s="144"/>
      <c r="I814" s="144"/>
      <c r="J814" s="144"/>
      <c r="K814" s="144"/>
      <c r="L814" s="144"/>
      <c r="M814" s="144"/>
      <c r="N814" s="144"/>
      <c r="O814" s="44"/>
      <c r="P814" s="44"/>
    </row>
    <row r="815" spans="1:16" x14ac:dyDescent="0.2">
      <c r="A815" s="58" t="str">
        <v>0:00</v>
      </c>
      <c r="B815" s="122"/>
      <c r="C815" s="144"/>
      <c r="D815" s="144"/>
      <c r="E815" s="144"/>
      <c r="F815" s="144"/>
      <c r="G815" s="144"/>
      <c r="H815" s="144"/>
      <c r="I815" s="144"/>
      <c r="J815" s="144"/>
      <c r="K815" s="144"/>
      <c r="L815" s="144"/>
      <c r="M815" s="144"/>
      <c r="N815" s="144"/>
      <c r="O815" s="44"/>
      <c r="P815" s="44"/>
    </row>
    <row r="816" spans="1:16" x14ac:dyDescent="0.2">
      <c r="A816" s="58" t="str">
        <v>0:00</v>
      </c>
      <c r="B816" s="122"/>
      <c r="C816" s="144"/>
      <c r="D816" s="144"/>
      <c r="E816" s="144"/>
      <c r="F816" s="144"/>
      <c r="G816" s="144"/>
      <c r="H816" s="144"/>
      <c r="I816" s="144"/>
      <c r="J816" s="144"/>
      <c r="K816" s="144"/>
      <c r="L816" s="144"/>
      <c r="M816" s="144"/>
      <c r="N816" s="144"/>
      <c r="O816" s="44"/>
      <c r="P816" s="44"/>
    </row>
    <row r="817" spans="1:16" x14ac:dyDescent="0.2">
      <c r="A817" s="58" t="str">
        <v>0:00</v>
      </c>
      <c r="B817" s="122"/>
      <c r="C817" s="144"/>
      <c r="D817" s="144"/>
      <c r="E817" s="144"/>
      <c r="F817" s="144"/>
      <c r="G817" s="144"/>
      <c r="H817" s="144"/>
      <c r="I817" s="144"/>
      <c r="J817" s="144"/>
      <c r="K817" s="144"/>
      <c r="L817" s="144"/>
      <c r="M817" s="144"/>
      <c r="N817" s="144"/>
      <c r="O817" s="44"/>
      <c r="P817" s="44"/>
    </row>
    <row r="818" spans="1:16" x14ac:dyDescent="0.2">
      <c r="A818" s="58" t="str">
        <v>0:00</v>
      </c>
      <c r="B818" s="122"/>
      <c r="C818" s="144"/>
      <c r="D818" s="144"/>
      <c r="E818" s="144"/>
      <c r="F818" s="144"/>
      <c r="G818" s="144"/>
      <c r="H818" s="144"/>
      <c r="I818" s="144"/>
      <c r="J818" s="144"/>
      <c r="K818" s="144"/>
      <c r="L818" s="144"/>
      <c r="M818" s="144"/>
      <c r="N818" s="144"/>
      <c r="O818" s="44"/>
      <c r="P818" s="44"/>
    </row>
    <row r="819" spans="1:16" x14ac:dyDescent="0.2">
      <c r="A819" s="58" t="str">
        <v>0:00</v>
      </c>
      <c r="B819" s="122"/>
      <c r="C819" s="144"/>
      <c r="D819" s="144"/>
      <c r="E819" s="144"/>
      <c r="F819" s="144"/>
      <c r="G819" s="144"/>
      <c r="H819" s="144"/>
      <c r="I819" s="144"/>
      <c r="J819" s="144"/>
      <c r="K819" s="144"/>
      <c r="L819" s="144"/>
      <c r="M819" s="144"/>
      <c r="N819" s="144"/>
      <c r="O819" s="44"/>
      <c r="P819" s="44"/>
    </row>
    <row r="820" spans="1:16" x14ac:dyDescent="0.2">
      <c r="A820" s="58" t="str">
        <v>0:00</v>
      </c>
      <c r="B820" s="122"/>
      <c r="C820" s="144"/>
      <c r="D820" s="144"/>
      <c r="E820" s="144"/>
      <c r="F820" s="144"/>
      <c r="G820" s="144"/>
      <c r="H820" s="144"/>
      <c r="I820" s="144"/>
      <c r="J820" s="144"/>
      <c r="K820" s="144"/>
      <c r="L820" s="144"/>
      <c r="M820" s="144"/>
      <c r="N820" s="144"/>
      <c r="O820" s="44"/>
      <c r="P820" s="44"/>
    </row>
    <row r="821" spans="1:16" x14ac:dyDescent="0.2">
      <c r="A821" s="58" t="str">
        <v>0:00</v>
      </c>
      <c r="B821" s="122"/>
      <c r="C821" s="144"/>
      <c r="D821" s="144"/>
      <c r="E821" s="144"/>
      <c r="F821" s="144"/>
      <c r="G821" s="144"/>
      <c r="H821" s="144"/>
      <c r="I821" s="144"/>
      <c r="J821" s="144"/>
      <c r="K821" s="144"/>
      <c r="L821" s="144"/>
      <c r="M821" s="144"/>
      <c r="N821" s="144"/>
      <c r="O821" s="44"/>
      <c r="P821" s="44"/>
    </row>
    <row r="822" spans="1:16" x14ac:dyDescent="0.2">
      <c r="A822" s="58" t="str">
        <v>0:00</v>
      </c>
      <c r="B822" s="122"/>
      <c r="C822" s="144"/>
      <c r="D822" s="144"/>
      <c r="E822" s="144"/>
      <c r="F822" s="144"/>
      <c r="G822" s="144"/>
      <c r="H822" s="144"/>
      <c r="I822" s="144"/>
      <c r="J822" s="144"/>
      <c r="K822" s="144"/>
      <c r="L822" s="144"/>
      <c r="M822" s="144"/>
      <c r="N822" s="144"/>
      <c r="O822" s="44"/>
      <c r="P822" s="44"/>
    </row>
    <row r="823" spans="1:16" x14ac:dyDescent="0.2">
      <c r="A823" s="58" t="str">
        <v>0:00</v>
      </c>
      <c r="B823" s="122"/>
      <c r="C823" s="144"/>
      <c r="D823" s="144"/>
      <c r="E823" s="144"/>
      <c r="F823" s="144"/>
      <c r="G823" s="144"/>
      <c r="H823" s="144"/>
      <c r="I823" s="144"/>
      <c r="J823" s="144"/>
      <c r="K823" s="144"/>
      <c r="L823" s="144"/>
      <c r="M823" s="144"/>
      <c r="N823" s="144"/>
      <c r="O823" s="44"/>
      <c r="P823" s="44"/>
    </row>
    <row r="824" spans="1:16" x14ac:dyDescent="0.2">
      <c r="A824" s="58" t="str">
        <v>0:00</v>
      </c>
      <c r="B824" s="122"/>
      <c r="C824" s="144"/>
      <c r="D824" s="144"/>
      <c r="E824" s="144"/>
      <c r="F824" s="144"/>
      <c r="G824" s="144"/>
      <c r="H824" s="144"/>
      <c r="I824" s="144"/>
      <c r="J824" s="144"/>
      <c r="K824" s="144"/>
      <c r="L824" s="144"/>
      <c r="M824" s="144"/>
      <c r="N824" s="144"/>
      <c r="O824" s="44"/>
      <c r="P824" s="44"/>
    </row>
    <row r="825" spans="1:16" x14ac:dyDescent="0.2">
      <c r="A825" s="58" t="str">
        <v>0:00</v>
      </c>
      <c r="B825" s="122"/>
      <c r="C825" s="144"/>
      <c r="D825" s="144"/>
      <c r="E825" s="144"/>
      <c r="F825" s="144"/>
      <c r="G825" s="144"/>
      <c r="H825" s="144"/>
      <c r="I825" s="144"/>
      <c r="J825" s="144"/>
      <c r="K825" s="144"/>
      <c r="L825" s="144"/>
      <c r="M825" s="144"/>
      <c r="N825" s="144"/>
      <c r="O825" s="44"/>
      <c r="P825" s="44"/>
    </row>
    <row r="826" spans="1:16" x14ac:dyDescent="0.2">
      <c r="A826" s="58" t="str">
        <v>0:00</v>
      </c>
      <c r="B826" s="122"/>
      <c r="C826" s="144"/>
      <c r="D826" s="144"/>
      <c r="E826" s="144"/>
      <c r="F826" s="144"/>
      <c r="G826" s="144"/>
      <c r="H826" s="144"/>
      <c r="I826" s="144"/>
      <c r="J826" s="144"/>
      <c r="K826" s="144"/>
      <c r="L826" s="144"/>
      <c r="M826" s="144"/>
      <c r="N826" s="144"/>
      <c r="O826" s="44"/>
      <c r="P826" s="44"/>
    </row>
    <row r="827" spans="1:16" x14ac:dyDescent="0.2">
      <c r="A827" s="58" t="str">
        <v>0:00</v>
      </c>
      <c r="B827" s="122"/>
      <c r="C827" s="144"/>
      <c r="D827" s="144"/>
      <c r="E827" s="144"/>
      <c r="F827" s="144"/>
      <c r="G827" s="144"/>
      <c r="H827" s="144"/>
      <c r="I827" s="144"/>
      <c r="J827" s="144"/>
      <c r="K827" s="144"/>
      <c r="L827" s="144"/>
      <c r="M827" s="144"/>
      <c r="N827" s="144"/>
      <c r="O827" s="44"/>
      <c r="P827" s="44"/>
    </row>
    <row r="828" spans="1:16" x14ac:dyDescent="0.2">
      <c r="A828" s="58" t="str">
        <v>0:00</v>
      </c>
      <c r="B828" s="122"/>
      <c r="C828" s="144"/>
      <c r="D828" s="144"/>
      <c r="E828" s="144"/>
      <c r="F828" s="144"/>
      <c r="G828" s="144"/>
      <c r="H828" s="144"/>
      <c r="I828" s="144"/>
      <c r="J828" s="144"/>
      <c r="K828" s="144"/>
      <c r="L828" s="144"/>
      <c r="M828" s="144"/>
      <c r="N828" s="144"/>
      <c r="O828" s="44"/>
      <c r="P828" s="44"/>
    </row>
    <row r="829" spans="1:16" x14ac:dyDescent="0.2">
      <c r="A829" s="58" t="str">
        <v>0:00</v>
      </c>
      <c r="B829" s="122"/>
      <c r="C829" s="144"/>
      <c r="D829" s="144"/>
      <c r="E829" s="144"/>
      <c r="F829" s="144"/>
      <c r="G829" s="144"/>
      <c r="H829" s="144"/>
      <c r="I829" s="144"/>
      <c r="J829" s="144"/>
      <c r="K829" s="144"/>
      <c r="L829" s="144"/>
      <c r="M829" s="144"/>
      <c r="N829" s="144"/>
      <c r="O829" s="44"/>
      <c r="P829" s="44"/>
    </row>
    <row r="830" spans="1:16" x14ac:dyDescent="0.2">
      <c r="A830" s="58" t="str">
        <v>0:00</v>
      </c>
      <c r="B830" s="122"/>
      <c r="C830" s="144"/>
      <c r="D830" s="144"/>
      <c r="E830" s="144"/>
      <c r="F830" s="144"/>
      <c r="G830" s="144"/>
      <c r="H830" s="144"/>
      <c r="I830" s="144"/>
      <c r="J830" s="144"/>
      <c r="K830" s="144"/>
      <c r="L830" s="144"/>
      <c r="M830" s="144"/>
      <c r="N830" s="144"/>
      <c r="O830" s="44"/>
      <c r="P830" s="44"/>
    </row>
    <row r="831" spans="1:16" x14ac:dyDescent="0.2">
      <c r="A831" s="58" t="str">
        <v>0:00</v>
      </c>
      <c r="B831" s="122"/>
      <c r="C831" s="144"/>
      <c r="D831" s="144"/>
      <c r="E831" s="144"/>
      <c r="F831" s="144"/>
      <c r="G831" s="144"/>
      <c r="H831" s="144"/>
      <c r="I831" s="144"/>
      <c r="J831" s="144"/>
      <c r="K831" s="144"/>
      <c r="L831" s="144"/>
      <c r="M831" s="144"/>
      <c r="N831" s="144"/>
      <c r="O831" s="44"/>
      <c r="P831" s="44"/>
    </row>
    <row r="832" spans="1:16" x14ac:dyDescent="0.2">
      <c r="A832" s="58" t="str">
        <v>0:00</v>
      </c>
      <c r="B832" s="122"/>
      <c r="C832" s="144"/>
      <c r="D832" s="144"/>
      <c r="E832" s="144"/>
      <c r="F832" s="144"/>
      <c r="G832" s="144"/>
      <c r="H832" s="144"/>
      <c r="I832" s="144"/>
      <c r="J832" s="144"/>
      <c r="K832" s="144"/>
      <c r="L832" s="144"/>
      <c r="M832" s="144"/>
      <c r="N832" s="144"/>
      <c r="O832" s="44"/>
      <c r="P832" s="44"/>
    </row>
    <row r="833" spans="1:16" x14ac:dyDescent="0.2">
      <c r="A833" s="58" t="str">
        <v>0:00</v>
      </c>
      <c r="B833" s="122"/>
      <c r="C833" s="144"/>
      <c r="D833" s="144"/>
      <c r="E833" s="144"/>
      <c r="F833" s="144"/>
      <c r="G833" s="144"/>
      <c r="H833" s="144"/>
      <c r="I833" s="144"/>
      <c r="J833" s="144"/>
      <c r="K833" s="144"/>
      <c r="L833" s="144"/>
      <c r="M833" s="144"/>
      <c r="N833" s="144"/>
      <c r="O833" s="44"/>
      <c r="P833" s="44"/>
    </row>
    <row r="834" spans="1:16" x14ac:dyDescent="0.2">
      <c r="A834" s="58" t="str">
        <v>0:00</v>
      </c>
      <c r="B834" s="122"/>
      <c r="C834" s="144"/>
      <c r="D834" s="144"/>
      <c r="E834" s="144"/>
      <c r="F834" s="144"/>
      <c r="G834" s="144"/>
      <c r="H834" s="144"/>
      <c r="I834" s="144"/>
      <c r="J834" s="144"/>
      <c r="K834" s="144"/>
      <c r="L834" s="144"/>
      <c r="M834" s="144"/>
      <c r="N834" s="144"/>
      <c r="O834" s="44"/>
      <c r="P834" s="44"/>
    </row>
    <row r="835" spans="1:16" x14ac:dyDescent="0.2">
      <c r="A835" s="58" t="str">
        <v>0:00</v>
      </c>
      <c r="B835" s="122"/>
      <c r="C835" s="144"/>
      <c r="D835" s="144"/>
      <c r="E835" s="144"/>
      <c r="F835" s="144"/>
      <c r="G835" s="144"/>
      <c r="H835" s="144"/>
      <c r="I835" s="144"/>
      <c r="J835" s="144"/>
      <c r="K835" s="144"/>
      <c r="L835" s="144"/>
      <c r="M835" s="144"/>
      <c r="N835" s="144"/>
      <c r="O835" s="44"/>
      <c r="P835" s="44"/>
    </row>
    <row r="836" spans="1:16" x14ac:dyDescent="0.2">
      <c r="A836" s="58" t="str">
        <v>0:00</v>
      </c>
      <c r="B836" s="122"/>
      <c r="C836" s="144"/>
      <c r="D836" s="144"/>
      <c r="E836" s="144"/>
      <c r="F836" s="144"/>
      <c r="G836" s="144"/>
      <c r="H836" s="144"/>
      <c r="I836" s="144"/>
      <c r="J836" s="144"/>
      <c r="K836" s="144"/>
      <c r="L836" s="144"/>
      <c r="M836" s="144"/>
      <c r="N836" s="144"/>
      <c r="O836" s="44"/>
      <c r="P836" s="44"/>
    </row>
    <row r="837" spans="1:16" x14ac:dyDescent="0.2">
      <c r="A837" s="58" t="str">
        <v>0:00</v>
      </c>
      <c r="B837" s="122"/>
      <c r="C837" s="144"/>
      <c r="D837" s="144"/>
      <c r="E837" s="144"/>
      <c r="F837" s="144"/>
      <c r="G837" s="144"/>
      <c r="H837" s="144"/>
      <c r="I837" s="144"/>
      <c r="J837" s="144"/>
      <c r="K837" s="144"/>
      <c r="L837" s="144"/>
      <c r="M837" s="144"/>
      <c r="N837" s="144"/>
      <c r="O837" s="44"/>
      <c r="P837" s="44"/>
    </row>
    <row r="838" spans="1:16" x14ac:dyDescent="0.2">
      <c r="A838" s="58" t="str">
        <v>0:00</v>
      </c>
      <c r="B838" s="122"/>
      <c r="C838" s="144"/>
      <c r="D838" s="144"/>
      <c r="E838" s="144"/>
      <c r="F838" s="144"/>
      <c r="G838" s="144"/>
      <c r="H838" s="144"/>
      <c r="I838" s="144"/>
      <c r="J838" s="144"/>
      <c r="K838" s="144"/>
      <c r="L838" s="144"/>
      <c r="M838" s="144"/>
      <c r="N838" s="144"/>
      <c r="O838" s="44"/>
      <c r="P838" s="44"/>
    </row>
    <row r="839" spans="1:16" x14ac:dyDescent="0.2">
      <c r="A839" s="58" t="str">
        <v>0:00</v>
      </c>
      <c r="B839" s="122"/>
      <c r="C839" s="144"/>
      <c r="D839" s="144"/>
      <c r="E839" s="144"/>
      <c r="F839" s="144"/>
      <c r="G839" s="144"/>
      <c r="H839" s="144"/>
      <c r="I839" s="144"/>
      <c r="J839" s="144"/>
      <c r="K839" s="144"/>
      <c r="L839" s="144"/>
      <c r="M839" s="144"/>
      <c r="N839" s="144"/>
      <c r="O839" s="44"/>
      <c r="P839" s="44"/>
    </row>
    <row r="840" spans="1:16" x14ac:dyDescent="0.2">
      <c r="A840" s="58" t="str">
        <v>0:00</v>
      </c>
      <c r="B840" s="122"/>
      <c r="C840" s="144"/>
      <c r="D840" s="144"/>
      <c r="E840" s="144"/>
      <c r="F840" s="144"/>
      <c r="G840" s="144"/>
      <c r="H840" s="144"/>
      <c r="I840" s="144"/>
      <c r="J840" s="144"/>
      <c r="K840" s="144"/>
      <c r="L840" s="144"/>
      <c r="M840" s="144"/>
      <c r="N840" s="144"/>
      <c r="O840" s="44"/>
      <c r="P840" s="44"/>
    </row>
    <row r="841" spans="1:16" x14ac:dyDescent="0.2">
      <c r="A841" s="58" t="str">
        <v>0:00</v>
      </c>
      <c r="B841" s="122"/>
      <c r="C841" s="144"/>
      <c r="D841" s="144"/>
      <c r="E841" s="144"/>
      <c r="F841" s="144"/>
      <c r="G841" s="144"/>
      <c r="H841" s="144"/>
      <c r="I841" s="144"/>
      <c r="J841" s="144"/>
      <c r="K841" s="144"/>
      <c r="L841" s="144"/>
      <c r="M841" s="144"/>
      <c r="N841" s="144"/>
      <c r="O841" s="44"/>
      <c r="P841" s="44"/>
    </row>
    <row r="842" spans="1:16" x14ac:dyDescent="0.2">
      <c r="A842" s="58" t="str">
        <v>0:00</v>
      </c>
      <c r="B842" s="122"/>
      <c r="C842" s="144"/>
      <c r="D842" s="144"/>
      <c r="E842" s="144"/>
      <c r="F842" s="144"/>
      <c r="G842" s="144"/>
      <c r="H842" s="144"/>
      <c r="I842" s="144"/>
      <c r="J842" s="144"/>
      <c r="K842" s="144"/>
      <c r="L842" s="144"/>
      <c r="M842" s="144"/>
      <c r="N842" s="144"/>
      <c r="O842" s="44"/>
      <c r="P842" s="44"/>
    </row>
    <row r="843" spans="1:16" x14ac:dyDescent="0.2">
      <c r="A843" s="58" t="str">
        <v>0:00</v>
      </c>
      <c r="B843" s="122"/>
      <c r="C843" s="144"/>
      <c r="D843" s="144"/>
      <c r="E843" s="144"/>
      <c r="F843" s="144"/>
      <c r="G843" s="144"/>
      <c r="H843" s="144"/>
      <c r="I843" s="144"/>
      <c r="J843" s="144"/>
      <c r="K843" s="144"/>
      <c r="L843" s="144"/>
      <c r="M843" s="144"/>
      <c r="N843" s="144"/>
      <c r="O843" s="44"/>
      <c r="P843" s="44"/>
    </row>
    <row r="844" spans="1:16" x14ac:dyDescent="0.2">
      <c r="A844" s="58" t="str">
        <v>0:00</v>
      </c>
      <c r="B844" s="122"/>
      <c r="C844" s="144"/>
      <c r="D844" s="144"/>
      <c r="E844" s="144"/>
      <c r="F844" s="144"/>
      <c r="G844" s="144"/>
      <c r="H844" s="144"/>
      <c r="I844" s="144"/>
      <c r="J844" s="144"/>
      <c r="K844" s="144"/>
      <c r="L844" s="144"/>
      <c r="M844" s="144"/>
      <c r="N844" s="144"/>
      <c r="O844" s="44"/>
      <c r="P844" s="44"/>
    </row>
    <row r="845" spans="1:16" x14ac:dyDescent="0.2">
      <c r="A845" s="58" t="str">
        <v>0:00</v>
      </c>
      <c r="B845" s="122"/>
      <c r="C845" s="144"/>
      <c r="D845" s="144"/>
      <c r="E845" s="144"/>
      <c r="F845" s="144"/>
      <c r="G845" s="144"/>
      <c r="H845" s="144"/>
      <c r="I845" s="144"/>
      <c r="J845" s="144"/>
      <c r="K845" s="144"/>
      <c r="L845" s="144"/>
      <c r="M845" s="144"/>
      <c r="N845" s="144"/>
      <c r="O845" s="44"/>
      <c r="P845" s="44"/>
    </row>
    <row r="846" spans="1:16" x14ac:dyDescent="0.2">
      <c r="A846" s="58" t="str">
        <v>0:00</v>
      </c>
      <c r="B846" s="122"/>
      <c r="C846" s="144"/>
      <c r="D846" s="144"/>
      <c r="E846" s="144"/>
      <c r="F846" s="144"/>
      <c r="G846" s="144"/>
      <c r="H846" s="144"/>
      <c r="I846" s="144"/>
      <c r="J846" s="144"/>
      <c r="K846" s="144"/>
      <c r="L846" s="144"/>
      <c r="M846" s="144"/>
      <c r="N846" s="144"/>
      <c r="O846" s="44"/>
      <c r="P846" s="44"/>
    </row>
    <row r="847" spans="1:16" x14ac:dyDescent="0.2">
      <c r="A847" s="58" t="str">
        <v>0:00</v>
      </c>
      <c r="B847" s="122"/>
      <c r="C847" s="144"/>
      <c r="D847" s="144"/>
      <c r="E847" s="144"/>
      <c r="F847" s="144"/>
      <c r="G847" s="144"/>
      <c r="H847" s="144"/>
      <c r="I847" s="144"/>
      <c r="J847" s="144"/>
      <c r="K847" s="144"/>
      <c r="L847" s="144"/>
      <c r="M847" s="144"/>
      <c r="N847" s="144"/>
      <c r="O847" s="44"/>
      <c r="P847" s="44"/>
    </row>
    <row r="848" spans="1:16" x14ac:dyDescent="0.2">
      <c r="A848" s="58" t="str">
        <v>0:00</v>
      </c>
      <c r="B848" s="122"/>
      <c r="C848" s="144"/>
      <c r="D848" s="144"/>
      <c r="E848" s="144"/>
      <c r="F848" s="144"/>
      <c r="G848" s="144"/>
      <c r="H848" s="144"/>
      <c r="I848" s="144"/>
      <c r="J848" s="144"/>
      <c r="K848" s="144"/>
      <c r="L848" s="144"/>
      <c r="M848" s="144"/>
      <c r="N848" s="144"/>
      <c r="O848" s="44"/>
      <c r="P848" s="44"/>
    </row>
    <row r="849" spans="1:16" x14ac:dyDescent="0.2">
      <c r="A849" s="58" t="str">
        <v>0:00</v>
      </c>
      <c r="B849" s="122"/>
      <c r="C849" s="144"/>
      <c r="D849" s="144"/>
      <c r="E849" s="144"/>
      <c r="F849" s="144"/>
      <c r="G849" s="144"/>
      <c r="H849" s="144"/>
      <c r="I849" s="144"/>
      <c r="J849" s="144"/>
      <c r="K849" s="144"/>
      <c r="L849" s="144"/>
      <c r="M849" s="144"/>
      <c r="N849" s="144"/>
      <c r="O849" s="44"/>
      <c r="P849" s="44"/>
    </row>
    <row r="850" spans="1:16" x14ac:dyDescent="0.2">
      <c r="A850" s="58" t="str">
        <v>0:00</v>
      </c>
      <c r="B850" s="122"/>
      <c r="C850" s="144"/>
      <c r="D850" s="144"/>
      <c r="E850" s="144"/>
      <c r="F850" s="144"/>
      <c r="G850" s="144"/>
      <c r="H850" s="144"/>
      <c r="I850" s="144"/>
      <c r="J850" s="144"/>
      <c r="K850" s="144"/>
      <c r="L850" s="144"/>
      <c r="M850" s="144"/>
      <c r="N850" s="144"/>
      <c r="O850" s="44"/>
      <c r="P850" s="44"/>
    </row>
    <row r="851" spans="1:16" x14ac:dyDescent="0.2">
      <c r="A851" s="58" t="str">
        <v>0:00</v>
      </c>
      <c r="B851" s="122"/>
      <c r="C851" s="144"/>
      <c r="D851" s="144"/>
      <c r="E851" s="144"/>
      <c r="F851" s="144"/>
      <c r="G851" s="144"/>
      <c r="H851" s="144"/>
      <c r="I851" s="144"/>
      <c r="J851" s="144"/>
      <c r="K851" s="144"/>
      <c r="L851" s="144"/>
      <c r="M851" s="144"/>
      <c r="N851" s="144"/>
      <c r="O851" s="44"/>
      <c r="P851" s="44"/>
    </row>
    <row r="852" spans="1:16" x14ac:dyDescent="0.2">
      <c r="A852" s="58" t="str">
        <v>0:00</v>
      </c>
      <c r="B852" s="122"/>
      <c r="C852" s="144"/>
      <c r="D852" s="144"/>
      <c r="E852" s="144"/>
      <c r="F852" s="144"/>
      <c r="G852" s="144"/>
      <c r="H852" s="144"/>
      <c r="I852" s="144"/>
      <c r="J852" s="144"/>
      <c r="K852" s="144"/>
      <c r="L852" s="144"/>
      <c r="M852" s="144"/>
      <c r="N852" s="144"/>
      <c r="O852" s="44"/>
      <c r="P852" s="44"/>
    </row>
    <row r="853" spans="1:16" x14ac:dyDescent="0.2">
      <c r="A853" s="58" t="str">
        <v>0:00</v>
      </c>
      <c r="B853" s="122"/>
      <c r="C853" s="144"/>
      <c r="D853" s="144"/>
      <c r="E853" s="144"/>
      <c r="F853" s="144"/>
      <c r="G853" s="144"/>
      <c r="H853" s="144"/>
      <c r="I853" s="144"/>
      <c r="J853" s="144"/>
      <c r="K853" s="144"/>
      <c r="L853" s="144"/>
      <c r="M853" s="144"/>
      <c r="N853" s="144"/>
      <c r="O853" s="44"/>
      <c r="P853" s="44"/>
    </row>
    <row r="854" spans="1:16" x14ac:dyDescent="0.2">
      <c r="A854" s="58" t="str">
        <v>0:00</v>
      </c>
      <c r="B854" s="122"/>
      <c r="C854" s="144"/>
      <c r="D854" s="144"/>
      <c r="E854" s="144"/>
      <c r="F854" s="144"/>
      <c r="G854" s="144"/>
      <c r="H854" s="144"/>
      <c r="I854" s="144"/>
      <c r="J854" s="144"/>
      <c r="K854" s="144"/>
      <c r="L854" s="144"/>
      <c r="M854" s="144"/>
      <c r="N854" s="144"/>
      <c r="O854" s="44"/>
      <c r="P854" s="44"/>
    </row>
    <row r="855" spans="1:16" x14ac:dyDescent="0.2">
      <c r="A855" s="58" t="str">
        <v>0:00</v>
      </c>
      <c r="B855" s="122"/>
      <c r="C855" s="144"/>
      <c r="D855" s="144"/>
      <c r="E855" s="144"/>
      <c r="F855" s="144"/>
      <c r="G855" s="144"/>
      <c r="H855" s="144"/>
      <c r="I855" s="144"/>
      <c r="J855" s="144"/>
      <c r="K855" s="144"/>
      <c r="L855" s="144"/>
      <c r="M855" s="144"/>
      <c r="N855" s="144"/>
      <c r="O855" s="44"/>
      <c r="P855" s="44"/>
    </row>
    <row r="856" spans="1:16" x14ac:dyDescent="0.2">
      <c r="A856" s="58" t="str">
        <v>0:00</v>
      </c>
      <c r="B856" s="122"/>
      <c r="C856" s="144"/>
      <c r="D856" s="144"/>
      <c r="E856" s="144"/>
      <c r="F856" s="144"/>
      <c r="G856" s="144"/>
      <c r="H856" s="144"/>
      <c r="I856" s="144"/>
      <c r="J856" s="144"/>
      <c r="K856" s="144"/>
      <c r="L856" s="144"/>
      <c r="M856" s="144"/>
      <c r="N856" s="144"/>
      <c r="O856" s="44"/>
      <c r="P856" s="44"/>
    </row>
    <row r="857" spans="1:16" x14ac:dyDescent="0.2">
      <c r="A857" s="58" t="str">
        <v>0:00</v>
      </c>
      <c r="B857" s="122"/>
      <c r="C857" s="144"/>
      <c r="D857" s="144"/>
      <c r="E857" s="144"/>
      <c r="F857" s="144"/>
      <c r="G857" s="144"/>
      <c r="H857" s="144"/>
      <c r="I857" s="144"/>
      <c r="J857" s="144"/>
      <c r="K857" s="144"/>
      <c r="L857" s="144"/>
      <c r="M857" s="144"/>
      <c r="N857" s="144"/>
      <c r="O857" s="44"/>
      <c r="P857" s="44"/>
    </row>
    <row r="858" spans="1:16" x14ac:dyDescent="0.2">
      <c r="A858" s="58" t="str">
        <v>0:00</v>
      </c>
      <c r="B858" s="122"/>
      <c r="C858" s="144"/>
      <c r="D858" s="144"/>
      <c r="E858" s="144"/>
      <c r="F858" s="144"/>
      <c r="G858" s="144"/>
      <c r="H858" s="144"/>
      <c r="I858" s="144"/>
      <c r="J858" s="144"/>
      <c r="K858" s="144"/>
      <c r="L858" s="144"/>
      <c r="M858" s="144"/>
      <c r="N858" s="144"/>
      <c r="O858" s="44"/>
      <c r="P858" s="44"/>
    </row>
    <row r="859" spans="1:16" x14ac:dyDescent="0.2">
      <c r="A859" s="58" t="str">
        <v>0:00</v>
      </c>
      <c r="B859" s="122"/>
      <c r="C859" s="144"/>
      <c r="D859" s="144"/>
      <c r="E859" s="144"/>
      <c r="F859" s="144"/>
      <c r="G859" s="144"/>
      <c r="H859" s="144"/>
      <c r="I859" s="144"/>
      <c r="J859" s="144"/>
      <c r="K859" s="144"/>
      <c r="L859" s="144"/>
      <c r="M859" s="144"/>
      <c r="N859" s="144"/>
      <c r="O859" s="44"/>
      <c r="P859" s="44"/>
    </row>
    <row r="860" spans="1:16" x14ac:dyDescent="0.2">
      <c r="A860" s="58" t="str">
        <v>0:00</v>
      </c>
      <c r="B860" s="122"/>
      <c r="C860" s="144"/>
      <c r="D860" s="144"/>
      <c r="E860" s="144"/>
      <c r="F860" s="144"/>
      <c r="G860" s="144"/>
      <c r="H860" s="144"/>
      <c r="I860" s="144"/>
      <c r="J860" s="144"/>
      <c r="K860" s="144"/>
      <c r="L860" s="144"/>
      <c r="M860" s="144"/>
      <c r="N860" s="144"/>
      <c r="O860" s="44"/>
      <c r="P860" s="44"/>
    </row>
    <row r="861" spans="1:16" x14ac:dyDescent="0.2">
      <c r="A861" s="58" t="str">
        <v>0:00</v>
      </c>
      <c r="B861" s="122"/>
      <c r="C861" s="144"/>
      <c r="D861" s="144"/>
      <c r="E861" s="144"/>
      <c r="F861" s="144"/>
      <c r="G861" s="144"/>
      <c r="H861" s="144"/>
      <c r="I861" s="144"/>
      <c r="J861" s="144"/>
      <c r="K861" s="144"/>
      <c r="L861" s="144"/>
      <c r="M861" s="144"/>
      <c r="N861" s="144"/>
      <c r="O861" s="44"/>
      <c r="P861" s="44"/>
    </row>
    <row r="862" spans="1:16" x14ac:dyDescent="0.2">
      <c r="A862" s="58" t="str">
        <v>0:00</v>
      </c>
      <c r="B862" s="122"/>
      <c r="C862" s="144"/>
      <c r="D862" s="144"/>
      <c r="E862" s="144"/>
      <c r="F862" s="144"/>
      <c r="G862" s="144"/>
      <c r="H862" s="144"/>
      <c r="I862" s="144"/>
      <c r="J862" s="144"/>
      <c r="K862" s="144"/>
      <c r="L862" s="144"/>
      <c r="M862" s="144"/>
      <c r="N862" s="144"/>
      <c r="O862" s="44"/>
      <c r="P862" s="44"/>
    </row>
    <row r="863" spans="1:16" x14ac:dyDescent="0.2">
      <c r="A863" s="58" t="str">
        <v>0:00</v>
      </c>
      <c r="B863" s="122"/>
      <c r="C863" s="144"/>
      <c r="D863" s="144"/>
      <c r="E863" s="144"/>
      <c r="F863" s="144"/>
      <c r="G863" s="144"/>
      <c r="H863" s="144"/>
      <c r="I863" s="144"/>
      <c r="J863" s="144"/>
      <c r="K863" s="144"/>
      <c r="L863" s="144"/>
      <c r="M863" s="144"/>
      <c r="N863" s="144"/>
      <c r="O863" s="44"/>
      <c r="P863" s="44"/>
    </row>
    <row r="864" spans="1:16" x14ac:dyDescent="0.2">
      <c r="A864" s="58" t="str">
        <v>0:00</v>
      </c>
      <c r="B864" s="122"/>
      <c r="C864" s="144"/>
      <c r="D864" s="144"/>
      <c r="E864" s="144"/>
      <c r="F864" s="144"/>
      <c r="G864" s="144"/>
      <c r="H864" s="144"/>
      <c r="I864" s="144"/>
      <c r="J864" s="144"/>
      <c r="K864" s="144"/>
      <c r="L864" s="144"/>
      <c r="M864" s="144"/>
      <c r="N864" s="144"/>
      <c r="O864" s="44"/>
      <c r="P864" s="44"/>
    </row>
    <row r="865" spans="1:16" x14ac:dyDescent="0.2">
      <c r="A865" s="58" t="str">
        <v>0:00</v>
      </c>
      <c r="B865" s="122"/>
      <c r="C865" s="144"/>
      <c r="D865" s="144"/>
      <c r="E865" s="144"/>
      <c r="F865" s="144"/>
      <c r="G865" s="144"/>
      <c r="H865" s="144"/>
      <c r="I865" s="144"/>
      <c r="J865" s="144"/>
      <c r="K865" s="144"/>
      <c r="L865" s="144"/>
      <c r="M865" s="144"/>
      <c r="N865" s="144"/>
      <c r="O865" s="44"/>
      <c r="P865" s="44"/>
    </row>
    <row r="866" spans="1:16" x14ac:dyDescent="0.2">
      <c r="A866" s="58" t="str">
        <v>0:00</v>
      </c>
      <c r="B866" s="122"/>
      <c r="C866" s="144"/>
      <c r="D866" s="144"/>
      <c r="E866" s="144"/>
      <c r="F866" s="144"/>
      <c r="G866" s="144"/>
      <c r="H866" s="144"/>
      <c r="I866" s="144"/>
      <c r="J866" s="144"/>
      <c r="K866" s="144"/>
      <c r="L866" s="144"/>
      <c r="M866" s="144"/>
      <c r="N866" s="144"/>
      <c r="O866" s="44"/>
      <c r="P866" s="44"/>
    </row>
    <row r="867" spans="1:16" x14ac:dyDescent="0.2">
      <c r="A867" s="58" t="str">
        <v>0:00</v>
      </c>
      <c r="B867" s="122"/>
      <c r="C867" s="144"/>
      <c r="D867" s="144"/>
      <c r="E867" s="144"/>
      <c r="F867" s="144"/>
      <c r="G867" s="144"/>
      <c r="H867" s="144"/>
      <c r="I867" s="144"/>
      <c r="J867" s="144"/>
      <c r="K867" s="144"/>
      <c r="L867" s="144"/>
      <c r="M867" s="144"/>
      <c r="N867" s="144"/>
      <c r="O867" s="44"/>
      <c r="P867" s="44"/>
    </row>
    <row r="868" spans="1:16" x14ac:dyDescent="0.2">
      <c r="A868" s="58" t="str">
        <v>0:00</v>
      </c>
      <c r="B868" s="122"/>
      <c r="C868" s="144"/>
      <c r="D868" s="144"/>
      <c r="E868" s="144"/>
      <c r="F868" s="144"/>
      <c r="G868" s="144"/>
      <c r="H868" s="144"/>
      <c r="I868" s="144"/>
      <c r="J868" s="144"/>
      <c r="K868" s="144"/>
      <c r="L868" s="144"/>
      <c r="M868" s="144"/>
      <c r="N868" s="144"/>
      <c r="O868" s="44"/>
      <c r="P868" s="44"/>
    </row>
    <row r="869" spans="1:16" x14ac:dyDescent="0.2">
      <c r="A869" s="58" t="str">
        <v>0:00</v>
      </c>
      <c r="B869" s="122"/>
      <c r="C869" s="144"/>
      <c r="D869" s="144"/>
      <c r="E869" s="144"/>
      <c r="F869" s="144"/>
      <c r="G869" s="144"/>
      <c r="H869" s="144"/>
      <c r="I869" s="144"/>
      <c r="J869" s="144"/>
      <c r="K869" s="144"/>
      <c r="L869" s="144"/>
      <c r="M869" s="144"/>
      <c r="N869" s="144"/>
      <c r="O869" s="44"/>
      <c r="P869" s="44"/>
    </row>
    <row r="870" spans="1:16" x14ac:dyDescent="0.2">
      <c r="A870" s="58" t="str">
        <v>0:00</v>
      </c>
      <c r="B870" s="122"/>
      <c r="C870" s="144"/>
      <c r="D870" s="144"/>
      <c r="E870" s="144"/>
      <c r="F870" s="144"/>
      <c r="G870" s="144"/>
      <c r="H870" s="144"/>
      <c r="I870" s="144"/>
      <c r="J870" s="144"/>
      <c r="K870" s="144"/>
      <c r="L870" s="144"/>
      <c r="M870" s="144"/>
      <c r="N870" s="144"/>
      <c r="O870" s="44"/>
      <c r="P870" s="44"/>
    </row>
    <row r="871" spans="1:16" x14ac:dyDescent="0.2">
      <c r="A871" s="58" t="str">
        <v>0:00</v>
      </c>
      <c r="B871" s="122"/>
      <c r="C871" s="144"/>
      <c r="D871" s="144"/>
      <c r="E871" s="144"/>
      <c r="F871" s="144"/>
      <c r="G871" s="144"/>
      <c r="H871" s="144"/>
      <c r="I871" s="144"/>
      <c r="J871" s="144"/>
      <c r="K871" s="144"/>
      <c r="L871" s="144"/>
      <c r="M871" s="144"/>
      <c r="N871" s="144"/>
      <c r="O871" s="44"/>
      <c r="P871" s="44"/>
    </row>
    <row r="872" spans="1:16" x14ac:dyDescent="0.2">
      <c r="A872" s="58" t="str">
        <v>0:00</v>
      </c>
      <c r="B872" s="122"/>
      <c r="C872" s="144"/>
      <c r="D872" s="144"/>
      <c r="E872" s="144"/>
      <c r="F872" s="144"/>
      <c r="G872" s="144"/>
      <c r="H872" s="144"/>
      <c r="I872" s="144"/>
      <c r="J872" s="144"/>
      <c r="K872" s="144"/>
      <c r="L872" s="144"/>
      <c r="M872" s="144"/>
      <c r="N872" s="144"/>
      <c r="O872" s="44"/>
      <c r="P872" s="44"/>
    </row>
    <row r="873" spans="1:16" x14ac:dyDescent="0.2">
      <c r="A873" s="58" t="str">
        <v>0:00</v>
      </c>
      <c r="B873" s="122"/>
      <c r="C873" s="144"/>
      <c r="D873" s="144"/>
      <c r="E873" s="144"/>
      <c r="F873" s="144"/>
      <c r="G873" s="144"/>
      <c r="H873" s="144"/>
      <c r="I873" s="144"/>
      <c r="J873" s="144"/>
      <c r="K873" s="144"/>
      <c r="L873" s="144"/>
      <c r="M873" s="144"/>
      <c r="N873" s="144"/>
      <c r="O873" s="44"/>
      <c r="P873" s="44"/>
    </row>
    <row r="874" spans="1:16" x14ac:dyDescent="0.2">
      <c r="A874" s="58" t="str">
        <v>0:00</v>
      </c>
      <c r="B874" s="122"/>
      <c r="C874" s="144"/>
      <c r="D874" s="144"/>
      <c r="E874" s="144"/>
      <c r="F874" s="144"/>
      <c r="G874" s="144"/>
      <c r="H874" s="144"/>
      <c r="I874" s="144"/>
      <c r="J874" s="144"/>
      <c r="K874" s="144"/>
      <c r="L874" s="144"/>
      <c r="M874" s="144"/>
      <c r="N874" s="144"/>
      <c r="O874" s="44"/>
      <c r="P874" s="44"/>
    </row>
    <row r="875" spans="1:16" x14ac:dyDescent="0.2">
      <c r="A875" s="58" t="str">
        <v>0:00</v>
      </c>
      <c r="B875" s="122"/>
      <c r="C875" s="144"/>
      <c r="D875" s="144"/>
      <c r="E875" s="144"/>
      <c r="F875" s="144"/>
      <c r="G875" s="144"/>
      <c r="H875" s="144"/>
      <c r="I875" s="144"/>
      <c r="J875" s="144"/>
      <c r="K875" s="144"/>
      <c r="L875" s="144"/>
      <c r="M875" s="144"/>
      <c r="N875" s="144"/>
      <c r="O875" s="44"/>
      <c r="P875" s="44"/>
    </row>
    <row r="876" spans="1:16" x14ac:dyDescent="0.2">
      <c r="A876" s="58" t="str">
        <v>0:00</v>
      </c>
      <c r="B876" s="122"/>
      <c r="C876" s="144"/>
      <c r="D876" s="144"/>
      <c r="E876" s="144"/>
      <c r="F876" s="144"/>
      <c r="G876" s="144"/>
      <c r="H876" s="144"/>
      <c r="I876" s="144"/>
      <c r="J876" s="144"/>
      <c r="K876" s="144"/>
      <c r="L876" s="144"/>
      <c r="M876" s="144"/>
      <c r="N876" s="144"/>
      <c r="O876" s="44"/>
      <c r="P876" s="44"/>
    </row>
    <row r="877" spans="1:16" x14ac:dyDescent="0.2">
      <c r="A877" s="58" t="str">
        <v>0:00</v>
      </c>
      <c r="B877" s="122"/>
      <c r="C877" s="144"/>
      <c r="D877" s="144"/>
      <c r="E877" s="144"/>
      <c r="F877" s="144"/>
      <c r="G877" s="144"/>
      <c r="H877" s="144"/>
      <c r="I877" s="144"/>
      <c r="J877" s="144"/>
      <c r="K877" s="144"/>
      <c r="L877" s="144"/>
      <c r="M877" s="144"/>
      <c r="N877" s="144"/>
      <c r="O877" s="44"/>
      <c r="P877" s="44"/>
    </row>
    <row r="878" spans="1:16" x14ac:dyDescent="0.2">
      <c r="A878" s="58" t="str">
        <v>0:00</v>
      </c>
      <c r="B878" s="122"/>
      <c r="C878" s="144"/>
      <c r="D878" s="144"/>
      <c r="E878" s="144"/>
      <c r="F878" s="144"/>
      <c r="G878" s="144"/>
      <c r="H878" s="144"/>
      <c r="I878" s="144"/>
      <c r="J878" s="144"/>
      <c r="K878" s="144"/>
      <c r="L878" s="144"/>
      <c r="M878" s="144"/>
      <c r="N878" s="144"/>
      <c r="O878" s="44"/>
      <c r="P878" s="44"/>
    </row>
    <row r="879" spans="1:16" x14ac:dyDescent="0.2">
      <c r="A879" s="58" t="str">
        <v>0:00</v>
      </c>
      <c r="B879" s="122"/>
      <c r="C879" s="144"/>
      <c r="D879" s="144"/>
      <c r="E879" s="144"/>
      <c r="F879" s="144"/>
      <c r="G879" s="144"/>
      <c r="H879" s="144"/>
      <c r="I879" s="144"/>
      <c r="J879" s="144"/>
      <c r="K879" s="144"/>
      <c r="L879" s="144"/>
      <c r="M879" s="144"/>
      <c r="N879" s="144"/>
      <c r="O879" s="44"/>
      <c r="P879" s="44"/>
    </row>
    <row r="880" spans="1:16" x14ac:dyDescent="0.2">
      <c r="A880" s="58" t="str">
        <v>0:00</v>
      </c>
      <c r="B880" s="122"/>
      <c r="C880" s="144"/>
      <c r="D880" s="144"/>
      <c r="E880" s="144"/>
      <c r="F880" s="144"/>
      <c r="G880" s="144"/>
      <c r="H880" s="144"/>
      <c r="I880" s="144"/>
      <c r="J880" s="144"/>
      <c r="K880" s="144"/>
      <c r="L880" s="144"/>
      <c r="M880" s="144"/>
      <c r="N880" s="144"/>
      <c r="O880" s="44"/>
      <c r="P880" s="44"/>
    </row>
    <row r="881" spans="1:16" x14ac:dyDescent="0.2">
      <c r="A881" s="58" t="str">
        <v>0:00</v>
      </c>
      <c r="B881" s="122"/>
      <c r="C881" s="144"/>
      <c r="D881" s="144"/>
      <c r="E881" s="144"/>
      <c r="F881" s="144"/>
      <c r="G881" s="144"/>
      <c r="H881" s="144"/>
      <c r="I881" s="144"/>
      <c r="J881" s="144"/>
      <c r="K881" s="144"/>
      <c r="L881" s="144"/>
      <c r="M881" s="144"/>
      <c r="N881" s="144"/>
      <c r="O881" s="44"/>
      <c r="P881" s="44"/>
    </row>
    <row r="882" spans="1:16" x14ac:dyDescent="0.2">
      <c r="A882" s="58" t="str">
        <v>0:00</v>
      </c>
      <c r="B882" s="122"/>
      <c r="C882" s="144"/>
      <c r="D882" s="144"/>
      <c r="E882" s="144"/>
      <c r="F882" s="144"/>
      <c r="G882" s="144"/>
      <c r="H882" s="144"/>
      <c r="I882" s="144"/>
      <c r="J882" s="144"/>
      <c r="K882" s="144"/>
      <c r="L882" s="144"/>
      <c r="M882" s="144"/>
      <c r="N882" s="144"/>
      <c r="O882" s="44"/>
      <c r="P882" s="44"/>
    </row>
    <row r="883" spans="1:16" x14ac:dyDescent="0.2">
      <c r="A883" s="58" t="str">
        <v>0:00</v>
      </c>
      <c r="B883" s="122"/>
      <c r="C883" s="144"/>
      <c r="D883" s="144"/>
      <c r="E883" s="144"/>
      <c r="F883" s="144"/>
      <c r="G883" s="144"/>
      <c r="H883" s="144"/>
      <c r="I883" s="144"/>
      <c r="J883" s="144"/>
      <c r="K883" s="144"/>
      <c r="L883" s="144"/>
      <c r="M883" s="144"/>
      <c r="N883" s="144"/>
      <c r="O883" s="44"/>
      <c r="P883" s="44"/>
    </row>
    <row r="884" spans="1:16" x14ac:dyDescent="0.2">
      <c r="A884" s="58" t="str">
        <v>0:00</v>
      </c>
      <c r="B884" s="122"/>
      <c r="C884" s="144"/>
      <c r="D884" s="144"/>
      <c r="E884" s="144"/>
      <c r="F884" s="144"/>
      <c r="G884" s="144"/>
      <c r="H884" s="144"/>
      <c r="I884" s="144"/>
      <c r="J884" s="144"/>
      <c r="K884" s="144"/>
      <c r="L884" s="144"/>
      <c r="M884" s="144"/>
      <c r="N884" s="144"/>
      <c r="O884" s="44"/>
      <c r="P884" s="44"/>
    </row>
    <row r="885" spans="1:16" x14ac:dyDescent="0.2">
      <c r="A885" s="58" t="str">
        <v>0:00</v>
      </c>
      <c r="B885" s="122"/>
      <c r="C885" s="144"/>
      <c r="D885" s="144"/>
      <c r="E885" s="144"/>
      <c r="F885" s="144"/>
      <c r="G885" s="144"/>
      <c r="H885" s="144"/>
      <c r="I885" s="144"/>
      <c r="J885" s="144"/>
      <c r="K885" s="144"/>
      <c r="L885" s="144"/>
      <c r="M885" s="144"/>
      <c r="N885" s="144"/>
      <c r="O885" s="44"/>
      <c r="P885" s="44"/>
    </row>
    <row r="886" spans="1:16" x14ac:dyDescent="0.2">
      <c r="A886" s="58" t="str">
        <v>0:00</v>
      </c>
      <c r="B886" s="122"/>
      <c r="C886" s="144"/>
      <c r="D886" s="144"/>
      <c r="E886" s="144"/>
      <c r="F886" s="144"/>
      <c r="G886" s="144"/>
      <c r="H886" s="144"/>
      <c r="I886" s="144"/>
      <c r="J886" s="144"/>
      <c r="K886" s="144"/>
      <c r="L886" s="144"/>
      <c r="M886" s="144"/>
      <c r="N886" s="144"/>
      <c r="O886" s="44"/>
      <c r="P886" s="44"/>
    </row>
    <row r="887" spans="1:16" x14ac:dyDescent="0.2">
      <c r="A887" s="58" t="str">
        <v>0:00</v>
      </c>
      <c r="B887" s="122"/>
      <c r="C887" s="144"/>
      <c r="D887" s="144"/>
      <c r="E887" s="144"/>
      <c r="F887" s="144"/>
      <c r="G887" s="144"/>
      <c r="H887" s="144"/>
      <c r="I887" s="144"/>
      <c r="J887" s="144"/>
      <c r="K887" s="144"/>
      <c r="L887" s="144"/>
      <c r="M887" s="144"/>
      <c r="N887" s="144"/>
      <c r="O887" s="44"/>
      <c r="P887" s="44"/>
    </row>
    <row r="888" spans="1:16" x14ac:dyDescent="0.2">
      <c r="A888" s="58" t="str">
        <v>0:00</v>
      </c>
      <c r="B888" s="122"/>
      <c r="C888" s="144"/>
      <c r="D888" s="144"/>
      <c r="E888" s="144"/>
      <c r="F888" s="144"/>
      <c r="G888" s="144"/>
      <c r="H888" s="144"/>
      <c r="I888" s="144"/>
      <c r="J888" s="144"/>
      <c r="K888" s="144"/>
      <c r="L888" s="144"/>
      <c r="M888" s="144"/>
      <c r="N888" s="144"/>
      <c r="O888" s="44"/>
      <c r="P888" s="44"/>
    </row>
    <row r="889" spans="1:16" x14ac:dyDescent="0.2">
      <c r="A889" s="58" t="str">
        <v>0:00</v>
      </c>
      <c r="B889" s="122"/>
      <c r="C889" s="144"/>
      <c r="D889" s="144"/>
      <c r="E889" s="144"/>
      <c r="F889" s="144"/>
      <c r="G889" s="144"/>
      <c r="H889" s="144"/>
      <c r="I889" s="144"/>
      <c r="J889" s="144"/>
      <c r="K889" s="144"/>
      <c r="L889" s="144"/>
      <c r="M889" s="144"/>
      <c r="N889" s="144"/>
      <c r="O889" s="44"/>
      <c r="P889" s="44"/>
    </row>
    <row r="890" spans="1:16" x14ac:dyDescent="0.2">
      <c r="A890" s="58" t="str">
        <v>0:00</v>
      </c>
      <c r="B890" s="122"/>
      <c r="C890" s="144"/>
      <c r="D890" s="144"/>
      <c r="E890" s="144"/>
      <c r="F890" s="144"/>
      <c r="G890" s="144"/>
      <c r="H890" s="144"/>
      <c r="I890" s="144"/>
      <c r="J890" s="144"/>
      <c r="K890" s="144"/>
      <c r="L890" s="144"/>
      <c r="M890" s="144"/>
      <c r="N890" s="144"/>
      <c r="O890" s="44"/>
      <c r="P890" s="44"/>
    </row>
    <row r="891" spans="1:16" x14ac:dyDescent="0.2">
      <c r="A891" s="58" t="str">
        <v>0:00</v>
      </c>
      <c r="B891" s="122"/>
      <c r="C891" s="144"/>
      <c r="D891" s="144"/>
      <c r="E891" s="144"/>
      <c r="F891" s="144"/>
      <c r="G891" s="144"/>
      <c r="H891" s="144"/>
      <c r="I891" s="144"/>
      <c r="J891" s="144"/>
      <c r="K891" s="144"/>
      <c r="L891" s="144"/>
      <c r="M891" s="144"/>
      <c r="N891" s="144"/>
      <c r="O891" s="44"/>
      <c r="P891" s="44"/>
    </row>
    <row r="892" spans="1:16" x14ac:dyDescent="0.2">
      <c r="A892" s="58" t="str">
        <v>0:00</v>
      </c>
      <c r="B892" s="122"/>
      <c r="C892" s="144"/>
      <c r="D892" s="144"/>
      <c r="E892" s="144"/>
      <c r="F892" s="144"/>
      <c r="G892" s="144"/>
      <c r="H892" s="144"/>
      <c r="I892" s="144"/>
      <c r="J892" s="144"/>
      <c r="K892" s="144"/>
      <c r="L892" s="144"/>
      <c r="M892" s="144"/>
      <c r="N892" s="144"/>
      <c r="O892" s="44"/>
      <c r="P892" s="44"/>
    </row>
    <row r="893" spans="1:16" x14ac:dyDescent="0.2">
      <c r="A893" s="58" t="str">
        <v>0:00</v>
      </c>
      <c r="B893" s="122"/>
      <c r="C893" s="144"/>
      <c r="D893" s="144"/>
      <c r="E893" s="144"/>
      <c r="F893" s="144"/>
      <c r="G893" s="144"/>
      <c r="H893" s="144"/>
      <c r="I893" s="144"/>
      <c r="J893" s="144"/>
      <c r="K893" s="144"/>
      <c r="L893" s="144"/>
      <c r="M893" s="144"/>
      <c r="N893" s="144"/>
      <c r="O893" s="44"/>
      <c r="P893" s="44"/>
    </row>
    <row r="894" spans="1:16" x14ac:dyDescent="0.2">
      <c r="A894" s="58" t="str">
        <v>0:00</v>
      </c>
      <c r="B894" s="122"/>
      <c r="C894" s="144"/>
      <c r="D894" s="144"/>
      <c r="E894" s="144"/>
      <c r="F894" s="144"/>
      <c r="G894" s="144"/>
      <c r="H894" s="144"/>
      <c r="I894" s="144"/>
      <c r="J894" s="144"/>
      <c r="K894" s="144"/>
      <c r="L894" s="144"/>
      <c r="M894" s="144"/>
      <c r="N894" s="144"/>
      <c r="O894" s="44"/>
      <c r="P894" s="44"/>
    </row>
    <row r="895" spans="1:16" x14ac:dyDescent="0.2">
      <c r="A895" s="58" t="str">
        <v>0:00</v>
      </c>
      <c r="B895" s="122"/>
      <c r="C895" s="144"/>
      <c r="D895" s="144"/>
      <c r="E895" s="144"/>
      <c r="F895" s="144"/>
      <c r="G895" s="144"/>
      <c r="H895" s="144"/>
      <c r="I895" s="144"/>
      <c r="J895" s="144"/>
      <c r="K895" s="144"/>
      <c r="L895" s="144"/>
      <c r="M895" s="144"/>
      <c r="N895" s="144"/>
      <c r="O895" s="44"/>
      <c r="P895" s="44"/>
    </row>
    <row r="896" spans="1:16" x14ac:dyDescent="0.2">
      <c r="A896" s="58" t="str">
        <v>0:00</v>
      </c>
      <c r="B896" s="122"/>
      <c r="C896" s="144"/>
      <c r="D896" s="144"/>
      <c r="E896" s="144"/>
      <c r="F896" s="144"/>
      <c r="G896" s="144"/>
      <c r="H896" s="144"/>
      <c r="I896" s="144"/>
      <c r="J896" s="144"/>
      <c r="K896" s="144"/>
      <c r="L896" s="144"/>
      <c r="M896" s="144"/>
      <c r="N896" s="144"/>
      <c r="O896" s="44"/>
      <c r="P896" s="44"/>
    </row>
    <row r="897" spans="1:16" x14ac:dyDescent="0.2">
      <c r="A897" s="58" t="str">
        <v>0:00</v>
      </c>
      <c r="B897" s="122"/>
      <c r="C897" s="144"/>
      <c r="D897" s="144"/>
      <c r="E897" s="144"/>
      <c r="F897" s="144"/>
      <c r="G897" s="144"/>
      <c r="H897" s="144"/>
      <c r="I897" s="144"/>
      <c r="J897" s="144"/>
      <c r="K897" s="144"/>
      <c r="L897" s="144"/>
      <c r="M897" s="144"/>
      <c r="N897" s="144"/>
      <c r="O897" s="44"/>
      <c r="P897" s="44"/>
    </row>
    <row r="898" spans="1:16" x14ac:dyDescent="0.2">
      <c r="A898" s="58" t="str">
        <v>0:00</v>
      </c>
      <c r="B898" s="122"/>
      <c r="C898" s="144"/>
      <c r="D898" s="144"/>
      <c r="E898" s="144"/>
      <c r="F898" s="144"/>
      <c r="G898" s="144"/>
      <c r="H898" s="144"/>
      <c r="I898" s="144"/>
      <c r="J898" s="144"/>
      <c r="K898" s="144"/>
      <c r="L898" s="144"/>
      <c r="M898" s="144"/>
      <c r="N898" s="144"/>
      <c r="O898" s="44"/>
      <c r="P898" s="44"/>
    </row>
    <row r="899" spans="1:16" x14ac:dyDescent="0.2">
      <c r="A899" s="58" t="str">
        <v>0:00</v>
      </c>
      <c r="B899" s="122"/>
      <c r="C899" s="144"/>
      <c r="D899" s="144"/>
      <c r="E899" s="144"/>
      <c r="F899" s="144"/>
      <c r="G899" s="144"/>
      <c r="H899" s="144"/>
      <c r="I899" s="144"/>
      <c r="J899" s="144"/>
      <c r="K899" s="144"/>
      <c r="L899" s="144"/>
      <c r="M899" s="144"/>
      <c r="N899" s="144"/>
      <c r="O899" s="44"/>
      <c r="P899" s="44"/>
    </row>
    <row r="900" spans="1:16" x14ac:dyDescent="0.2">
      <c r="A900" s="58" t="str">
        <v>0:00</v>
      </c>
      <c r="B900" s="122"/>
      <c r="C900" s="144"/>
      <c r="D900" s="144"/>
      <c r="E900" s="144"/>
      <c r="F900" s="144"/>
      <c r="G900" s="144"/>
      <c r="H900" s="144"/>
      <c r="I900" s="144"/>
      <c r="J900" s="144"/>
      <c r="K900" s="144"/>
      <c r="L900" s="144"/>
      <c r="M900" s="144"/>
      <c r="N900" s="144"/>
      <c r="O900" s="44"/>
      <c r="P900" s="44"/>
    </row>
    <row r="901" spans="1:16" x14ac:dyDescent="0.2">
      <c r="A901" s="58" t="str">
        <v>0:00</v>
      </c>
      <c r="B901" s="122"/>
      <c r="C901" s="144"/>
      <c r="D901" s="144"/>
      <c r="E901" s="144"/>
      <c r="F901" s="144"/>
      <c r="G901" s="144"/>
      <c r="H901" s="144"/>
      <c r="I901" s="144"/>
      <c r="J901" s="144"/>
      <c r="K901" s="144"/>
      <c r="L901" s="144"/>
      <c r="M901" s="144"/>
      <c r="N901" s="144"/>
      <c r="O901" s="44"/>
      <c r="P901" s="44"/>
    </row>
    <row r="902" spans="1:16" x14ac:dyDescent="0.2">
      <c r="A902" s="58" t="str">
        <v>0:00</v>
      </c>
      <c r="B902" s="122"/>
      <c r="C902" s="144"/>
      <c r="D902" s="144"/>
      <c r="E902" s="144"/>
      <c r="F902" s="144"/>
      <c r="G902" s="144"/>
      <c r="H902" s="144"/>
      <c r="I902" s="144"/>
      <c r="J902" s="144"/>
      <c r="K902" s="144"/>
      <c r="L902" s="144"/>
      <c r="M902" s="144"/>
      <c r="N902" s="144"/>
      <c r="O902" s="44"/>
      <c r="P902" s="44"/>
    </row>
    <row r="903" spans="1:16" x14ac:dyDescent="0.2">
      <c r="A903" s="58" t="str">
        <v>0:00</v>
      </c>
      <c r="B903" s="122"/>
      <c r="C903" s="144"/>
      <c r="D903" s="144"/>
      <c r="E903" s="144"/>
      <c r="F903" s="144"/>
      <c r="G903" s="144"/>
      <c r="H903" s="144"/>
      <c r="I903" s="144"/>
      <c r="J903" s="144"/>
      <c r="K903" s="144"/>
      <c r="L903" s="144"/>
      <c r="M903" s="144"/>
      <c r="N903" s="144"/>
      <c r="O903" s="44"/>
      <c r="P903" s="44"/>
    </row>
  </sheetData>
  <sheetProtection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E3" sqref="E3"/>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2"/>
    <col min="17" max="17" width="9.140625" style="314"/>
    <col min="18" max="18" width="37.85546875" style="312" bestFit="1" customWidth="1"/>
    <col min="19" max="19" width="9.85546875" style="312" bestFit="1" customWidth="1"/>
    <col min="20" max="20" width="21.85546875" style="312" bestFit="1" customWidth="1"/>
    <col min="21" max="21" width="14.42578125" style="312" customWidth="1"/>
    <col min="22" max="22" width="16" style="312" customWidth="1"/>
    <col min="23" max="23" width="9.140625" style="312"/>
    <col min="24" max="25" width="9.140625" style="16"/>
    <col min="26" max="16384" width="9.140625" style="8"/>
  </cols>
  <sheetData>
    <row r="1" spans="1:29" x14ac:dyDescent="0.25">
      <c r="G1" s="10" t="s">
        <v>0</v>
      </c>
      <c r="H1" s="8"/>
      <c r="I1" s="9"/>
      <c r="K1" s="8"/>
      <c r="M1" s="8" t="s">
        <v>12</v>
      </c>
      <c r="O1" s="226"/>
      <c r="R1" s="312" t="e">
        <f>IF(T1=0, 0, IF(T1 &gt; Main!G93 + (1-D19)*0.4, 1, ""))</f>
        <v>#VALUE!</v>
      </c>
      <c r="T1" s="312" t="e" cm="1">
        <f t="array" ref="T1">MAX(ABS(E10:E18))</f>
        <v>#VALUE!</v>
      </c>
      <c r="U1" s="312" t="e" cm="1">
        <f t="array" ref="U1">MAX(ABS(H10:H18))</f>
        <v>#VALUE!</v>
      </c>
      <c r="X1" s="226"/>
      <c r="Y1" s="226"/>
      <c r="Z1" s="228"/>
      <c r="AA1" s="228"/>
      <c r="AB1" s="228"/>
      <c r="AC1" s="228"/>
    </row>
    <row r="2" spans="1:29" ht="18.75" customHeight="1" x14ac:dyDescent="0.25">
      <c r="H2" s="11" t="s">
        <v>13</v>
      </c>
      <c r="I2" s="9"/>
      <c r="K2" s="8"/>
      <c r="M2" s="8" t="s">
        <v>26</v>
      </c>
      <c r="O2" s="226"/>
      <c r="R2" s="312" t="e">
        <f>IF(U1=0, 0, IF(U1 &gt; Main!G93 + (1-D31)*0.4, 1, ""))</f>
        <v>#VALUE!</v>
      </c>
      <c r="T2" s="312" t="e" cm="1">
        <f t="array" ref="T2">MAX(ABS(K10:K18))</f>
        <v>#VALUE!</v>
      </c>
      <c r="U2" s="312" t="e" cm="1">
        <f t="array" ref="U2">MAX(ABS(N10:N18))</f>
        <v>#VALUE!</v>
      </c>
      <c r="X2" s="226"/>
      <c r="Y2" s="226"/>
      <c r="Z2" s="228"/>
      <c r="AA2" s="228"/>
      <c r="AB2" s="228"/>
      <c r="AC2" s="228"/>
    </row>
    <row r="3" spans="1:29" ht="23.25" customHeight="1" x14ac:dyDescent="0.25">
      <c r="D3" s="35" t="s">
        <v>31</v>
      </c>
      <c r="E3" s="42">
        <f>Main!D3</f>
        <v>0</v>
      </c>
      <c r="G3" s="12"/>
      <c r="H3" s="8"/>
      <c r="J3" s="35" t="s">
        <v>46</v>
      </c>
      <c r="K3" s="13" t="str">
        <f>Main!D5</f>
        <v>CHROME PLUS INT'L - WICHITA</v>
      </c>
      <c r="L3" s="9"/>
      <c r="O3" s="226"/>
      <c r="R3" s="312" t="e">
        <f>IF(T2=0, 0, IF(T2 &gt; Main!G93 + (1-G19)*0.4, 1, ""))</f>
        <v>#VALUE!</v>
      </c>
      <c r="T3" s="312" t="e" cm="1">
        <f t="array" ref="T3">MAX(ABS(E22:E30))</f>
        <v>#VALUE!</v>
      </c>
      <c r="U3" s="312" t="e" cm="1">
        <f t="array" ref="U3">MAX(ABS(H22:H30))</f>
        <v>#VALUE!</v>
      </c>
      <c r="X3" s="226"/>
      <c r="Y3" s="226"/>
      <c r="Z3" s="228"/>
      <c r="AA3" s="228"/>
      <c r="AB3" s="228"/>
      <c r="AC3" s="228"/>
    </row>
    <row r="4" spans="1:29" x14ac:dyDescent="0.25">
      <c r="D4" s="36" t="s">
        <v>45</v>
      </c>
      <c r="E4" s="10" t="str">
        <f>Main!D6</f>
        <v>DESPATCH RS4HD Temperature Uniformity Survey, 10 points</v>
      </c>
      <c r="H4" s="8"/>
      <c r="J4" s="36" t="s">
        <v>47</v>
      </c>
      <c r="K4" s="14">
        <f>Main!D16</f>
        <v>0</v>
      </c>
      <c r="L4" s="9"/>
      <c r="O4" s="226"/>
      <c r="R4" s="312" t="e">
        <f>IF(U2=0, 0, IF(U2 &gt; Main!G93 + (1-G31)*0.4, 1, ""))</f>
        <v>#VALUE!</v>
      </c>
      <c r="T4" s="312" t="e" cm="1">
        <f t="array" ref="T4">MAX(ABS(K22:K30))</f>
        <v>#VALUE!</v>
      </c>
      <c r="U4" s="312" t="e" cm="1">
        <f t="array" ref="U4">MAX(ABS(N22:N30))</f>
        <v>#N/A</v>
      </c>
      <c r="X4" s="226"/>
      <c r="Y4" s="226"/>
      <c r="Z4" s="228"/>
      <c r="AA4" s="228"/>
      <c r="AB4" s="228"/>
      <c r="AC4" s="228"/>
    </row>
    <row r="5" spans="1:29" x14ac:dyDescent="0.25">
      <c r="D5" s="36" t="s">
        <v>32</v>
      </c>
      <c r="E5" s="8" t="str">
        <f>Main!D7</f>
        <v>Jeff Hall</v>
      </c>
      <c r="H5" s="8"/>
      <c r="J5" s="37" t="s">
        <v>14</v>
      </c>
      <c r="K5" s="48">
        <f>Main!D18</f>
        <v>0</v>
      </c>
      <c r="O5" s="226"/>
      <c r="R5" s="312" t="e">
        <f>IF(T3=0, 0, IF(T3 &gt; Main!G93 + (1-J19)*0.4, 1, ""))</f>
        <v>#VALUE!</v>
      </c>
      <c r="T5" s="314"/>
      <c r="X5" s="226"/>
      <c r="Y5" s="226"/>
      <c r="Z5" s="228"/>
      <c r="AA5" s="228"/>
      <c r="AB5" s="228"/>
      <c r="AC5" s="228"/>
    </row>
    <row r="6" spans="1:29" ht="15.75" customHeight="1" x14ac:dyDescent="0.25">
      <c r="D6" s="36" t="s">
        <v>15</v>
      </c>
      <c r="E6" s="286" t="e">
        <f>IF(ISBLANK(Main!G95),"",Main!G95)</f>
        <v>#N/A</v>
      </c>
      <c r="G6" s="15" t="e">
        <f>IF(OR(R1:R8),"CHECK READINGS!!!","")</f>
        <v>#VALUE!</v>
      </c>
      <c r="J6" s="16"/>
      <c r="L6" s="9"/>
      <c r="O6" s="226"/>
      <c r="R6" s="312" t="e">
        <f>IF(U3=0, 0, IF(U3 &gt; Main!G93 + (1-J31)*0.4, 1, ""))</f>
        <v>#VALUE!</v>
      </c>
      <c r="T6" s="314"/>
      <c r="X6" s="226"/>
      <c r="Y6" s="226"/>
      <c r="Z6" s="228"/>
      <c r="AA6" s="228"/>
      <c r="AB6" s="228"/>
      <c r="AC6" s="228"/>
    </row>
    <row r="7" spans="1:29" x14ac:dyDescent="0.25">
      <c r="E7" s="8"/>
      <c r="F7" s="34" t="s">
        <v>16</v>
      </c>
      <c r="O7" s="226"/>
      <c r="R7" s="312" t="e">
        <f>IF(T4=0, 0, IF(T4 &gt; Main!G93 + (1-M19)*0.4, 1, ""))</f>
        <v>#VALUE!</v>
      </c>
      <c r="T7" s="314"/>
      <c r="X7" s="226"/>
      <c r="Y7" s="226"/>
      <c r="Z7" s="228"/>
      <c r="AA7" s="228"/>
      <c r="AB7" s="228"/>
      <c r="AC7" s="228"/>
    </row>
    <row r="8" spans="1:29" x14ac:dyDescent="0.25">
      <c r="A8" s="17" t="str">
        <f>Access_Data!A9</f>
        <v xml:space="preserve">Time Abs </v>
      </c>
      <c r="C8" s="18" t="s">
        <v>17</v>
      </c>
      <c r="D8" s="18" t="s">
        <v>18</v>
      </c>
      <c r="F8" s="18" t="s">
        <v>17</v>
      </c>
      <c r="G8" s="18" t="s">
        <v>18</v>
      </c>
      <c r="H8" s="18"/>
      <c r="I8" s="18" t="s">
        <v>17</v>
      </c>
      <c r="J8" s="18" t="s">
        <v>18</v>
      </c>
      <c r="K8" s="18"/>
      <c r="L8" s="18" t="s">
        <v>17</v>
      </c>
      <c r="M8" s="18" t="s">
        <v>18</v>
      </c>
      <c r="O8" s="226"/>
      <c r="R8" s="312" t="e">
        <f>IF(U4=0, 0, IF(U4 &gt; Main!G93 + (1-M31)*0.4, 1, ""))</f>
        <v>#N/A</v>
      </c>
      <c r="T8" s="314"/>
      <c r="X8" s="226"/>
      <c r="Y8" s="226"/>
      <c r="Z8" s="228"/>
      <c r="AA8" s="228"/>
      <c r="AB8" s="228"/>
      <c r="AC8" s="228"/>
    </row>
    <row r="9" spans="1:29" ht="15.75" thickBot="1" x14ac:dyDescent="0.3">
      <c r="A9" s="19" t="s">
        <v>19</v>
      </c>
      <c r="B9" s="19"/>
      <c r="C9" s="43" t="str">
        <f>IF(ISBLANK(Main!B37),"",Main!B37)</f>
        <v/>
      </c>
      <c r="D9" s="20" t="str">
        <f>IF(ISBLANK(Main!B37),"",Main!C37)</f>
        <v/>
      </c>
      <c r="E9" s="20" t="s">
        <v>20</v>
      </c>
      <c r="F9" s="43" t="str">
        <f>IF(ISBLANK(Main!B38),"",Main!B38)</f>
        <v/>
      </c>
      <c r="G9" s="20" t="str">
        <f>IF(ISBLANK(Main!B38),"",Main!C38)</f>
        <v/>
      </c>
      <c r="H9" s="20" t="s">
        <v>20</v>
      </c>
      <c r="I9" s="43" t="str">
        <f>IF(ISBLANK(Main!B39),"",Main!B39)</f>
        <v/>
      </c>
      <c r="J9" s="20" t="str">
        <f>IF(ISBLANK(Main!C39),"",Main!C39)</f>
        <v/>
      </c>
      <c r="K9" s="20" t="s">
        <v>20</v>
      </c>
      <c r="L9" s="43" t="str">
        <f>IF(ISBLANK(Main!B40),"",Main!B40)</f>
        <v/>
      </c>
      <c r="M9" s="20" t="str">
        <f>IF(ISBLANK(Main!B40),"",Main!C40)</f>
        <v/>
      </c>
      <c r="N9" s="20" t="s">
        <v>20</v>
      </c>
      <c r="O9" s="226"/>
      <c r="T9" s="314"/>
      <c r="X9" s="226"/>
      <c r="Y9" s="226"/>
      <c r="Z9" s="228"/>
      <c r="AA9" s="228"/>
      <c r="AB9" s="228"/>
      <c r="AC9" s="228"/>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6" t="e">
        <f>IF(R1,D9 &amp; " IS OOT!!!","")</f>
        <v>#VALUE!</v>
      </c>
      <c r="R10" s="313"/>
      <c r="T10" s="314"/>
      <c r="X10" s="226"/>
      <c r="Y10" s="226"/>
      <c r="Z10" s="228"/>
      <c r="AA10" s="228"/>
      <c r="AB10" s="228"/>
      <c r="AC10" s="228"/>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6" t="e">
        <f>IF(R2, G9 &amp; " IS OOT!!!","")</f>
        <v>#VALUE!</v>
      </c>
      <c r="R11" s="314"/>
      <c r="S11" s="313"/>
      <c r="T11" s="315" t="s">
        <v>411</v>
      </c>
      <c r="U11" s="318" t="s">
        <v>412</v>
      </c>
      <c r="V11" s="318" t="s">
        <v>413</v>
      </c>
      <c r="X11" s="226"/>
      <c r="Y11" s="226"/>
      <c r="Z11" s="228"/>
      <c r="AA11" s="228"/>
      <c r="AB11" s="228"/>
      <c r="AC11" s="228"/>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6" t="e">
        <f>IF(R3, J9 &amp; " IS OOT!!!","")</f>
        <v>#VALUE!</v>
      </c>
      <c r="S12" s="312" t="e" cm="1">
        <f t="array" ref="S12">LOOKUP($K$5,Table7[#Headers]+0,Table7[#This Row])</f>
        <v>#N/A</v>
      </c>
      <c r="U12" s="318">
        <v>2</v>
      </c>
      <c r="V12" s="318">
        <v>2</v>
      </c>
      <c r="X12" s="226"/>
      <c r="Y12" s="226"/>
      <c r="Z12" s="228"/>
      <c r="AA12" s="228"/>
      <c r="AB12" s="228"/>
      <c r="AC12" s="228"/>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6" t="e">
        <f>IF(R4, M9 &amp;" IS OOT!!!","")</f>
        <v>#VALUE!</v>
      </c>
      <c r="S13" s="312" t="e" cm="1">
        <f t="array" ref="S13">LOOKUP($K$5,Table7[#Headers]+0,Table7[#This Row])</f>
        <v>#N/A</v>
      </c>
      <c r="U13" s="318">
        <v>4</v>
      </c>
      <c r="V13" s="318">
        <v>7</v>
      </c>
      <c r="X13" s="226"/>
      <c r="Y13" s="226"/>
      <c r="Z13" s="228"/>
      <c r="AA13" s="228"/>
      <c r="AB13" s="228"/>
      <c r="AC13" s="228"/>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7"/>
      <c r="S14" s="312" t="e" cm="1">
        <f t="array" ref="S14">LOOKUP($K$5,Table7[#Headers]+0,Table7[#This Row])</f>
        <v>#N/A</v>
      </c>
      <c r="U14" s="318">
        <v>6</v>
      </c>
      <c r="V14" s="318">
        <v>12</v>
      </c>
      <c r="X14" s="226"/>
      <c r="Y14" s="226"/>
      <c r="Z14" s="228"/>
      <c r="AA14" s="228"/>
      <c r="AB14" s="228"/>
      <c r="AC14" s="228"/>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7"/>
      <c r="S15" s="312" t="e" cm="1">
        <f t="array" ref="S15">LOOKUP($K$5,Table7[#Headers]+0,Table7[#This Row])</f>
        <v>#N/A</v>
      </c>
      <c r="U15" s="318">
        <v>8</v>
      </c>
      <c r="V15" s="318">
        <v>17</v>
      </c>
      <c r="X15" s="226"/>
      <c r="Y15" s="226"/>
      <c r="Z15" s="228"/>
      <c r="AA15" s="228"/>
      <c r="AB15" s="228"/>
      <c r="AC15" s="228"/>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7"/>
      <c r="S16" s="312" t="e" cm="1">
        <f t="array" ref="S16">LOOKUP($K$5,Table7[#Headers]+0,Table7[#This Row])</f>
        <v>#N/A</v>
      </c>
      <c r="U16" s="318">
        <v>10</v>
      </c>
      <c r="V16" s="318">
        <v>22</v>
      </c>
      <c r="X16" s="226"/>
      <c r="Y16" s="226"/>
      <c r="Z16" s="228"/>
      <c r="AA16" s="228"/>
      <c r="AB16" s="228"/>
      <c r="AC16" s="228"/>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2" t="e" cm="1">
        <f t="array" ref="S17">LOOKUP($K$5,Table7[#Headers]+0,Table7[#This Row])</f>
        <v>#N/A</v>
      </c>
      <c r="U17" s="318">
        <v>12</v>
      </c>
      <c r="V17" s="318" t="s">
        <v>27</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2" t="e" cm="1">
        <f t="array" ref="S18">LOOKUP($K$5,Table7[#Headers]+0,Table7[#This Row])</f>
        <v>#N/A</v>
      </c>
      <c r="U18" s="318">
        <v>14</v>
      </c>
      <c r="V18" s="318" t="s">
        <v>27</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12" t="e" cm="1">
        <f t="array" ref="S19">LOOKUP($K$5,Table7[#Headers]+0,Table7[#This Row])</f>
        <v>#N/A</v>
      </c>
      <c r="U19" s="318">
        <v>16</v>
      </c>
      <c r="V19" s="318" t="s">
        <v>27</v>
      </c>
    </row>
    <row r="20" spans="1:22" x14ac:dyDescent="0.25">
      <c r="C20" s="18" t="s">
        <v>17</v>
      </c>
      <c r="D20" s="18" t="s">
        <v>18</v>
      </c>
      <c r="F20" s="18" t="s">
        <v>17</v>
      </c>
      <c r="G20" s="18" t="s">
        <v>18</v>
      </c>
      <c r="H20" s="18"/>
      <c r="I20" s="18" t="s">
        <v>17</v>
      </c>
      <c r="J20" s="18" t="s">
        <v>18</v>
      </c>
      <c r="K20" s="18"/>
      <c r="L20" s="18" t="s">
        <v>17</v>
      </c>
      <c r="M20" s="18" t="s">
        <v>18</v>
      </c>
      <c r="O20" s="29"/>
      <c r="S20" s="312" t="e" cm="1">
        <f t="array" ref="S20">LOOKUP($K$5,Table7[#Headers]+0,Table7[#This Row])</f>
        <v>#N/A</v>
      </c>
      <c r="U20" s="318">
        <v>17</v>
      </c>
      <c r="V20" s="318" t="s">
        <v>27</v>
      </c>
    </row>
    <row r="21" spans="1:22" ht="15.75" thickBot="1" x14ac:dyDescent="0.3">
      <c r="A21" s="19" t="s">
        <v>19</v>
      </c>
      <c r="B21" s="19"/>
      <c r="C21" s="43" t="str">
        <f>IF(ISBLANK(Main!B41),"",Main!B41)</f>
        <v/>
      </c>
      <c r="D21" s="20" t="str">
        <f>IF(ISBLANK(Main!B41),"",Main!C41)</f>
        <v/>
      </c>
      <c r="E21" s="20" t="s">
        <v>20</v>
      </c>
      <c r="F21" s="43" t="str">
        <f>IF(ISBLANK(Main!B42),"",Main!B42)</f>
        <v/>
      </c>
      <c r="G21" s="20" t="str">
        <f>IF(ISBLANK(Main!B42),"",Main!C42)</f>
        <v/>
      </c>
      <c r="H21" s="20" t="s">
        <v>20</v>
      </c>
      <c r="I21" s="43" t="str">
        <f>IF(ISBLANK(Main!B43),"",Main!B43)</f>
        <v/>
      </c>
      <c r="J21" s="20" t="str">
        <f>IF(ISBLANK(Main!B43),"",Main!C43)</f>
        <v/>
      </c>
      <c r="K21" s="20" t="s">
        <v>20</v>
      </c>
      <c r="L21" s="43" t="str">
        <f>IF(ISBLANK(Main!B44),"",Main!B44)</f>
        <v/>
      </c>
      <c r="M21" s="20" t="str">
        <f>IF(ISBLANK(Main!C44),"",Main!C44)</f>
        <v/>
      </c>
      <c r="N21" s="20" t="s">
        <v>20</v>
      </c>
      <c r="S21" s="312" t="e" cm="1">
        <f t="array" ref="S21">LOOKUP($K$5,Table7[#Headers]+0,Table7[#This Row])</f>
        <v>#N/A</v>
      </c>
      <c r="U21" s="318">
        <v>21</v>
      </c>
      <c r="V21" s="318" t="s">
        <v>27</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2" t="e" cm="1">
        <f t="array" ref="S22">LOOKUP($K$5,Table7[#Headers]+0,Table7[#This Row])</f>
        <v>#N/A</v>
      </c>
      <c r="U22" s="318" t="s">
        <v>27</v>
      </c>
      <c r="V22" s="318" t="s">
        <v>27</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8" t="s">
        <v>27</v>
      </c>
      <c r="V23" s="318" t="s">
        <v>27</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6"/>
      <c r="U24" s="318" t="s">
        <v>27</v>
      </c>
      <c r="V24" s="318" t="s">
        <v>27</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8" t="s">
        <v>27</v>
      </c>
      <c r="V25" s="318" t="s">
        <v>27</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21</v>
      </c>
      <c r="D32" s="615" t="s">
        <v>22</v>
      </c>
      <c r="E32" s="615"/>
      <c r="F32" s="615"/>
      <c r="G32" s="615"/>
      <c r="H32" s="615"/>
      <c r="I32" s="615"/>
      <c r="J32" s="615"/>
      <c r="K32" s="615"/>
      <c r="L32" s="615"/>
      <c r="M32" s="615"/>
    </row>
    <row r="33" spans="1:14" ht="15" customHeight="1" x14ac:dyDescent="0.25">
      <c r="D33" s="616"/>
      <c r="E33" s="616"/>
      <c r="F33" s="616"/>
      <c r="G33" s="616"/>
      <c r="H33" s="616"/>
      <c r="I33" s="616"/>
      <c r="J33" s="616"/>
      <c r="K33" s="616"/>
      <c r="L33" s="616"/>
      <c r="M33" s="616"/>
      <c r="N33" s="26"/>
    </row>
    <row r="34" spans="1:14" x14ac:dyDescent="0.25">
      <c r="A34" s="21"/>
      <c r="B34" s="21"/>
      <c r="D34" s="616"/>
      <c r="E34" s="616"/>
      <c r="F34" s="616"/>
      <c r="G34" s="616"/>
      <c r="H34" s="616"/>
      <c r="I34" s="616"/>
      <c r="J34" s="616"/>
      <c r="K34" s="616"/>
      <c r="L34" s="616"/>
      <c r="M34" s="616"/>
    </row>
    <row r="35" spans="1:14" x14ac:dyDescent="0.25">
      <c r="A35" s="21"/>
      <c r="B35" s="21"/>
      <c r="C35" s="25" t="s">
        <v>23</v>
      </c>
      <c r="D35" s="33" t="s">
        <v>24</v>
      </c>
      <c r="E35" s="121"/>
      <c r="F35" s="33"/>
      <c r="G35" s="33"/>
      <c r="H35" s="121"/>
      <c r="I35" s="33"/>
      <c r="J35" s="33"/>
      <c r="K35" s="121"/>
      <c r="L35" s="33"/>
      <c r="M35" s="33"/>
    </row>
    <row r="36" spans="1:14" x14ac:dyDescent="0.25">
      <c r="A36" s="21"/>
      <c r="B36" s="21"/>
    </row>
    <row r="37" spans="1:14" x14ac:dyDescent="0.25">
      <c r="A37" s="21"/>
      <c r="B37" s="21"/>
      <c r="C37" s="617" t="s">
        <v>25</v>
      </c>
      <c r="D37" s="617"/>
      <c r="E37" s="617"/>
      <c r="F37" s="617"/>
      <c r="G37" s="617"/>
      <c r="H37" s="617"/>
      <c r="I37" s="617"/>
      <c r="J37" s="617"/>
      <c r="K37" s="617"/>
      <c r="L37" s="617"/>
      <c r="M37" s="617"/>
    </row>
    <row r="38" spans="1:14" x14ac:dyDescent="0.25">
      <c r="A38" s="21"/>
      <c r="B38" s="21"/>
      <c r="C38" s="617"/>
      <c r="D38" s="617"/>
      <c r="E38" s="617"/>
      <c r="F38" s="617"/>
      <c r="G38" s="617"/>
      <c r="H38" s="617"/>
      <c r="I38" s="617"/>
      <c r="J38" s="617"/>
      <c r="K38" s="617"/>
      <c r="L38" s="617"/>
      <c r="M38" s="617"/>
    </row>
    <row r="39" spans="1:14" x14ac:dyDescent="0.25">
      <c r="A39" s="21"/>
      <c r="B39" s="21"/>
      <c r="C39" s="617"/>
      <c r="D39" s="617"/>
      <c r="E39" s="617"/>
      <c r="F39" s="617"/>
      <c r="G39" s="617"/>
      <c r="H39" s="617"/>
      <c r="I39" s="617"/>
      <c r="J39" s="617"/>
      <c r="K39" s="617"/>
      <c r="L39" s="617"/>
      <c r="M39" s="617"/>
    </row>
    <row r="40" spans="1:14" x14ac:dyDescent="0.25">
      <c r="A40" s="21"/>
      <c r="B40" s="21"/>
      <c r="C40" s="617"/>
      <c r="D40" s="617"/>
      <c r="E40" s="617"/>
      <c r="F40" s="617"/>
      <c r="G40" s="617"/>
      <c r="H40" s="617"/>
      <c r="I40" s="617"/>
      <c r="J40" s="617"/>
      <c r="K40" s="617"/>
      <c r="L40" s="617"/>
      <c r="M40" s="61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27</v>
      </c>
    </row>
    <row r="44" spans="1:14" x14ac:dyDescent="0.25">
      <c r="A44" s="8" t="s">
        <v>27</v>
      </c>
    </row>
    <row r="45" spans="1:14" x14ac:dyDescent="0.25">
      <c r="A45" s="8" t="s">
        <v>27</v>
      </c>
      <c r="C45" s="27"/>
    </row>
    <row r="46" spans="1:14" x14ac:dyDescent="0.25">
      <c r="A46" s="8" t="s">
        <v>27</v>
      </c>
    </row>
    <row r="47" spans="1:14" x14ac:dyDescent="0.25">
      <c r="A47" s="8" t="s">
        <v>27</v>
      </c>
    </row>
    <row r="48" spans="1:14" x14ac:dyDescent="0.25">
      <c r="A48" s="8" t="s">
        <v>27</v>
      </c>
    </row>
    <row r="49" spans="1:1" x14ac:dyDescent="0.25">
      <c r="A49" s="8" t="s">
        <v>27</v>
      </c>
    </row>
    <row r="50" spans="1:1" x14ac:dyDescent="0.25">
      <c r="A50" s="8" t="s">
        <v>27</v>
      </c>
    </row>
    <row r="51" spans="1:1" x14ac:dyDescent="0.25">
      <c r="A51" s="8" t="s">
        <v>27</v>
      </c>
    </row>
    <row r="52" spans="1:1" x14ac:dyDescent="0.25">
      <c r="A52" s="8" t="s">
        <v>27</v>
      </c>
    </row>
    <row r="53" spans="1:1" x14ac:dyDescent="0.25">
      <c r="A53" s="8" t="s">
        <v>27</v>
      </c>
    </row>
    <row r="54" spans="1:1" x14ac:dyDescent="0.25">
      <c r="A54" s="8" t="s">
        <v>27</v>
      </c>
    </row>
    <row r="55" spans="1:1" x14ac:dyDescent="0.25">
      <c r="A55" s="8" t="s">
        <v>27</v>
      </c>
    </row>
    <row r="56" spans="1:1" x14ac:dyDescent="0.25">
      <c r="A56" s="8" t="s">
        <v>27</v>
      </c>
    </row>
    <row r="57" spans="1:1" x14ac:dyDescent="0.25">
      <c r="A57" s="8" t="s">
        <v>27</v>
      </c>
    </row>
    <row r="58" spans="1:1" x14ac:dyDescent="0.25">
      <c r="A58" s="8" t="s">
        <v>27</v>
      </c>
    </row>
    <row r="59" spans="1:1" x14ac:dyDescent="0.25">
      <c r="A59" s="8" t="s">
        <v>27</v>
      </c>
    </row>
    <row r="60" spans="1:1" x14ac:dyDescent="0.25">
      <c r="A60" s="8" t="s">
        <v>27</v>
      </c>
    </row>
    <row r="61" spans="1:1" x14ac:dyDescent="0.25">
      <c r="A61" s="8" t="s">
        <v>27</v>
      </c>
    </row>
    <row r="62" spans="1:1" x14ac:dyDescent="0.25">
      <c r="A62" s="8" t="s">
        <v>27</v>
      </c>
    </row>
    <row r="63" spans="1:1" x14ac:dyDescent="0.25">
      <c r="A63" s="8" t="s">
        <v>27</v>
      </c>
    </row>
    <row r="64" spans="1:1" x14ac:dyDescent="0.25">
      <c r="A64" s="8" t="s">
        <v>27</v>
      </c>
    </row>
    <row r="65" spans="1:1" x14ac:dyDescent="0.25">
      <c r="A65" s="8" t="s">
        <v>27</v>
      </c>
    </row>
    <row r="66" spans="1:1" x14ac:dyDescent="0.25">
      <c r="A66" s="8" t="s">
        <v>27</v>
      </c>
    </row>
    <row r="67" spans="1:1" x14ac:dyDescent="0.25">
      <c r="A67" s="8" t="s">
        <v>27</v>
      </c>
    </row>
    <row r="68" spans="1:1" x14ac:dyDescent="0.25">
      <c r="A68" s="8" t="s">
        <v>27</v>
      </c>
    </row>
    <row r="69" spans="1:1" x14ac:dyDescent="0.25">
      <c r="A69" s="8" t="s">
        <v>27</v>
      </c>
    </row>
    <row r="70" spans="1:1" x14ac:dyDescent="0.25">
      <c r="A70" s="8" t="s">
        <v>27</v>
      </c>
    </row>
    <row r="71" spans="1:1" x14ac:dyDescent="0.25">
      <c r="A71" s="8" t="s">
        <v>27</v>
      </c>
    </row>
    <row r="72" spans="1:1" x14ac:dyDescent="0.25">
      <c r="A72" s="8" t="s">
        <v>27</v>
      </c>
    </row>
    <row r="73" spans="1:1" x14ac:dyDescent="0.25">
      <c r="A73" s="8" t="s">
        <v>27</v>
      </c>
    </row>
    <row r="74" spans="1:1" x14ac:dyDescent="0.25">
      <c r="A74" s="8" t="s">
        <v>27</v>
      </c>
    </row>
    <row r="75" spans="1:1" x14ac:dyDescent="0.25">
      <c r="A75" s="8" t="s">
        <v>27</v>
      </c>
    </row>
    <row r="76" spans="1:1" x14ac:dyDescent="0.25">
      <c r="A76" s="8" t="s">
        <v>27</v>
      </c>
    </row>
    <row r="77" spans="1:1" x14ac:dyDescent="0.25">
      <c r="A77" s="8" t="s">
        <v>27</v>
      </c>
    </row>
    <row r="78" spans="1:1" x14ac:dyDescent="0.25">
      <c r="A78" s="8" t="s">
        <v>27</v>
      </c>
    </row>
    <row r="79" spans="1:1" x14ac:dyDescent="0.25">
      <c r="A79" s="8" t="s">
        <v>27</v>
      </c>
    </row>
    <row r="80" spans="1:1" x14ac:dyDescent="0.25">
      <c r="A80" s="8" t="s">
        <v>27</v>
      </c>
    </row>
    <row r="81" spans="1:1" x14ac:dyDescent="0.25">
      <c r="A81" s="8" t="s">
        <v>27</v>
      </c>
    </row>
    <row r="82" spans="1:1" x14ac:dyDescent="0.25">
      <c r="A82" s="8" t="s">
        <v>27</v>
      </c>
    </row>
    <row r="83" spans="1:1" x14ac:dyDescent="0.25">
      <c r="A83" s="8" t="s">
        <v>27</v>
      </c>
    </row>
    <row r="84" spans="1:1" x14ac:dyDescent="0.25">
      <c r="A84" s="8" t="s">
        <v>27</v>
      </c>
    </row>
    <row r="85" spans="1:1" x14ac:dyDescent="0.25">
      <c r="A85" s="8" t="s">
        <v>27</v>
      </c>
    </row>
    <row r="86" spans="1:1" x14ac:dyDescent="0.25">
      <c r="A86" s="8" t="s">
        <v>27</v>
      </c>
    </row>
    <row r="87" spans="1:1" x14ac:dyDescent="0.25">
      <c r="A87" s="8" t="s">
        <v>27</v>
      </c>
    </row>
    <row r="88" spans="1:1" x14ac:dyDescent="0.25">
      <c r="A88" s="8" t="s">
        <v>27</v>
      </c>
    </row>
    <row r="89" spans="1:1" x14ac:dyDescent="0.25">
      <c r="A89" s="8" t="s">
        <v>27</v>
      </c>
    </row>
    <row r="90" spans="1:1" x14ac:dyDescent="0.25">
      <c r="A90" s="8" t="s">
        <v>27</v>
      </c>
    </row>
    <row r="91" spans="1:1" x14ac:dyDescent="0.25">
      <c r="A91" s="8" t="s">
        <v>27</v>
      </c>
    </row>
    <row r="92" spans="1:1" x14ac:dyDescent="0.25">
      <c r="A92" s="8" t="s">
        <v>27</v>
      </c>
    </row>
    <row r="93" spans="1:1" x14ac:dyDescent="0.25">
      <c r="A93" s="8" t="s">
        <v>27</v>
      </c>
    </row>
    <row r="94" spans="1:1" x14ac:dyDescent="0.25">
      <c r="A94" s="8" t="s">
        <v>27</v>
      </c>
    </row>
    <row r="95" spans="1:1" x14ac:dyDescent="0.25">
      <c r="A95" s="8" t="s">
        <v>27</v>
      </c>
    </row>
    <row r="96" spans="1:1" x14ac:dyDescent="0.25">
      <c r="A96" s="8" t="s">
        <v>27</v>
      </c>
    </row>
    <row r="97" spans="1:1" x14ac:dyDescent="0.25">
      <c r="A97" s="8" t="s">
        <v>27</v>
      </c>
    </row>
    <row r="98" spans="1:1" x14ac:dyDescent="0.25">
      <c r="A98" s="8" t="s">
        <v>27</v>
      </c>
    </row>
    <row r="99" spans="1:1" x14ac:dyDescent="0.25">
      <c r="A99" s="8" t="s">
        <v>27</v>
      </c>
    </row>
    <row r="100" spans="1:1" x14ac:dyDescent="0.25">
      <c r="A100" s="8" t="s">
        <v>27</v>
      </c>
    </row>
    <row r="101" spans="1:1" x14ac:dyDescent="0.25">
      <c r="A101" s="8" t="s">
        <v>27</v>
      </c>
    </row>
    <row r="102" spans="1:1" x14ac:dyDescent="0.25">
      <c r="A102" s="8" t="s">
        <v>27</v>
      </c>
    </row>
    <row r="103" spans="1:1" x14ac:dyDescent="0.25">
      <c r="A103" s="8" t="s">
        <v>27</v>
      </c>
    </row>
    <row r="104" spans="1:1" x14ac:dyDescent="0.25">
      <c r="A104" s="8" t="s">
        <v>27</v>
      </c>
    </row>
    <row r="105" spans="1:1" x14ac:dyDescent="0.25">
      <c r="A105" s="8" t="s">
        <v>27</v>
      </c>
    </row>
    <row r="106" spans="1:1" x14ac:dyDescent="0.25">
      <c r="A106" s="8" t="s">
        <v>27</v>
      </c>
    </row>
    <row r="107" spans="1:1" x14ac:dyDescent="0.25">
      <c r="A107" s="8" t="s">
        <v>27</v>
      </c>
    </row>
    <row r="108" spans="1:1" x14ac:dyDescent="0.25">
      <c r="A108" s="8" t="s">
        <v>27</v>
      </c>
    </row>
    <row r="109" spans="1:1" x14ac:dyDescent="0.25">
      <c r="A109" s="8" t="s">
        <v>27</v>
      </c>
    </row>
    <row r="110" spans="1:1" x14ac:dyDescent="0.25">
      <c r="A110" s="8" t="s">
        <v>27</v>
      </c>
    </row>
    <row r="111" spans="1:1" x14ac:dyDescent="0.25">
      <c r="A111" s="8" t="s">
        <v>27</v>
      </c>
    </row>
    <row r="112" spans="1:1" x14ac:dyDescent="0.25">
      <c r="A112" s="8" t="s">
        <v>27</v>
      </c>
    </row>
    <row r="113" spans="1:1" x14ac:dyDescent="0.25">
      <c r="A113" s="8" t="s">
        <v>27</v>
      </c>
    </row>
    <row r="114" spans="1:1" x14ac:dyDescent="0.25">
      <c r="A114" s="8" t="s">
        <v>27</v>
      </c>
    </row>
    <row r="115" spans="1:1" x14ac:dyDescent="0.25">
      <c r="A115" s="8" t="s">
        <v>27</v>
      </c>
    </row>
    <row r="116" spans="1:1" x14ac:dyDescent="0.25">
      <c r="A116" s="8" t="s">
        <v>27</v>
      </c>
    </row>
    <row r="117" spans="1:1" x14ac:dyDescent="0.25">
      <c r="A117" s="8" t="s">
        <v>27</v>
      </c>
    </row>
    <row r="118" spans="1:1" x14ac:dyDescent="0.25">
      <c r="A118" s="8" t="s">
        <v>27</v>
      </c>
    </row>
    <row r="119" spans="1:1" x14ac:dyDescent="0.25">
      <c r="A119" s="8" t="s">
        <v>27</v>
      </c>
    </row>
  </sheetData>
  <sheetProtection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8" t="s">
        <v>895</v>
      </c>
      <c r="O1" t="s">
        <v>28</v>
      </c>
    </row>
    <row r="2" spans="1:16" x14ac:dyDescent="0.2">
      <c r="O2" t="s">
        <v>29</v>
      </c>
    </row>
    <row r="3" spans="1:16" x14ac:dyDescent="0.2">
      <c r="A3" s="44" t="s">
        <v>0</v>
      </c>
      <c r="B3" s="44"/>
      <c r="C3" s="44"/>
      <c r="D3" s="44"/>
      <c r="E3" s="44"/>
      <c r="F3" s="44"/>
      <c r="G3" s="44"/>
      <c r="H3" s="44"/>
      <c r="I3" s="44"/>
      <c r="J3" s="44"/>
      <c r="K3" s="44"/>
      <c r="L3" s="44"/>
      <c r="M3" s="44"/>
      <c r="N3" s="44"/>
      <c r="O3" s="44"/>
      <c r="P3" s="44"/>
    </row>
    <row r="4" spans="1:16" x14ac:dyDescent="0.2">
      <c r="A4" s="1" t="s">
        <v>30</v>
      </c>
      <c r="B4" s="1"/>
      <c r="C4" s="44"/>
      <c r="D4" s="44"/>
      <c r="E4" s="44"/>
      <c r="F4" s="44"/>
      <c r="G4" s="44"/>
      <c r="H4" s="44"/>
      <c r="I4" s="44"/>
      <c r="J4" s="44"/>
      <c r="K4" s="44"/>
      <c r="L4" s="44"/>
      <c r="M4" s="44"/>
      <c r="N4" s="44"/>
      <c r="O4" s="44"/>
      <c r="P4" s="44"/>
    </row>
    <row r="5" spans="1:16" x14ac:dyDescent="0.2">
      <c r="A5" s="73" t="s">
        <v>31</v>
      </c>
      <c r="B5" s="74" t="str">
        <f>IF(Main!D3=0,"",Main!D3)</f>
        <v/>
      </c>
      <c r="C5" s="44"/>
      <c r="D5" s="44"/>
      <c r="E5" s="44"/>
      <c r="F5" s="44"/>
      <c r="G5" s="44"/>
      <c r="H5" s="44"/>
      <c r="I5" s="72" t="s">
        <v>7</v>
      </c>
      <c r="J5" s="44" t="str">
        <f>IFERROR(Main!D5,"")</f>
        <v>CHROME PLUS INT'L - WICHITA</v>
      </c>
      <c r="K5" s="44"/>
      <c r="L5" s="44"/>
      <c r="M5" s="44"/>
      <c r="N5" s="44"/>
      <c r="O5" s="44"/>
      <c r="P5" s="44"/>
    </row>
    <row r="6" spans="1:16" x14ac:dyDescent="0.2">
      <c r="A6" s="72" t="s">
        <v>6</v>
      </c>
      <c r="B6" s="75" t="str">
        <f>IF(Main!D6=0,"",Main!D6)</f>
        <v>DESPATCH RS4HD Temperature Uniformity Survey, 10 points</v>
      </c>
      <c r="C6" s="44"/>
      <c r="D6" s="44"/>
      <c r="E6" s="44"/>
      <c r="F6" s="44"/>
      <c r="G6" s="44"/>
      <c r="H6" s="44"/>
      <c r="I6" s="72" t="s">
        <v>8</v>
      </c>
      <c r="J6" s="71" t="str">
        <f>IF(Temperature="","",Temperature)</f>
        <v/>
      </c>
      <c r="K6" s="44"/>
      <c r="L6" s="44"/>
      <c r="M6" s="44"/>
      <c r="N6" s="44"/>
      <c r="O6" s="44"/>
      <c r="P6" s="44"/>
    </row>
    <row r="7" spans="1:16" x14ac:dyDescent="0.2">
      <c r="A7" s="72" t="s">
        <v>32</v>
      </c>
      <c r="B7" s="75" t="str">
        <f>IF(Main!D7=0,"",Main!D7)</f>
        <v>Jeff Hall</v>
      </c>
      <c r="C7" s="44"/>
      <c r="D7" s="44"/>
      <c r="E7" s="44"/>
      <c r="F7" s="44"/>
      <c r="G7" s="44"/>
      <c r="H7" s="44"/>
      <c r="I7" s="44"/>
      <c r="J7" s="44"/>
      <c r="K7" s="44"/>
      <c r="L7" s="44"/>
      <c r="M7" s="44"/>
      <c r="N7" s="44"/>
      <c r="O7" s="44"/>
      <c r="P7" s="44"/>
    </row>
    <row r="8" spans="1:16" x14ac:dyDescent="0.2">
      <c r="A8" s="72"/>
      <c r="B8" s="44"/>
      <c r="C8" s="44"/>
      <c r="D8" s="44"/>
      <c r="E8" s="44"/>
      <c r="F8" s="44"/>
      <c r="G8" s="44"/>
      <c r="H8" s="44"/>
      <c r="I8" s="44"/>
      <c r="J8" s="44"/>
      <c r="K8" s="44"/>
      <c r="L8" s="44"/>
      <c r="M8" s="44"/>
      <c r="N8" s="44"/>
      <c r="O8" s="44"/>
      <c r="P8" s="44"/>
    </row>
    <row r="9" spans="1:16" x14ac:dyDescent="0.2">
      <c r="A9" s="41" t="s">
        <v>33</v>
      </c>
      <c r="B9" s="41"/>
      <c r="C9" s="44"/>
      <c r="D9" s="44"/>
      <c r="E9" s="44"/>
      <c r="F9" s="44"/>
      <c r="G9" s="44"/>
      <c r="H9" s="44"/>
      <c r="I9" s="44"/>
      <c r="J9" s="44"/>
      <c r="K9" s="44"/>
      <c r="L9" s="44"/>
      <c r="M9" s="44"/>
      <c r="N9" s="44"/>
      <c r="O9" s="44"/>
      <c r="P9" s="44"/>
    </row>
    <row r="10" spans="1:16" x14ac:dyDescent="0.2">
      <c r="A10" s="44"/>
      <c r="B10" s="44"/>
      <c r="C10" s="76">
        <v>1</v>
      </c>
      <c r="D10" s="76">
        <v>2</v>
      </c>
      <c r="E10" s="76">
        <v>3</v>
      </c>
      <c r="F10" s="76">
        <v>4</v>
      </c>
      <c r="G10" s="76">
        <v>5</v>
      </c>
      <c r="H10" s="76">
        <v>6</v>
      </c>
      <c r="I10" s="76">
        <v>7</v>
      </c>
      <c r="J10" s="76">
        <v>8</v>
      </c>
      <c r="K10" s="76">
        <v>9</v>
      </c>
      <c r="L10" s="76">
        <v>10</v>
      </c>
      <c r="M10" s="76">
        <v>11</v>
      </c>
      <c r="N10" s="76">
        <v>12</v>
      </c>
      <c r="O10" s="76">
        <v>13</v>
      </c>
      <c r="P10" s="76">
        <v>14</v>
      </c>
    </row>
    <row r="11" spans="1:16" x14ac:dyDescent="0.2">
      <c r="A11" s="44"/>
      <c r="B11" s="77" t="s">
        <v>34</v>
      </c>
      <c r="C11" s="134">
        <f>IFERROR(VLOOKUP(C10,CorrectionFactors[],4,0),"")</f>
        <v>0.3</v>
      </c>
      <c r="D11" s="134">
        <f>IFERROR(VLOOKUP(D10,CorrectionFactors[],4,0),"")</f>
        <v>-0.1</v>
      </c>
      <c r="E11" s="134">
        <f>IFERROR(VLOOKUP(E10,CorrectionFactors[],4,0),"")</f>
        <v>0.2</v>
      </c>
      <c r="F11" s="134">
        <f>IFERROR(VLOOKUP(F10,CorrectionFactors[],4,0),"")</f>
        <v>0.2</v>
      </c>
      <c r="G11" s="134">
        <f>IFERROR(VLOOKUP(G10,CorrectionFactors[],4,0),"")</f>
        <v>0.3</v>
      </c>
      <c r="H11" s="134">
        <f>IFERROR(VLOOKUP(H10,CorrectionFactors[],4,0),"")</f>
        <v>0.2</v>
      </c>
      <c r="I11" s="134">
        <f>IFERROR(VLOOKUP(I10,CorrectionFactors[],4,0),"")</f>
        <v>0</v>
      </c>
      <c r="J11" s="134">
        <f>IFERROR(VLOOKUP(J10,CorrectionFactors[],4,0),"")</f>
        <v>0</v>
      </c>
      <c r="K11" s="134">
        <f>IFERROR(VLOOKUP(K10,CorrectionFactors[],4,0),"")</f>
        <v>0.4</v>
      </c>
      <c r="L11" s="134">
        <f>IFERROR(VLOOKUP(L10,CorrectionFactors[],4,0),"")</f>
        <v>0.6</v>
      </c>
      <c r="M11" s="134" t="str">
        <f>IFERROR(VLOOKUP(M10,CorrectionFactors[],4,0),"")</f>
        <v/>
      </c>
      <c r="N11" s="134" t="str">
        <f>IFERROR(VLOOKUP(N10,CorrectionFactors[],4,0),"")</f>
        <v/>
      </c>
      <c r="O11" s="134" t="str">
        <f>IFERROR(VLOOKUP(O10,CorrectionFactors[],4,0),"")</f>
        <v/>
      </c>
      <c r="P11" s="134" t="str">
        <f>IFERROR(VLOOKUP(P10,CorrectionFactors[],4,0),"")</f>
        <v/>
      </c>
    </row>
    <row r="12" spans="1:16" x14ac:dyDescent="0.2">
      <c r="A12" s="44"/>
      <c r="B12" s="77" t="s">
        <v>35</v>
      </c>
      <c r="C12" s="134">
        <f>IFERROR(VLOOKUP(C10,CorrectionFactors[],5,0),"")</f>
        <v>-0.4</v>
      </c>
      <c r="D12" s="134">
        <f>IFERROR(VLOOKUP(D10,CorrectionFactors[],5,0),"")</f>
        <v>-0.4</v>
      </c>
      <c r="E12" s="134">
        <f>IFERROR(VLOOKUP(E10,CorrectionFactors[],5,0),"")</f>
        <v>-0.4</v>
      </c>
      <c r="F12" s="134">
        <f>IFERROR(VLOOKUP(F10,CorrectionFactors[],5,0),"")</f>
        <v>-0.4</v>
      </c>
      <c r="G12" s="134">
        <f>IFERROR(VLOOKUP(G10,CorrectionFactors[],5,0),"")</f>
        <v>-0.4</v>
      </c>
      <c r="H12" s="134">
        <f>IFERROR(VLOOKUP(H10,CorrectionFactors[],5,0),"")</f>
        <v>-0.4</v>
      </c>
      <c r="I12" s="134">
        <f>IFERROR(VLOOKUP(I10,CorrectionFactors[],5,0),"")</f>
        <v>-0.4</v>
      </c>
      <c r="J12" s="134">
        <f>IFERROR(VLOOKUP(J10,CorrectionFactors[],5,0),"")</f>
        <v>-0.4</v>
      </c>
      <c r="K12" s="134">
        <f>IFERROR(VLOOKUP(K10,CorrectionFactors[],5,0),"")</f>
        <v>-0.4</v>
      </c>
      <c r="L12" s="134">
        <f>IFERROR(VLOOKUP(L10,CorrectionFactors[],5,0),"")</f>
        <v>-0.4</v>
      </c>
      <c r="M12" s="134" t="str">
        <f>IFERROR(VLOOKUP(M10,CorrectionFactors[],5,0),"")</f>
        <v/>
      </c>
      <c r="N12" s="134" t="str">
        <f>IFERROR(VLOOKUP(N10,CorrectionFactors[],5,0),"")</f>
        <v/>
      </c>
      <c r="O12" s="134" t="str">
        <f>IFERROR(VLOOKUP(O10,CorrectionFactors[],5,0),"")</f>
        <v/>
      </c>
      <c r="P12" s="134" t="str">
        <f>IFERROR(VLOOKUP(P10,CorrectionFactors[],5,0),"")</f>
        <v/>
      </c>
    </row>
    <row r="13" spans="1:16" x14ac:dyDescent="0.2">
      <c r="A13" s="44"/>
      <c r="B13" s="77" t="s">
        <v>36</v>
      </c>
      <c r="C13" s="134">
        <f>IF(OR(C11="",C12=""),"",C11+C12)</f>
        <v>-0.10000000000000003</v>
      </c>
      <c r="D13" s="134">
        <f t="shared" ref="D13:P13" si="0">IF(OR(D11="",D12=""),"",D11+D12)</f>
        <v>-0.5</v>
      </c>
      <c r="E13" s="134">
        <f t="shared" si="0"/>
        <v>-0.2</v>
      </c>
      <c r="F13" s="134">
        <f t="shared" si="0"/>
        <v>-0.2</v>
      </c>
      <c r="G13" s="134">
        <f t="shared" si="0"/>
        <v>-0.10000000000000003</v>
      </c>
      <c r="H13" s="134">
        <f t="shared" si="0"/>
        <v>-0.2</v>
      </c>
      <c r="I13" s="134">
        <f t="shared" si="0"/>
        <v>-0.4</v>
      </c>
      <c r="J13" s="134">
        <f t="shared" si="0"/>
        <v>-0.4</v>
      </c>
      <c r="K13" s="134">
        <f t="shared" si="0"/>
        <v>0</v>
      </c>
      <c r="L13" s="134">
        <f t="shared" si="0"/>
        <v>0.19999999999999996</v>
      </c>
      <c r="M13" s="134" t="str">
        <f t="shared" si="0"/>
        <v/>
      </c>
      <c r="N13" s="134" t="str">
        <f t="shared" si="0"/>
        <v/>
      </c>
      <c r="O13" s="134" t="str">
        <f t="shared" si="0"/>
        <v/>
      </c>
      <c r="P13" s="134"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6">
        <v>15</v>
      </c>
      <c r="D16" s="76">
        <v>16</v>
      </c>
      <c r="E16" s="76">
        <v>17</v>
      </c>
      <c r="F16" s="76">
        <v>18</v>
      </c>
      <c r="G16" s="76">
        <v>19</v>
      </c>
      <c r="H16" s="76">
        <v>20</v>
      </c>
      <c r="I16" s="76">
        <v>21</v>
      </c>
      <c r="J16" s="76">
        <v>22</v>
      </c>
      <c r="K16" s="76">
        <v>23</v>
      </c>
      <c r="L16" s="76">
        <v>24</v>
      </c>
      <c r="M16" s="76">
        <v>25</v>
      </c>
      <c r="N16" s="76">
        <v>26</v>
      </c>
      <c r="O16" s="76">
        <v>27</v>
      </c>
      <c r="P16" s="76">
        <v>28</v>
      </c>
    </row>
    <row r="17" spans="1:20" x14ac:dyDescent="0.2">
      <c r="A17" s="44"/>
      <c r="B17" s="77" t="s">
        <v>34</v>
      </c>
      <c r="C17" s="134" t="str">
        <f>IFERROR(VLOOKUP(C16,CorrectionFactors[],4,0),"")</f>
        <v/>
      </c>
      <c r="D17" s="134" t="str">
        <f>IFERROR(VLOOKUP(D16,CorrectionFactors[],4,0),"")</f>
        <v/>
      </c>
      <c r="E17" s="134" t="str">
        <f>IFERROR(VLOOKUP(E16,CorrectionFactors[],4,0),"")</f>
        <v/>
      </c>
      <c r="F17" s="134" t="str">
        <f>IFERROR(VLOOKUP(F16,CorrectionFactors[],4,0),"")</f>
        <v/>
      </c>
      <c r="G17" s="134" t="str">
        <f>IFERROR(VLOOKUP(G16,CorrectionFactors[],4,0),"")</f>
        <v/>
      </c>
      <c r="H17" s="134" t="str">
        <f>IFERROR(VLOOKUP(H16,CorrectionFactors[],4,0),"")</f>
        <v/>
      </c>
      <c r="I17" s="134" t="str">
        <f>IFERROR(VLOOKUP(I16,CorrectionFactors[],4,0),"")</f>
        <v/>
      </c>
      <c r="J17" s="134" t="str">
        <f>IFERROR(VLOOKUP(J16,CorrectionFactors[],4,0),"")</f>
        <v/>
      </c>
      <c r="K17" s="134" t="str">
        <f>IFERROR(VLOOKUP(K16,CorrectionFactors[],4,0),"")</f>
        <v/>
      </c>
      <c r="L17" s="134" t="str">
        <f>IFERROR(VLOOKUP(L16,CorrectionFactors[],4,0),"")</f>
        <v/>
      </c>
      <c r="M17" s="134" t="str">
        <f>IFERROR(VLOOKUP(M16,CorrectionFactors[],4,0),"")</f>
        <v/>
      </c>
      <c r="N17" s="134" t="str">
        <f>IFERROR(VLOOKUP(N16,CorrectionFactors[],4,0),"")</f>
        <v/>
      </c>
      <c r="O17" s="134" t="str">
        <f>IFERROR(VLOOKUP(O16,CorrectionFactors[],4,0),"")</f>
        <v/>
      </c>
      <c r="P17" s="134" t="str">
        <f>IFERROR(VLOOKUP(P16,CorrectionFactors[],4,0),"")</f>
        <v/>
      </c>
    </row>
    <row r="18" spans="1:20" x14ac:dyDescent="0.2">
      <c r="A18" s="44"/>
      <c r="B18" s="77" t="s">
        <v>35</v>
      </c>
      <c r="C18" s="134" t="str">
        <f>IFERROR(VLOOKUP(C16,CorrectionFactors[],5,0),"")</f>
        <v/>
      </c>
      <c r="D18" s="134" t="str">
        <f>IFERROR(VLOOKUP(D16,CorrectionFactors[],5,0),"")</f>
        <v/>
      </c>
      <c r="E18" s="134" t="str">
        <f>IFERROR(VLOOKUP(E16,CorrectionFactors[],5,0),"")</f>
        <v/>
      </c>
      <c r="F18" s="134" t="str">
        <f>IFERROR(VLOOKUP(F16,CorrectionFactors[],5,0),"")</f>
        <v/>
      </c>
      <c r="G18" s="134" t="str">
        <f>IFERROR(VLOOKUP(G16,CorrectionFactors[],5,0),"")</f>
        <v/>
      </c>
      <c r="H18" s="134" t="str">
        <f>IFERROR(VLOOKUP(H16,CorrectionFactors[],5,0),"")</f>
        <v/>
      </c>
      <c r="I18" s="134" t="str">
        <f>IFERROR(VLOOKUP(I16,CorrectionFactors[],5,0),"")</f>
        <v/>
      </c>
      <c r="J18" s="134" t="str">
        <f>IFERROR(VLOOKUP(J16,CorrectionFactors[],5,0),"")</f>
        <v/>
      </c>
      <c r="K18" s="134" t="str">
        <f>IFERROR(VLOOKUP(K16,CorrectionFactors[],5,0),"")</f>
        <v/>
      </c>
      <c r="L18" s="134" t="str">
        <f>IFERROR(VLOOKUP(L16,CorrectionFactors[],5,0),"")</f>
        <v/>
      </c>
      <c r="M18" s="134" t="str">
        <f>IFERROR(VLOOKUP(M16,CorrectionFactors[],5,0),"")</f>
        <v/>
      </c>
      <c r="N18" s="134" t="str">
        <f>IFERROR(VLOOKUP(N16,CorrectionFactors[],5,0),"")</f>
        <v/>
      </c>
      <c r="O18" s="134" t="str">
        <f>IFERROR(VLOOKUP(O16,CorrectionFactors[],5,0),"")</f>
        <v/>
      </c>
      <c r="P18" s="134" t="str">
        <f>IFERROR(VLOOKUP(P16,CorrectionFactors[],5,0),"")</f>
        <v/>
      </c>
    </row>
    <row r="19" spans="1:20" x14ac:dyDescent="0.2">
      <c r="A19" s="44"/>
      <c r="B19" s="77" t="s">
        <v>36</v>
      </c>
      <c r="C19" s="131" t="str">
        <f>IF(OR(C17="",C18=""),"",C17+C18)</f>
        <v/>
      </c>
      <c r="D19" s="131" t="str">
        <f t="shared" ref="D19:P19" si="1">IF(OR(D17="",D18=""),"",D17+D18)</f>
        <v/>
      </c>
      <c r="E19" s="131" t="str">
        <f t="shared" si="1"/>
        <v/>
      </c>
      <c r="F19" s="131" t="str">
        <f t="shared" si="1"/>
        <v/>
      </c>
      <c r="G19" s="131" t="str">
        <f t="shared" si="1"/>
        <v/>
      </c>
      <c r="H19" s="131" t="str">
        <f t="shared" si="1"/>
        <v/>
      </c>
      <c r="I19" s="131" t="str">
        <f t="shared" si="1"/>
        <v/>
      </c>
      <c r="J19" s="131" t="str">
        <f t="shared" si="1"/>
        <v/>
      </c>
      <c r="K19" s="131" t="str">
        <f t="shared" si="1"/>
        <v/>
      </c>
      <c r="L19" s="131" t="str">
        <f t="shared" si="1"/>
        <v/>
      </c>
      <c r="M19" s="131" t="str">
        <f t="shared" si="1"/>
        <v/>
      </c>
      <c r="N19" s="131" t="str">
        <f t="shared" si="1"/>
        <v/>
      </c>
      <c r="O19" s="131" t="str">
        <f t="shared" si="1"/>
        <v/>
      </c>
      <c r="P19" s="13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37</v>
      </c>
      <c r="B22" s="44"/>
      <c r="C22" s="76">
        <v>29</v>
      </c>
      <c r="D22" s="76">
        <v>30</v>
      </c>
      <c r="E22" s="76">
        <v>31</v>
      </c>
      <c r="F22" s="76">
        <v>32</v>
      </c>
      <c r="G22" s="76">
        <v>33</v>
      </c>
      <c r="H22" s="76">
        <v>34</v>
      </c>
      <c r="I22" s="76">
        <v>35</v>
      </c>
      <c r="J22" s="76">
        <v>36</v>
      </c>
      <c r="K22" s="76">
        <v>37</v>
      </c>
      <c r="L22" s="76">
        <v>38</v>
      </c>
      <c r="M22" s="76">
        <v>39</v>
      </c>
      <c r="N22" s="76">
        <v>40</v>
      </c>
      <c r="O22" s="1"/>
      <c r="P22" s="1"/>
    </row>
    <row r="23" spans="1:20" x14ac:dyDescent="0.2">
      <c r="A23" s="44"/>
      <c r="B23" s="77" t="s">
        <v>34</v>
      </c>
      <c r="C23" s="134" t="str">
        <f>IFERROR(VLOOKUP(C22,CorrectionFactors[],4,0),"")</f>
        <v/>
      </c>
      <c r="D23" s="134" t="str">
        <f>IFERROR(VLOOKUP(D22,CorrectionFactors[],4,0),"")</f>
        <v/>
      </c>
      <c r="E23" s="134" t="str">
        <f>IFERROR(VLOOKUP(E22,CorrectionFactors[],4,0),"")</f>
        <v/>
      </c>
      <c r="F23" s="134" t="str">
        <f>IFERROR(VLOOKUP(F22,CorrectionFactors[],4,0),"")</f>
        <v/>
      </c>
      <c r="G23" s="134" t="str">
        <f>IFERROR(VLOOKUP(G22,CorrectionFactors[],4,0),"")</f>
        <v/>
      </c>
      <c r="H23" s="134" t="str">
        <f>IFERROR(VLOOKUP(H22,CorrectionFactors[],4,0),"")</f>
        <v/>
      </c>
      <c r="I23" s="134" t="str">
        <f>IFERROR(VLOOKUP(I22,CorrectionFactors[],4,0),"")</f>
        <v/>
      </c>
      <c r="J23" s="134" t="str">
        <f>IFERROR(VLOOKUP(J22,CorrectionFactors[],4,0),"")</f>
        <v/>
      </c>
      <c r="K23" s="134" t="str">
        <f>IFERROR(VLOOKUP(K22,CorrectionFactors[],4,0),"")</f>
        <v/>
      </c>
      <c r="L23" s="134" t="str">
        <f>IFERROR(VLOOKUP(L22,CorrectionFactors[],4,0),"")</f>
        <v/>
      </c>
      <c r="M23" s="134" t="str">
        <f>IFERROR(VLOOKUP(M22,CorrectionFactors[],4,0),"")</f>
        <v/>
      </c>
      <c r="N23" s="134" t="str">
        <f>IFERROR(VLOOKUP(N22,CorrectionFactors[],4,0),"")</f>
        <v/>
      </c>
      <c r="O23" s="44"/>
      <c r="P23" s="44"/>
    </row>
    <row r="24" spans="1:20" x14ac:dyDescent="0.2">
      <c r="A24" s="44"/>
      <c r="B24" s="77" t="s">
        <v>35</v>
      </c>
      <c r="C24" s="134" t="str">
        <f>IFERROR(VLOOKUP(C22,CorrectionFactors[],5,0),"")</f>
        <v/>
      </c>
      <c r="D24" s="134" t="str">
        <f>IFERROR(VLOOKUP(D22,CorrectionFactors[],5,0),"")</f>
        <v/>
      </c>
      <c r="E24" s="134" t="str">
        <f>IFERROR(VLOOKUP(E22,CorrectionFactors[],5,0),"")</f>
        <v/>
      </c>
      <c r="F24" s="134" t="str">
        <f>IFERROR(VLOOKUP(F22,CorrectionFactors[],5,0),"")</f>
        <v/>
      </c>
      <c r="G24" s="134" t="str">
        <f>IFERROR(VLOOKUP(G22,CorrectionFactors[],5,0),"")</f>
        <v/>
      </c>
      <c r="H24" s="134" t="str">
        <f>IFERROR(VLOOKUP(H22,CorrectionFactors[],5,0),"")</f>
        <v/>
      </c>
      <c r="I24" s="134" t="str">
        <f>IFERROR(VLOOKUP(I22,CorrectionFactors[],5,0),"")</f>
        <v/>
      </c>
      <c r="J24" s="134" t="str">
        <f>IFERROR(VLOOKUP(J22,CorrectionFactors[],5,0),"")</f>
        <v/>
      </c>
      <c r="K24" s="134" t="str">
        <f>IFERROR(VLOOKUP(K22,CorrectionFactors[],5,0),"")</f>
        <v/>
      </c>
      <c r="L24" s="134" t="str">
        <f>IFERROR(VLOOKUP(L22,CorrectionFactors[],5,0),"")</f>
        <v/>
      </c>
      <c r="M24" s="134" t="str">
        <f>IFERROR(VLOOKUP(M22,CorrectionFactors[],5,0),"")</f>
        <v/>
      </c>
      <c r="N24" s="134" t="str">
        <f>IFERROR(VLOOKUP(N22,CorrectionFactors[],5,0),"")</f>
        <v/>
      </c>
    </row>
    <row r="25" spans="1:20" x14ac:dyDescent="0.2">
      <c r="A25" s="44"/>
      <c r="B25" s="77" t="s">
        <v>36</v>
      </c>
      <c r="C25" s="131" t="str">
        <f>IF(OR(C23="",C24=""),"",C23+C24)</f>
        <v/>
      </c>
      <c r="D25" s="131" t="str">
        <f t="shared" ref="D25:N25" si="2">IF(OR(D23="",D24=""),"",D23+D24)</f>
        <v/>
      </c>
      <c r="E25" s="131" t="str">
        <f t="shared" si="2"/>
        <v/>
      </c>
      <c r="F25" s="131" t="str">
        <f t="shared" si="2"/>
        <v/>
      </c>
      <c r="G25" s="131" t="str">
        <f t="shared" si="2"/>
        <v/>
      </c>
      <c r="H25" s="131" t="str">
        <f t="shared" si="2"/>
        <v/>
      </c>
      <c r="I25" s="131" t="str">
        <f t="shared" si="2"/>
        <v/>
      </c>
      <c r="J25" s="131" t="str">
        <f t="shared" si="2"/>
        <v/>
      </c>
      <c r="K25" s="131" t="str">
        <f t="shared" si="2"/>
        <v/>
      </c>
      <c r="L25" s="131" t="str">
        <f t="shared" si="2"/>
        <v/>
      </c>
      <c r="M25" s="131" t="str">
        <f t="shared" si="2"/>
        <v/>
      </c>
      <c r="N25" s="13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38</v>
      </c>
      <c r="B28" s="1"/>
      <c r="C28" s="2"/>
      <c r="D28" s="2"/>
      <c r="E28" s="2"/>
      <c r="F28" s="2"/>
      <c r="G28" s="2"/>
      <c r="H28" s="618" t="s">
        <v>354</v>
      </c>
      <c r="I28" s="618"/>
      <c r="J28" s="618"/>
      <c r="K28" s="618"/>
      <c r="L28" s="618"/>
      <c r="M28" s="618"/>
      <c r="N28" s="618"/>
      <c r="O28" s="618"/>
      <c r="P28" s="618"/>
      <c r="Q28" s="618"/>
      <c r="R28" s="618"/>
    </row>
    <row r="29" spans="1:20" x14ac:dyDescent="0.2">
      <c r="A29" s="624" t="s">
        <v>39</v>
      </c>
      <c r="B29" s="625"/>
      <c r="C29" s="64" t="str">
        <f>IF(Main!D48="","",Main!D48)</f>
        <v/>
      </c>
      <c r="D29" s="64" t="str">
        <f>IF(Main!E48="","",Main!E48)</f>
        <v/>
      </c>
      <c r="E29" s="64" t="str">
        <f>IF(Main!F48="","",Main!F48)</f>
        <v/>
      </c>
      <c r="F29" s="64" t="str">
        <f>IF(Main!G48="","",Main!G48)</f>
        <v/>
      </c>
      <c r="G29" s="300"/>
      <c r="H29" s="297" t="s">
        <v>355</v>
      </c>
      <c r="I29" s="134" t="str">
        <f>IF(Main!N47="","",Main!N47)</f>
        <v>Periodic</v>
      </c>
      <c r="J29" s="626" t="s">
        <v>356</v>
      </c>
      <c r="K29" s="627"/>
      <c r="L29" s="134" t="str">
        <f>IF(Main!R47="","",Main!R47)</f>
        <v>Air</v>
      </c>
    </row>
    <row r="30" spans="1:20" x14ac:dyDescent="0.2">
      <c r="A30" s="624" t="s">
        <v>40</v>
      </c>
      <c r="B30" s="625"/>
      <c r="C30" s="65" t="str">
        <f>IF(Main!D49="","",Main!D49)</f>
        <v/>
      </c>
      <c r="D30" s="65" t="str">
        <f>IF(Main!E49="","",Main!E49)</f>
        <v/>
      </c>
      <c r="E30" s="65" t="str">
        <f>IF(Main!F49="","",Main!F49)</f>
        <v/>
      </c>
      <c r="F30" s="65" t="str">
        <f>IF(Main!G49="","",Main!G49)</f>
        <v/>
      </c>
      <c r="G30" s="302"/>
      <c r="H30" s="619" t="s">
        <v>342</v>
      </c>
      <c r="I30" s="619"/>
      <c r="J30" s="628" t="s">
        <v>397</v>
      </c>
      <c r="K30" s="629"/>
      <c r="L30" s="630"/>
      <c r="M30" s="294"/>
      <c r="O30" s="620" t="s">
        <v>400</v>
      </c>
      <c r="P30" s="621"/>
      <c r="Q30" s="622"/>
      <c r="T30" s="44"/>
    </row>
    <row r="31" spans="1:20" x14ac:dyDescent="0.2">
      <c r="A31" s="624" t="s">
        <v>41</v>
      </c>
      <c r="B31" s="625"/>
      <c r="C31" s="65" t="str">
        <f>IF(Main!D50="","",Main!D50)</f>
        <v/>
      </c>
      <c r="D31" s="65" t="str">
        <f>IF(Main!E50="","",Main!E50)</f>
        <v/>
      </c>
      <c r="E31" s="65" t="str">
        <f>IF(Main!F50="","",Main!F50)</f>
        <v/>
      </c>
      <c r="F31" s="65" t="str">
        <f>IF(Main!G50="","",Main!G50)</f>
        <v/>
      </c>
      <c r="G31" s="302"/>
      <c r="H31" s="282" t="s">
        <v>357</v>
      </c>
      <c r="I31" s="284" t="str">
        <f>IF(Main!N49="","",Main!N49)</f>
        <v>Unavailable</v>
      </c>
      <c r="J31" s="643" t="s">
        <v>405</v>
      </c>
      <c r="K31" s="644"/>
      <c r="L31" s="645"/>
      <c r="M31" s="295" t="str">
        <f>IF(Main!S49="","",Main!S49)</f>
        <v/>
      </c>
      <c r="O31" s="508" t="s">
        <v>407</v>
      </c>
      <c r="P31" s="509"/>
      <c r="Q31" s="623"/>
      <c r="R31" s="76" t="str">
        <f>IF(Main!X49="","",Main!X49)</f>
        <v/>
      </c>
      <c r="T31" s="44"/>
    </row>
    <row r="32" spans="1:20" ht="12.75" customHeight="1" x14ac:dyDescent="0.2">
      <c r="A32" s="624" t="s">
        <v>42</v>
      </c>
      <c r="B32" s="625"/>
      <c r="C32" s="64" t="str">
        <f>IF(Main!D51="","",Main!D51)</f>
        <v/>
      </c>
      <c r="D32" s="64" t="str">
        <f>IF(Main!E51="","",Main!E51)</f>
        <v/>
      </c>
      <c r="E32" s="64" t="str">
        <f>IF(Main!F51="","",Main!F51)</f>
        <v/>
      </c>
      <c r="F32" s="64" t="str">
        <f>IF(Main!G51="","",Main!G51)</f>
        <v/>
      </c>
      <c r="G32" s="300"/>
      <c r="H32" s="282" t="s">
        <v>373</v>
      </c>
      <c r="I32" s="284" t="str">
        <f>IF(Main!N50="","",Main!N50)</f>
        <v/>
      </c>
      <c r="J32" s="634" t="s">
        <v>345</v>
      </c>
      <c r="K32" s="635"/>
      <c r="L32" s="636"/>
      <c r="M32" s="290"/>
      <c r="O32" s="634" t="s">
        <v>345</v>
      </c>
      <c r="P32" s="635"/>
      <c r="Q32" s="636"/>
      <c r="T32" s="44"/>
    </row>
    <row r="33" spans="1:20" ht="12.75" customHeight="1" x14ac:dyDescent="0.2">
      <c r="A33" s="624" t="s">
        <v>358</v>
      </c>
      <c r="B33" s="625"/>
      <c r="C33" s="64" t="str">
        <f>IF(Main!D52="","",Main!D52)</f>
        <v/>
      </c>
      <c r="D33" s="64" t="str">
        <f>IF(Main!E52="","",Main!E52)</f>
        <v/>
      </c>
      <c r="E33" s="64" t="str">
        <f>IF(Main!F52="","",Main!F52)</f>
        <v/>
      </c>
      <c r="F33" s="64" t="str">
        <f>IF(Main!G52="","",Main!G52)</f>
        <v/>
      </c>
      <c r="G33" s="300"/>
      <c r="H33" s="282" t="s">
        <v>359</v>
      </c>
      <c r="I33" s="284" t="str">
        <f>IF(Main!N51="","",Main!N51)</f>
        <v/>
      </c>
      <c r="J33" s="631" t="s">
        <v>406</v>
      </c>
      <c r="K33" s="632"/>
      <c r="L33" s="633"/>
      <c r="M33" s="289" t="str">
        <f>IF(Main!S51="","",Main!S51)</f>
        <v/>
      </c>
      <c r="O33" s="631" t="s">
        <v>408</v>
      </c>
      <c r="P33" s="632"/>
      <c r="Q33" s="633"/>
      <c r="R33" s="76" t="str">
        <f>IF(Main!X51="","",Main!X51)</f>
        <v/>
      </c>
      <c r="T33" s="44"/>
    </row>
    <row r="34" spans="1:20" ht="12.75" customHeight="1" x14ac:dyDescent="0.2">
      <c r="A34" s="624" t="s">
        <v>43</v>
      </c>
      <c r="B34" s="625"/>
      <c r="C34" s="66" t="str">
        <f>IF(Main!D53="","",Main!D53)</f>
        <v/>
      </c>
      <c r="D34" s="66" t="str">
        <f>IF(Main!E53="","",Main!E53)</f>
        <v/>
      </c>
      <c r="E34" s="66" t="str">
        <f>IF(Main!F53="","",Main!F53)</f>
        <v/>
      </c>
      <c r="F34" s="66" t="str">
        <f>IF(Main!G53="","",Main!G53)</f>
        <v/>
      </c>
      <c r="G34" s="303"/>
      <c r="H34" s="282" t="s">
        <v>360</v>
      </c>
      <c r="I34" s="281" t="str">
        <f>IF(Main!N52="","",Main!N52)</f>
        <v/>
      </c>
      <c r="J34" s="634" t="s">
        <v>345</v>
      </c>
      <c r="K34" s="635"/>
      <c r="L34" s="636"/>
      <c r="O34" s="634" t="s">
        <v>345</v>
      </c>
      <c r="P34" s="635"/>
      <c r="Q34" s="636"/>
      <c r="T34" s="44"/>
    </row>
    <row r="35" spans="1:20" ht="12.75" customHeight="1" x14ac:dyDescent="0.2">
      <c r="A35" s="77"/>
      <c r="B35" s="79" t="s">
        <v>90</v>
      </c>
      <c r="C35" s="90" t="str">
        <f>IF(Main!D54="","",Main!D54)</f>
        <v/>
      </c>
      <c r="D35" s="90" t="str">
        <f>IF(Main!E54="","",Main!E54)</f>
        <v/>
      </c>
      <c r="E35" s="90" t="str">
        <f>IF(Main!F54="","",Main!F54)</f>
        <v/>
      </c>
      <c r="F35" s="90" t="str">
        <f>IF(Main!G54="","",Main!G54)</f>
        <v/>
      </c>
      <c r="G35" s="304"/>
      <c r="H35" s="282" t="s">
        <v>360</v>
      </c>
      <c r="I35" s="281" t="str">
        <f>IF(Main!N53="","",Main!N53)</f>
        <v/>
      </c>
      <c r="J35" s="637" t="s">
        <v>409</v>
      </c>
      <c r="K35" s="638"/>
      <c r="L35" s="639"/>
      <c r="M35" s="298" t="str">
        <f>IF(Main!S53="","",Main!S53)</f>
        <v/>
      </c>
      <c r="O35" s="637" t="s">
        <v>410</v>
      </c>
      <c r="P35" s="638"/>
      <c r="Q35" s="639"/>
      <c r="R35" s="299" t="str">
        <f>IF(Main!X53="","",Main!X53)</f>
        <v/>
      </c>
    </row>
    <row r="36" spans="1:20" ht="13.5" thickBot="1" x14ac:dyDescent="0.25">
      <c r="B36" s="79" t="s">
        <v>361</v>
      </c>
      <c r="C36" s="64" t="str">
        <f>IF(Main!D56="","",Main!D56)</f>
        <v/>
      </c>
      <c r="D36" s="64" t="str">
        <f>IF(Main!E56="","",Main!E56)</f>
        <v/>
      </c>
      <c r="E36" s="64" t="str">
        <f>IF(Main!F56="","",Main!F56)</f>
        <v/>
      </c>
      <c r="F36" s="64" t="str">
        <f>IF(Main!G56="","",Main!G56)</f>
        <v/>
      </c>
      <c r="G36" s="300"/>
      <c r="H36" s="301"/>
      <c r="J36" s="640"/>
      <c r="K36" s="641"/>
      <c r="L36" s="642"/>
      <c r="M36" s="293"/>
      <c r="O36" s="640"/>
      <c r="P36" s="641"/>
      <c r="Q36" s="642"/>
      <c r="T36" s="44"/>
    </row>
    <row r="37" spans="1:20" ht="13.5" thickBot="1" x14ac:dyDescent="0.25">
      <c r="B37" s="77" t="s">
        <v>362</v>
      </c>
      <c r="C37" s="64" t="str">
        <f>IF(Main!D57="","",Main!D57)</f>
        <v/>
      </c>
      <c r="D37" s="64" t="str">
        <f>IF(Main!E57="","",Main!E57)</f>
        <v/>
      </c>
      <c r="E37" s="64" t="str">
        <f>IF(Main!F57="","",Main!F57)</f>
        <v/>
      </c>
      <c r="F37" s="64" t="str">
        <f>IF(Main!G57="","",Main!G57)</f>
        <v/>
      </c>
      <c r="G37" s="300"/>
      <c r="H37" s="301"/>
      <c r="J37" s="308" t="s">
        <v>348</v>
      </c>
      <c r="K37" s="309" t="s">
        <v>19</v>
      </c>
      <c r="L37" s="310" t="s">
        <v>349</v>
      </c>
      <c r="M37" s="293"/>
      <c r="O37" s="308" t="s">
        <v>350</v>
      </c>
      <c r="P37" s="309" t="s">
        <v>19</v>
      </c>
      <c r="Q37" s="310" t="s">
        <v>351</v>
      </c>
    </row>
    <row r="38" spans="1:20" ht="13.5" thickBot="1" x14ac:dyDescent="0.25">
      <c r="B38" s="52" t="s">
        <v>44</v>
      </c>
      <c r="J38" s="305" t="str">
        <f>IF(Main!P56="","",Main!P56)</f>
        <v/>
      </c>
      <c r="K38" s="306" t="str">
        <f>IF(Main!Q56="","",Main!Q56)</f>
        <v/>
      </c>
      <c r="L38" s="307" t="str">
        <f>IF(Main!R56="","",Main!R56)</f>
        <v/>
      </c>
      <c r="O38" s="305" t="str">
        <f>IF(Main!U56="","",Main!U56)</f>
        <v/>
      </c>
      <c r="P38" s="306" t="str">
        <f>IF(Main!V56="","",Main!V56)</f>
        <v/>
      </c>
      <c r="Q38" s="307" t="str">
        <f>IF(Main!W56="","",Main!W56)</f>
        <v/>
      </c>
    </row>
    <row r="39" spans="1:20" x14ac:dyDescent="0.2">
      <c r="B39" s="52" t="s">
        <v>371</v>
      </c>
      <c r="M39" s="311"/>
    </row>
    <row r="40" spans="1:20" ht="15.75" x14ac:dyDescent="0.25">
      <c r="B40" s="292"/>
      <c r="C40" s="292"/>
      <c r="D40" s="292"/>
      <c r="E40" s="292"/>
      <c r="K40" s="77" t="s">
        <v>374</v>
      </c>
      <c r="L40">
        <f>IF(Main!N54="","",Main!N54)</f>
        <v>0</v>
      </c>
      <c r="O40" s="77" t="s">
        <v>376</v>
      </c>
      <c r="P40">
        <f>IF(Main!N56="","",Main!N56)</f>
        <v>0</v>
      </c>
    </row>
    <row r="41" spans="1:20" x14ac:dyDescent="0.2">
      <c r="K41" s="77" t="s">
        <v>375</v>
      </c>
      <c r="L41">
        <f>IF(Main!N55="","",Main!N55)</f>
        <v>0</v>
      </c>
      <c r="O41" s="77" t="s">
        <v>377</v>
      </c>
      <c r="P41">
        <f>IF(Main!N57="","",Main!N57)</f>
        <v>0</v>
      </c>
    </row>
    <row r="42" spans="1:20" ht="15.75" x14ac:dyDescent="0.25">
      <c r="C42" s="292"/>
      <c r="D42" s="292"/>
      <c r="E42" s="292"/>
      <c r="F42" s="292"/>
      <c r="G42" s="292"/>
      <c r="H42" s="292"/>
      <c r="I42" s="292"/>
      <c r="J42" s="292"/>
    </row>
    <row r="44" spans="1:20" x14ac:dyDescent="0.2">
      <c r="F44" s="2"/>
      <c r="G44" s="2"/>
    </row>
    <row r="45" spans="1:20" ht="12.75" customHeight="1" x14ac:dyDescent="0.2">
      <c r="F45" s="294"/>
    </row>
    <row r="46" spans="1:20" x14ac:dyDescent="0.2">
      <c r="F46" s="147"/>
    </row>
    <row r="47" spans="1:20" ht="12.75" customHeight="1" x14ac:dyDescent="0.2">
      <c r="F47" s="290"/>
    </row>
    <row r="48" spans="1:20" ht="12.75" customHeight="1" x14ac:dyDescent="0.2">
      <c r="F48" s="293"/>
    </row>
    <row r="50" spans="6:6" ht="15.75" customHeight="1" x14ac:dyDescent="0.2">
      <c r="F50" s="290"/>
    </row>
    <row r="51" spans="6:6" x14ac:dyDescent="0.2">
      <c r="F51" s="293"/>
    </row>
    <row r="52" spans="6:6" x14ac:dyDescent="0.2">
      <c r="F52" s="293"/>
    </row>
    <row r="54" spans="6:6" x14ac:dyDescent="0.2">
      <c r="F54" s="296"/>
    </row>
  </sheetData>
  <sheetProtection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8"/>
  </cols>
  <sheetData>
    <row r="1" spans="1:14" ht="15.75" x14ac:dyDescent="0.25">
      <c r="A1" s="129"/>
      <c r="B1" s="109"/>
      <c r="C1" s="109"/>
      <c r="D1" s="126"/>
      <c r="E1" s="110"/>
      <c r="F1" s="119" t="s">
        <v>151</v>
      </c>
      <c r="G1" s="120"/>
      <c r="H1" s="120"/>
      <c r="I1" s="120"/>
      <c r="J1" s="110"/>
      <c r="K1" s="109"/>
      <c r="L1" s="109"/>
      <c r="M1" s="109"/>
      <c r="N1" s="109"/>
    </row>
    <row r="2" spans="1:14" ht="15.75" x14ac:dyDescent="0.25">
      <c r="A2" s="109"/>
      <c r="B2" s="109"/>
      <c r="C2" s="109"/>
      <c r="D2" s="126"/>
      <c r="E2" s="111" t="s">
        <v>152</v>
      </c>
      <c r="F2" s="120"/>
      <c r="G2" s="120"/>
      <c r="H2" s="120"/>
      <c r="I2" s="120"/>
      <c r="J2" s="110"/>
      <c r="K2" s="109"/>
      <c r="L2" s="109"/>
      <c r="M2" s="109"/>
      <c r="N2" s="109"/>
    </row>
    <row r="3" spans="1:14" x14ac:dyDescent="0.2">
      <c r="A3" s="109"/>
      <c r="B3" s="109"/>
      <c r="C3" s="109"/>
      <c r="D3" s="126"/>
      <c r="E3" s="109"/>
      <c r="F3" s="109"/>
      <c r="G3" s="109"/>
      <c r="H3" s="109"/>
      <c r="I3" s="109"/>
      <c r="J3" s="109"/>
      <c r="K3" s="109"/>
      <c r="L3" s="109"/>
      <c r="M3" s="109"/>
      <c r="N3" s="109"/>
    </row>
    <row r="4" spans="1:14" x14ac:dyDescent="0.2">
      <c r="A4" s="109"/>
      <c r="B4" s="112" t="s">
        <v>0</v>
      </c>
      <c r="C4" s="112"/>
      <c r="D4" s="127"/>
      <c r="E4" s="109"/>
      <c r="F4" s="112"/>
      <c r="G4" s="112"/>
      <c r="H4" s="112"/>
      <c r="I4" s="112"/>
      <c r="J4" s="112"/>
      <c r="K4" s="112"/>
      <c r="L4" s="112"/>
      <c r="M4" s="109"/>
      <c r="N4" s="109"/>
    </row>
    <row r="5" spans="1:14" x14ac:dyDescent="0.2">
      <c r="A5" s="109"/>
      <c r="B5" s="113" t="s">
        <v>30</v>
      </c>
      <c r="C5" s="113"/>
      <c r="D5" s="127"/>
      <c r="E5" s="109"/>
      <c r="F5" s="112"/>
      <c r="G5" s="112"/>
      <c r="H5" s="112"/>
      <c r="I5" s="112"/>
      <c r="J5" s="112"/>
      <c r="K5" s="112"/>
      <c r="L5" s="112"/>
      <c r="M5" s="109"/>
      <c r="N5" s="109"/>
    </row>
    <row r="6" spans="1:14" x14ac:dyDescent="0.2">
      <c r="A6" s="109"/>
      <c r="B6" s="114" t="s">
        <v>31</v>
      </c>
      <c r="C6" s="115">
        <f>Main!D3</f>
        <v>0</v>
      </c>
      <c r="D6" s="126"/>
      <c r="E6" s="112"/>
      <c r="F6" s="112"/>
      <c r="G6" s="112"/>
      <c r="H6" s="112"/>
      <c r="I6" s="116" t="s">
        <v>7</v>
      </c>
      <c r="J6" s="112" t="str">
        <f>Main!D5</f>
        <v>CHROME PLUS INT'L - WICHITA</v>
      </c>
      <c r="K6" s="109"/>
      <c r="L6" s="109"/>
    </row>
    <row r="7" spans="1:14" x14ac:dyDescent="0.2">
      <c r="A7" s="109"/>
      <c r="B7" s="116" t="s">
        <v>6</v>
      </c>
      <c r="C7" s="117" t="str">
        <f>Main!D6</f>
        <v>DESPATCH RS4HD Temperature Uniformity Survey, 10 points</v>
      </c>
      <c r="D7" s="126"/>
      <c r="E7" s="112"/>
      <c r="F7" s="112"/>
      <c r="G7" s="112"/>
      <c r="H7" s="112"/>
      <c r="I7" s="116" t="s">
        <v>8</v>
      </c>
      <c r="J7" s="118">
        <f>Temperature</f>
        <v>0</v>
      </c>
      <c r="K7" s="109"/>
      <c r="L7" s="109"/>
    </row>
    <row r="8" spans="1:14" x14ac:dyDescent="0.2">
      <c r="A8" s="109"/>
      <c r="B8" s="116" t="s">
        <v>32</v>
      </c>
      <c r="C8" s="117" t="str">
        <f>Main!D7</f>
        <v>Jeff Hall</v>
      </c>
      <c r="D8" s="126"/>
      <c r="E8" s="112"/>
      <c r="F8" s="112"/>
      <c r="G8" s="112"/>
      <c r="H8" s="112"/>
      <c r="I8" s="112"/>
      <c r="J8" s="112"/>
      <c r="K8" s="112"/>
      <c r="L8" s="112"/>
      <c r="M8" s="109"/>
      <c r="N8" s="109"/>
    </row>
    <row r="10" spans="1:14" x14ac:dyDescent="0.2">
      <c r="B10" t="s">
        <v>159</v>
      </c>
      <c r="D10" s="128" t="s">
        <v>160</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cjWvnJumYRV63qPf/ApuZcZISkfYYU4pbpWLGNX2cyg5aTf5onU50ccg+/kA1JT89bWeRK5dqUEySYAAKNTdg==" saltValue="VQVn1QUG3urqMWYrA3gC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C28" sqref="C28"/>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6">
        <f>Main!D16</f>
        <v>0</v>
      </c>
      <c r="B1" s="337">
        <f>Main!D17</f>
        <v>0</v>
      </c>
      <c r="C1" s="156"/>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row>
    <row r="2" spans="1:55" ht="15" x14ac:dyDescent="0.25">
      <c r="A2" s="338">
        <f>Main!D19</f>
        <v>0</v>
      </c>
      <c r="B2" s="337">
        <f>IF(OR(ISBLANK(A1),ISBLANK(A2)),0,A1+A2)</f>
        <v>0</v>
      </c>
      <c r="C2" s="4"/>
      <c r="D2" s="4"/>
      <c r="E2" s="4"/>
      <c r="F2" s="162"/>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row>
    <row r="3" spans="1:55" ht="15" x14ac:dyDescent="0.25">
      <c r="A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row>
    <row r="4" spans="1:55" ht="15" x14ac:dyDescent="0.25">
      <c r="A4" s="5"/>
      <c r="L4" s="4"/>
      <c r="M4" s="4"/>
      <c r="N4" s="4"/>
      <c r="O4" s="4"/>
      <c r="P4" s="4"/>
      <c r="Q4" s="4"/>
      <c r="R4" s="4"/>
      <c r="S4" s="4"/>
      <c r="T4" s="4"/>
      <c r="U4" s="5"/>
      <c r="V4" s="4"/>
      <c r="W4" s="4"/>
      <c r="X4" s="4"/>
      <c r="Y4" s="4"/>
      <c r="Z4" s="4"/>
      <c r="AA4" s="4"/>
      <c r="AB4" s="4"/>
      <c r="AC4" s="4"/>
      <c r="AD4" s="4"/>
      <c r="AE4" s="4"/>
      <c r="AF4" s="4"/>
      <c r="AG4" s="4"/>
      <c r="AH4" s="4"/>
      <c r="AI4" s="4"/>
      <c r="AJ4" s="4"/>
      <c r="AK4" s="4"/>
      <c r="AL4" s="4"/>
      <c r="AM4" s="4"/>
      <c r="AN4" s="4"/>
      <c r="AO4" s="5"/>
      <c r="AP4" s="4"/>
      <c r="AQ4" s="4"/>
      <c r="AR4" s="4"/>
      <c r="AS4" s="4"/>
      <c r="AT4" s="4"/>
      <c r="AU4" s="4"/>
      <c r="AV4" s="4"/>
      <c r="AW4" s="4"/>
      <c r="AX4" s="4"/>
      <c r="AY4" s="4"/>
      <c r="AZ4" s="4"/>
      <c r="BA4" s="4"/>
      <c r="BB4" s="4"/>
      <c r="BC4" s="4"/>
    </row>
    <row r="5" spans="1:55" ht="15" x14ac:dyDescent="0.25">
      <c r="A5" s="7"/>
      <c r="B5" s="59"/>
      <c r="G5" s="44"/>
      <c r="I5" s="7"/>
      <c r="L5" s="4"/>
      <c r="M5" s="4"/>
      <c r="N5" s="4"/>
      <c r="O5" s="4"/>
      <c r="P5" s="4"/>
      <c r="Q5" s="54"/>
      <c r="R5" s="4"/>
      <c r="S5" s="4"/>
      <c r="T5" s="4"/>
      <c r="U5" s="4"/>
      <c r="V5" s="39"/>
      <c r="W5" s="4"/>
      <c r="X5" s="4"/>
      <c r="Y5" s="4"/>
      <c r="AA5" s="7"/>
      <c r="AB5" s="51"/>
      <c r="AC5" s="4"/>
      <c r="AD5" s="4"/>
      <c r="AE5" s="4"/>
      <c r="AF5" s="4"/>
      <c r="AG5" s="4"/>
      <c r="AH5" s="4"/>
      <c r="AI5" s="4"/>
      <c r="AJ5" s="4"/>
      <c r="AK5" s="4"/>
      <c r="AL5" s="4"/>
      <c r="AM5" s="4"/>
      <c r="AN5" s="4"/>
      <c r="AO5" s="4"/>
      <c r="AP5" s="39"/>
      <c r="AQ5" s="4"/>
      <c r="AR5" s="4"/>
      <c r="AS5" s="4"/>
      <c r="AU5" s="7"/>
      <c r="AV5" s="51"/>
      <c r="AW5" s="4"/>
      <c r="AX5" s="4"/>
      <c r="AY5" s="4"/>
      <c r="AZ5" s="4"/>
      <c r="BA5" s="4"/>
      <c r="BB5" s="4"/>
      <c r="BC5" s="4"/>
    </row>
    <row r="6" spans="1:55" ht="15" x14ac:dyDescent="0.25">
      <c r="A6" s="7"/>
      <c r="B6" s="4"/>
      <c r="I6" s="7"/>
      <c r="J6" s="46"/>
      <c r="L6" s="67"/>
      <c r="M6" s="67"/>
      <c r="N6" s="67"/>
      <c r="O6" s="4"/>
      <c r="P6" s="4"/>
      <c r="Q6" s="4"/>
      <c r="R6" s="4"/>
      <c r="S6" s="4"/>
      <c r="T6" s="4"/>
      <c r="U6" s="4"/>
      <c r="V6" s="4"/>
      <c r="W6" s="4"/>
      <c r="X6" s="4"/>
      <c r="Y6" s="4"/>
      <c r="AA6" s="7"/>
      <c r="AB6" s="60"/>
      <c r="AC6" s="4"/>
      <c r="AD6" s="4"/>
      <c r="AE6" s="4"/>
      <c r="AF6" s="4"/>
      <c r="AG6" s="4"/>
      <c r="AH6" s="4"/>
      <c r="AI6" s="4"/>
      <c r="AJ6" s="4"/>
      <c r="AK6" s="4"/>
      <c r="AL6" s="4"/>
      <c r="AM6" s="4"/>
      <c r="AN6" s="4"/>
      <c r="AO6" s="4"/>
      <c r="AP6" s="4"/>
      <c r="AQ6" s="4"/>
      <c r="AR6" s="4"/>
      <c r="AS6" s="4"/>
      <c r="AU6" s="7"/>
      <c r="AV6" s="60"/>
      <c r="AW6" s="4"/>
      <c r="AX6" s="4"/>
      <c r="AY6" s="4"/>
      <c r="AZ6" s="4"/>
      <c r="BA6" s="4"/>
      <c r="BB6" s="4"/>
      <c r="BC6" s="4"/>
    </row>
    <row r="7" spans="1:55" ht="15" x14ac:dyDescent="0.25">
      <c r="A7" s="7"/>
      <c r="B7" s="4"/>
      <c r="H7" s="57"/>
      <c r="K7" s="53"/>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row>
    <row r="8" spans="1:55" x14ac:dyDescent="0.2">
      <c r="C8" s="53"/>
    </row>
    <row r="9" spans="1:55" x14ac:dyDescent="0.2">
      <c r="A9" t="s">
        <v>56</v>
      </c>
      <c r="B9">
        <v>1</v>
      </c>
      <c r="C9">
        <v>2</v>
      </c>
      <c r="D9">
        <v>3</v>
      </c>
      <c r="E9">
        <v>4</v>
      </c>
      <c r="F9">
        <v>5</v>
      </c>
      <c r="G9">
        <v>6</v>
      </c>
      <c r="H9">
        <v>7</v>
      </c>
      <c r="I9">
        <v>8</v>
      </c>
      <c r="J9">
        <v>9</v>
      </c>
      <c r="K9">
        <v>10</v>
      </c>
      <c r="L9">
        <v>11</v>
      </c>
      <c r="M9">
        <v>12</v>
      </c>
      <c r="N9">
        <v>13</v>
      </c>
      <c r="O9">
        <v>14</v>
      </c>
      <c r="U9" t="s">
        <v>56</v>
      </c>
      <c r="V9">
        <v>15</v>
      </c>
      <c r="W9">
        <v>16</v>
      </c>
      <c r="X9">
        <v>17</v>
      </c>
      <c r="Y9">
        <v>18</v>
      </c>
      <c r="Z9">
        <v>19</v>
      </c>
      <c r="AA9">
        <v>20</v>
      </c>
      <c r="AB9">
        <v>21</v>
      </c>
      <c r="AC9">
        <v>22</v>
      </c>
      <c r="AD9">
        <v>23</v>
      </c>
      <c r="AE9">
        <v>24</v>
      </c>
      <c r="AF9">
        <v>25</v>
      </c>
      <c r="AG9">
        <v>26</v>
      </c>
      <c r="AH9">
        <v>27</v>
      </c>
      <c r="AI9">
        <v>28</v>
      </c>
      <c r="AO9" t="s">
        <v>56</v>
      </c>
      <c r="AP9">
        <v>29</v>
      </c>
      <c r="AQ9">
        <v>30</v>
      </c>
      <c r="AR9">
        <v>31</v>
      </c>
      <c r="AS9">
        <v>32</v>
      </c>
      <c r="AT9">
        <v>33</v>
      </c>
      <c r="AU9">
        <v>34</v>
      </c>
      <c r="AV9">
        <v>35</v>
      </c>
      <c r="AW9">
        <v>36</v>
      </c>
      <c r="AX9">
        <v>37</v>
      </c>
      <c r="AY9">
        <v>38</v>
      </c>
      <c r="AZ9">
        <v>39</v>
      </c>
      <c r="BA9">
        <v>40</v>
      </c>
    </row>
    <row r="10" spans="1:55" ht="15" x14ac:dyDescent="0.25">
      <c r="A10" s="54" cm="1">
        <f t="array" ref="A10:O10">_xlfn._xlws.FILTER(DataForChannels1to14[],(DataForChannels1to14[Time]&gt;=TUS_Start_Time)*(DataForChannels1to14[Time]&lt;=Survey_End_Time))</f>
        <v>0</v>
      </c>
      <c r="B10" s="49">
        <v>0</v>
      </c>
      <c r="C10" s="49">
        <v>0</v>
      </c>
      <c r="D10" s="49">
        <v>0</v>
      </c>
      <c r="E10" s="49">
        <v>0</v>
      </c>
      <c r="F10" s="49">
        <v>0</v>
      </c>
      <c r="G10" s="49">
        <v>0</v>
      </c>
      <c r="H10" s="49">
        <v>0</v>
      </c>
      <c r="I10" s="49">
        <v>0</v>
      </c>
      <c r="J10" s="49">
        <v>0</v>
      </c>
      <c r="K10" s="49">
        <v>0</v>
      </c>
      <c r="L10" s="49">
        <v>0</v>
      </c>
      <c r="M10" s="49">
        <v>0</v>
      </c>
      <c r="N10" s="49">
        <v>0</v>
      </c>
      <c r="O10" s="49">
        <v>0</v>
      </c>
      <c r="P10" s="49"/>
      <c r="U10" s="54" cm="1">
        <f t="array" ref="U10:AI10">_xlfn._xlws.FILTER(DataForChannels15to28[],(DataForChannels15to28[Time]&gt;=TUS_Start_Time)*(DataForChannels15to28[Time]&lt;=Survey_End_Time))</f>
        <v>0</v>
      </c>
      <c r="V10" s="49">
        <v>0</v>
      </c>
      <c r="W10" s="49">
        <v>0</v>
      </c>
      <c r="X10" s="49">
        <v>0</v>
      </c>
      <c r="Y10" s="49">
        <v>0</v>
      </c>
      <c r="Z10" s="49">
        <v>0</v>
      </c>
      <c r="AA10" s="49">
        <v>0</v>
      </c>
      <c r="AB10" s="49">
        <v>0</v>
      </c>
      <c r="AC10" s="49">
        <v>0</v>
      </c>
      <c r="AD10" s="49">
        <v>0</v>
      </c>
      <c r="AE10" s="49">
        <v>0</v>
      </c>
      <c r="AF10" s="49">
        <v>0</v>
      </c>
      <c r="AG10" s="49">
        <v>0</v>
      </c>
      <c r="AH10" s="49">
        <v>0</v>
      </c>
      <c r="AI10" s="49">
        <v>0</v>
      </c>
      <c r="AO10" s="54" cm="1">
        <f t="array" ref="AO10:BA10">_xlfn._xlws.FILTER(DataForChannels29to40[],(DataForChannels29to40[Time]&gt;=TUS_Start_Time)*(DataForChannels29to40[Time]&lt;=Survey_End_Time))</f>
        <v>0</v>
      </c>
      <c r="AP10" s="49">
        <v>0</v>
      </c>
      <c r="AQ10" s="49">
        <v>0</v>
      </c>
      <c r="AR10" s="49">
        <v>0</v>
      </c>
      <c r="AS10" s="49">
        <v>0</v>
      </c>
      <c r="AT10" s="49">
        <v>0</v>
      </c>
      <c r="AU10" s="49">
        <v>0</v>
      </c>
      <c r="AV10" s="49">
        <v>0</v>
      </c>
      <c r="AW10" s="49">
        <v>0</v>
      </c>
      <c r="AX10" s="49">
        <v>0</v>
      </c>
      <c r="AY10" s="49">
        <v>0</v>
      </c>
      <c r="AZ10" s="49">
        <v>0</v>
      </c>
      <c r="BA10" s="49">
        <v>0</v>
      </c>
    </row>
    <row r="11" spans="1:55" ht="15" x14ac:dyDescent="0.25">
      <c r="A11" s="54"/>
      <c r="B11" s="49"/>
      <c r="C11" s="49"/>
      <c r="D11" s="49"/>
      <c r="E11" s="49"/>
      <c r="F11" s="49"/>
      <c r="G11" s="49"/>
      <c r="H11" s="49"/>
      <c r="I11" s="49"/>
      <c r="J11" s="49"/>
      <c r="K11" s="49"/>
      <c r="L11" s="49"/>
      <c r="M11" s="49"/>
      <c r="N11" s="49"/>
      <c r="O11" s="49"/>
      <c r="P11" s="55"/>
      <c r="R11" s="4"/>
      <c r="U11" s="54"/>
      <c r="V11" s="49"/>
      <c r="W11" s="49"/>
      <c r="X11" s="49"/>
      <c r="Y11" s="49"/>
      <c r="Z11" s="49"/>
      <c r="AA11" s="49"/>
      <c r="AB11" s="49"/>
      <c r="AC11" s="49"/>
      <c r="AD11" s="49"/>
      <c r="AE11" s="49"/>
      <c r="AF11" s="49"/>
      <c r="AG11" s="49"/>
      <c r="AH11" s="49"/>
      <c r="AI11" s="49"/>
      <c r="AO11" s="54"/>
      <c r="AP11" s="49"/>
      <c r="AQ11" s="49"/>
      <c r="AR11" s="49"/>
      <c r="AS11" s="49"/>
      <c r="AT11" s="49"/>
      <c r="AU11" s="49"/>
      <c r="AV11" s="49"/>
      <c r="AW11" s="49"/>
      <c r="AX11" s="49"/>
      <c r="AY11" s="49"/>
      <c r="AZ11" s="49"/>
      <c r="BA11" s="49"/>
    </row>
    <row r="12" spans="1:55" ht="15" x14ac:dyDescent="0.25">
      <c r="A12" s="54"/>
      <c r="B12" s="49"/>
      <c r="C12" s="49"/>
      <c r="D12" s="49"/>
      <c r="E12" s="49"/>
      <c r="F12" s="49"/>
      <c r="G12" s="49"/>
      <c r="H12" s="49"/>
      <c r="I12" s="49"/>
      <c r="J12" s="49"/>
      <c r="K12" s="49"/>
      <c r="L12" s="49"/>
      <c r="M12" s="49"/>
      <c r="N12" s="49"/>
      <c r="O12" s="49"/>
      <c r="P12" s="55"/>
      <c r="Q12" s="4"/>
      <c r="R12" s="4"/>
      <c r="U12" s="54"/>
      <c r="V12" s="49"/>
      <c r="W12" s="49"/>
      <c r="X12" s="49"/>
      <c r="Y12" s="49"/>
      <c r="Z12" s="49"/>
      <c r="AA12" s="49"/>
      <c r="AB12" s="49"/>
      <c r="AC12" s="49"/>
      <c r="AD12" s="49"/>
      <c r="AE12" s="49"/>
      <c r="AF12" s="49"/>
      <c r="AG12" s="49"/>
      <c r="AH12" s="49"/>
      <c r="AI12" s="49"/>
      <c r="AO12" s="54"/>
      <c r="AP12" s="49"/>
      <c r="AQ12" s="49"/>
      <c r="AR12" s="49"/>
      <c r="AS12" s="49"/>
      <c r="AT12" s="49"/>
      <c r="AU12" s="49"/>
      <c r="AV12" s="49"/>
      <c r="AW12" s="49"/>
      <c r="AX12" s="49"/>
      <c r="AY12" s="49"/>
      <c r="AZ12" s="49"/>
      <c r="BA12" s="49"/>
    </row>
    <row r="13" spans="1:55" ht="15" x14ac:dyDescent="0.25">
      <c r="A13" s="54"/>
      <c r="B13" s="49"/>
      <c r="C13" s="49"/>
      <c r="D13" s="49"/>
      <c r="E13" s="49"/>
      <c r="F13" s="49"/>
      <c r="G13" s="49"/>
      <c r="H13" s="49"/>
      <c r="I13" s="49"/>
      <c r="J13" s="49"/>
      <c r="K13" s="49"/>
      <c r="L13" s="49"/>
      <c r="M13" s="49"/>
      <c r="N13" s="49"/>
      <c r="O13" s="49"/>
      <c r="P13" s="55"/>
      <c r="Q13" s="4"/>
      <c r="R13" s="4"/>
      <c r="U13" s="54"/>
      <c r="V13" s="49"/>
      <c r="W13" s="49"/>
      <c r="X13" s="49"/>
      <c r="Y13" s="49"/>
      <c r="Z13" s="49"/>
      <c r="AA13" s="49"/>
      <c r="AB13" s="49"/>
      <c r="AC13" s="49"/>
      <c r="AD13" s="49"/>
      <c r="AE13" s="49"/>
      <c r="AF13" s="49"/>
      <c r="AG13" s="49"/>
      <c r="AH13" s="49"/>
      <c r="AI13" s="49"/>
      <c r="AO13" s="54"/>
      <c r="AP13" s="49"/>
      <c r="AQ13" s="49"/>
      <c r="AR13" s="49"/>
      <c r="AS13" s="49"/>
      <c r="AT13" s="49"/>
      <c r="AU13" s="49"/>
      <c r="AV13" s="49"/>
      <c r="AW13" s="49"/>
      <c r="AX13" s="49"/>
      <c r="AY13" s="49"/>
      <c r="AZ13" s="49"/>
      <c r="BA13" s="49"/>
    </row>
    <row r="14" spans="1:55" ht="15" x14ac:dyDescent="0.25">
      <c r="A14" s="54"/>
      <c r="B14" s="49"/>
      <c r="C14" s="49"/>
      <c r="D14" s="49"/>
      <c r="E14" s="49"/>
      <c r="F14" s="49"/>
      <c r="G14" s="49"/>
      <c r="H14" s="49"/>
      <c r="I14" s="49"/>
      <c r="J14" s="49"/>
      <c r="K14" s="49"/>
      <c r="L14" s="49"/>
      <c r="M14" s="49"/>
      <c r="N14" s="49"/>
      <c r="O14" s="49"/>
      <c r="P14" s="55"/>
      <c r="Q14" s="4"/>
      <c r="R14" s="4"/>
      <c r="U14" s="54"/>
      <c r="V14" s="49"/>
      <c r="W14" s="49"/>
      <c r="X14" s="49"/>
      <c r="Y14" s="49"/>
      <c r="Z14" s="49"/>
      <c r="AA14" s="49"/>
      <c r="AB14" s="49"/>
      <c r="AC14" s="49"/>
      <c r="AD14" s="49"/>
      <c r="AE14" s="49"/>
      <c r="AF14" s="49"/>
      <c r="AG14" s="49"/>
      <c r="AH14" s="49"/>
      <c r="AI14" s="49"/>
      <c r="AO14" s="54"/>
      <c r="AP14" s="49"/>
      <c r="AQ14" s="49"/>
      <c r="AR14" s="49"/>
      <c r="AS14" s="49"/>
      <c r="AT14" s="49"/>
      <c r="AU14" s="49"/>
      <c r="AV14" s="49"/>
      <c r="AW14" s="49"/>
      <c r="AX14" s="49"/>
      <c r="AY14" s="49"/>
      <c r="AZ14" s="49"/>
      <c r="BA14" s="49"/>
    </row>
    <row r="15" spans="1:55" ht="15" x14ac:dyDescent="0.25">
      <c r="A15" s="54"/>
      <c r="B15" s="49"/>
      <c r="C15" s="49"/>
      <c r="D15" s="49"/>
      <c r="E15" s="49"/>
      <c r="F15" s="49"/>
      <c r="G15" s="49"/>
      <c r="H15" s="49"/>
      <c r="I15" s="49"/>
      <c r="J15" s="49"/>
      <c r="K15" s="49"/>
      <c r="L15" s="49"/>
      <c r="M15" s="49"/>
      <c r="N15" s="49"/>
      <c r="O15" s="49"/>
      <c r="P15" s="55"/>
      <c r="Q15" s="4"/>
      <c r="U15" s="54"/>
      <c r="V15" s="49"/>
      <c r="W15" s="49"/>
      <c r="X15" s="49"/>
      <c r="Y15" s="49"/>
      <c r="Z15" s="49"/>
      <c r="AA15" s="49"/>
      <c r="AB15" s="49"/>
      <c r="AC15" s="49"/>
      <c r="AD15" s="49"/>
      <c r="AE15" s="49"/>
      <c r="AF15" s="49"/>
      <c r="AG15" s="49"/>
      <c r="AH15" s="49"/>
      <c r="AI15" s="49"/>
      <c r="AO15" s="54"/>
      <c r="AP15" s="49"/>
      <c r="AQ15" s="49"/>
      <c r="AR15" s="49"/>
      <c r="AS15" s="49"/>
      <c r="AT15" s="49"/>
      <c r="AU15" s="49"/>
      <c r="AV15" s="49"/>
      <c r="AW15" s="49"/>
      <c r="AX15" s="49"/>
      <c r="AY15" s="49"/>
      <c r="AZ15" s="49"/>
      <c r="BA15" s="49"/>
    </row>
    <row r="16" spans="1:55" ht="15" x14ac:dyDescent="0.25">
      <c r="A16" s="54"/>
      <c r="B16" s="49"/>
      <c r="C16" s="49"/>
      <c r="D16" s="49"/>
      <c r="E16" s="49"/>
      <c r="F16" s="49"/>
      <c r="G16" s="49"/>
      <c r="H16" s="49"/>
      <c r="I16" s="49"/>
      <c r="J16" s="49"/>
      <c r="K16" s="49"/>
      <c r="L16" s="49"/>
      <c r="M16" s="49"/>
      <c r="N16" s="49"/>
      <c r="O16" s="49"/>
      <c r="P16" s="55"/>
      <c r="Q16" s="4"/>
      <c r="R16" s="4"/>
      <c r="U16" s="54"/>
      <c r="V16" s="49"/>
      <c r="W16" s="49"/>
      <c r="X16" s="49"/>
      <c r="Y16" s="49"/>
      <c r="Z16" s="49"/>
      <c r="AA16" s="49"/>
      <c r="AB16" s="49"/>
      <c r="AC16" s="49"/>
      <c r="AD16" s="49"/>
      <c r="AE16" s="49"/>
      <c r="AF16" s="49"/>
      <c r="AG16" s="49"/>
      <c r="AH16" s="49"/>
      <c r="AI16" s="49"/>
      <c r="AO16" s="54"/>
      <c r="AP16" s="49"/>
      <c r="AQ16" s="49"/>
      <c r="AR16" s="49"/>
      <c r="AS16" s="49"/>
      <c r="AT16" s="49"/>
      <c r="AU16" s="49"/>
      <c r="AV16" s="49"/>
      <c r="AW16" s="49"/>
      <c r="AX16" s="49"/>
      <c r="AY16" s="49"/>
      <c r="AZ16" s="49"/>
      <c r="BA16" s="49"/>
    </row>
    <row r="17" spans="1:55" ht="15" x14ac:dyDescent="0.25">
      <c r="A17" s="54"/>
      <c r="B17" s="49"/>
      <c r="C17" s="49"/>
      <c r="D17" s="49"/>
      <c r="E17" s="49"/>
      <c r="F17" s="49"/>
      <c r="G17" s="49"/>
      <c r="H17" s="49"/>
      <c r="I17" s="49"/>
      <c r="J17" s="49"/>
      <c r="K17" s="49"/>
      <c r="L17" s="49"/>
      <c r="M17" s="49"/>
      <c r="N17" s="49"/>
      <c r="O17" s="49"/>
      <c r="P17" s="55"/>
      <c r="Q17" s="4"/>
      <c r="R17" s="4"/>
      <c r="U17" s="54"/>
      <c r="V17" s="49"/>
      <c r="W17" s="49"/>
      <c r="X17" s="49"/>
      <c r="Y17" s="49"/>
      <c r="Z17" s="49"/>
      <c r="AA17" s="49"/>
      <c r="AB17" s="49"/>
      <c r="AC17" s="49"/>
      <c r="AD17" s="49"/>
      <c r="AE17" s="49"/>
      <c r="AF17" s="49"/>
      <c r="AG17" s="49"/>
      <c r="AH17" s="49"/>
      <c r="AI17" s="49"/>
      <c r="AO17" s="54"/>
      <c r="AP17" s="49"/>
      <c r="AQ17" s="49"/>
      <c r="AR17" s="49"/>
      <c r="AS17" s="49"/>
      <c r="AT17" s="49"/>
      <c r="AU17" s="49"/>
      <c r="AV17" s="49"/>
      <c r="AW17" s="49"/>
      <c r="AX17" s="49"/>
      <c r="AY17" s="49"/>
      <c r="AZ17" s="49"/>
      <c r="BA17" s="49"/>
    </row>
    <row r="18" spans="1:55" ht="15" x14ac:dyDescent="0.25">
      <c r="A18" s="54"/>
      <c r="B18" s="49"/>
      <c r="C18" s="49"/>
      <c r="D18" s="49"/>
      <c r="E18" s="49"/>
      <c r="F18" s="49"/>
      <c r="G18" s="49"/>
      <c r="H18" s="49"/>
      <c r="I18" s="49"/>
      <c r="J18" s="49"/>
      <c r="K18" s="49"/>
      <c r="L18" s="49"/>
      <c r="M18" s="49"/>
      <c r="N18" s="49"/>
      <c r="O18" s="49"/>
      <c r="P18" s="55"/>
      <c r="Q18" s="4"/>
      <c r="R18" s="4"/>
      <c r="U18" s="54"/>
      <c r="V18" s="49"/>
      <c r="W18" s="49"/>
      <c r="X18" s="49"/>
      <c r="Y18" s="49"/>
      <c r="Z18" s="49"/>
      <c r="AA18" s="49"/>
      <c r="AB18" s="49"/>
      <c r="AC18" s="49"/>
      <c r="AD18" s="49"/>
      <c r="AE18" s="49"/>
      <c r="AF18" s="49"/>
      <c r="AG18" s="49"/>
      <c r="AH18" s="49"/>
      <c r="AI18" s="49"/>
      <c r="AO18" s="54"/>
      <c r="AP18" s="49"/>
      <c r="AQ18" s="49"/>
      <c r="AR18" s="49"/>
      <c r="AS18" s="49"/>
      <c r="AT18" s="49"/>
      <c r="AU18" s="49"/>
      <c r="AV18" s="49"/>
      <c r="AW18" s="49"/>
      <c r="AX18" s="49"/>
      <c r="AY18" s="49"/>
      <c r="AZ18" s="49"/>
      <c r="BA18" s="49"/>
    </row>
    <row r="19" spans="1:55" ht="15" x14ac:dyDescent="0.25">
      <c r="A19" s="54"/>
      <c r="B19" s="49"/>
      <c r="C19" s="49"/>
      <c r="D19" s="49"/>
      <c r="E19" s="49"/>
      <c r="F19" s="49"/>
      <c r="G19" s="49"/>
      <c r="H19" s="49"/>
      <c r="I19" s="49"/>
      <c r="J19" s="49"/>
      <c r="K19" s="49"/>
      <c r="L19" s="49"/>
      <c r="M19" s="49"/>
      <c r="N19" s="49"/>
      <c r="O19" s="49"/>
      <c r="P19" s="55"/>
      <c r="Q19" s="4"/>
      <c r="R19" s="4"/>
      <c r="U19" s="54"/>
      <c r="V19" s="49"/>
      <c r="W19" s="49"/>
      <c r="X19" s="49"/>
      <c r="Y19" s="49"/>
      <c r="Z19" s="49"/>
      <c r="AA19" s="49"/>
      <c r="AB19" s="49"/>
      <c r="AC19" s="49"/>
      <c r="AD19" s="49"/>
      <c r="AE19" s="49"/>
      <c r="AF19" s="49"/>
      <c r="AG19" s="49"/>
      <c r="AH19" s="49"/>
      <c r="AI19" s="49"/>
      <c r="AO19" s="54"/>
      <c r="AP19" s="49"/>
      <c r="AQ19" s="49"/>
      <c r="AR19" s="49"/>
      <c r="AS19" s="49"/>
      <c r="AT19" s="49"/>
      <c r="AU19" s="49"/>
      <c r="AV19" s="49"/>
      <c r="AW19" s="49"/>
      <c r="AX19" s="49"/>
      <c r="AY19" s="49"/>
      <c r="AZ19" s="49"/>
      <c r="BA19" s="49"/>
    </row>
    <row r="20" spans="1:55" ht="15" x14ac:dyDescent="0.25">
      <c r="A20" s="54"/>
      <c r="B20" s="49"/>
      <c r="C20" s="49"/>
      <c r="D20" s="49"/>
      <c r="E20" s="49"/>
      <c r="F20" s="49"/>
      <c r="G20" s="49"/>
      <c r="H20" s="49"/>
      <c r="I20" s="49"/>
      <c r="J20" s="49"/>
      <c r="K20" s="49"/>
      <c r="L20" s="49"/>
      <c r="M20" s="49"/>
      <c r="N20" s="49"/>
      <c r="O20" s="49"/>
      <c r="P20" s="55"/>
      <c r="Q20" s="4"/>
      <c r="R20" s="4"/>
      <c r="U20" s="54"/>
      <c r="V20" s="49"/>
      <c r="W20" s="49"/>
      <c r="X20" s="49"/>
      <c r="Y20" s="49"/>
      <c r="Z20" s="49"/>
      <c r="AA20" s="49"/>
      <c r="AB20" s="49"/>
      <c r="AC20" s="49"/>
      <c r="AD20" s="49"/>
      <c r="AE20" s="49"/>
      <c r="AF20" s="49"/>
      <c r="AG20" s="49"/>
      <c r="AH20" s="49"/>
      <c r="AI20" s="49"/>
      <c r="AO20" s="54"/>
      <c r="AP20" s="49"/>
      <c r="AQ20" s="49"/>
      <c r="AR20" s="49"/>
      <c r="AS20" s="49"/>
      <c r="AT20" s="49"/>
      <c r="AU20" s="49"/>
      <c r="AV20" s="49"/>
      <c r="AW20" s="49"/>
      <c r="AX20" s="49"/>
      <c r="AY20" s="49"/>
      <c r="AZ20" s="49"/>
      <c r="BA20" s="49"/>
    </row>
    <row r="21" spans="1:55" ht="15" x14ac:dyDescent="0.25">
      <c r="A21" s="54"/>
      <c r="B21" s="49"/>
      <c r="C21" s="49"/>
      <c r="D21" s="49"/>
      <c r="E21" s="49"/>
      <c r="F21" s="49"/>
      <c r="G21" s="49"/>
      <c r="H21" s="49"/>
      <c r="I21" s="49"/>
      <c r="J21" s="49"/>
      <c r="K21" s="49"/>
      <c r="L21" s="49"/>
      <c r="M21" s="49"/>
      <c r="N21" s="49"/>
      <c r="O21" s="49"/>
      <c r="P21" s="55"/>
      <c r="Q21" s="4"/>
      <c r="R21" s="4"/>
      <c r="U21" s="54"/>
      <c r="V21" s="49"/>
      <c r="W21" s="49"/>
      <c r="X21" s="49"/>
      <c r="Y21" s="49"/>
      <c r="Z21" s="49"/>
      <c r="AA21" s="49"/>
      <c r="AB21" s="49"/>
      <c r="AC21" s="49"/>
      <c r="AD21" s="49"/>
      <c r="AE21" s="49"/>
      <c r="AF21" s="49"/>
      <c r="AG21" s="49"/>
      <c r="AH21" s="49"/>
      <c r="AI21" s="49"/>
      <c r="AO21" s="54"/>
      <c r="AP21" s="49"/>
      <c r="AQ21" s="49"/>
      <c r="AR21" s="49"/>
      <c r="AS21" s="49"/>
      <c r="AT21" s="49"/>
      <c r="AU21" s="49"/>
      <c r="AV21" s="49"/>
      <c r="AW21" s="49"/>
      <c r="AX21" s="49"/>
      <c r="AY21" s="49"/>
      <c r="AZ21" s="49"/>
      <c r="BA21" s="49"/>
    </row>
    <row r="22" spans="1:55" ht="15" x14ac:dyDescent="0.25">
      <c r="A22" s="54"/>
      <c r="B22" s="49"/>
      <c r="C22" s="49"/>
      <c r="D22" s="49"/>
      <c r="E22" s="49"/>
      <c r="F22" s="49"/>
      <c r="G22" s="49"/>
      <c r="H22" s="49"/>
      <c r="I22" s="49"/>
      <c r="J22" s="49"/>
      <c r="K22" s="49"/>
      <c r="L22" s="49"/>
      <c r="M22" s="49"/>
      <c r="N22" s="49"/>
      <c r="O22" s="49"/>
      <c r="P22" s="55"/>
      <c r="Q22" s="4"/>
      <c r="R22" s="4"/>
      <c r="U22" s="54"/>
      <c r="V22" s="49"/>
      <c r="W22" s="49"/>
      <c r="X22" s="49"/>
      <c r="Y22" s="49"/>
      <c r="Z22" s="49"/>
      <c r="AA22" s="49"/>
      <c r="AB22" s="49"/>
      <c r="AC22" s="49"/>
      <c r="AD22" s="49"/>
      <c r="AE22" s="49"/>
      <c r="AF22" s="49"/>
      <c r="AG22" s="49"/>
      <c r="AH22" s="49"/>
      <c r="AI22" s="49"/>
      <c r="AO22" s="54"/>
      <c r="AP22" s="49"/>
      <c r="AQ22" s="49"/>
      <c r="AR22" s="49"/>
      <c r="AS22" s="49"/>
      <c r="AT22" s="49"/>
      <c r="AU22" s="49"/>
      <c r="AV22" s="49"/>
      <c r="AW22" s="49"/>
      <c r="AX22" s="49"/>
      <c r="AY22" s="49"/>
      <c r="AZ22" s="49"/>
      <c r="BA22" s="49"/>
    </row>
    <row r="23" spans="1:55" ht="15" x14ac:dyDescent="0.25">
      <c r="A23" s="54"/>
      <c r="B23" s="49"/>
      <c r="C23" s="49"/>
      <c r="D23" s="49"/>
      <c r="E23" s="49"/>
      <c r="F23" s="49"/>
      <c r="G23" s="49"/>
      <c r="H23" s="49"/>
      <c r="I23" s="49"/>
      <c r="J23" s="49"/>
      <c r="K23" s="49"/>
      <c r="L23" s="49"/>
      <c r="M23" s="49"/>
      <c r="N23" s="49"/>
      <c r="O23" s="49"/>
      <c r="P23" s="55"/>
      <c r="Q23" s="4"/>
      <c r="R23" s="4"/>
      <c r="U23" s="54"/>
      <c r="V23" s="49"/>
      <c r="W23" s="49"/>
      <c r="X23" s="49"/>
      <c r="Y23" s="49"/>
      <c r="Z23" s="49"/>
      <c r="AA23" s="49"/>
      <c r="AB23" s="49"/>
      <c r="AC23" s="49"/>
      <c r="AD23" s="49"/>
      <c r="AE23" s="49"/>
      <c r="AF23" s="49"/>
      <c r="AG23" s="49"/>
      <c r="AH23" s="49"/>
      <c r="AI23" s="49"/>
      <c r="AO23" s="54"/>
      <c r="AP23" s="49"/>
      <c r="AQ23" s="49"/>
      <c r="AR23" s="49"/>
      <c r="AS23" s="49"/>
      <c r="AT23" s="49"/>
      <c r="AU23" s="49"/>
      <c r="AV23" s="49"/>
      <c r="AW23" s="49"/>
      <c r="AX23" s="49"/>
      <c r="AY23" s="49"/>
      <c r="AZ23" s="49"/>
      <c r="BA23" s="49"/>
    </row>
    <row r="24" spans="1:55" ht="15" x14ac:dyDescent="0.25">
      <c r="A24" s="54"/>
      <c r="B24" s="49"/>
      <c r="C24" s="49"/>
      <c r="D24" s="49"/>
      <c r="E24" s="49"/>
      <c r="F24" s="49"/>
      <c r="G24" s="49"/>
      <c r="H24" s="49"/>
      <c r="I24" s="49"/>
      <c r="J24" s="49"/>
      <c r="K24" s="49"/>
      <c r="L24" s="49"/>
      <c r="M24" s="49"/>
      <c r="N24" s="49"/>
      <c r="O24" s="49"/>
      <c r="P24" s="55"/>
      <c r="Q24" s="4"/>
      <c r="R24" s="4"/>
      <c r="U24" s="54"/>
      <c r="V24" s="49"/>
      <c r="W24" s="49"/>
      <c r="X24" s="49"/>
      <c r="Y24" s="49"/>
      <c r="Z24" s="49"/>
      <c r="AA24" s="49"/>
      <c r="AB24" s="49"/>
      <c r="AC24" s="49"/>
      <c r="AD24" s="49"/>
      <c r="AE24" s="49"/>
      <c r="AF24" s="49"/>
      <c r="AG24" s="49"/>
      <c r="AH24" s="49"/>
      <c r="AI24" s="49"/>
      <c r="AO24" s="54"/>
      <c r="AP24" s="49"/>
      <c r="AQ24" s="49"/>
      <c r="AR24" s="49"/>
      <c r="AS24" s="49"/>
      <c r="AT24" s="49"/>
      <c r="AU24" s="49"/>
      <c r="AV24" s="49"/>
      <c r="AW24" s="49"/>
      <c r="AX24" s="49"/>
      <c r="AY24" s="49"/>
      <c r="AZ24" s="49"/>
      <c r="BA24" s="49"/>
    </row>
    <row r="25" spans="1:55" ht="15" x14ac:dyDescent="0.25">
      <c r="A25" s="54"/>
      <c r="B25" s="49"/>
      <c r="C25" s="49"/>
      <c r="D25" s="49"/>
      <c r="E25" s="49"/>
      <c r="F25" s="49"/>
      <c r="G25" s="49"/>
      <c r="H25" s="49"/>
      <c r="I25" s="49"/>
      <c r="J25" s="49"/>
      <c r="K25" s="49"/>
      <c r="L25" s="49"/>
      <c r="M25" s="49"/>
      <c r="N25" s="49"/>
      <c r="O25" s="49"/>
      <c r="P25" s="55"/>
      <c r="Q25" s="4"/>
      <c r="R25" s="4"/>
      <c r="U25" s="54"/>
      <c r="V25" s="49"/>
      <c r="W25" s="49"/>
      <c r="X25" s="49"/>
      <c r="Y25" s="49"/>
      <c r="Z25" s="49"/>
      <c r="AA25" s="49"/>
      <c r="AB25" s="49"/>
      <c r="AC25" s="49"/>
      <c r="AD25" s="49"/>
      <c r="AE25" s="49"/>
      <c r="AF25" s="49"/>
      <c r="AG25" s="49"/>
      <c r="AH25" s="49"/>
      <c r="AI25" s="49"/>
      <c r="AO25" s="54"/>
      <c r="AP25" s="49"/>
      <c r="AQ25" s="49"/>
      <c r="AR25" s="49"/>
      <c r="AS25" s="49"/>
      <c r="AT25" s="49"/>
      <c r="AU25" s="49"/>
      <c r="AV25" s="49"/>
      <c r="AW25" s="49"/>
      <c r="AX25" s="49"/>
      <c r="AY25" s="49"/>
      <c r="AZ25" s="49"/>
      <c r="BA25" s="49"/>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0" t="str">
        <f t="shared" ref="B27:N27" si="0">IF(OR(B30&gt;7,MIN(B10:B25)=0),"",MIN(B10:B25))</f>
        <v/>
      </c>
      <c r="C27" s="150" t="str">
        <f t="shared" si="0"/>
        <v/>
      </c>
      <c r="D27" s="150" t="str">
        <f t="shared" si="0"/>
        <v/>
      </c>
      <c r="E27" s="150" t="str">
        <f t="shared" si="0"/>
        <v/>
      </c>
      <c r="F27" s="150" t="str">
        <f t="shared" si="0"/>
        <v/>
      </c>
      <c r="G27" s="150" t="str">
        <f t="shared" si="0"/>
        <v/>
      </c>
      <c r="H27" s="150" t="str">
        <f t="shared" si="0"/>
        <v/>
      </c>
      <c r="I27" s="150" t="str">
        <f t="shared" si="0"/>
        <v/>
      </c>
      <c r="J27" s="150" t="str">
        <f t="shared" si="0"/>
        <v/>
      </c>
      <c r="K27" s="150" t="str">
        <f t="shared" si="0"/>
        <v/>
      </c>
      <c r="L27" s="150" t="str">
        <f t="shared" si="0"/>
        <v/>
      </c>
      <c r="M27" s="150" t="str">
        <f t="shared" si="0"/>
        <v/>
      </c>
      <c r="N27" s="150" t="str">
        <f t="shared" si="0"/>
        <v/>
      </c>
      <c r="O27" s="150" t="str">
        <f>IF(OR(O30&gt;7,MIN(O10:O25)=0),"",MIN(O10:O25))</f>
        <v/>
      </c>
      <c r="P27" s="6"/>
      <c r="Q27" s="6"/>
      <c r="U27" t="s">
        <v>1</v>
      </c>
      <c r="V27" s="150" t="str">
        <f>IF(OR(V30&gt;7,MIN(V10:V25)=0),"",MIN(V10:V25))</f>
        <v/>
      </c>
      <c r="W27" s="150" t="str">
        <f t="shared" ref="W27:AI27" si="1">IF(OR(W30&gt;7,MIN(W10:W25)=0),"",MIN(W10:W25))</f>
        <v/>
      </c>
      <c r="X27" s="150" t="str">
        <f t="shared" si="1"/>
        <v/>
      </c>
      <c r="Y27" s="150" t="str">
        <f t="shared" si="1"/>
        <v/>
      </c>
      <c r="Z27" s="150" t="str">
        <f t="shared" si="1"/>
        <v/>
      </c>
      <c r="AA27" s="150" t="str">
        <f t="shared" si="1"/>
        <v/>
      </c>
      <c r="AB27" s="150" t="str">
        <f t="shared" si="1"/>
        <v/>
      </c>
      <c r="AC27" s="150" t="str">
        <f t="shared" si="1"/>
        <v/>
      </c>
      <c r="AD27" s="150" t="str">
        <f t="shared" si="1"/>
        <v/>
      </c>
      <c r="AE27" s="150" t="str">
        <f t="shared" si="1"/>
        <v/>
      </c>
      <c r="AF27" s="150" t="str">
        <f t="shared" si="1"/>
        <v/>
      </c>
      <c r="AG27" s="150" t="str">
        <f t="shared" si="1"/>
        <v/>
      </c>
      <c r="AH27" s="150" t="str">
        <f t="shared" si="1"/>
        <v/>
      </c>
      <c r="AI27" s="150" t="str">
        <f t="shared" si="1"/>
        <v/>
      </c>
      <c r="AO27" t="s">
        <v>1</v>
      </c>
      <c r="AP27" s="150" t="str">
        <f t="shared" ref="AP27:BA27" si="2">IF(OR(AP30&gt;7,MIN(AP10:AP25)=0),"",MIN(AP10:AP25))</f>
        <v/>
      </c>
      <c r="AQ27" s="150" t="str">
        <f t="shared" si="2"/>
        <v/>
      </c>
      <c r="AR27" s="150" t="str">
        <f t="shared" si="2"/>
        <v/>
      </c>
      <c r="AS27" s="150" t="str">
        <f t="shared" si="2"/>
        <v/>
      </c>
      <c r="AT27" s="150" t="str">
        <f t="shared" si="2"/>
        <v/>
      </c>
      <c r="AU27" s="150" t="str">
        <f t="shared" si="2"/>
        <v/>
      </c>
      <c r="AV27" s="150" t="str">
        <f t="shared" si="2"/>
        <v/>
      </c>
      <c r="AW27" s="150" t="str">
        <f t="shared" si="2"/>
        <v/>
      </c>
      <c r="AX27" s="150" t="str">
        <f t="shared" si="2"/>
        <v/>
      </c>
      <c r="AY27" s="150" t="str">
        <f t="shared" si="2"/>
        <v/>
      </c>
      <c r="AZ27" s="150" t="str">
        <f t="shared" si="2"/>
        <v/>
      </c>
      <c r="BA27" s="150" t="str">
        <f t="shared" si="2"/>
        <v/>
      </c>
    </row>
    <row r="28" spans="1:55" x14ac:dyDescent="0.2">
      <c r="A28" s="3"/>
      <c r="B28" s="50" t="str">
        <f>IF(B27&lt;&gt;"",B27-$A$1,"")</f>
        <v/>
      </c>
      <c r="C28" s="50" t="str">
        <f t="shared" ref="C28:O28" si="3">IF(C27&lt;&gt;"",C27-$A$1,"")</f>
        <v/>
      </c>
      <c r="D28" s="50" t="str">
        <f t="shared" si="3"/>
        <v/>
      </c>
      <c r="E28" s="50" t="str">
        <f t="shared" si="3"/>
        <v/>
      </c>
      <c r="F28" s="50" t="str">
        <f t="shared" si="3"/>
        <v/>
      </c>
      <c r="G28" s="50" t="str">
        <f t="shared" si="3"/>
        <v/>
      </c>
      <c r="H28" s="50" t="str">
        <f t="shared" si="3"/>
        <v/>
      </c>
      <c r="I28" s="50" t="str">
        <f t="shared" si="3"/>
        <v/>
      </c>
      <c r="J28" s="50" t="str">
        <f t="shared" si="3"/>
        <v/>
      </c>
      <c r="K28" s="50" t="str">
        <f t="shared" si="3"/>
        <v/>
      </c>
      <c r="L28" s="50" t="str">
        <f t="shared" si="3"/>
        <v/>
      </c>
      <c r="M28" s="50" t="str">
        <f t="shared" si="3"/>
        <v/>
      </c>
      <c r="N28" s="50" t="str">
        <f t="shared" si="3"/>
        <v/>
      </c>
      <c r="O28" s="50" t="str">
        <f t="shared" si="3"/>
        <v/>
      </c>
      <c r="P28" s="50"/>
      <c r="Q28" s="50"/>
      <c r="R28" s="50"/>
      <c r="S28" s="50"/>
      <c r="T28" s="50"/>
      <c r="U28" s="50"/>
      <c r="V28" s="50" t="str">
        <f>IF(V27&lt;&gt;"",V27-$A$1,"")</f>
        <v/>
      </c>
      <c r="W28" s="50" t="str">
        <f t="shared" ref="W28:AI28" si="4">IF(W27&lt;&gt;"",W27-$A$1,"")</f>
        <v/>
      </c>
      <c r="X28" s="50" t="str">
        <f t="shared" si="4"/>
        <v/>
      </c>
      <c r="Y28" s="50" t="str">
        <f t="shared" si="4"/>
        <v/>
      </c>
      <c r="Z28" s="50" t="str">
        <f t="shared" si="4"/>
        <v/>
      </c>
      <c r="AA28" s="50" t="str">
        <f t="shared" si="4"/>
        <v/>
      </c>
      <c r="AB28" s="50" t="str">
        <f t="shared" si="4"/>
        <v/>
      </c>
      <c r="AC28" s="50" t="str">
        <f t="shared" si="4"/>
        <v/>
      </c>
      <c r="AD28" s="50" t="str">
        <f t="shared" si="4"/>
        <v/>
      </c>
      <c r="AE28" s="50" t="str">
        <f t="shared" si="4"/>
        <v/>
      </c>
      <c r="AF28" s="50" t="str">
        <f t="shared" si="4"/>
        <v/>
      </c>
      <c r="AG28" s="50" t="str">
        <f t="shared" si="4"/>
        <v/>
      </c>
      <c r="AH28" s="50" t="str">
        <f t="shared" si="4"/>
        <v/>
      </c>
      <c r="AI28" s="50" t="str">
        <f t="shared" si="4"/>
        <v/>
      </c>
      <c r="AJ28" s="50"/>
      <c r="AK28" s="50"/>
      <c r="AL28" s="50"/>
      <c r="AM28" s="50"/>
      <c r="AN28" s="50"/>
      <c r="AO28" s="50"/>
      <c r="AP28" s="50" t="str">
        <f>IF(AP27&lt;&gt;"",AP27-$A$1,"")</f>
        <v/>
      </c>
      <c r="AQ28" s="50" t="str">
        <f t="shared" ref="AQ28:BA28" si="5">IF(AQ27&lt;&gt;"",AQ27-$A$1,"")</f>
        <v/>
      </c>
      <c r="AR28" s="50" t="str">
        <f t="shared" si="5"/>
        <v/>
      </c>
      <c r="AS28" s="50" t="str">
        <f t="shared" si="5"/>
        <v/>
      </c>
      <c r="AT28" s="50" t="str">
        <f t="shared" si="5"/>
        <v/>
      </c>
      <c r="AU28" s="50" t="str">
        <f t="shared" si="5"/>
        <v/>
      </c>
      <c r="AV28" s="50" t="str">
        <f t="shared" si="5"/>
        <v/>
      </c>
      <c r="AW28" s="50" t="str">
        <f t="shared" si="5"/>
        <v/>
      </c>
      <c r="AX28" s="50" t="str">
        <f t="shared" si="5"/>
        <v/>
      </c>
      <c r="AY28" s="50" t="str">
        <f t="shared" si="5"/>
        <v/>
      </c>
      <c r="AZ28" s="50" t="str">
        <f t="shared" si="5"/>
        <v/>
      </c>
      <c r="BA28" s="50" t="str">
        <f t="shared" si="5"/>
        <v/>
      </c>
      <c r="BB28" s="3"/>
      <c r="BC28" s="3"/>
    </row>
    <row r="29" spans="1:55" ht="15" x14ac:dyDescent="0.2">
      <c r="A29" t="s">
        <v>2</v>
      </c>
      <c r="B29" s="150" t="str">
        <f t="shared" ref="B29:N29" si="6">IF(OR(B30&gt;7,B27=""),"",LARGE(B10:B25,B30))</f>
        <v/>
      </c>
      <c r="C29" s="150" t="str">
        <f t="shared" si="6"/>
        <v/>
      </c>
      <c r="D29" s="150" t="str">
        <f t="shared" si="6"/>
        <v/>
      </c>
      <c r="E29" s="150" t="str">
        <f t="shared" si="6"/>
        <v/>
      </c>
      <c r="F29" s="150" t="str">
        <f t="shared" si="6"/>
        <v/>
      </c>
      <c r="G29" s="150" t="str">
        <f t="shared" si="6"/>
        <v/>
      </c>
      <c r="H29" s="150" t="str">
        <f t="shared" si="6"/>
        <v/>
      </c>
      <c r="I29" s="150" t="str">
        <f t="shared" si="6"/>
        <v/>
      </c>
      <c r="J29" s="150" t="str">
        <f t="shared" si="6"/>
        <v/>
      </c>
      <c r="K29" s="150" t="str">
        <f t="shared" si="6"/>
        <v/>
      </c>
      <c r="L29" s="150" t="str">
        <f t="shared" si="6"/>
        <v/>
      </c>
      <c r="M29" s="150" t="str">
        <f t="shared" si="6"/>
        <v/>
      </c>
      <c r="N29" s="150" t="str">
        <f t="shared" si="6"/>
        <v/>
      </c>
      <c r="O29" s="150" t="str">
        <f>IF(OR(O30&gt;7,O27=""),"",LARGE(O10:O25,O30))</f>
        <v/>
      </c>
      <c r="P29" s="6"/>
      <c r="Q29" s="6"/>
      <c r="R29" s="140"/>
      <c r="U29" t="s">
        <v>2</v>
      </c>
      <c r="V29" s="150" t="str">
        <f>IF(OR(V30&gt;7,V27=""),"",LARGE(V10:V25,V30))</f>
        <v/>
      </c>
      <c r="W29" s="150" t="str">
        <f t="shared" ref="W29:AI29" si="7">IF(OR(W30&gt;7,W27=""),"",LARGE(W10:W25,W30))</f>
        <v/>
      </c>
      <c r="X29" s="150" t="str">
        <f t="shared" si="7"/>
        <v/>
      </c>
      <c r="Y29" s="150" t="str">
        <f t="shared" si="7"/>
        <v/>
      </c>
      <c r="Z29" s="150" t="str">
        <f t="shared" si="7"/>
        <v/>
      </c>
      <c r="AA29" s="150" t="str">
        <f t="shared" si="7"/>
        <v/>
      </c>
      <c r="AB29" s="150" t="str">
        <f t="shared" si="7"/>
        <v/>
      </c>
      <c r="AC29" s="150" t="str">
        <f t="shared" si="7"/>
        <v/>
      </c>
      <c r="AD29" s="150" t="str">
        <f t="shared" si="7"/>
        <v/>
      </c>
      <c r="AE29" s="150" t="str">
        <f t="shared" si="7"/>
        <v/>
      </c>
      <c r="AF29" s="150" t="str">
        <f t="shared" si="7"/>
        <v/>
      </c>
      <c r="AG29" s="150" t="str">
        <f t="shared" si="7"/>
        <v/>
      </c>
      <c r="AH29" s="150" t="str">
        <f t="shared" si="7"/>
        <v/>
      </c>
      <c r="AI29" s="150" t="str">
        <f t="shared" si="7"/>
        <v/>
      </c>
      <c r="AO29" t="s">
        <v>2</v>
      </c>
      <c r="AP29" s="150" t="str">
        <f t="shared" ref="AP29" si="8">IF(OR(AP30&gt;7,AP27=""),"",LARGE(AP10:AP25,AP30))</f>
        <v/>
      </c>
      <c r="AQ29" s="150" t="str">
        <f t="shared" ref="AQ29" si="9">IF(OR(AQ30&gt;7,AQ27=""),"",LARGE(AQ10:AQ25,AQ30))</f>
        <v/>
      </c>
      <c r="AR29" s="150" t="str">
        <f t="shared" ref="AR29" si="10">IF(OR(AR30&gt;7,AR27=""),"",LARGE(AR10:AR25,AR30))</f>
        <v/>
      </c>
      <c r="AS29" s="150" t="str">
        <f t="shared" ref="AS29" si="11">IF(OR(AS30&gt;7,AS27=""),"",LARGE(AS10:AS25,AS30))</f>
        <v/>
      </c>
      <c r="AT29" s="150" t="str">
        <f t="shared" ref="AT29" si="12">IF(OR(AT30&gt;7,AT27=""),"",LARGE(AT10:AT25,AT30))</f>
        <v/>
      </c>
      <c r="AU29" s="150" t="str">
        <f t="shared" ref="AU29" si="13">IF(OR(AU30&gt;7,AU27=""),"",LARGE(AU10:AU25,AU30))</f>
        <v/>
      </c>
      <c r="AV29" s="150" t="str">
        <f t="shared" ref="AV29" si="14">IF(OR(AV30&gt;7,AV27=""),"",LARGE(AV10:AV25,AV30))</f>
        <v/>
      </c>
      <c r="AW29" s="150" t="str">
        <f t="shared" ref="AW29" si="15">IF(OR(AW30&gt;7,AW27=""),"",LARGE(AW10:AW25,AW30))</f>
        <v/>
      </c>
      <c r="AX29" s="150" t="str">
        <f t="shared" ref="AX29" si="16">IF(OR(AX30&gt;7,AX27=""),"",LARGE(AX10:AX25,AX30))</f>
        <v/>
      </c>
      <c r="AY29" s="150" t="str">
        <f t="shared" ref="AY29" si="17">IF(OR(AY30&gt;7,AY27=""),"",LARGE(AY10:AY25,AY30))</f>
        <v/>
      </c>
      <c r="AZ29" s="150" t="str">
        <f t="shared" ref="AZ29" si="18">IF(OR(AZ30&gt;7,AZ27=""),"",LARGE(AZ10:AZ25,AZ30))</f>
        <v/>
      </c>
      <c r="BA29" s="150" t="str">
        <f t="shared" ref="BA29" si="19">IF(OR(BA30&gt;7,BA27=""),"",LARGE(BA10:BA25,BA30))</f>
        <v/>
      </c>
    </row>
    <row r="30" spans="1:55" s="133" customFormat="1" ht="15" x14ac:dyDescent="0.25">
      <c r="B30" s="151">
        <f>COUNTIF(B10:B25,"&gt;"&amp;$A$1+200)+1</f>
        <v>1</v>
      </c>
      <c r="C30" s="151">
        <f t="shared" ref="C30:O30" si="20">COUNTIF(C10:C25,"&gt;"&amp;$A$1+200)+1</f>
        <v>1</v>
      </c>
      <c r="D30" s="151">
        <f t="shared" si="20"/>
        <v>1</v>
      </c>
      <c r="E30" s="151">
        <f t="shared" si="20"/>
        <v>1</v>
      </c>
      <c r="F30" s="151">
        <f t="shared" si="20"/>
        <v>1</v>
      </c>
      <c r="G30" s="151">
        <f t="shared" si="20"/>
        <v>1</v>
      </c>
      <c r="H30" s="151">
        <f t="shared" si="20"/>
        <v>1</v>
      </c>
      <c r="I30" s="151">
        <f t="shared" si="20"/>
        <v>1</v>
      </c>
      <c r="J30" s="151">
        <f t="shared" si="20"/>
        <v>1</v>
      </c>
      <c r="K30" s="151">
        <f t="shared" si="20"/>
        <v>1</v>
      </c>
      <c r="L30" s="151">
        <f t="shared" si="20"/>
        <v>1</v>
      </c>
      <c r="M30" s="151">
        <f t="shared" si="20"/>
        <v>1</v>
      </c>
      <c r="N30" s="151">
        <f t="shared" si="20"/>
        <v>1</v>
      </c>
      <c r="O30" s="151">
        <f t="shared" si="20"/>
        <v>1</v>
      </c>
      <c r="P30" s="152"/>
      <c r="Q30" s="152"/>
      <c r="R30" s="125"/>
      <c r="V30" s="151">
        <f t="shared" ref="V30:AI30" si="21">COUNTIF(V10:V25,"&gt;"&amp;$A$1+200)+1</f>
        <v>1</v>
      </c>
      <c r="W30" s="151">
        <f t="shared" si="21"/>
        <v>1</v>
      </c>
      <c r="X30" s="151">
        <f t="shared" si="21"/>
        <v>1</v>
      </c>
      <c r="Y30" s="151">
        <f t="shared" si="21"/>
        <v>1</v>
      </c>
      <c r="Z30" s="151">
        <f t="shared" si="21"/>
        <v>1</v>
      </c>
      <c r="AA30" s="151">
        <f t="shared" si="21"/>
        <v>1</v>
      </c>
      <c r="AB30" s="151">
        <f t="shared" si="21"/>
        <v>1</v>
      </c>
      <c r="AC30" s="151">
        <f t="shared" si="21"/>
        <v>1</v>
      </c>
      <c r="AD30" s="151">
        <f t="shared" si="21"/>
        <v>1</v>
      </c>
      <c r="AE30" s="151">
        <f t="shared" si="21"/>
        <v>1</v>
      </c>
      <c r="AF30" s="151">
        <f t="shared" si="21"/>
        <v>1</v>
      </c>
      <c r="AG30" s="151">
        <f t="shared" si="21"/>
        <v>1</v>
      </c>
      <c r="AH30" s="151">
        <f t="shared" si="21"/>
        <v>1</v>
      </c>
      <c r="AI30" s="151">
        <f t="shared" si="21"/>
        <v>1</v>
      </c>
      <c r="AP30" s="151">
        <f t="shared" ref="AP30:BA30" si="22">COUNTIF(AP10:AP25,"&gt;"&amp;$A$1+200)+1</f>
        <v>1</v>
      </c>
      <c r="AQ30" s="151">
        <f t="shared" si="22"/>
        <v>1</v>
      </c>
      <c r="AR30" s="151">
        <f t="shared" si="22"/>
        <v>1</v>
      </c>
      <c r="AS30" s="151">
        <f t="shared" si="22"/>
        <v>1</v>
      </c>
      <c r="AT30" s="151">
        <f t="shared" si="22"/>
        <v>1</v>
      </c>
      <c r="AU30" s="151">
        <f t="shared" si="22"/>
        <v>1</v>
      </c>
      <c r="AV30" s="151">
        <f t="shared" si="22"/>
        <v>1</v>
      </c>
      <c r="AW30" s="151">
        <f t="shared" si="22"/>
        <v>1</v>
      </c>
      <c r="AX30" s="151">
        <f t="shared" si="22"/>
        <v>1</v>
      </c>
      <c r="AY30" s="151">
        <f t="shared" si="22"/>
        <v>1</v>
      </c>
      <c r="AZ30" s="151">
        <f t="shared" si="22"/>
        <v>1</v>
      </c>
      <c r="BA30" s="151">
        <f t="shared" si="22"/>
        <v>1</v>
      </c>
    </row>
    <row r="31" spans="1:55" x14ac:dyDescent="0.2">
      <c r="A31" t="s">
        <v>3</v>
      </c>
      <c r="B31" s="6">
        <f>IF(B10="","",AVERAGEIF(B10:B25,"&lt;"&amp;$A$1+200))</f>
        <v>0</v>
      </c>
      <c r="C31" s="6">
        <f>IF(C10="","",AVERAGEIF(C10:C25,"&lt;"&amp;$A$1+200))</f>
        <v>0</v>
      </c>
      <c r="D31" s="6">
        <f t="shared" ref="D31:O31" si="23">IF(D10="","",AVERAGEIF(D10:D25,"&lt;"&amp;$A$1+200))</f>
        <v>0</v>
      </c>
      <c r="E31" s="6">
        <f t="shared" si="23"/>
        <v>0</v>
      </c>
      <c r="F31" s="6">
        <f t="shared" si="23"/>
        <v>0</v>
      </c>
      <c r="G31" s="6">
        <f t="shared" si="23"/>
        <v>0</v>
      </c>
      <c r="H31" s="6">
        <f t="shared" si="23"/>
        <v>0</v>
      </c>
      <c r="I31" s="6">
        <f t="shared" si="23"/>
        <v>0</v>
      </c>
      <c r="J31" s="6">
        <f t="shared" si="23"/>
        <v>0</v>
      </c>
      <c r="K31" s="6">
        <f t="shared" si="23"/>
        <v>0</v>
      </c>
      <c r="L31" s="6">
        <f t="shared" si="23"/>
        <v>0</v>
      </c>
      <c r="M31" s="6">
        <f t="shared" si="23"/>
        <v>0</v>
      </c>
      <c r="N31" s="6">
        <f t="shared" si="23"/>
        <v>0</v>
      </c>
      <c r="O31" s="6">
        <f t="shared" si="23"/>
        <v>0</v>
      </c>
      <c r="P31" s="6"/>
      <c r="Q31" s="6"/>
      <c r="U31" t="s">
        <v>3</v>
      </c>
      <c r="V31" s="6">
        <f t="shared" ref="V31:AI31" si="24">IF(V10="","",AVERAGEIF(V10:V25,"&lt;"&amp;$A$1+200))</f>
        <v>0</v>
      </c>
      <c r="W31" s="6">
        <f t="shared" si="24"/>
        <v>0</v>
      </c>
      <c r="X31" s="6">
        <f t="shared" si="24"/>
        <v>0</v>
      </c>
      <c r="Y31" s="6">
        <f t="shared" si="24"/>
        <v>0</v>
      </c>
      <c r="Z31" s="6">
        <f t="shared" si="24"/>
        <v>0</v>
      </c>
      <c r="AA31" s="6">
        <f t="shared" si="24"/>
        <v>0</v>
      </c>
      <c r="AB31" s="6">
        <f t="shared" si="24"/>
        <v>0</v>
      </c>
      <c r="AC31" s="6">
        <f t="shared" si="24"/>
        <v>0</v>
      </c>
      <c r="AD31" s="6">
        <f t="shared" si="24"/>
        <v>0</v>
      </c>
      <c r="AE31" s="6">
        <f t="shared" si="24"/>
        <v>0</v>
      </c>
      <c r="AF31" s="6">
        <f t="shared" si="24"/>
        <v>0</v>
      </c>
      <c r="AG31" s="6">
        <f t="shared" si="24"/>
        <v>0</v>
      </c>
      <c r="AH31" s="6">
        <f t="shared" si="24"/>
        <v>0</v>
      </c>
      <c r="AI31" s="6">
        <f t="shared" si="24"/>
        <v>0</v>
      </c>
      <c r="AO31" t="s">
        <v>3</v>
      </c>
      <c r="AP31" s="6">
        <f t="shared" ref="AP31:BA31" si="25">IF(AP10="","",AVERAGEIF(AP10:AP25,"&lt;"&amp;$A$1+200))</f>
        <v>0</v>
      </c>
      <c r="AQ31" s="6">
        <f t="shared" si="25"/>
        <v>0</v>
      </c>
      <c r="AR31" s="6">
        <f t="shared" si="25"/>
        <v>0</v>
      </c>
      <c r="AS31" s="6">
        <f t="shared" si="25"/>
        <v>0</v>
      </c>
      <c r="AT31" s="6">
        <f t="shared" si="25"/>
        <v>0</v>
      </c>
      <c r="AU31" s="6">
        <f t="shared" si="25"/>
        <v>0</v>
      </c>
      <c r="AV31" s="6">
        <f t="shared" si="25"/>
        <v>0</v>
      </c>
      <c r="AW31" s="6">
        <f t="shared" si="25"/>
        <v>0</v>
      </c>
      <c r="AX31" s="6">
        <f t="shared" si="25"/>
        <v>0</v>
      </c>
      <c r="AY31" s="6">
        <f t="shared" si="25"/>
        <v>0</v>
      </c>
      <c r="AZ31" s="6">
        <f t="shared" si="25"/>
        <v>0</v>
      </c>
      <c r="BA31" s="6">
        <f t="shared" si="25"/>
        <v>0</v>
      </c>
    </row>
    <row r="32" spans="1:55" x14ac:dyDescent="0.2">
      <c r="B32" s="476"/>
      <c r="C32" s="476"/>
      <c r="D32" s="476"/>
      <c r="E32" s="476"/>
      <c r="F32" s="476"/>
      <c r="G32" s="476"/>
      <c r="H32" s="476"/>
      <c r="I32" s="476"/>
      <c r="J32" s="476"/>
      <c r="K32" s="476"/>
      <c r="L32" s="476"/>
      <c r="M32" s="476"/>
      <c r="N32" s="476"/>
      <c r="O32" s="476"/>
      <c r="P32" s="476"/>
      <c r="Q32" s="476"/>
      <c r="R32" s="476"/>
      <c r="S32" s="476"/>
      <c r="T32" s="476"/>
      <c r="U32" s="476"/>
      <c r="V32" s="476"/>
      <c r="W32" s="476"/>
      <c r="X32" s="476"/>
      <c r="Y32" s="476"/>
      <c r="Z32" s="476"/>
      <c r="AA32" s="476"/>
      <c r="AB32" s="476"/>
      <c r="AC32" s="476"/>
      <c r="AD32" s="476"/>
      <c r="AE32" s="476"/>
      <c r="AF32" s="476"/>
      <c r="AG32" s="476"/>
      <c r="AH32" s="476"/>
      <c r="AI32" s="476"/>
      <c r="AJ32" s="476"/>
      <c r="AK32" s="476"/>
      <c r="AL32" s="476"/>
      <c r="AM32" s="476"/>
      <c r="AN32" s="476"/>
      <c r="AO32" s="476"/>
      <c r="AP32" s="476"/>
      <c r="AQ32" s="476"/>
      <c r="AR32" s="476"/>
      <c r="AS32" s="476"/>
      <c r="AT32" s="476"/>
      <c r="AU32" s="476"/>
      <c r="AV32" s="476"/>
      <c r="AW32" s="476"/>
      <c r="AX32" s="476"/>
      <c r="AY32" s="476"/>
      <c r="AZ32" s="476"/>
      <c r="BA32" s="476"/>
    </row>
    <row r="33" spans="1:41" x14ac:dyDescent="0.2">
      <c r="A33" s="152">
        <f>MAX(B29:O29)</f>
        <v>0</v>
      </c>
      <c r="D33" s="6"/>
      <c r="H33" s="6"/>
      <c r="J33" s="1" t="s">
        <v>9</v>
      </c>
      <c r="K33" s="2"/>
      <c r="U33" s="152">
        <f>MAX(V29:AI29)</f>
        <v>0</v>
      </c>
      <c r="AO33" s="50">
        <f>MAX(AP29:BA29)</f>
        <v>0</v>
      </c>
    </row>
    <row r="34" spans="1:41" x14ac:dyDescent="0.2">
      <c r="A34" s="152">
        <f>MIN(B27:O27)</f>
        <v>0</v>
      </c>
      <c r="F34" s="152">
        <f>IF(SIGN(A1)=-1,MIN(A33,IF(ISERROR(U33),0,U33),IF(ISERROR(AO33),0,AO33)),MAX(A33,IF(ISERROR(U33),0,U33),IF(ISERROR(AO33),0,AO33)))</f>
        <v>0</v>
      </c>
      <c r="G34" s="133"/>
      <c r="H34" s="133"/>
      <c r="I34" s="133"/>
      <c r="J34" s="152">
        <f>MIN(A34,U34)</f>
        <v>0</v>
      </c>
      <c r="K34" s="133">
        <f>MIN(A34,U34,AO34)</f>
        <v>0</v>
      </c>
      <c r="L34" s="133"/>
      <c r="M34" s="133"/>
      <c r="N34" s="133"/>
      <c r="O34" s="133"/>
      <c r="P34" s="133"/>
      <c r="Q34" s="133"/>
      <c r="R34" s="133"/>
      <c r="S34" s="133"/>
      <c r="T34" s="133"/>
      <c r="U34" s="152">
        <f>MIN(V27:AI27)</f>
        <v>0</v>
      </c>
      <c r="V34" s="133"/>
      <c r="AO34" s="50">
        <f>MIN(AP27:BA27)</f>
        <v>0</v>
      </c>
    </row>
    <row r="35" spans="1:41" x14ac:dyDescent="0.2">
      <c r="H35" s="44"/>
      <c r="M35" s="6"/>
    </row>
    <row r="36" spans="1:41" x14ac:dyDescent="0.2">
      <c r="M36" s="6"/>
    </row>
    <row r="37" spans="1:41" x14ac:dyDescent="0.2">
      <c r="A37" s="44"/>
      <c r="J37" s="6" t="str" cm="1">
        <f t="array" ref="J37:J50">IFERROR(TRANSPOSE(B29:O29),"-")</f>
        <v/>
      </c>
      <c r="K37" s="88" t="s">
        <v>935</v>
      </c>
      <c r="L37" s="6" t="str" cm="1">
        <f t="array" ref="L37:L50">IFERROR(TRANSPOSE(B27:O27),"-")</f>
        <v/>
      </c>
      <c r="M37" s="63"/>
    </row>
    <row r="38" spans="1:41" x14ac:dyDescent="0.2">
      <c r="A38" s="44"/>
      <c r="I38" s="6"/>
      <c r="J38" s="6" t="str">
        <v/>
      </c>
      <c r="K38" s="88" t="s">
        <v>935</v>
      </c>
      <c r="L38" s="6" t="str">
        <v/>
      </c>
      <c r="M38" s="63"/>
    </row>
    <row r="39" spans="1:41" x14ac:dyDescent="0.2">
      <c r="I39" s="6"/>
      <c r="J39" s="6" t="str">
        <v/>
      </c>
      <c r="K39" s="88" t="s">
        <v>935</v>
      </c>
      <c r="L39" s="6" t="str">
        <v/>
      </c>
      <c r="M39" s="63"/>
    </row>
    <row r="40" spans="1:41" x14ac:dyDescent="0.2">
      <c r="A40" s="44"/>
      <c r="B40" s="1"/>
      <c r="E40" s="44"/>
      <c r="I40" s="6"/>
      <c r="J40" s="6" t="str">
        <v/>
      </c>
      <c r="K40" s="88" t="s">
        <v>935</v>
      </c>
      <c r="L40" s="6" t="str">
        <v/>
      </c>
      <c r="M40" s="63"/>
    </row>
    <row r="41" spans="1:41" x14ac:dyDescent="0.2">
      <c r="I41" s="6"/>
      <c r="J41" s="6" t="str">
        <v/>
      </c>
      <c r="K41" s="88" t="s">
        <v>935</v>
      </c>
      <c r="L41" s="6" t="str">
        <v/>
      </c>
      <c r="M41" s="63"/>
    </row>
    <row r="42" spans="1:41" x14ac:dyDescent="0.2">
      <c r="I42" s="6"/>
      <c r="J42" s="6" t="str">
        <v/>
      </c>
      <c r="K42" s="88" t="s">
        <v>935</v>
      </c>
      <c r="L42" s="6" t="str">
        <v/>
      </c>
      <c r="M42" s="63"/>
    </row>
    <row r="43" spans="1:41" x14ac:dyDescent="0.2">
      <c r="I43" s="6"/>
      <c r="J43" s="6" t="str">
        <v/>
      </c>
      <c r="K43" s="88" t="s">
        <v>935</v>
      </c>
      <c r="L43" s="6" t="str">
        <v/>
      </c>
      <c r="M43" s="63"/>
    </row>
    <row r="44" spans="1:41" x14ac:dyDescent="0.2">
      <c r="I44" s="6"/>
      <c r="J44" s="6" t="str">
        <v/>
      </c>
      <c r="K44" s="88" t="s">
        <v>935</v>
      </c>
      <c r="L44" s="6" t="str">
        <v/>
      </c>
      <c r="M44" s="63"/>
    </row>
    <row r="45" spans="1:41" x14ac:dyDescent="0.2">
      <c r="I45" s="6"/>
      <c r="J45" s="6" t="str">
        <v/>
      </c>
      <c r="K45" s="88" t="s">
        <v>935</v>
      </c>
      <c r="L45" s="6" t="str">
        <v/>
      </c>
      <c r="M45" s="63"/>
    </row>
    <row r="46" spans="1:41" x14ac:dyDescent="0.2">
      <c r="I46" s="6"/>
      <c r="J46" s="6" t="str">
        <v/>
      </c>
      <c r="K46" s="88" t="s">
        <v>935</v>
      </c>
      <c r="L46" s="6" t="str">
        <v/>
      </c>
      <c r="M46" s="63"/>
    </row>
    <row r="47" spans="1:41" x14ac:dyDescent="0.2">
      <c r="A47" s="44"/>
      <c r="B47" s="1"/>
      <c r="I47" s="6"/>
      <c r="J47" s="6" t="str">
        <v/>
      </c>
      <c r="K47" s="88" t="s">
        <v>27</v>
      </c>
      <c r="L47" s="6" t="str">
        <v/>
      </c>
      <c r="M47" s="63"/>
    </row>
    <row r="48" spans="1:41" x14ac:dyDescent="0.2">
      <c r="I48" s="6"/>
      <c r="J48" s="6" t="str">
        <v/>
      </c>
      <c r="K48" s="88" t="s">
        <v>27</v>
      </c>
      <c r="L48" s="6" t="str">
        <v/>
      </c>
      <c r="M48" s="63"/>
    </row>
    <row r="49" spans="1:13" x14ac:dyDescent="0.2">
      <c r="I49" s="6"/>
      <c r="J49" s="6" t="str">
        <v/>
      </c>
      <c r="K49" s="88" t="s">
        <v>27</v>
      </c>
      <c r="L49" s="6" t="str">
        <v/>
      </c>
      <c r="M49" s="63"/>
    </row>
    <row r="50" spans="1:13" x14ac:dyDescent="0.2">
      <c r="I50" s="6"/>
      <c r="J50" s="6" t="str">
        <v/>
      </c>
      <c r="K50" s="88" t="s">
        <v>27</v>
      </c>
      <c r="L50" s="6" t="str">
        <v/>
      </c>
      <c r="M50" s="63"/>
    </row>
    <row r="51" spans="1:13" x14ac:dyDescent="0.2">
      <c r="I51" s="6"/>
      <c r="J51" s="6" t="str" cm="1">
        <f t="array" ref="J51:J64">IFERROR(TRANSPOSE(V29:AI29),"-")</f>
        <v/>
      </c>
      <c r="K51" s="88" t="s">
        <v>27</v>
      </c>
      <c r="L51" s="6" t="str" cm="1">
        <f t="array" ref="L51:L64">IFERROR(TRANSPOSE(V27:AI27),"-")</f>
        <v/>
      </c>
      <c r="M51" s="63"/>
    </row>
    <row r="52" spans="1:13" x14ac:dyDescent="0.2">
      <c r="A52" s="61">
        <v>0</v>
      </c>
      <c r="B52">
        <f>IF(COUNTIFS(DataForChannels1to14[],"&gt;"&amp;B2,DataForChannels1to14[],"&lt;"&amp;(B2+200))&gt;0,1,0)</f>
        <v>0</v>
      </c>
      <c r="C52">
        <f>IF(COUNTIFS(DataForChannels15to28[],"&gt;"&amp;B2,DataForChannels15to28[],"&lt;"&amp;(B2+200))&gt;0,1,0)</f>
        <v>0</v>
      </c>
      <c r="D52">
        <f>IF(COUNTIFS(DataForChannels29to40[],"&gt;"&amp;B2,DataForChannels29to40[],"&lt;"&amp;(B2+200))&gt;0,1,0)</f>
        <v>0</v>
      </c>
      <c r="I52" s="6"/>
      <c r="J52" s="6" t="str">
        <v/>
      </c>
      <c r="K52" s="88" t="s">
        <v>27</v>
      </c>
      <c r="L52" s="6" t="str">
        <v/>
      </c>
      <c r="M52" s="63"/>
    </row>
    <row r="53" spans="1:13" x14ac:dyDescent="0.2">
      <c r="A53" s="53"/>
      <c r="I53" s="6"/>
      <c r="J53" s="6" t="str">
        <v/>
      </c>
      <c r="K53" s="88" t="s">
        <v>27</v>
      </c>
      <c r="L53" s="6" t="str">
        <v/>
      </c>
      <c r="M53" s="63"/>
    </row>
    <row r="54" spans="1:13" x14ac:dyDescent="0.2">
      <c r="I54" s="6"/>
      <c r="J54" s="6" t="str">
        <v/>
      </c>
      <c r="K54" s="88" t="s">
        <v>27</v>
      </c>
      <c r="L54" s="6" t="str">
        <v/>
      </c>
      <c r="M54" s="63"/>
    </row>
    <row r="55" spans="1:13" x14ac:dyDescent="0.2">
      <c r="I55" s="6"/>
      <c r="J55" s="6" t="str">
        <v/>
      </c>
      <c r="K55" s="88" t="s">
        <v>27</v>
      </c>
      <c r="L55" s="6" t="str">
        <v/>
      </c>
      <c r="M55" s="63"/>
    </row>
    <row r="56" spans="1:13" x14ac:dyDescent="0.2">
      <c r="I56" s="6"/>
      <c r="J56" s="6" t="str">
        <v/>
      </c>
      <c r="K56" s="88" t="s">
        <v>27</v>
      </c>
      <c r="L56" s="6" t="str">
        <v/>
      </c>
      <c r="M56" s="63"/>
    </row>
    <row r="57" spans="1:13" x14ac:dyDescent="0.2">
      <c r="I57" s="6"/>
      <c r="J57" s="6" t="str">
        <v/>
      </c>
      <c r="K57" s="88" t="s">
        <v>27</v>
      </c>
      <c r="L57" s="6" t="str">
        <v/>
      </c>
      <c r="M57" s="63"/>
    </row>
    <row r="58" spans="1:13" x14ac:dyDescent="0.2">
      <c r="I58" s="6"/>
      <c r="J58" s="6" t="str">
        <v/>
      </c>
      <c r="K58" s="88" t="s">
        <v>27</v>
      </c>
      <c r="L58" s="6" t="str">
        <v/>
      </c>
      <c r="M58" s="63"/>
    </row>
    <row r="59" spans="1:13" x14ac:dyDescent="0.2">
      <c r="I59" s="6"/>
      <c r="J59" s="6" t="str">
        <v/>
      </c>
      <c r="K59" s="88" t="s">
        <v>27</v>
      </c>
      <c r="L59" s="6" t="str">
        <v/>
      </c>
      <c r="M59" s="63"/>
    </row>
    <row r="60" spans="1:13" x14ac:dyDescent="0.2">
      <c r="I60" s="6"/>
      <c r="J60" s="6" t="str">
        <v/>
      </c>
      <c r="K60" s="88" t="s">
        <v>27</v>
      </c>
      <c r="L60" s="6" t="str">
        <v/>
      </c>
      <c r="M60" s="63"/>
    </row>
    <row r="61" spans="1:13" x14ac:dyDescent="0.2">
      <c r="I61" s="6"/>
      <c r="J61" s="6" t="str">
        <v/>
      </c>
      <c r="K61" s="88" t="s">
        <v>27</v>
      </c>
      <c r="L61" s="6" t="str">
        <v/>
      </c>
      <c r="M61" s="63"/>
    </row>
    <row r="62" spans="1:13" x14ac:dyDescent="0.2">
      <c r="I62" s="6"/>
      <c r="J62" s="6" t="str">
        <v/>
      </c>
      <c r="K62" s="88" t="s">
        <v>27</v>
      </c>
      <c r="L62" s="6" t="str">
        <v/>
      </c>
      <c r="M62" s="63"/>
    </row>
    <row r="63" spans="1:13" x14ac:dyDescent="0.2">
      <c r="I63" s="6"/>
      <c r="J63" s="6" t="str">
        <v/>
      </c>
      <c r="K63" s="88" t="s">
        <v>27</v>
      </c>
      <c r="L63" s="6" t="str">
        <v/>
      </c>
      <c r="M63" s="63"/>
    </row>
    <row r="64" spans="1:13" x14ac:dyDescent="0.2">
      <c r="I64" s="6"/>
      <c r="J64" s="6" t="str">
        <v/>
      </c>
      <c r="K64" s="88" t="s">
        <v>27</v>
      </c>
      <c r="L64" s="6" t="str">
        <v/>
      </c>
      <c r="M64" s="63"/>
    </row>
    <row r="65" spans="9:13" x14ac:dyDescent="0.2">
      <c r="I65" s="6"/>
      <c r="J65" s="6" t="str" cm="1">
        <f t="array" ref="J65:J76">IFERROR(TRANSPOSE(AP29:BA29),"-")</f>
        <v/>
      </c>
      <c r="K65" s="88" t="s">
        <v>27</v>
      </c>
      <c r="L65" s="6" t="str" cm="1">
        <f t="array" ref="L65:L76">IFERROR(TRANSPOSE(AP27:BA27),"-")</f>
        <v/>
      </c>
      <c r="M65" s="63"/>
    </row>
    <row r="66" spans="9:13" x14ac:dyDescent="0.2">
      <c r="I66" s="6"/>
      <c r="J66" s="6" t="str">
        <v/>
      </c>
      <c r="K66" s="88" t="s">
        <v>27</v>
      </c>
      <c r="L66" s="6" t="str">
        <v/>
      </c>
      <c r="M66" s="63"/>
    </row>
    <row r="67" spans="9:13" x14ac:dyDescent="0.2">
      <c r="I67" s="6"/>
      <c r="J67" s="6" t="str">
        <v/>
      </c>
      <c r="K67" s="88" t="s">
        <v>27</v>
      </c>
      <c r="L67" s="6" t="str">
        <v/>
      </c>
      <c r="M67" s="63"/>
    </row>
    <row r="68" spans="9:13" x14ac:dyDescent="0.2">
      <c r="I68" s="6"/>
      <c r="J68" s="6" t="str">
        <v/>
      </c>
      <c r="K68" s="88" t="s">
        <v>27</v>
      </c>
      <c r="L68" s="6" t="str">
        <v/>
      </c>
      <c r="M68" s="63"/>
    </row>
    <row r="69" spans="9:13" x14ac:dyDescent="0.2">
      <c r="I69" s="6"/>
      <c r="J69" s="6" t="str">
        <v/>
      </c>
      <c r="K69" s="88" t="s">
        <v>27</v>
      </c>
      <c r="L69" s="6" t="str">
        <v/>
      </c>
      <c r="M69" s="63"/>
    </row>
    <row r="70" spans="9:13" x14ac:dyDescent="0.2">
      <c r="I70" s="6"/>
      <c r="J70" s="6" t="str">
        <v/>
      </c>
      <c r="K70" s="88" t="s">
        <v>27</v>
      </c>
      <c r="L70" s="6" t="str">
        <v/>
      </c>
      <c r="M70" s="63"/>
    </row>
    <row r="71" spans="9:13" x14ac:dyDescent="0.2">
      <c r="I71" s="6"/>
      <c r="J71" s="6" t="str">
        <v/>
      </c>
      <c r="K71" s="88" t="s">
        <v>27</v>
      </c>
      <c r="L71" s="6" t="str">
        <v/>
      </c>
      <c r="M71" s="63"/>
    </row>
    <row r="72" spans="9:13" x14ac:dyDescent="0.2">
      <c r="I72" s="6"/>
      <c r="J72" s="6" t="str">
        <v/>
      </c>
      <c r="K72" s="88" t="s">
        <v>27</v>
      </c>
      <c r="L72" s="6" t="str">
        <v/>
      </c>
      <c r="M72" s="63"/>
    </row>
    <row r="73" spans="9:13" x14ac:dyDescent="0.2">
      <c r="I73" s="6"/>
      <c r="J73" s="6" t="str">
        <v/>
      </c>
      <c r="K73" s="88" t="s">
        <v>27</v>
      </c>
      <c r="L73" s="6" t="str">
        <v/>
      </c>
      <c r="M73" s="63"/>
    </row>
    <row r="74" spans="9:13" x14ac:dyDescent="0.2">
      <c r="I74" s="6"/>
      <c r="J74" s="6" t="str">
        <v/>
      </c>
      <c r="K74" s="88" t="s">
        <v>27</v>
      </c>
      <c r="L74" s="6" t="str">
        <v/>
      </c>
      <c r="M74" s="63"/>
    </row>
    <row r="75" spans="9:13" x14ac:dyDescent="0.2">
      <c r="I75" s="6"/>
      <c r="J75" s="6" t="str">
        <v/>
      </c>
      <c r="K75" s="88" t="s">
        <v>27</v>
      </c>
      <c r="L75" s="6" t="str">
        <v/>
      </c>
      <c r="M75" s="63"/>
    </row>
    <row r="76" spans="9:13" x14ac:dyDescent="0.2">
      <c r="I76" s="6"/>
      <c r="J76" s="6" t="str">
        <v/>
      </c>
      <c r="K76" s="88" t="s">
        <v>27</v>
      </c>
      <c r="L76" s="6" t="str">
        <v/>
      </c>
      <c r="M76" s="63"/>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6" t="s">
        <v>61</v>
      </c>
      <c r="B1" s="584"/>
      <c r="C1" s="584"/>
      <c r="D1" s="584"/>
      <c r="E1" s="40" t="s">
        <v>161</v>
      </c>
      <c r="G1" s="584" t="s">
        <v>73</v>
      </c>
      <c r="H1" s="584"/>
      <c r="K1" t="s">
        <v>97</v>
      </c>
      <c r="M1" t="s">
        <v>98</v>
      </c>
      <c r="O1" t="s">
        <v>128</v>
      </c>
      <c r="Q1" t="s">
        <v>137</v>
      </c>
      <c r="S1" t="s">
        <v>143</v>
      </c>
      <c r="U1" s="44" t="s">
        <v>175</v>
      </c>
      <c r="W1" s="44" t="s">
        <v>179</v>
      </c>
      <c r="Y1" s="44" t="s">
        <v>230</v>
      </c>
      <c r="AA1" s="44" t="s">
        <v>231</v>
      </c>
      <c r="AC1" s="44" t="s">
        <v>264</v>
      </c>
      <c r="AE1" s="82" t="s">
        <v>363</v>
      </c>
      <c r="AG1" s="41" t="s">
        <v>370</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575</v>
      </c>
      <c r="H2" t="s">
        <v>76</v>
      </c>
      <c r="K2" t="s">
        <v>88</v>
      </c>
      <c r="M2" t="s">
        <v>99</v>
      </c>
      <c r="Q2" t="s">
        <v>138</v>
      </c>
      <c r="S2" t="s">
        <v>85</v>
      </c>
      <c r="U2" s="44" t="s">
        <v>176</v>
      </c>
      <c r="W2">
        <f>IF(Main!D32 = 10, 5, IF(Main!D32 = 30, 15, IF(Main!D32 = 40, 20, 0)))</f>
        <v>0</v>
      </c>
      <c r="Y2" t="s">
        <v>205</v>
      </c>
      <c r="AC2" s="44" t="s">
        <v>266</v>
      </c>
      <c r="AE2" s="44" t="s">
        <v>364</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576</v>
      </c>
      <c r="H3" t="s">
        <v>74</v>
      </c>
      <c r="K3" t="s">
        <v>89</v>
      </c>
      <c r="M3" t="s">
        <v>100</v>
      </c>
      <c r="O3" t="s">
        <v>129</v>
      </c>
      <c r="Q3" s="44" t="s">
        <v>172</v>
      </c>
      <c r="S3" t="s">
        <v>145</v>
      </c>
      <c r="U3" s="44" t="s">
        <v>331</v>
      </c>
      <c r="Y3" t="s">
        <v>206</v>
      </c>
      <c r="AC3" s="44" t="s">
        <v>265</v>
      </c>
      <c r="AE3" s="44" t="s">
        <v>396</v>
      </c>
      <c r="AG3" s="44" t="str">
        <v>James Haven</v>
      </c>
      <c r="AH3" s="44"/>
    </row>
    <row r="4" spans="1:34" x14ac:dyDescent="0.2">
      <c r="A4" s="40" t="str">
        <v>J3</v>
      </c>
      <c r="B4" s="40" t="str">
        <v>DaqBook/2005</v>
      </c>
      <c r="C4" s="40" t="str">
        <v>807705</v>
      </c>
      <c r="D4" s="40" t="str">
        <f t="shared" si="0"/>
        <v>"J" IRON-CONSTANTAN</v>
      </c>
      <c r="E4" s="40">
        <v>28</v>
      </c>
      <c r="G4" s="44" t="s">
        <v>574</v>
      </c>
      <c r="H4" t="s">
        <v>75</v>
      </c>
      <c r="K4" t="s">
        <v>100</v>
      </c>
      <c r="M4" t="s">
        <v>110</v>
      </c>
      <c r="O4" t="s">
        <v>135</v>
      </c>
      <c r="Q4" t="s">
        <v>139</v>
      </c>
      <c r="S4" t="s">
        <v>144</v>
      </c>
      <c r="U4" s="44" t="s">
        <v>177</v>
      </c>
      <c r="Y4" t="s">
        <v>207</v>
      </c>
      <c r="AE4" s="44" t="s">
        <v>339</v>
      </c>
      <c r="AG4" s="44" t="str">
        <v>Jesse Regehr</v>
      </c>
      <c r="AH4" s="44"/>
    </row>
    <row r="5" spans="1:34" x14ac:dyDescent="0.2">
      <c r="A5" s="40" t="str">
        <v>K4</v>
      </c>
      <c r="B5" s="40" t="str">
        <v>DaqBook/2005</v>
      </c>
      <c r="C5" s="40" t="str">
        <v>807409</v>
      </c>
      <c r="D5" s="40" t="str">
        <f t="shared" si="0"/>
        <v>"K" CHROMEL-ALUMEL</v>
      </c>
      <c r="E5" s="40">
        <v>40</v>
      </c>
      <c r="K5" s="89">
        <v>283372</v>
      </c>
      <c r="M5" t="s">
        <v>113</v>
      </c>
      <c r="O5" t="s">
        <v>154</v>
      </c>
      <c r="Q5" t="s">
        <v>140</v>
      </c>
      <c r="U5" s="44" t="s">
        <v>115</v>
      </c>
      <c r="Y5" t="s">
        <v>208</v>
      </c>
      <c r="AG5" s="44" t="str">
        <v>Joey Craig</v>
      </c>
      <c r="AH5" s="44"/>
    </row>
    <row r="6" spans="1:34" x14ac:dyDescent="0.2">
      <c r="A6" s="40" t="str">
        <v>K5</v>
      </c>
      <c r="B6" s="40" t="str">
        <v>DaqBook/2005</v>
      </c>
      <c r="C6" s="40" t="str">
        <v>808005</v>
      </c>
      <c r="D6" s="40" t="str">
        <f t="shared" si="0"/>
        <v>"K" CHROMEL-ALUMEL</v>
      </c>
      <c r="E6" s="40">
        <v>28</v>
      </c>
      <c r="K6" t="s">
        <v>119</v>
      </c>
      <c r="O6" t="s">
        <v>111</v>
      </c>
      <c r="Q6" s="44" t="s">
        <v>393</v>
      </c>
      <c r="U6" s="44" t="s">
        <v>116</v>
      </c>
      <c r="Y6" t="s">
        <v>209</v>
      </c>
      <c r="AG6" s="44" t="str">
        <v>Joey Knutson</v>
      </c>
      <c r="AH6" s="44"/>
    </row>
    <row r="7" spans="1:34" x14ac:dyDescent="0.2">
      <c r="A7" s="40" t="str">
        <v>K6</v>
      </c>
      <c r="B7" s="40" t="str">
        <v>DaqBook/2005</v>
      </c>
      <c r="C7" s="40" t="str">
        <v>808173</v>
      </c>
      <c r="D7" s="40" t="str">
        <f t="shared" si="0"/>
        <v>"K" CHROMEL-ALUMEL</v>
      </c>
      <c r="E7" s="40">
        <v>40</v>
      </c>
      <c r="O7" t="s">
        <v>132</v>
      </c>
      <c r="Q7" s="44" t="s">
        <v>394</v>
      </c>
      <c r="U7" s="44" t="s">
        <v>178</v>
      </c>
      <c r="Y7" t="s">
        <v>210</v>
      </c>
      <c r="AG7" s="44" t="str">
        <v>Kevin Ferrante</v>
      </c>
      <c r="AH7" s="44"/>
    </row>
    <row r="8" spans="1:34" x14ac:dyDescent="0.2">
      <c r="A8" s="40" t="str">
        <v>K7</v>
      </c>
      <c r="B8" s="91" t="str">
        <v>DaqBook/2005</v>
      </c>
      <c r="C8" s="91" t="str">
        <v>22500C0</v>
      </c>
      <c r="D8" s="40" t="str">
        <f t="shared" si="0"/>
        <v>"K" CHROMEL-ALUMEL</v>
      </c>
      <c r="E8" s="40">
        <v>28</v>
      </c>
      <c r="O8" t="s">
        <v>131</v>
      </c>
      <c r="Q8" s="44" t="s">
        <v>395</v>
      </c>
      <c r="U8" t="str">
        <f>IF(AND(Main!D17&lt;&gt;"",Main!D17&gt;14),"Data_Sheet_15_28","")</f>
        <v/>
      </c>
      <c r="Y8" t="s">
        <v>211</v>
      </c>
      <c r="AE8" s="82" t="s">
        <v>365</v>
      </c>
      <c r="AG8" s="44" t="str">
        <v>Matt Coleman</v>
      </c>
      <c r="AH8" s="44"/>
    </row>
    <row r="9" spans="1:34" x14ac:dyDescent="0.2">
      <c r="A9" s="130" t="str">
        <v>N2</v>
      </c>
      <c r="B9" s="78" t="str">
        <v>DaqBook/2005</v>
      </c>
      <c r="C9" s="40" t="str">
        <v>808004</v>
      </c>
      <c r="D9" s="40" t="str">
        <f t="shared" si="0"/>
        <v>"N" NICROSIL-NISIL</v>
      </c>
      <c r="E9" s="78">
        <v>28</v>
      </c>
      <c r="O9" t="s">
        <v>11</v>
      </c>
      <c r="U9" t="str">
        <f>IF(AND(Main!D17&lt;&gt;"",Main!D17&gt;28),"Data_Sheet_29_40","")</f>
        <v/>
      </c>
      <c r="Y9" t="s">
        <v>212</v>
      </c>
      <c r="AE9" s="44" t="s">
        <v>341</v>
      </c>
      <c r="AG9" s="44" t="str">
        <v>Mike Ragonese</v>
      </c>
      <c r="AH9" s="44"/>
    </row>
    <row r="10" spans="1:34" x14ac:dyDescent="0.2">
      <c r="O10" t="s">
        <v>130</v>
      </c>
      <c r="Y10" t="s">
        <v>214</v>
      </c>
      <c r="AE10" s="44" t="s">
        <v>366</v>
      </c>
      <c r="AG10" s="44" t="str">
        <v>Nick Nolte</v>
      </c>
      <c r="AH10" s="44"/>
    </row>
    <row r="11" spans="1:34" x14ac:dyDescent="0.2">
      <c r="O11" t="s">
        <v>134</v>
      </c>
      <c r="Y11" s="44" t="s">
        <v>240</v>
      </c>
      <c r="AE11" s="44" t="s">
        <v>140</v>
      </c>
      <c r="AG11" t="str">
        <v>Ryan Byars</v>
      </c>
    </row>
    <row r="12" spans="1:34" x14ac:dyDescent="0.2">
      <c r="O12" t="s">
        <v>133</v>
      </c>
      <c r="Y12" s="44" t="s">
        <v>379</v>
      </c>
      <c r="AE12" s="44" t="s">
        <v>367</v>
      </c>
    </row>
    <row r="13" spans="1:34" x14ac:dyDescent="0.2">
      <c r="O13" s="44" t="s">
        <v>390</v>
      </c>
      <c r="Y13" t="s">
        <v>215</v>
      </c>
      <c r="AE13" s="44" t="s">
        <v>368</v>
      </c>
    </row>
    <row r="14" spans="1:34" x14ac:dyDescent="0.2">
      <c r="Y14" t="s">
        <v>216</v>
      </c>
      <c r="AE14" s="44" t="s">
        <v>369</v>
      </c>
    </row>
    <row r="15" spans="1:34" x14ac:dyDescent="0.2">
      <c r="Y15" t="s">
        <v>217</v>
      </c>
      <c r="AE15" s="44" t="s">
        <v>389</v>
      </c>
    </row>
    <row r="16" spans="1:34" x14ac:dyDescent="0.2">
      <c r="F16" s="47"/>
      <c r="G16" s="47"/>
      <c r="H16" s="47"/>
      <c r="I16" s="47"/>
      <c r="J16" s="47"/>
      <c r="K16" s="47"/>
      <c r="L16" s="47"/>
      <c r="M16" s="47"/>
      <c r="O16" s="47"/>
      <c r="Y16" t="s">
        <v>218</v>
      </c>
    </row>
    <row r="17" spans="25:25" x14ac:dyDescent="0.2">
      <c r="Y17" s="44" t="s">
        <v>270</v>
      </c>
    </row>
    <row r="18" spans="25:25" x14ac:dyDescent="0.2">
      <c r="Y18" t="s">
        <v>219</v>
      </c>
    </row>
    <row r="19" spans="25:25" x14ac:dyDescent="0.2">
      <c r="Y19" t="s">
        <v>220</v>
      </c>
    </row>
    <row r="20" spans="25:25" x14ac:dyDescent="0.2">
      <c r="Y20" t="s">
        <v>221</v>
      </c>
    </row>
    <row r="21" spans="25:25" x14ac:dyDescent="0.2">
      <c r="Y21" t="s">
        <v>222</v>
      </c>
    </row>
    <row r="22" spans="25:25" x14ac:dyDescent="0.2">
      <c r="Y22" t="s">
        <v>223</v>
      </c>
    </row>
    <row r="23" spans="25:25" x14ac:dyDescent="0.2">
      <c r="Y23" s="44" t="s">
        <v>250</v>
      </c>
    </row>
    <row r="24" spans="25:25" x14ac:dyDescent="0.2">
      <c r="Y24" s="44" t="s">
        <v>262</v>
      </c>
    </row>
    <row r="25" spans="25:25" x14ac:dyDescent="0.2">
      <c r="Y25" s="44" t="s">
        <v>336</v>
      </c>
    </row>
    <row r="26" spans="25:25" x14ac:dyDescent="0.2">
      <c r="Y26" t="s">
        <v>224</v>
      </c>
    </row>
    <row r="27" spans="25:25" x14ac:dyDescent="0.2">
      <c r="Y27" t="s">
        <v>225</v>
      </c>
    </row>
    <row r="28" spans="25:25" x14ac:dyDescent="0.2">
      <c r="Y28" s="44" t="s">
        <v>263</v>
      </c>
    </row>
    <row r="29" spans="25:25" x14ac:dyDescent="0.2">
      <c r="Y29" t="s">
        <v>195</v>
      </c>
    </row>
    <row r="30" spans="25:25" x14ac:dyDescent="0.2">
      <c r="Y30" s="44" t="s">
        <v>274</v>
      </c>
    </row>
    <row r="31" spans="25:25" x14ac:dyDescent="0.2">
      <c r="Y31" t="s">
        <v>197</v>
      </c>
    </row>
    <row r="32" spans="25:25" x14ac:dyDescent="0.2">
      <c r="Y32" t="s">
        <v>200</v>
      </c>
    </row>
    <row r="33" spans="25:25" x14ac:dyDescent="0.2">
      <c r="Y33" t="s">
        <v>203</v>
      </c>
    </row>
    <row r="34" spans="25:25" x14ac:dyDescent="0.2">
      <c r="Y34" t="s">
        <v>204</v>
      </c>
    </row>
    <row r="35" spans="25:25" x14ac:dyDescent="0.2">
      <c r="Y35" s="44" t="s">
        <v>267</v>
      </c>
    </row>
  </sheetData>
  <sheetProtection algorithmName="SHA-512" hashValue="DP4GJQKr/pZ48GDOCW8M1KqDy1di2iw2DCONGBIZsp5Jjht5alr9a4cBf14MUGceJOFWKiKWzvi0YX/3fOSbZg==" saltValue="Z8CQYcYTe/vpWgB8IdWi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70</vt:i4>
      </vt:variant>
    </vt:vector>
  </HeadingPairs>
  <TitlesOfParts>
    <vt:vector size="100" baseType="lpstr">
      <vt:lpstr>WireSets</vt:lpstr>
      <vt:lpstr>WorkItemDetails</vt:lpstr>
      <vt:lpstr>WireOffsets</vt:lpstr>
      <vt:lpstr>Employee</vt:lpstr>
      <vt:lpstr>Alerts</vt:lpstr>
      <vt:lpstr>WireCertData</vt:lpstr>
      <vt:lpstr>Wire Ranges</vt:lpstr>
      <vt:lpstr>FilteredTimeSeries</vt:lpstr>
      <vt:lpstr>CorrectionFactors</vt:lpstr>
      <vt:lpstr>AllDaqbookOffsets</vt:lpstr>
      <vt:lpstr>Uncertainty</vt:lpstr>
      <vt:lpstr>UncBudgets</vt:lpstr>
      <vt:lpstr>CMCs</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Access_Data</vt:lpstr>
      <vt:lpstr>Standards_Info</vt:lpstr>
      <vt:lpstr>AddressLine1</vt:lpstr>
      <vt:lpstr>AddressLine2</vt:lpstr>
      <vt:lpstr>AddressLine3</vt:lpstr>
      <vt:lpstr>alpha</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2025-06-28T07:17:34Z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