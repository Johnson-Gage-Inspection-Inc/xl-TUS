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836956DF-8018-4885-B71A-5889D718478C}" xr6:coauthVersionLast="47" xr6:coauthVersionMax="47" xr10:uidLastSave="{00000000-0000-0000-0000-000000000000}"/>
  <bookViews>
    <workbookView xWindow="2868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AssetPool!$A$1:$Q$64</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13" hidden="1">AggregatedUUTRangeTol!$A$1:$C$2</definedName>
    <definedName name="ExternalData_2" localSheetId="8" hidden="1">AllDaqbookOffsets!$A$1:$E$7556</definedName>
    <definedName name="ExternalData_2" localSheetId="7" hidden="1">'CorrectionFactors'!$A$1:$F$2</definedName>
    <definedName name="Flags">UUTRangeTol!$V$2</definedName>
    <definedName name="FormNumber">Header_Info!$AO$2</definedName>
    <definedName name="Furnace">Header_Info!$AN$2</definedName>
    <definedName name="FurnaceSpecificComments">Header_Info!$BI$2</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Table'!$A$1:$O$1658</definedName>
    <definedName name="Range">Header_Info!#REF!</definedName>
    <definedName name="RangeMax">UUTRangeTol!$Q$2</definedName>
    <definedName name="RangeMin">UUTRangeTol!$P$2</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UUTRangeTol!$S$2</definedName>
    <definedName name="TolMin">UUTRangeTol!$R$2</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K208" i="95" s="1"/>
  <c r="I209" i="95"/>
  <c r="I210" i="95"/>
  <c r="I211" i="95"/>
  <c r="I212" i="95"/>
  <c r="I213" i="95"/>
  <c r="I214" i="95"/>
  <c r="I215" i="95"/>
  <c r="I216" i="95"/>
  <c r="I217" i="95"/>
  <c r="I218" i="95"/>
  <c r="I219" i="95"/>
  <c r="I220" i="95"/>
  <c r="K220" i="95" s="1"/>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J5" i="95"/>
  <c r="J6" i="95"/>
  <c r="J7" i="95"/>
  <c r="J8" i="95"/>
  <c r="J9" i="95"/>
  <c r="J10" i="95"/>
  <c r="J11" i="95"/>
  <c r="K11" i="95" s="1"/>
  <c r="J12" i="95"/>
  <c r="J13" i="95"/>
  <c r="J14" i="95"/>
  <c r="K14" i="95" s="1"/>
  <c r="J15" i="95"/>
  <c r="K15" i="95" s="1"/>
  <c r="J16" i="95"/>
  <c r="J17" i="95"/>
  <c r="J18" i="95"/>
  <c r="K18" i="95" s="1"/>
  <c r="J19" i="95"/>
  <c r="K19" i="95" s="1"/>
  <c r="J20" i="95"/>
  <c r="K20" i="95" s="1"/>
  <c r="J21" i="95"/>
  <c r="J22" i="95"/>
  <c r="J23" i="95"/>
  <c r="K23" i="95" s="1"/>
  <c r="J24" i="95"/>
  <c r="K24" i="95" s="1"/>
  <c r="J25" i="95"/>
  <c r="K25" i="95" s="1"/>
  <c r="J26" i="95"/>
  <c r="K26" i="95" s="1"/>
  <c r="J27" i="95"/>
  <c r="K27" i="95" s="1"/>
  <c r="J28" i="95"/>
  <c r="J29" i="95"/>
  <c r="J30" i="95"/>
  <c r="J31" i="95"/>
  <c r="K31" i="95" s="1"/>
  <c r="J32" i="95"/>
  <c r="K32" i="95" s="1"/>
  <c r="J33" i="95"/>
  <c r="J34" i="95"/>
  <c r="J35" i="95"/>
  <c r="J36" i="95"/>
  <c r="J37" i="95"/>
  <c r="J38" i="95"/>
  <c r="K38" i="95" s="1"/>
  <c r="J39" i="95"/>
  <c r="K39" i="95" s="1"/>
  <c r="J40" i="95"/>
  <c r="K40" i="95" s="1"/>
  <c r="J41" i="95"/>
  <c r="K41" i="95" s="1"/>
  <c r="J42" i="95"/>
  <c r="K42" i="95" s="1"/>
  <c r="J43" i="95"/>
  <c r="K43" i="95" s="1"/>
  <c r="J44" i="95"/>
  <c r="K44" i="95" s="1"/>
  <c r="J45" i="95"/>
  <c r="K45" i="95" s="1"/>
  <c r="J46" i="95"/>
  <c r="K46" i="95" s="1"/>
  <c r="J47" i="95"/>
  <c r="K47" i="95" s="1"/>
  <c r="J48" i="95"/>
  <c r="J49" i="95"/>
  <c r="J50" i="95"/>
  <c r="K50" i="95" s="1"/>
  <c r="J51" i="95"/>
  <c r="K51" i="95" s="1"/>
  <c r="J52" i="95"/>
  <c r="K52" i="95" s="1"/>
  <c r="J53" i="95"/>
  <c r="J54" i="95"/>
  <c r="J55" i="95"/>
  <c r="J56" i="95"/>
  <c r="J57" i="95"/>
  <c r="K57" i="95" s="1"/>
  <c r="J58" i="95"/>
  <c r="K58" i="95" s="1"/>
  <c r="J59" i="95"/>
  <c r="K59" i="95" s="1"/>
  <c r="J60" i="95"/>
  <c r="J61" i="95"/>
  <c r="J62" i="95"/>
  <c r="K62" i="95" s="1"/>
  <c r="J63" i="95"/>
  <c r="K63" i="95" s="1"/>
  <c r="J64" i="95"/>
  <c r="K64" i="95" s="1"/>
  <c r="J65" i="95"/>
  <c r="J66" i="95"/>
  <c r="J67" i="95"/>
  <c r="J68" i="95"/>
  <c r="J69" i="95"/>
  <c r="J70" i="95"/>
  <c r="J71" i="95"/>
  <c r="K71" i="95" s="1"/>
  <c r="J72" i="95"/>
  <c r="J73" i="95"/>
  <c r="J74" i="95"/>
  <c r="J75" i="95"/>
  <c r="K75" i="95" s="1"/>
  <c r="J76" i="95"/>
  <c r="J77" i="95"/>
  <c r="K77" i="95" s="1"/>
  <c r="J78" i="95"/>
  <c r="K78" i="95" s="1"/>
  <c r="J79" i="95"/>
  <c r="K79" i="95" s="1"/>
  <c r="J80" i="95"/>
  <c r="K80" i="95" s="1"/>
  <c r="J81" i="95"/>
  <c r="K81" i="95" s="1"/>
  <c r="J82" i="95"/>
  <c r="K82" i="95" s="1"/>
  <c r="J83" i="95"/>
  <c r="K83" i="95" s="1"/>
  <c r="J84" i="95"/>
  <c r="K84" i="95" s="1"/>
  <c r="J85" i="95"/>
  <c r="J86" i="95"/>
  <c r="J87" i="95"/>
  <c r="K87" i="95" s="1"/>
  <c r="J88" i="95"/>
  <c r="K88" i="95" s="1"/>
  <c r="J89" i="95"/>
  <c r="K89" i="95" s="1"/>
  <c r="J90" i="95"/>
  <c r="K90" i="95" s="1"/>
  <c r="J91" i="95"/>
  <c r="K91" i="95" s="1"/>
  <c r="J92" i="95"/>
  <c r="J93" i="95"/>
  <c r="J94" i="95"/>
  <c r="J95" i="95"/>
  <c r="K95" i="95" s="1"/>
  <c r="J96" i="95"/>
  <c r="K96" i="95" s="1"/>
  <c r="J97" i="95"/>
  <c r="J98" i="95"/>
  <c r="J99" i="95"/>
  <c r="J100" i="95"/>
  <c r="J101" i="95"/>
  <c r="J102" i="95"/>
  <c r="K102" i="95" s="1"/>
  <c r="J103" i="95"/>
  <c r="J104" i="95"/>
  <c r="J105" i="95"/>
  <c r="J106" i="95"/>
  <c r="J107" i="95"/>
  <c r="K107" i="95" s="1"/>
  <c r="J108" i="95"/>
  <c r="J109" i="95"/>
  <c r="J110" i="95"/>
  <c r="K110" i="95" s="1"/>
  <c r="J111" i="95"/>
  <c r="K111" i="95" s="1"/>
  <c r="J112" i="95"/>
  <c r="J113" i="95"/>
  <c r="J114" i="95"/>
  <c r="J115" i="95"/>
  <c r="J116" i="95"/>
  <c r="K116" i="95" s="1"/>
  <c r="J117" i="95"/>
  <c r="J118" i="95"/>
  <c r="K118" i="95" s="1"/>
  <c r="J119" i="95"/>
  <c r="K119" i="95" s="1"/>
  <c r="J120" i="95"/>
  <c r="K120" i="95" s="1"/>
  <c r="J121" i="95"/>
  <c r="K121" i="95" s="1"/>
  <c r="J122" i="95"/>
  <c r="K122" i="95" s="1"/>
  <c r="J123" i="95"/>
  <c r="K123" i="95" s="1"/>
  <c r="J124" i="95"/>
  <c r="J125" i="95"/>
  <c r="K125" i="95" s="1"/>
  <c r="J126" i="95"/>
  <c r="K126" i="95" s="1"/>
  <c r="J127" i="95"/>
  <c r="K127" i="95" s="1"/>
  <c r="J128" i="95"/>
  <c r="K128" i="95" s="1"/>
  <c r="J129" i="95"/>
  <c r="J130" i="95"/>
  <c r="J131" i="95"/>
  <c r="J132" i="95"/>
  <c r="J133" i="95"/>
  <c r="J134" i="95"/>
  <c r="J135" i="95"/>
  <c r="K135" i="95" s="1"/>
  <c r="J136" i="95"/>
  <c r="J137" i="95"/>
  <c r="J138" i="95"/>
  <c r="J139" i="95"/>
  <c r="K139" i="95" s="1"/>
  <c r="J140" i="95"/>
  <c r="K140" i="95" s="1"/>
  <c r="J141" i="95"/>
  <c r="K141" i="95" s="1"/>
  <c r="J142" i="95"/>
  <c r="K142" i="95" s="1"/>
  <c r="J143" i="95"/>
  <c r="K143" i="95" s="1"/>
  <c r="J144" i="95"/>
  <c r="J145" i="95"/>
  <c r="J146" i="95"/>
  <c r="K146" i="95" s="1"/>
  <c r="J147" i="95"/>
  <c r="K147" i="95" s="1"/>
  <c r="J148" i="95"/>
  <c r="K148" i="95" s="1"/>
  <c r="J149" i="95"/>
  <c r="J150" i="95"/>
  <c r="J151" i="95"/>
  <c r="K151" i="95" s="1"/>
  <c r="J152" i="95"/>
  <c r="K152" i="95" s="1"/>
  <c r="J153" i="95"/>
  <c r="J154" i="95"/>
  <c r="K154" i="95" s="1"/>
  <c r="J155" i="95"/>
  <c r="J156" i="95"/>
  <c r="J157" i="95"/>
  <c r="K157" i="95" s="1"/>
  <c r="J158" i="95"/>
  <c r="K158" i="95" s="1"/>
  <c r="J159" i="95"/>
  <c r="K159" i="95" s="1"/>
  <c r="J160" i="95"/>
  <c r="K160" i="95" s="1"/>
  <c r="J161" i="95"/>
  <c r="J162" i="95"/>
  <c r="J163" i="95"/>
  <c r="J164" i="95"/>
  <c r="J165" i="95"/>
  <c r="J166" i="95"/>
  <c r="J167" i="95"/>
  <c r="J168" i="95"/>
  <c r="J169" i="95"/>
  <c r="J170" i="95"/>
  <c r="J171" i="95"/>
  <c r="K171" i="95" s="1"/>
  <c r="J172" i="95"/>
  <c r="J173" i="95"/>
  <c r="J174" i="95"/>
  <c r="K174" i="95" s="1"/>
  <c r="J175" i="95"/>
  <c r="K175" i="95" s="1"/>
  <c r="J176" i="95"/>
  <c r="J177" i="95"/>
  <c r="J178" i="95"/>
  <c r="J179" i="95"/>
  <c r="J180" i="95"/>
  <c r="K180" i="95" s="1"/>
  <c r="J181" i="95"/>
  <c r="J182" i="95"/>
  <c r="K182" i="95" s="1"/>
  <c r="J183" i="95"/>
  <c r="K183" i="95" s="1"/>
  <c r="J184" i="95"/>
  <c r="K184" i="95" s="1"/>
  <c r="J185" i="95"/>
  <c r="K185" i="95" s="1"/>
  <c r="J186" i="95"/>
  <c r="K186" i="95" s="1"/>
  <c r="J187" i="95"/>
  <c r="K187" i="95" s="1"/>
  <c r="J188" i="95"/>
  <c r="J189" i="95"/>
  <c r="J190" i="95"/>
  <c r="K190" i="95" s="1"/>
  <c r="J191" i="95"/>
  <c r="K191" i="95" s="1"/>
  <c r="J192" i="95"/>
  <c r="K192" i="95" s="1"/>
  <c r="J193" i="95"/>
  <c r="J194" i="95"/>
  <c r="J195" i="95"/>
  <c r="J196" i="95"/>
  <c r="J197" i="95"/>
  <c r="K197" i="95" s="1"/>
  <c r="J198" i="95"/>
  <c r="K198" i="95" s="1"/>
  <c r="J199" i="95"/>
  <c r="K199" i="95" s="1"/>
  <c r="J200" i="95"/>
  <c r="K200" i="95" s="1"/>
  <c r="J201" i="95"/>
  <c r="K201" i="95" s="1"/>
  <c r="J202" i="95"/>
  <c r="K202" i="95" s="1"/>
  <c r="J203" i="95"/>
  <c r="K203" i="95" s="1"/>
  <c r="J204" i="95"/>
  <c r="K204" i="95" s="1"/>
  <c r="J205" i="95"/>
  <c r="K205" i="95" s="1"/>
  <c r="J206" i="95"/>
  <c r="K206" i="95" s="1"/>
  <c r="J207" i="95"/>
  <c r="K207" i="95" s="1"/>
  <c r="J208" i="95"/>
  <c r="J209" i="95"/>
  <c r="J210" i="95"/>
  <c r="J211" i="95"/>
  <c r="K211" i="95" s="1"/>
  <c r="J212" i="95"/>
  <c r="J213" i="95"/>
  <c r="J214" i="95"/>
  <c r="J215" i="95"/>
  <c r="J216" i="95"/>
  <c r="J217" i="95"/>
  <c r="K217" i="95" s="1"/>
  <c r="J218" i="95"/>
  <c r="K218" i="95" s="1"/>
  <c r="J219" i="95"/>
  <c r="K219" i="95" s="1"/>
  <c r="J220" i="95"/>
  <c r="J221" i="95"/>
  <c r="J222" i="95"/>
  <c r="K222" i="95" s="1"/>
  <c r="J223" i="95"/>
  <c r="K223" i="95" s="1"/>
  <c r="J224" i="95"/>
  <c r="K224" i="95" s="1"/>
  <c r="J225" i="95"/>
  <c r="J226" i="95"/>
  <c r="J227" i="95"/>
  <c r="J228" i="95"/>
  <c r="J229" i="95"/>
  <c r="J230" i="95"/>
  <c r="J231" i="95"/>
  <c r="K231" i="95" s="1"/>
  <c r="J232" i="95"/>
  <c r="J233" i="95"/>
  <c r="J234" i="95"/>
  <c r="J235" i="95"/>
  <c r="K235" i="95" s="1"/>
  <c r="J236" i="95"/>
  <c r="J237" i="95"/>
  <c r="K237" i="95" s="1"/>
  <c r="J238" i="95"/>
  <c r="K238" i="95" s="1"/>
  <c r="J239" i="95"/>
  <c r="K239" i="95" s="1"/>
  <c r="J240" i="95"/>
  <c r="K240" i="95" s="1"/>
  <c r="J241" i="95"/>
  <c r="K241" i="95" s="1"/>
  <c r="J242" i="95"/>
  <c r="K242" i="95" s="1"/>
  <c r="J243" i="95"/>
  <c r="K243" i="95" s="1"/>
  <c r="J244" i="95"/>
  <c r="K244" i="95" s="1"/>
  <c r="J245" i="95"/>
  <c r="J246" i="95"/>
  <c r="J247" i="95"/>
  <c r="K247" i="95" s="1"/>
  <c r="J248" i="95"/>
  <c r="K248" i="95" s="1"/>
  <c r="J249" i="95"/>
  <c r="K249" i="95" s="1"/>
  <c r="J250" i="95"/>
  <c r="K250" i="95" s="1"/>
  <c r="J251" i="95"/>
  <c r="K251" i="95" s="1"/>
  <c r="J252" i="95"/>
  <c r="J253" i="95"/>
  <c r="J254" i="95"/>
  <c r="J255" i="95"/>
  <c r="K255" i="95" s="1"/>
  <c r="J256" i="95"/>
  <c r="K256" i="95" s="1"/>
  <c r="J257" i="95"/>
  <c r="J258" i="95"/>
  <c r="J259" i="95"/>
  <c r="J260" i="95"/>
  <c r="J261" i="95"/>
  <c r="J262" i="95"/>
  <c r="K262" i="95" s="1"/>
  <c r="J263" i="95"/>
  <c r="J264" i="95"/>
  <c r="J265" i="95"/>
  <c r="J266" i="95"/>
  <c r="J267" i="95"/>
  <c r="K267" i="95" s="1"/>
  <c r="J268" i="95"/>
  <c r="J269" i="95"/>
  <c r="J270" i="95"/>
  <c r="K270" i="95" s="1"/>
  <c r="J271" i="95"/>
  <c r="K271" i="95" s="1"/>
  <c r="J272" i="95"/>
  <c r="J273" i="95"/>
  <c r="J274" i="95"/>
  <c r="J275" i="95"/>
  <c r="J276" i="95"/>
  <c r="K276" i="95" s="1"/>
  <c r="J277" i="95"/>
  <c r="J278" i="95"/>
  <c r="K278" i="95" s="1"/>
  <c r="J279" i="95"/>
  <c r="K279" i="95" s="1"/>
  <c r="J280" i="95"/>
  <c r="K280" i="95" s="1"/>
  <c r="J281" i="95"/>
  <c r="K281" i="95" s="1"/>
  <c r="J282" i="95"/>
  <c r="K282" i="95" s="1"/>
  <c r="J283" i="95"/>
  <c r="K283" i="95" s="1"/>
  <c r="J284" i="95"/>
  <c r="J285" i="95"/>
  <c r="K285" i="95" s="1"/>
  <c r="J286" i="95"/>
  <c r="K286" i="95" s="1"/>
  <c r="J287" i="95"/>
  <c r="K287" i="95" s="1"/>
  <c r="J288" i="95"/>
  <c r="K288" i="95" s="1"/>
  <c r="J289" i="95"/>
  <c r="J290" i="95"/>
  <c r="J291" i="95"/>
  <c r="J292" i="95"/>
  <c r="J293" i="95"/>
  <c r="J294" i="95"/>
  <c r="J295" i="95"/>
  <c r="K295" i="95" s="1"/>
  <c r="J296" i="95"/>
  <c r="J297" i="95"/>
  <c r="J298" i="95"/>
  <c r="J299" i="95"/>
  <c r="K299" i="95" s="1"/>
  <c r="J300" i="95"/>
  <c r="K300" i="95" s="1"/>
  <c r="J301" i="95"/>
  <c r="K301" i="95" s="1"/>
  <c r="J302" i="95"/>
  <c r="K302" i="95" s="1"/>
  <c r="J303" i="95"/>
  <c r="K303" i="95" s="1"/>
  <c r="J304" i="95"/>
  <c r="J305" i="95"/>
  <c r="J306" i="95"/>
  <c r="K306" i="95" s="1"/>
  <c r="J307" i="95"/>
  <c r="K307" i="95" s="1"/>
  <c r="J308" i="95"/>
  <c r="K308" i="95" s="1"/>
  <c r="J309" i="95"/>
  <c r="J310" i="95"/>
  <c r="J311" i="95"/>
  <c r="K311" i="95" s="1"/>
  <c r="J312" i="95"/>
  <c r="K312" i="95" s="1"/>
  <c r="J313" i="95"/>
  <c r="J314" i="95"/>
  <c r="K314" i="95" s="1"/>
  <c r="J315" i="95"/>
  <c r="J316" i="95"/>
  <c r="J317" i="95"/>
  <c r="K317" i="95" s="1"/>
  <c r="J318" i="95"/>
  <c r="K318" i="95" s="1"/>
  <c r="J319" i="95"/>
  <c r="K319" i="95" s="1"/>
  <c r="J320" i="95"/>
  <c r="J321" i="95"/>
  <c r="J322" i="95"/>
  <c r="J323" i="95"/>
  <c r="J324" i="95"/>
  <c r="J325" i="95"/>
  <c r="J326" i="95"/>
  <c r="J327" i="95"/>
  <c r="J328" i="95"/>
  <c r="J329" i="95"/>
  <c r="J330" i="95"/>
  <c r="J331" i="95"/>
  <c r="K331" i="95" s="1"/>
  <c r="J332" i="95"/>
  <c r="J333" i="95"/>
  <c r="J334" i="95"/>
  <c r="K334" i="95" s="1"/>
  <c r="J335" i="95"/>
  <c r="K335" i="95" s="1"/>
  <c r="J336" i="95"/>
  <c r="J337" i="95"/>
  <c r="K337" i="95" s="1"/>
  <c r="J338" i="95"/>
  <c r="K338" i="95" s="1"/>
  <c r="J339" i="95"/>
  <c r="K339" i="95" s="1"/>
  <c r="J340" i="95"/>
  <c r="K340" i="95" s="1"/>
  <c r="J341" i="95"/>
  <c r="J342" i="95"/>
  <c r="K342" i="95" s="1"/>
  <c r="J343" i="95"/>
  <c r="K343" i="95" s="1"/>
  <c r="J344" i="95"/>
  <c r="K344" i="95" s="1"/>
  <c r="J345" i="95"/>
  <c r="K345" i="95" s="1"/>
  <c r="J346" i="95"/>
  <c r="K346" i="95" s="1"/>
  <c r="J347" i="95"/>
  <c r="K347" i="95" s="1"/>
  <c r="J348" i="95"/>
  <c r="J349" i="95"/>
  <c r="J350" i="95"/>
  <c r="J351" i="95"/>
  <c r="K351" i="95" s="1"/>
  <c r="J352" i="95"/>
  <c r="K352" i="95" s="1"/>
  <c r="J353" i="95"/>
  <c r="J354" i="95"/>
  <c r="J355" i="95"/>
  <c r="J356" i="95"/>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J369" i="95"/>
  <c r="J370" i="95"/>
  <c r="J371" i="95"/>
  <c r="K371" i="95" s="1"/>
  <c r="J372" i="95"/>
  <c r="K372" i="95" s="1"/>
  <c r="J373" i="95"/>
  <c r="J374" i="95"/>
  <c r="J375" i="95"/>
  <c r="J376" i="95"/>
  <c r="K376" i="95" s="1"/>
  <c r="J377" i="95"/>
  <c r="K377" i="95" s="1"/>
  <c r="J378" i="95"/>
  <c r="K378" i="95" s="1"/>
  <c r="J379" i="95"/>
  <c r="K379" i="95" s="1"/>
  <c r="J380" i="95"/>
  <c r="J381" i="95"/>
  <c r="K381" i="95" s="1"/>
  <c r="J382" i="95"/>
  <c r="K382" i="95" s="1"/>
  <c r="J383" i="95"/>
  <c r="K383" i="95" s="1"/>
  <c r="J384" i="95"/>
  <c r="K384" i="95" s="1"/>
  <c r="J385" i="95"/>
  <c r="J386" i="95"/>
  <c r="J387" i="95"/>
  <c r="J388" i="95"/>
  <c r="J389" i="95"/>
  <c r="J390" i="95"/>
  <c r="J391" i="95"/>
  <c r="J392" i="95"/>
  <c r="J393" i="95"/>
  <c r="J394" i="95"/>
  <c r="J395" i="95"/>
  <c r="K395" i="95" s="1"/>
  <c r="J396" i="95"/>
  <c r="K396" i="95" s="1"/>
  <c r="J397" i="95"/>
  <c r="K397" i="95" s="1"/>
  <c r="J398" i="95"/>
  <c r="K398" i="95" s="1"/>
  <c r="J399" i="95"/>
  <c r="K399" i="95" s="1"/>
  <c r="J400" i="95"/>
  <c r="K400" i="95" s="1"/>
  <c r="J401" i="95"/>
  <c r="K401" i="95" s="1"/>
  <c r="J402" i="95"/>
  <c r="K402" i="95" s="1"/>
  <c r="J403" i="95"/>
  <c r="K403" i="95" s="1"/>
  <c r="J404" i="95"/>
  <c r="K404" i="95" s="1"/>
  <c r="J405" i="95"/>
  <c r="J406" i="95"/>
  <c r="J407" i="95"/>
  <c r="J408" i="95"/>
  <c r="K408" i="95" s="1"/>
  <c r="J409" i="95"/>
  <c r="K409" i="95" s="1"/>
  <c r="J410" i="95"/>
  <c r="K410" i="95" s="1"/>
  <c r="J411" i="95"/>
  <c r="K411" i="95" s="1"/>
  <c r="J412" i="95"/>
  <c r="J413" i="95"/>
  <c r="J414" i="95"/>
  <c r="J415" i="95"/>
  <c r="K415" i="95" s="1"/>
  <c r="J416" i="95"/>
  <c r="K416" i="95" s="1"/>
  <c r="J417" i="95"/>
  <c r="J418" i="95"/>
  <c r="K2" i="95"/>
  <c r="K3" i="95"/>
  <c r="K4" i="95"/>
  <c r="K5" i="95"/>
  <c r="K6" i="95"/>
  <c r="K7" i="95"/>
  <c r="K8" i="95"/>
  <c r="K9" i="95"/>
  <c r="K10" i="95"/>
  <c r="K12" i="95"/>
  <c r="K13" i="95"/>
  <c r="K16" i="95"/>
  <c r="K17" i="95"/>
  <c r="K21" i="95"/>
  <c r="K22" i="95"/>
  <c r="K28" i="95"/>
  <c r="K29" i="95"/>
  <c r="K30" i="95"/>
  <c r="K33" i="95"/>
  <c r="K34" i="95"/>
  <c r="K35" i="95"/>
  <c r="K36" i="95"/>
  <c r="K37" i="95"/>
  <c r="K48" i="95"/>
  <c r="K49" i="95"/>
  <c r="K53" i="95"/>
  <c r="K54" i="95"/>
  <c r="K55" i="95"/>
  <c r="K56" i="95"/>
  <c r="K60" i="95"/>
  <c r="K61" i="95"/>
  <c r="K65" i="95"/>
  <c r="K66" i="95"/>
  <c r="K67" i="95"/>
  <c r="K68" i="95"/>
  <c r="K69" i="95"/>
  <c r="K70" i="95"/>
  <c r="K72" i="95"/>
  <c r="K73" i="95"/>
  <c r="K74" i="95"/>
  <c r="K76" i="95"/>
  <c r="K85" i="95"/>
  <c r="K86" i="95"/>
  <c r="K92" i="95"/>
  <c r="K93" i="95"/>
  <c r="K94" i="95"/>
  <c r="K97" i="95"/>
  <c r="K98" i="95"/>
  <c r="K99" i="95"/>
  <c r="K100" i="95"/>
  <c r="K101" i="95"/>
  <c r="K103" i="95"/>
  <c r="K104" i="95"/>
  <c r="K105" i="95"/>
  <c r="K106" i="95"/>
  <c r="K108" i="95"/>
  <c r="K109" i="95"/>
  <c r="K112" i="95"/>
  <c r="K113" i="95"/>
  <c r="K114" i="95"/>
  <c r="K115" i="95"/>
  <c r="K117" i="95"/>
  <c r="K124" i="95"/>
  <c r="K129" i="95"/>
  <c r="K130" i="95"/>
  <c r="K131" i="95"/>
  <c r="K132" i="95"/>
  <c r="K133" i="95"/>
  <c r="K134" i="95"/>
  <c r="K136" i="95"/>
  <c r="K137" i="95"/>
  <c r="K138" i="95"/>
  <c r="K144" i="95"/>
  <c r="K145" i="95"/>
  <c r="K149" i="95"/>
  <c r="K150" i="95"/>
  <c r="K153" i="95"/>
  <c r="K155" i="95"/>
  <c r="K156" i="95"/>
  <c r="K161" i="95"/>
  <c r="K162" i="95"/>
  <c r="K163" i="95"/>
  <c r="K164" i="95"/>
  <c r="K165" i="95"/>
  <c r="K166" i="95"/>
  <c r="K167" i="95"/>
  <c r="K168" i="95"/>
  <c r="K169" i="95"/>
  <c r="K170" i="95"/>
  <c r="K172" i="95"/>
  <c r="K173" i="95"/>
  <c r="K176" i="95"/>
  <c r="K177" i="95"/>
  <c r="K178" i="95"/>
  <c r="K179" i="95"/>
  <c r="K181" i="95"/>
  <c r="K188" i="95"/>
  <c r="K189" i="95"/>
  <c r="K193" i="95"/>
  <c r="K194" i="95"/>
  <c r="K195" i="95"/>
  <c r="K196" i="95"/>
  <c r="K209" i="95"/>
  <c r="K210" i="95"/>
  <c r="K214" i="95"/>
  <c r="K215" i="95"/>
  <c r="K216" i="95"/>
  <c r="K221" i="95"/>
  <c r="K225" i="95"/>
  <c r="K226" i="95"/>
  <c r="K227" i="95"/>
  <c r="K228" i="95"/>
  <c r="K229" i="95"/>
  <c r="K230" i="95"/>
  <c r="K232" i="95"/>
  <c r="K233" i="95"/>
  <c r="K234" i="95"/>
  <c r="K236" i="95"/>
  <c r="K245" i="95"/>
  <c r="K246" i="95"/>
  <c r="K252" i="95"/>
  <c r="K253" i="95"/>
  <c r="K254" i="95"/>
  <c r="K257" i="95"/>
  <c r="K258" i="95"/>
  <c r="K259" i="95"/>
  <c r="K260" i="95"/>
  <c r="K261" i="95"/>
  <c r="K263" i="95"/>
  <c r="K264" i="95"/>
  <c r="K265" i="95"/>
  <c r="K266" i="95"/>
  <c r="K268" i="95"/>
  <c r="K269" i="95"/>
  <c r="K272" i="95"/>
  <c r="K273" i="95"/>
  <c r="K274" i="95"/>
  <c r="K275" i="95"/>
  <c r="K277" i="95"/>
  <c r="K284" i="95"/>
  <c r="K289" i="95"/>
  <c r="K290" i="95"/>
  <c r="K291" i="95"/>
  <c r="K292" i="95"/>
  <c r="K293" i="95"/>
  <c r="K294" i="95"/>
  <c r="K296" i="95"/>
  <c r="K297" i="95"/>
  <c r="K298" i="95"/>
  <c r="K304" i="95"/>
  <c r="K305" i="95"/>
  <c r="K309" i="95"/>
  <c r="K310" i="95"/>
  <c r="K313" i="95"/>
  <c r="K315" i="95"/>
  <c r="K316" i="95"/>
  <c r="K322" i="95"/>
  <c r="K323" i="95"/>
  <c r="K324" i="95"/>
  <c r="K325" i="95"/>
  <c r="K326" i="95"/>
  <c r="K327" i="95"/>
  <c r="K328" i="95"/>
  <c r="K329" i="95"/>
  <c r="K330" i="95"/>
  <c r="K332" i="95"/>
  <c r="K333" i="95"/>
  <c r="K336" i="95"/>
  <c r="K341" i="95"/>
  <c r="K348" i="95"/>
  <c r="K349" i="95"/>
  <c r="K350" i="95"/>
  <c r="K353" i="95"/>
  <c r="K354" i="95"/>
  <c r="K355" i="95"/>
  <c r="K356" i="95"/>
  <c r="K368" i="95"/>
  <c r="K369" i="95"/>
  <c r="K370" i="95"/>
  <c r="K373" i="95"/>
  <c r="K374" i="95"/>
  <c r="K375" i="95"/>
  <c r="K380" i="95"/>
  <c r="K385" i="95"/>
  <c r="K386" i="95"/>
  <c r="K387" i="95"/>
  <c r="K388" i="95"/>
  <c r="K389" i="95"/>
  <c r="K390" i="95"/>
  <c r="K391" i="95"/>
  <c r="K392" i="95"/>
  <c r="K393" i="95"/>
  <c r="K394" i="95"/>
  <c r="K405" i="95"/>
  <c r="K406" i="95"/>
  <c r="K407" i="95"/>
  <c r="K412" i="95"/>
  <c r="K413" i="95"/>
  <c r="K414" i="95"/>
  <c r="K417" i="95"/>
  <c r="K418" i="95"/>
  <c r="L2" i="95"/>
  <c r="M2" i="95" s="1"/>
  <c r="L3" i="95"/>
  <c r="M3" i="95" s="1"/>
  <c r="L4" i="95"/>
  <c r="L5" i="95"/>
  <c r="L6" i="95"/>
  <c r="L7" i="95"/>
  <c r="L8" i="95"/>
  <c r="L9" i="95"/>
  <c r="M9" i="95" s="1"/>
  <c r="L10" i="95"/>
  <c r="L11" i="95"/>
  <c r="L12" i="95"/>
  <c r="M12" i="95" s="1"/>
  <c r="L13" i="95"/>
  <c r="M13" i="95" s="1"/>
  <c r="L14" i="95"/>
  <c r="M14" i="95" s="1"/>
  <c r="L15" i="95"/>
  <c r="M15" i="95" s="1"/>
  <c r="L16" i="95"/>
  <c r="L17" i="95"/>
  <c r="L18" i="95"/>
  <c r="M18" i="95" s="1"/>
  <c r="L19" i="95"/>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L32" i="95"/>
  <c r="L33" i="95"/>
  <c r="L34" i="95"/>
  <c r="M34" i="95" s="1"/>
  <c r="L35" i="95"/>
  <c r="L36" i="95"/>
  <c r="L37" i="95"/>
  <c r="L38" i="95"/>
  <c r="L39" i="95"/>
  <c r="L40" i="95"/>
  <c r="M40" i="95" s="1"/>
  <c r="L41" i="95"/>
  <c r="M41" i="95" s="1"/>
  <c r="L42" i="95"/>
  <c r="M42" i="95" s="1"/>
  <c r="L43" i="95"/>
  <c r="L44" i="95"/>
  <c r="M44" i="95" s="1"/>
  <c r="L45" i="95"/>
  <c r="M45" i="95" s="1"/>
  <c r="L46" i="95"/>
  <c r="M46" i="95" s="1"/>
  <c r="L47" i="95"/>
  <c r="M47" i="95" s="1"/>
  <c r="L48" i="95"/>
  <c r="L49" i="95"/>
  <c r="L50" i="95"/>
  <c r="M50" i="95" s="1"/>
  <c r="L51" i="95"/>
  <c r="L52" i="95"/>
  <c r="L53" i="95"/>
  <c r="L54" i="95"/>
  <c r="L55" i="95"/>
  <c r="L56" i="95"/>
  <c r="M56" i="95" s="1"/>
  <c r="L57" i="95"/>
  <c r="M57" i="95" s="1"/>
  <c r="L58" i="95"/>
  <c r="M58" i="95" s="1"/>
  <c r="L59" i="95"/>
  <c r="M59" i="95" s="1"/>
  <c r="L60" i="95"/>
  <c r="M60" i="95" s="1"/>
  <c r="L61" i="95"/>
  <c r="M61" i="95" s="1"/>
  <c r="L62" i="95"/>
  <c r="M62" i="95" s="1"/>
  <c r="L63" i="95"/>
  <c r="L64" i="95"/>
  <c r="M64" i="95" s="1"/>
  <c r="L65" i="95"/>
  <c r="M65" i="95" s="1"/>
  <c r="L66" i="95"/>
  <c r="M66" i="95" s="1"/>
  <c r="L67" i="95"/>
  <c r="L68" i="95"/>
  <c r="L69" i="95"/>
  <c r="L70" i="95"/>
  <c r="L71" i="95"/>
  <c r="L72" i="95"/>
  <c r="M72" i="95" s="1"/>
  <c r="L73" i="95"/>
  <c r="M73" i="95" s="1"/>
  <c r="L74" i="95"/>
  <c r="M74" i="95" s="1"/>
  <c r="L75" i="95"/>
  <c r="L76" i="95"/>
  <c r="M76" i="95" s="1"/>
  <c r="L77" i="95"/>
  <c r="M77" i="95" s="1"/>
  <c r="L78" i="95"/>
  <c r="M78" i="95" s="1"/>
  <c r="L79" i="95"/>
  <c r="M79" i="95" s="1"/>
  <c r="L80" i="95"/>
  <c r="L81" i="95"/>
  <c r="L82" i="95"/>
  <c r="M82" i="95" s="1"/>
  <c r="L83" i="95"/>
  <c r="L84" i="95"/>
  <c r="L85" i="95"/>
  <c r="L86" i="95"/>
  <c r="L87" i="95"/>
  <c r="M87" i="95" s="1"/>
  <c r="L88" i="95"/>
  <c r="L89" i="95"/>
  <c r="L90" i="95"/>
  <c r="L91" i="95"/>
  <c r="L92" i="95"/>
  <c r="M92" i="95" s="1"/>
  <c r="L93" i="95"/>
  <c r="M93" i="95" s="1"/>
  <c r="L94" i="95"/>
  <c r="M94" i="95" s="1"/>
  <c r="L95" i="95"/>
  <c r="M95" i="95" s="1"/>
  <c r="L96" i="95"/>
  <c r="M96" i="95" s="1"/>
  <c r="L97" i="95"/>
  <c r="M97" i="95" s="1"/>
  <c r="L98" i="95"/>
  <c r="M98" i="95" s="1"/>
  <c r="L99" i="95"/>
  <c r="L100" i="95"/>
  <c r="L101" i="95"/>
  <c r="L102" i="95"/>
  <c r="L103" i="95"/>
  <c r="L104" i="95"/>
  <c r="L105" i="95"/>
  <c r="M105" i="95" s="1"/>
  <c r="L106" i="95"/>
  <c r="M106" i="95" s="1"/>
  <c r="L107" i="95"/>
  <c r="L108" i="95"/>
  <c r="M108" i="95" s="1"/>
  <c r="L109" i="95"/>
  <c r="M109" i="95" s="1"/>
  <c r="L110" i="95"/>
  <c r="M110" i="95" s="1"/>
  <c r="L111" i="95"/>
  <c r="M111" i="95" s="1"/>
  <c r="L112" i="95"/>
  <c r="L113" i="95"/>
  <c r="L114" i="95"/>
  <c r="M114" i="95" s="1"/>
  <c r="L115" i="95"/>
  <c r="L116" i="95"/>
  <c r="L117" i="95"/>
  <c r="L118" i="95"/>
  <c r="L119" i="95"/>
  <c r="L120" i="95"/>
  <c r="L121" i="95"/>
  <c r="L122" i="95"/>
  <c r="L123" i="95"/>
  <c r="M123" i="95" s="1"/>
  <c r="L124" i="95"/>
  <c r="M124" i="95" s="1"/>
  <c r="L125" i="95"/>
  <c r="L126" i="95"/>
  <c r="M126" i="95" s="1"/>
  <c r="L127" i="95"/>
  <c r="L128" i="95"/>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L140" i="95"/>
  <c r="M140" i="95" s="1"/>
  <c r="L141" i="95"/>
  <c r="M141" i="95" s="1"/>
  <c r="L142" i="95"/>
  <c r="M142" i="95" s="1"/>
  <c r="L143" i="95"/>
  <c r="M143" i="95" s="1"/>
  <c r="L144" i="95"/>
  <c r="L145" i="95"/>
  <c r="L146" i="95"/>
  <c r="M146" i="95" s="1"/>
  <c r="L147" i="95"/>
  <c r="L148" i="95"/>
  <c r="L149" i="95"/>
  <c r="L150" i="95"/>
  <c r="L151" i="95"/>
  <c r="M151" i="95" s="1"/>
  <c r="L152" i="95"/>
  <c r="M152" i="95" s="1"/>
  <c r="L153" i="95"/>
  <c r="M153" i="95" s="1"/>
  <c r="L154" i="95"/>
  <c r="M154" i="95" s="1"/>
  <c r="L155" i="95"/>
  <c r="M155" i="95" s="1"/>
  <c r="L156" i="95"/>
  <c r="M156" i="95" s="1"/>
  <c r="L157" i="95"/>
  <c r="M157" i="95" s="1"/>
  <c r="L158" i="95"/>
  <c r="M158" i="95" s="1"/>
  <c r="L159" i="95"/>
  <c r="L160" i="95"/>
  <c r="M160" i="95" s="1"/>
  <c r="L161" i="95"/>
  <c r="M161" i="95" s="1"/>
  <c r="L162" i="95"/>
  <c r="M162" i="95" s="1"/>
  <c r="L163" i="95"/>
  <c r="L164" i="95"/>
  <c r="L165" i="95"/>
  <c r="M165" i="95" s="1"/>
  <c r="L166" i="95"/>
  <c r="M166" i="95" s="1"/>
  <c r="L167" i="95"/>
  <c r="M167" i="95" s="1"/>
  <c r="L168" i="95"/>
  <c r="M168" i="95" s="1"/>
  <c r="L169" i="95"/>
  <c r="M169" i="95" s="1"/>
  <c r="L170" i="95"/>
  <c r="M170" i="95" s="1"/>
  <c r="L171" i="95"/>
  <c r="L172" i="95"/>
  <c r="M172" i="95" s="1"/>
  <c r="L173" i="95"/>
  <c r="M173" i="95" s="1"/>
  <c r="L174" i="95"/>
  <c r="M174" i="95" s="1"/>
  <c r="L175" i="95"/>
  <c r="M175" i="95" s="1"/>
  <c r="L176" i="95"/>
  <c r="L177" i="95"/>
  <c r="L178" i="95"/>
  <c r="M178" i="95" s="1"/>
  <c r="L179" i="95"/>
  <c r="L180" i="95"/>
  <c r="L181" i="95"/>
  <c r="L182" i="95"/>
  <c r="L183" i="95"/>
  <c r="M183" i="95" s="1"/>
  <c r="L184" i="95"/>
  <c r="M184" i="95" s="1"/>
  <c r="L185" i="95"/>
  <c r="L186" i="95"/>
  <c r="L187" i="95"/>
  <c r="M187" i="95" s="1"/>
  <c r="L188" i="95"/>
  <c r="M188" i="95" s="1"/>
  <c r="L189" i="95"/>
  <c r="M189" i="95" s="1"/>
  <c r="L190" i="95"/>
  <c r="M190" i="95" s="1"/>
  <c r="L191" i="95"/>
  <c r="L192" i="95"/>
  <c r="L193" i="95"/>
  <c r="L194" i="95"/>
  <c r="M194" i="95" s="1"/>
  <c r="L195" i="95"/>
  <c r="L196" i="95"/>
  <c r="L197" i="95"/>
  <c r="L198" i="95"/>
  <c r="L199" i="95"/>
  <c r="L200" i="95"/>
  <c r="L201" i="95"/>
  <c r="M201" i="95" s="1"/>
  <c r="L202" i="95"/>
  <c r="M202" i="95" s="1"/>
  <c r="L203" i="95"/>
  <c r="M203" i="95" s="1"/>
  <c r="L204" i="95"/>
  <c r="M204" i="95" s="1"/>
  <c r="L205" i="95"/>
  <c r="M205" i="95" s="1"/>
  <c r="L206" i="95"/>
  <c r="M206" i="95" s="1"/>
  <c r="L207" i="95"/>
  <c r="M207" i="95" s="1"/>
  <c r="L208" i="95"/>
  <c r="L209" i="95"/>
  <c r="L210" i="95"/>
  <c r="M210" i="95" s="1"/>
  <c r="L211" i="95"/>
  <c r="L212" i="95"/>
  <c r="L213" i="95"/>
  <c r="L214" i="95"/>
  <c r="L215" i="95"/>
  <c r="L216" i="95"/>
  <c r="L217" i="95"/>
  <c r="L218" i="95"/>
  <c r="L219" i="95"/>
  <c r="M219" i="95" s="1"/>
  <c r="L220" i="95"/>
  <c r="M220" i="95" s="1"/>
  <c r="L221" i="95"/>
  <c r="M221" i="95" s="1"/>
  <c r="L222" i="95"/>
  <c r="M222" i="95" s="1"/>
  <c r="L223" i="95"/>
  <c r="L224" i="95"/>
  <c r="M224" i="95" s="1"/>
  <c r="L225" i="95"/>
  <c r="M225" i="95" s="1"/>
  <c r="L226" i="95"/>
  <c r="M226" i="95" s="1"/>
  <c r="L227" i="95"/>
  <c r="L228" i="95"/>
  <c r="L229" i="95"/>
  <c r="L230" i="95"/>
  <c r="L231" i="95"/>
  <c r="L232" i="95"/>
  <c r="M232" i="95" s="1"/>
  <c r="L233" i="95"/>
  <c r="M233" i="95" s="1"/>
  <c r="L234" i="95"/>
  <c r="M234" i="95" s="1"/>
  <c r="L235" i="95"/>
  <c r="L236" i="95"/>
  <c r="M236" i="95" s="1"/>
  <c r="L237" i="95"/>
  <c r="M237" i="95" s="1"/>
  <c r="L238" i="95"/>
  <c r="L239" i="95"/>
  <c r="M239" i="95" s="1"/>
  <c r="L240" i="95"/>
  <c r="L241" i="95"/>
  <c r="L242" i="95"/>
  <c r="M242" i="95" s="1"/>
  <c r="L243" i="95"/>
  <c r="L244" i="95"/>
  <c r="L245" i="95"/>
  <c r="L246" i="95"/>
  <c r="L247" i="95"/>
  <c r="L248" i="95"/>
  <c r="L249" i="95"/>
  <c r="L250" i="95"/>
  <c r="L251" i="95"/>
  <c r="L252" i="95"/>
  <c r="M252" i="95" s="1"/>
  <c r="L253" i="95"/>
  <c r="L254" i="95"/>
  <c r="M254" i="95" s="1"/>
  <c r="L255" i="95"/>
  <c r="L256" i="95"/>
  <c r="M256" i="95" s="1"/>
  <c r="L257" i="95"/>
  <c r="M257" i="95" s="1"/>
  <c r="L258" i="95"/>
  <c r="M258" i="95" s="1"/>
  <c r="L259" i="95"/>
  <c r="L260" i="95"/>
  <c r="L261" i="95"/>
  <c r="M261" i="95" s="1"/>
  <c r="L262" i="95"/>
  <c r="M262" i="95" s="1"/>
  <c r="L263" i="95"/>
  <c r="M263" i="95" s="1"/>
  <c r="L264" i="95"/>
  <c r="M264" i="95" s="1"/>
  <c r="L265" i="95"/>
  <c r="M265" i="95" s="1"/>
  <c r="L266" i="95"/>
  <c r="M266" i="95" s="1"/>
  <c r="L267" i="95"/>
  <c r="L268" i="95"/>
  <c r="M268" i="95" s="1"/>
  <c r="L269" i="95"/>
  <c r="M269" i="95" s="1"/>
  <c r="L270" i="95"/>
  <c r="M270" i="95" s="1"/>
  <c r="L271" i="95"/>
  <c r="M271" i="95" s="1"/>
  <c r="L272" i="95"/>
  <c r="L273" i="95"/>
  <c r="L274" i="95"/>
  <c r="M274" i="95" s="1"/>
  <c r="L275" i="95"/>
  <c r="L276" i="95"/>
  <c r="M276" i="95" s="1"/>
  <c r="L277" i="95"/>
  <c r="M277" i="95" s="1"/>
  <c r="L278" i="95"/>
  <c r="M278" i="95" s="1"/>
  <c r="L279" i="95"/>
  <c r="M279" i="95" s="1"/>
  <c r="L280" i="95"/>
  <c r="M280" i="95" s="1"/>
  <c r="L281" i="95"/>
  <c r="M281" i="95" s="1"/>
  <c r="L282" i="95"/>
  <c r="M282" i="95" s="1"/>
  <c r="L283" i="95"/>
  <c r="M283" i="95" s="1"/>
  <c r="L284" i="95"/>
  <c r="M284" i="95" s="1"/>
  <c r="L285" i="95"/>
  <c r="M285" i="95" s="1"/>
  <c r="L286" i="95"/>
  <c r="M286" i="95" s="1"/>
  <c r="L287" i="95"/>
  <c r="L288" i="95"/>
  <c r="L289" i="95"/>
  <c r="L290" i="95"/>
  <c r="M290" i="95" s="1"/>
  <c r="L291" i="95"/>
  <c r="L292" i="95"/>
  <c r="L293" i="95"/>
  <c r="L294" i="95"/>
  <c r="L295" i="95"/>
  <c r="L296" i="95"/>
  <c r="M296" i="95" s="1"/>
  <c r="L297" i="95"/>
  <c r="M297" i="95" s="1"/>
  <c r="L298" i="95"/>
  <c r="M298" i="95" s="1"/>
  <c r="L299" i="95"/>
  <c r="L300" i="95"/>
  <c r="M300" i="95" s="1"/>
  <c r="L301" i="95"/>
  <c r="M301" i="95" s="1"/>
  <c r="L302" i="95"/>
  <c r="M302" i="95" s="1"/>
  <c r="L303" i="95"/>
  <c r="M303" i="95" s="1"/>
  <c r="L304" i="95"/>
  <c r="L305" i="95"/>
  <c r="L306" i="95"/>
  <c r="M306" i="95" s="1"/>
  <c r="L307" i="95"/>
  <c r="L308" i="95"/>
  <c r="L309" i="95"/>
  <c r="L310" i="95"/>
  <c r="L311" i="95"/>
  <c r="L312" i="95"/>
  <c r="M312" i="95" s="1"/>
  <c r="L313" i="95"/>
  <c r="M313" i="95" s="1"/>
  <c r="L314" i="95"/>
  <c r="M314" i="95" s="1"/>
  <c r="L315" i="95"/>
  <c r="M315" i="95" s="1"/>
  <c r="L316" i="95"/>
  <c r="M316" i="95" s="1"/>
  <c r="L317" i="95"/>
  <c r="M317" i="95" s="1"/>
  <c r="L318" i="95"/>
  <c r="M318" i="95" s="1"/>
  <c r="L319" i="95"/>
  <c r="L320" i="95"/>
  <c r="M320" i="95" s="1"/>
  <c r="L321" i="95"/>
  <c r="M321" i="95" s="1"/>
  <c r="L322" i="95"/>
  <c r="M322" i="95" s="1"/>
  <c r="L323" i="95"/>
  <c r="L324" i="95"/>
  <c r="L325" i="95"/>
  <c r="L326" i="95"/>
  <c r="L327" i="95"/>
  <c r="L328" i="95"/>
  <c r="M328" i="95" s="1"/>
  <c r="L329" i="95"/>
  <c r="M329" i="95" s="1"/>
  <c r="L330" i="95"/>
  <c r="M330" i="95" s="1"/>
  <c r="L331" i="95"/>
  <c r="L332" i="95"/>
  <c r="M332" i="95" s="1"/>
  <c r="L333" i="95"/>
  <c r="M333" i="95" s="1"/>
  <c r="L334" i="95"/>
  <c r="M334" i="95" s="1"/>
  <c r="L335" i="95"/>
  <c r="M335" i="95" s="1"/>
  <c r="L336" i="95"/>
  <c r="L337" i="95"/>
  <c r="L338" i="95"/>
  <c r="M338" i="95" s="1"/>
  <c r="L339" i="95"/>
  <c r="L340" i="95"/>
  <c r="L341" i="95"/>
  <c r="L342" i="95"/>
  <c r="L343" i="95"/>
  <c r="M343" i="95" s="1"/>
  <c r="L344" i="95"/>
  <c r="L345" i="95"/>
  <c r="L346" i="95"/>
  <c r="L347" i="95"/>
  <c r="L348" i="95"/>
  <c r="M348" i="95" s="1"/>
  <c r="L349" i="95"/>
  <c r="M349" i="95" s="1"/>
  <c r="L350" i="95"/>
  <c r="M350" i="95" s="1"/>
  <c r="L351" i="95"/>
  <c r="M351" i="95" s="1"/>
  <c r="L352" i="95"/>
  <c r="M352" i="95" s="1"/>
  <c r="L353" i="95"/>
  <c r="M353" i="95" s="1"/>
  <c r="L354" i="95"/>
  <c r="M354" i="95" s="1"/>
  <c r="L355" i="95"/>
  <c r="L356" i="95"/>
  <c r="L357" i="95"/>
  <c r="L358" i="95"/>
  <c r="L359" i="95"/>
  <c r="L360" i="95"/>
  <c r="L361" i="95"/>
  <c r="M361" i="95" s="1"/>
  <c r="L362" i="95"/>
  <c r="M362" i="95" s="1"/>
  <c r="L363" i="95"/>
  <c r="L364" i="95"/>
  <c r="M364" i="95" s="1"/>
  <c r="L365" i="95"/>
  <c r="M365" i="95" s="1"/>
  <c r="L366" i="95"/>
  <c r="M366" i="95" s="1"/>
  <c r="L367" i="95"/>
  <c r="M367" i="95" s="1"/>
  <c r="L368" i="95"/>
  <c r="L369" i="95"/>
  <c r="L370" i="95"/>
  <c r="M370" i="95" s="1"/>
  <c r="L371" i="95"/>
  <c r="L372" i="95"/>
  <c r="L373" i="95"/>
  <c r="L374" i="95"/>
  <c r="L375" i="95"/>
  <c r="L376" i="95"/>
  <c r="L377" i="95"/>
  <c r="L378" i="95"/>
  <c r="L379" i="95"/>
  <c r="M379" i="95" s="1"/>
  <c r="L380" i="95"/>
  <c r="M380" i="95" s="1"/>
  <c r="L381" i="95"/>
  <c r="L382" i="95"/>
  <c r="M382" i="95" s="1"/>
  <c r="L383" i="95"/>
  <c r="L384" i="95"/>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L396" i="95"/>
  <c r="M396" i="95" s="1"/>
  <c r="L397" i="95"/>
  <c r="M397" i="95" s="1"/>
  <c r="L398" i="95"/>
  <c r="M398" i="95" s="1"/>
  <c r="L399" i="95"/>
  <c r="M399" i="95" s="1"/>
  <c r="L400" i="95"/>
  <c r="L401" i="95"/>
  <c r="L402" i="95"/>
  <c r="M402" i="95" s="1"/>
  <c r="L403" i="95"/>
  <c r="L404" i="95"/>
  <c r="L405" i="95"/>
  <c r="L406" i="95"/>
  <c r="L407" i="95"/>
  <c r="M407" i="95" s="1"/>
  <c r="L408" i="95"/>
  <c r="M408" i="95" s="1"/>
  <c r="L409" i="95"/>
  <c r="M409" i="95" s="1"/>
  <c r="L410" i="95"/>
  <c r="M410" i="95" s="1"/>
  <c r="L411" i="95"/>
  <c r="M411" i="95" s="1"/>
  <c r="L412" i="95"/>
  <c r="M412" i="95" s="1"/>
  <c r="L413" i="95"/>
  <c r="M413" i="95" s="1"/>
  <c r="L414" i="95"/>
  <c r="M414" i="95" s="1"/>
  <c r="L415" i="95"/>
  <c r="L416" i="95"/>
  <c r="M416" i="95" s="1"/>
  <c r="L417" i="95"/>
  <c r="M417" i="95" s="1"/>
  <c r="L418" i="95"/>
  <c r="M4" i="95"/>
  <c r="M5" i="95"/>
  <c r="M6" i="95"/>
  <c r="M7" i="95"/>
  <c r="M8" i="95"/>
  <c r="M10" i="95"/>
  <c r="M11" i="95"/>
  <c r="M16" i="95"/>
  <c r="M17" i="95"/>
  <c r="M19" i="95"/>
  <c r="M31" i="95"/>
  <c r="M32" i="95"/>
  <c r="M33" i="95"/>
  <c r="M35" i="95"/>
  <c r="M36" i="95"/>
  <c r="M37" i="95"/>
  <c r="M38" i="95"/>
  <c r="M39" i="95"/>
  <c r="M43" i="95"/>
  <c r="M48" i="95"/>
  <c r="M49" i="95"/>
  <c r="M51" i="95"/>
  <c r="M52" i="95"/>
  <c r="M53" i="95"/>
  <c r="M54" i="95"/>
  <c r="M55" i="95"/>
  <c r="M63" i="95"/>
  <c r="M67" i="95"/>
  <c r="M68" i="95"/>
  <c r="M69" i="95"/>
  <c r="M70" i="95"/>
  <c r="M71" i="95"/>
  <c r="M75" i="95"/>
  <c r="M80" i="95"/>
  <c r="M81" i="95"/>
  <c r="M83" i="95"/>
  <c r="M84" i="95"/>
  <c r="M85" i="95"/>
  <c r="M86" i="95"/>
  <c r="M88" i="95"/>
  <c r="M89" i="95"/>
  <c r="M90" i="95"/>
  <c r="M91" i="95"/>
  <c r="M99" i="95"/>
  <c r="M100" i="95"/>
  <c r="M101" i="95"/>
  <c r="M102" i="95"/>
  <c r="M103" i="95"/>
  <c r="M104" i="95"/>
  <c r="M107" i="95"/>
  <c r="M112" i="95"/>
  <c r="M113" i="95"/>
  <c r="M115" i="95"/>
  <c r="M116" i="95"/>
  <c r="M117" i="95"/>
  <c r="M118" i="95"/>
  <c r="M119" i="95"/>
  <c r="M120" i="95"/>
  <c r="M121" i="95"/>
  <c r="M122" i="95"/>
  <c r="M125" i="95"/>
  <c r="M127" i="95"/>
  <c r="M128" i="95"/>
  <c r="M139" i="95"/>
  <c r="M144" i="95"/>
  <c r="M145" i="95"/>
  <c r="M147" i="95"/>
  <c r="M148" i="95"/>
  <c r="M149" i="95"/>
  <c r="M150" i="95"/>
  <c r="M159" i="95"/>
  <c r="M163" i="95"/>
  <c r="M164" i="95"/>
  <c r="M171" i="95"/>
  <c r="M176" i="95"/>
  <c r="M177" i="95"/>
  <c r="M179" i="95"/>
  <c r="M180" i="95"/>
  <c r="M181" i="95"/>
  <c r="M182" i="95"/>
  <c r="M185" i="95"/>
  <c r="M186" i="95"/>
  <c r="M191" i="95"/>
  <c r="M192" i="95"/>
  <c r="M193" i="95"/>
  <c r="M195" i="95"/>
  <c r="M196" i="95"/>
  <c r="M197" i="95"/>
  <c r="M198" i="95"/>
  <c r="M199" i="95"/>
  <c r="M200" i="95"/>
  <c r="M208" i="95"/>
  <c r="M209" i="95"/>
  <c r="M211" i="95"/>
  <c r="M212" i="95"/>
  <c r="M213" i="95"/>
  <c r="M214" i="95"/>
  <c r="M215" i="95"/>
  <c r="M216" i="95"/>
  <c r="M217" i="95"/>
  <c r="M218" i="95"/>
  <c r="M223" i="95"/>
  <c r="M227" i="95"/>
  <c r="M228" i="95"/>
  <c r="M229" i="95"/>
  <c r="M230" i="95"/>
  <c r="M231" i="95"/>
  <c r="M235" i="95"/>
  <c r="M238" i="95"/>
  <c r="M240" i="95"/>
  <c r="M241" i="95"/>
  <c r="M243" i="95"/>
  <c r="M244" i="95"/>
  <c r="M245" i="95"/>
  <c r="M246" i="95"/>
  <c r="M247" i="95"/>
  <c r="M248" i="95"/>
  <c r="M249" i="95"/>
  <c r="M250" i="95"/>
  <c r="M251" i="95"/>
  <c r="M253" i="95"/>
  <c r="M255" i="95"/>
  <c r="M259" i="95"/>
  <c r="M260" i="95"/>
  <c r="M267" i="95"/>
  <c r="M272" i="95"/>
  <c r="M273" i="95"/>
  <c r="M275" i="95"/>
  <c r="M287" i="95"/>
  <c r="M288" i="95"/>
  <c r="M289" i="95"/>
  <c r="M291" i="95"/>
  <c r="M292" i="95"/>
  <c r="M293" i="95"/>
  <c r="M294" i="95"/>
  <c r="M295" i="95"/>
  <c r="M299" i="95"/>
  <c r="M304" i="95"/>
  <c r="M305" i="95"/>
  <c r="M307" i="95"/>
  <c r="M308" i="95"/>
  <c r="M309" i="95"/>
  <c r="M310" i="95"/>
  <c r="M311" i="95"/>
  <c r="M319" i="95"/>
  <c r="M323" i="95"/>
  <c r="M324" i="95"/>
  <c r="M325" i="95"/>
  <c r="M326" i="95"/>
  <c r="M327" i="95"/>
  <c r="M331" i="95"/>
  <c r="M336" i="95"/>
  <c r="M337" i="95"/>
  <c r="M339" i="95"/>
  <c r="M340" i="95"/>
  <c r="M341" i="95"/>
  <c r="M342" i="95"/>
  <c r="M344" i="95"/>
  <c r="M345" i="95"/>
  <c r="M346" i="95"/>
  <c r="M347" i="95"/>
  <c r="M355" i="95"/>
  <c r="M356" i="95"/>
  <c r="M357" i="95"/>
  <c r="M358" i="95"/>
  <c r="M359" i="95"/>
  <c r="M360" i="95"/>
  <c r="M363" i="95"/>
  <c r="M368" i="95"/>
  <c r="M369" i="95"/>
  <c r="M371" i="95"/>
  <c r="M372" i="95"/>
  <c r="M373" i="95"/>
  <c r="M374" i="95"/>
  <c r="M375" i="95"/>
  <c r="M376" i="95"/>
  <c r="M377" i="95"/>
  <c r="M378" i="95"/>
  <c r="M381" i="95"/>
  <c r="M383" i="95"/>
  <c r="M384" i="95"/>
  <c r="M395" i="95"/>
  <c r="M400" i="95"/>
  <c r="M401" i="95"/>
  <c r="M403" i="95"/>
  <c r="M404" i="95"/>
  <c r="M405" i="95"/>
  <c r="M406" i="95"/>
  <c r="M415" i="95"/>
  <c r="M418" i="95"/>
  <c r="G97" i="8"/>
  <c r="B20" i="8"/>
  <c r="A37" i="8"/>
  <c r="AL1" i="77" a="1"/>
  <c r="AL1" i="77" s="1"/>
  <c r="K320" i="95" l="1"/>
  <c r="K212" i="95"/>
  <c r="K213" i="95"/>
  <c r="V21" i="8"/>
  <c r="J19" i="8" s="1"/>
  <c r="M69" i="26"/>
  <c r="K69" i="26"/>
  <c r="I69" i="26"/>
  <c r="F69" i="26"/>
  <c r="F68" i="26"/>
  <c r="F67" i="26"/>
  <c r="F66" i="26"/>
  <c r="F65" i="26"/>
  <c r="F64" i="26"/>
  <c r="F63" i="26"/>
  <c r="V19" i="8"/>
  <c r="V20" i="8" s="1"/>
  <c r="V23" i="8" l="1"/>
  <c r="V22" i="8"/>
  <c r="V24" i="8" l="1"/>
  <c r="I2" i="92" a="1"/>
  <c r="I2" i="92" s="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T62" i="26" l="1"/>
  <c r="R62" i="26"/>
  <c r="F62" i="26" a="1"/>
  <c r="F62" i="26" s="1"/>
  <c r="C2" i="12" a="1"/>
  <c r="C2" i="12" s="1"/>
  <c r="B2" i="12" a="1"/>
  <c r="B2" i="12" s="1"/>
  <c r="A2" i="12" a="1"/>
  <c r="A2" i="12" s="1"/>
  <c r="E9" i="8" a="1"/>
  <c r="E9" i="8" s="1"/>
  <c r="D19" i="4"/>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X2" i="95"/>
  <c r="C2" i="14"/>
  <c r="E1" i="14"/>
  <c r="E1" i="13"/>
  <c r="E2" i="15"/>
  <c r="E1" i="15"/>
  <c r="C1" i="15"/>
  <c r="E2" i="13"/>
  <c r="C2" i="15"/>
  <c r="E2" i="14"/>
  <c r="C1" i="13"/>
  <c r="C2" i="13"/>
  <c r="C1" i="14"/>
  <c r="G93" i="8"/>
  <c r="AL2" i="77" a="1"/>
  <c r="E2" i="96" a="1"/>
  <c r="B10" i="26"/>
  <c r="B11" i="26"/>
  <c r="Q2" i="29"/>
  <c r="D5" i="8" s="1"/>
  <c r="E19" i="4"/>
  <c r="K19" i="4"/>
  <c r="N19" i="4"/>
  <c r="AL2" i="77" l="1"/>
  <c r="L9" i="26"/>
  <c r="G94" i="8"/>
  <c r="E6" i="4"/>
  <c r="K61" i="8"/>
  <c r="F60" i="8"/>
  <c r="L60" i="8"/>
  <c r="D30" i="26"/>
  <c r="B54" i="26"/>
  <c r="E2" i="96"/>
  <c r="D19" i="8"/>
  <c r="H15" i="26"/>
  <c r="H14" i="26"/>
  <c r="P3" i="90"/>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26" i="26" s="1"/>
  <c r="N3" i="90"/>
  <c r="N2" i="90"/>
  <c r="N24" i="26" s="1"/>
  <c r="C25" i="5" l="1"/>
  <c r="L4" i="8"/>
  <c r="L5" i="8"/>
  <c r="S29" i="8" a="1"/>
  <c r="S29" i="8" l="1"/>
  <c r="L6" i="8"/>
  <c r="R41" i="8" a="1"/>
  <c r="S20" i="8" a="1"/>
  <c r="S44" i="8" a="1"/>
  <c r="S39" i="8" a="1"/>
  <c r="S34" i="8" a="1"/>
  <c r="S30" i="8" a="1"/>
  <c r="S23" i="8" a="1"/>
  <c r="R44" i="8" a="1"/>
  <c r="S17" i="8" a="1"/>
  <c r="S35" i="8" a="1"/>
  <c r="S36" i="8" a="1"/>
  <c r="R21" i="8" a="1"/>
  <c r="R13" i="8" a="1"/>
  <c r="S18" i="8" a="1"/>
  <c r="S26" i="8" a="1"/>
  <c r="R9" i="8" a="1"/>
  <c r="R39" i="8" a="1"/>
  <c r="S21" i="8" a="1"/>
  <c r="R37" i="8" a="1"/>
  <c r="R28" i="8" a="1"/>
  <c r="S14" i="8" a="1"/>
  <c r="S40" i="8" a="1"/>
  <c r="R30" i="8" a="1"/>
  <c r="S43" i="8" a="1"/>
  <c r="R35" i="8" a="1"/>
  <c r="R15" i="8" a="1"/>
  <c r="R7" i="8" a="1"/>
  <c r="R5" i="8" a="1"/>
  <c r="S8" i="8" a="1"/>
  <c r="R22" i="8" a="1"/>
  <c r="R26" i="8" a="1"/>
  <c r="S31" i="8" a="1"/>
  <c r="S5" i="8" a="1"/>
  <c r="S22" i="8" a="1"/>
  <c r="S25" i="8" a="1"/>
  <c r="R31" i="8" a="1"/>
  <c r="R11" i="8" a="1"/>
  <c r="S32" i="8" a="1"/>
  <c r="S12" i="8" a="1"/>
  <c r="R10" i="8" a="1"/>
  <c r="S16" i="8" a="1"/>
  <c r="S27" i="8" a="1"/>
  <c r="R29" i="8" a="1"/>
  <c r="R20" i="8" a="1"/>
  <c r="R27" i="8" a="1"/>
  <c r="R16" i="8" a="1"/>
  <c r="S10" i="8" a="1"/>
  <c r="R32" i="8" a="1"/>
  <c r="S38" i="8" a="1"/>
  <c r="R23" i="8" a="1"/>
  <c r="R14" i="8" a="1"/>
  <c r="S19" i="8" a="1"/>
  <c r="R43" i="8" a="1"/>
  <c r="R17" i="8" a="1"/>
  <c r="S37" i="8" a="1"/>
  <c r="R8" i="8" a="1"/>
  <c r="S11" i="8" a="1"/>
  <c r="R18" i="8" a="1"/>
  <c r="R19" i="8" a="1"/>
  <c r="S42" i="8" a="1"/>
  <c r="R12" i="8" a="1"/>
  <c r="R42" i="8" a="1"/>
  <c r="R36" i="8" a="1"/>
  <c r="R34" i="8" a="1"/>
  <c r="R25" i="8" a="1"/>
  <c r="R24" i="8" a="1"/>
  <c r="S28" i="8" a="1"/>
  <c r="R40" i="8" a="1"/>
  <c r="S24" i="8" a="1"/>
  <c r="R38" i="8" a="1"/>
  <c r="R33" i="8" a="1"/>
  <c r="S33" i="8" a="1"/>
  <c r="S41" i="8" a="1"/>
  <c r="S13" i="8" a="1"/>
  <c r="S9" i="8" a="1"/>
  <c r="S15" i="8" a="1"/>
  <c r="S6" i="8" a="1"/>
  <c r="S7" i="8" a="1"/>
  <c r="R6"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D29" i="8" l="1"/>
  <c r="B12" i="15" a="1"/>
  <c r="B12" i="15" s="1"/>
  <c r="B12" i="14" a="1"/>
  <c r="B12" i="14" s="1"/>
  <c r="B12" i="13" a="1"/>
  <c r="B12" i="13" s="1"/>
  <c r="O13" i="13"/>
  <c r="AG2" i="12" l="1" a="1"/>
  <c r="AG2" i="12" s="1"/>
  <c r="L36" i="8" l="1"/>
  <c r="K36" i="8"/>
  <c r="J36" i="8"/>
  <c r="I36" i="8"/>
  <c r="H36"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M26" i="26"/>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N13" i="13" l="1"/>
  <c r="M13" i="13"/>
  <c r="J7" i="13"/>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<sst xmlns="http://schemas.openxmlformats.org/spreadsheetml/2006/main" count="1933" uniqueCount="968">
  <si>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</si>
  <si>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</si>
  <si>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</si>
  <si>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</si>
  <si>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</si>
  <si>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</si>
  <si>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</si>
  <si>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</si>
  <si>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</si>
  <si>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</si>
  <si>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</si>
  <si>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</si>
  <si>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</si>
  <si>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</si>
  <si>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</si>
  <si>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</si>
  <si>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</si>
  <si>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</si>
  <si>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</si>
  <si>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</si>
  <si>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</si>
  <si>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</si>
  <si>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</si>
  <si>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</si>
  <si>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</si>
  <si>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</si>
  <si>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</si>
  <si>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</si>
  <si>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</si>
  <si>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</si>
  <si>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</si>
  <si>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</si>
  <si>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</si>
  <si>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</si>
  <si>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</si>
  <si>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</si>
  <si>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</si>
  <si>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</si>
  <si>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</si>
  <si>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</si>
  <si>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</si>
  <si>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</si>
  <si>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</si>
  <si>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</si>
  <si>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</si>
  <si>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</si>
  <si>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</si>
  <si>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</si>
  <si>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</si>
  <si>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</si>
  <si>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</si>
  <si>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</si>
  <si>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</si>
  <si>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</si>
  <si>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</si>
  <si>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</si>
  <si>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</si>
  <si>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</si>
  <si>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</si>
  <si>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</si>
  <si>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</si>
  <si>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</si>
  <si>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</si>
  <si>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</si>
  <si>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</si>
  <si>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</si>
  <si>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</si>
  <si>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</si>
  <si>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</si>
  <si>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</si>
  <si>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</si>
  <si>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</si>
  <si>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</si>
  <si>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</si>
  <si>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</si>
  <si>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</si>
  <si>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</si>
  <si>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</si>
  <si>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</si>
  <si>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</si>
  <si>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</si>
  <si>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</si>
  <si>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</si>
  <si>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</si>
  <si>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</si>
  <si>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</si>
  <si>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</si>
  <si>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</si>
  <si>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</si>
  <si>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</si>
  <si>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</si>
  <si>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</si>
  <si>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</si>
  <si>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</si>
  <si>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</si>
  <si>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</si>
  <si>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</si>
  <si>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</si>
  <si>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</si>
  <si>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</si>
  <si>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</si>
  <si>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</si>
  <si>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</si>
  <si>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</si>
  <si>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</si>
  <si>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</si>
  <si>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</si>
  <si>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</si>
  <si>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</si>
  <si>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</si>
  <si>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</si>
  <si>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</si>
  <si>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</si>
  <si>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</si>
  <si>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</si>
  <si>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</si>
  <si>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</si>
  <si>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</si>
  <si>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</si>
  <si>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</si>
  <si>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</si>
  <si>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</si>
  <si>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</si>
  <si>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</si>
  <si>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</si>
  <si>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</si>
  <si>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</si>
  <si>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</si>
  <si>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</si>
  <si>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</si>
  <si>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</si>
  <si>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</si>
  <si>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</si>
  <si>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</si>
  <si>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</si>
  <si>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</si>
  <si>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</si>
  <si>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</si>
  <si>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</si>
  <si>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</si>
  <si>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</si>
  <si>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</si>
  <si>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</si>
  <si>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</si>
  <si>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</si>
  <si>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</si>
  <si>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</si>
  <si>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</si>
  <si>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</si>
  <si>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</si>
  <si>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</si>
  <si>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</si>
  <si>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</si>
  <si>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</si>
  <si>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</si>
  <si>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</si>
  <si>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</si>
  <si>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</si>
  <si>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</si>
  <si>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</si>
  <si>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</si>
  <si>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</si>
  <si>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</si>
  <si>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</si>
  <si>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</si>
  <si>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</si>
  <si>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</si>
  <si>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</si>
  <si>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</si>
  <si>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</si>
  <si>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</si>
  <si>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</si>
  <si>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</si>
  <si>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</si>
  <si>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</si>
  <si>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</si>
  <si>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</si>
  <si>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</si>
  <si>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</si>
  <si>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</si>
  <si>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</si>
  <si>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</si>
  <si>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</si>
  <si>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</si>
  <si>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</si>
  <si>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</si>
  <si>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</si>
  <si>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</si>
  <si>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</si>
  <si>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</si>
  <si>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</si>
  <si>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</si>
  <si>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</si>
  <si>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</si>
  <si>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</si>
  <si>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</si>
  <si>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</si>
  <si>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</si>
  <si>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</si>
  <si>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</si>
  <si>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</si>
  <si>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</si>
  <si>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</si>
  <si>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</si>
  <si>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</si>
  <si>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</si>
  <si>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</si>
  <si>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</si>
  <si>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</si>
  <si>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</si>
  <si>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</si>
  <si>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</si>
  <si>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</si>
  <si>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</si>
  <si>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</si>
  <si>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</si>
  <si>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</si>
  <si>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</si>
  <si>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</si>
  <si>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</si>
  <si>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</si>
  <si>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</si>
  <si>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</si>
  <si>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</si>
  <si>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</si>
  <si>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</si>
  <si>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</si>
  <si>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</si>
  <si>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</si>
  <si>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</si>
  <si>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</si>
  <si>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</si>
  <si>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</si>
  <si>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</si>
  <si>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</si>
  <si>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</si>
  <si>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</si>
  <si>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</si>
  <si>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</si>
  <si>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</si>
  <si>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</si>
  <si>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</si>
  <si>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</si>
  <si>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</si>
  <si>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</si>
  <si>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</si>
  <si>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</si>
  <si>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</si>
  <si>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</si>
  <si>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</si>
  <si>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</si>
  <si>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</si>
  <si>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</si>
  <si>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</si>
  <si>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</si>
  <si>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</si>
  <si>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</si>
  <si>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</si>
  <si>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</si>
  <si>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</si>
  <si>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</si>
  <si>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</si>
  <si>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</si>
  <si>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</si>
  <si>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</si>
  <si>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</si>
  <si>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</si>
  <si>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</si>
  <si>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</si>
  <si>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</si>
  <si>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</si>
  <si>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</si>
  <si>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</si>
  <si>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</si>
  <si>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</si>
  <si>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</si>
  <si>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</si>
  <si>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</si>
  <si>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</si>
  <si>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</si>
  <si>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</si>
  <si>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</si>
  <si>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</si>
  <si>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</si>
  <si>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</si>
  <si>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</si>
  <si>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</si>
  <si>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</si>
  <si>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</si>
  <si>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</si>
  <si>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</si>
  <si>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</si>
  <si>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</si>
  <si>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</si>
  <si>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</si>
  <si>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</si>
  <si>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</si>
  <si>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</si>
  <si>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</si>
  <si>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</si>
  <si>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</si>
  <si>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</si>
  <si>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</si>
  <si>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</si>
  <si>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</si>
  <si>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</si>
  <si>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</si>
  <si>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</si>
  <si>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</si>
  <si>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</si>
  <si>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</si>
  <si>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</si>
  <si>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</si>
  <si>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</si>
  <si>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</si>
  <si>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</si>
  <si>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</si>
  <si>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</si>
  <si>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</si>
  <si>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</si>
  <si>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</si>
  <si>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</si>
  <si>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</si>
  <si>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</si>
  <si>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</si>
  <si>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</si>
  <si>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</si>
  <si>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</si>
  <si>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</si>
  <si>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</si>
  <si>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</si>
  <si>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</si>
  <si>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</si>
  <si>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</si>
  <si>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</si>
  <si>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</si>
  <si>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</si>
  <si>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</si>
  <si>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</si>
  <si>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</si>
  <si>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</si>
  <si>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</si>
  <si>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</si>
  <si>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</si>
  <si>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</si>
  <si>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</si>
  <si>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</si>
  <si>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</si>
  <si>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</si>
  <si>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</si>
  <si>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</si>
  <si>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</si>
  <si>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</si>
  <si>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</si>
  <si>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</si>
  <si>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</si>
  <si>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</si>
  <si>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</si>
  <si>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</si>
  <si>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</si>
  <si>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</si>
  <si>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</si>
  <si>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</si>
  <si>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</si>
  <si>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</si>
  <si>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</si>
  <si>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</si>
  <si>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</si>
  <si>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</si>
  <si>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</si>
  <si>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</si>
  <si>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</si>
  <si>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</si>
  <si>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</si>
  <si>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</si>
  <si>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</si>
  <si>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</si>
  <si>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</si>
  <si>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</si>
  <si>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</si>
  <si>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</si>
  <si>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</si>
  <si>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</si>
  <si>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</si>
  <si>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</si>
  <si>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</si>
  <si>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</si>
  <si>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</si>
  <si>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</si>
  <si>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</si>
  <si>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</si>
  <si>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</si>
  <si>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</si>
  <si>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</si>
  <si>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</si>
  <si>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</si>
  <si>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</si>
  <si>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</si>
  <si>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</si>
  <si>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</si>
  <si>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</si>
  <si>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</si>
  <si>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</si>
  <si>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</si>
  <si>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</si>
  <si>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</si>
  <si>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</si>
  <si>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</si>
  <si>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</si>
  <si>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</si>
  <si>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</si>
  <si>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</si>
  <si>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</si>
  <si>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</si>
  <si>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</si>
  <si>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</si>
  <si>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</si>
  <si>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</si>
  <si>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</si>
  <si>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</si>
  <si>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</si>
  <si>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</si>
  <si>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</si>
  <si>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</si>
  <si>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</si>
  <si>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</si>
  <si>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</si>
  <si>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</si>
  <si>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</si>
  <si>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</si>
  <si>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</si>
  <si>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</si>
  <si>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</si>
  <si>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</si>
  <si>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</si>
  <si>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</si>
  <si>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</si>
  <si>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</si>
  <si>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</si>
  <si>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</si>
  <si>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</si>
  <si>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</si>
  <si>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</si>
  <si>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</si>
  <si>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</si>
  <si>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</si>
  <si>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</si>
  <si>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</si>
  <si>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</si>
  <si>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</si>
  <si>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</si>
  <si>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</si>
  <si>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</si>
  <si>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</si>
  <si>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</si>
  <si>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</si>
  <si>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</si>
  <si>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</si>
  <si>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</si>
  <si>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</si>
  <si>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</si>
  <si>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</si>
  <si>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</si>
  <si>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</si>
  <si>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</si>
  <si>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</si>
  <si>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</si>
  <si>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</si>
  <si>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</si>
  <si>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</si>
  <si>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</si>
  <si>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</si>
  <si>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</si>
  <si>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</si>
  <si>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</si>
  <si>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</si>
  <si>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</si>
  <si>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</si>
  <si>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</si>
  <si>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</si>
  <si>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</si>
  <si>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</si>
  <si>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</si>
  <si>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</si>
  <si>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</si>
  <si>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</si>
  <si>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</si>
  <si>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</si>
  <si>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</si>
  <si>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</si>
  <si>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</si>
  <si>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</si>
  <si>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</si>
  <si>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</si>
  <si>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</si>
  <si>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</si>
  <si>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</si>
  <si>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</si>
  <si>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</si>
  <si>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</si>
  <si>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</si>
  <si>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</si>
  <si>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</si>
  <si>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</si>
  <si>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</si>
  <si>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</si>
  <si>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</si>
  <si>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</si>
  <si>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</si>
  <si>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</si>
  <si>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</si>
  <si>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</si>
  <si>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</si>
  <si>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</si>
  <si>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</si>
  <si>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</si>
  <si>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</si>
  <si>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</si>
  <si>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</si>
  <si>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</si>
  <si>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</si>
  <si>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</si>
  <si>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</si>
  <si>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</si>
  <si>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</si>
  <si>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</si>
  <si>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</si>
  <si>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</si>
  <si>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</si>
  <si>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</si>
  <si>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</si>
  <si>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</si>
  <si>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</si>
  <si>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</si>
  <si>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</si>
  <si>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</si>
  <si>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</si>
  <si>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</si>
  <si>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</si>
  <si>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</si>
  <si>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</si>
  <si>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</si>
  <si>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</si>
  <si>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</si>
  <si>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</si>
  <si>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</si>
  <si>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</si>
  <si>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</si>
  <si>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</si>
  <si>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</si>
  <si>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</si>
  <si>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</si>
  <si>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</si>
  <si>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</si>
  <si>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</si>
  <si>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</si>
  <si>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</si>
  <si>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</si>
  <si>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</si>
  <si>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</si>
  <si>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</si>
  <si>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</si>
  <si>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</si>
  <si>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</si>
  <si>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</si>
  <si>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</si>
  <si>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</si>
  <si>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</si>
  <si>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</si>
  <si>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</si>
  <si>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</si>
  <si>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</si>
  <si>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</si>
  <si>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</si>
  <si>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</si>
  <si>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</si>
  <si>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</si>
  <si>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</si>
  <si>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</si>
  <si>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</si>
  <si>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</si>
  <si>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</si>
  <si>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</si>
  <si>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</si>
  <si>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</si>
  <si>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</si>
  <si>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</si>
  <si>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</si>
  <si>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</si>
  <si>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</si>
  <si>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</si>
  <si>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</si>
  <si>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</si>
  <si>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</si>
  <si>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</si>
  <si>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</si>
  <si>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</si>
  <si>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</si>
  <si>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</si>
  <si>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</si>
  <si>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</si>
  <si>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</si>
  <si>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</si>
  <si>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</si>
  <si>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</si>
  <si>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</si>
  <si>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</si>
  <si>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</si>
  <si>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</si>
  <si>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</si>
  <si>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</si>
  <si>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</si>
  <si>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</si>
  <si>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</si>
  <si>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</si>
  <si>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</si>
  <si>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</si>
  <si>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</si>
  <si>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</si>
  <si>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</si>
  <si>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</si>
  <si>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</si>
  <si>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</si>
  <si>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</si>
  <si>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</si>
  <si>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</si>
  <si>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</si>
  <si>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</si>
  <si>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</si>
  <si>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</si>
  <si>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</si>
  <si>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</si>
  <si>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</si>
  <si>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</si>
  <si>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</si>
  <si>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</si>
  <si>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</si>
  <si>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</si>
  <si>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</si>
  <si>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</si>
  <si>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</si>
  <si>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</si>
  <si>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</si>
  <si>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</si>
  <si>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</si>
  <si>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</si>
  <si>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</si>
  <si>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</si>
  <si>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</si>
  <si>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</si>
  <si>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</si>
  <si>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</si>
  <si>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</si>
  <si>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</si>
  <si>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</si>
  <si>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</si>
  <si>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</si>
  <si>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</si>
  <si>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</si>
  <si>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</si>
  <si>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</si>
  <si>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</si>
  <si>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</si>
  <si>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</si>
  <si>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</si>
  <si>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</si>
  <si>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</si>
  <si>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</si>
  <si>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</si>
  <si>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</si>
  <si>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</si>
  <si>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</si>
  <si>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</si>
  <si>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</si>
  <si>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</si>
  <si>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</si>
  <si>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</si>
  <si>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</si>
  <si>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</si>
  <si>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</si>
  <si>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</si>
  <si>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</si>
  <si>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</si>
  <si>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</si>
  <si>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</si>
  <si>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</si>
  <si>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</si>
  <si>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</si>
  <si>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</si>
  <si>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</si>
  <si>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</si>
  <si>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</si>
  <si>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</si>
  <si>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</si>
  <si>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</si>
  <si>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</si>
  <si>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</si>
  <si>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</si>
  <si>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</si>
  <si>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</si>
  <si>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</si>
  <si>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</si>
  <si>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</si>
  <si>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</si>
  <si>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</si>
  <si>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</si>
  <si>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</si>
  <si>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</si>
  <si>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</si>
  <si>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</si>
  <si>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</si>
  <si>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</si>
  <si>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</si>
  <si>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</si>
  <si>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</si>
  <si>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</si>
  <si>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</si>
  <si>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</si>
  <si>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</si>
  <si>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</si>
  <si>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</si>
  <si>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</si>
  <si>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</si>
  <si>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</si>
  <si>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</si>
  <si>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</si>
  <si>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</si>
  <si>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</si>
  <si>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</si>
  <si>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</si>
  <si>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</si>
  <si>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</si>
  <si>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</si>
  <si>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</si>
  <si>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</si>
  <si>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</si>
  <si>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</si>
  <si>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</si>
  <si>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</si>
  <si>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</si>
  <si>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</si>
  <si>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</si>
  <si>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</si>
  <si>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</si>
  <si>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</si>
  <si>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</si>
  <si>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</si>
  <si>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</si>
  <si>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</si>
  <si>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</si>
  <si>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</si>
  <si>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</si>
  <si>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</si>
  <si>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</si>
  <si>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</si>
  <si>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</si>
  <si>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</si>
  <si>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</si>
  <si>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</si>
  <si>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</si>
  <si>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</si>
  <si>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</si>
  <si>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</si>
  <si>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</si>
  <si>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</si>
  <si>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</si>
  <si>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</si>
  <si>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</si>
  <si>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</si>
  <si>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</si>
  <si>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</si>
  <si>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</si>
  <si>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</si>
  <si>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</si>
  <si>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</si>
  <si>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</si>
  <si>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</si>
  <si>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</si>
  <si>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</si>
  <si>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</si>
  <si>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</si>
  <si>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</si>
  <si>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</si>
  <si>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</si>
  <si>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</si>
  <si>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</si>
  <si>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</si>
  <si>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</si>
  <si>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</si>
  <si>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</si>
  <si>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</si>
  <si>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</si>
  <si>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</si>
  <si>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</si>
  <si>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</si>
  <si>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</si>
  <si>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</si>
  <si>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</si>
  <si>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</si>
  <si>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</si>
  <si>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</si>
  <si>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</si>
  <si>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</si>
  <si>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</si>
  <si>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</si>
  <si>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</si>
  <si>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</si>
  <si>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</si>
  <si>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</si>
  <si>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</si>
  <si>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</si>
  <si>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</si>
  <si>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</si>
  <si>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</si>
  <si>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</si>
  <si>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</si>
  <si>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</si>
  <si>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</si>
  <si>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</si>
  <si>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</si>
  <si>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</si>
  <si>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</si>
  <si>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</si>
  <si>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</si>
  <si>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</si>
  <si>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</si>
  <si>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</si>
  <si>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</si>
  <si>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</si>
  <si>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</si>
  <si>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</si>
  <si>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</si>
  <si>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</si>
  <si>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</si>
  <si>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</si>
  <si>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</si>
  <si>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</si>
  <si>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</si>
  <si>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</si>
  <si>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</si>
  <si>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</si>
  <si>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</si>
  <si>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</si>
  <si>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</si>
  <si>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</si>
  <si>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</si>
  <si>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</si>
  <si>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</si>
  <si>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</si>
  <si>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</si>
  <si>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</si>
  <si>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</si>
  <si>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</si>
  <si>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</si>
  <si>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</si>
  <si>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</si>
  <si>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</si>
  <si>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</si>
  <si>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</si>
  <si>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</si>
  <si>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</si>
  <si>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</si>
  <si>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</si>
  <si>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</si>
  <si>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</si>
  <si>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</si>
  <si>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</si>
  <si>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</si>
  <si>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</si>
  <si>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</si>
  <si>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</si>
  <si>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</si>
  <si>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</si>
  <si>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</si>
  <si>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</si>
  <si>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</si>
  <si>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</si>
  <si>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</si>
  <si>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</si>
  <si>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</si>
  <si>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</si>
  <si>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</si>
  <si>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</si>
  <si>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</si>
  <si>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</si>
  <si>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</si>
  <si>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</si>
  <si>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</si>
  <si>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</si>
  <si>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</si>
  <si>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</si>
  <si>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</si>
  <si>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</si>
  <si>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</si>
  <si>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</si>
  <si>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</si>
  <si>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</si>
  <si>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</si>
  <si>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</si>
  <si>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</si>
  <si>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</si>
  <si>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</si>
  <si>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</si>
  <si>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</si>
  <si>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</si>
  <si>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</si>
  <si>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</si>
  <si>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</si>
  <si>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</si>
  <si>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</si>
  <si>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</si>
  <si>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</si>
  <si>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</si>
  <si>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</si>
  <si>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</si>
  <si>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</si>
  <si>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</si>
  <si>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</si>
  <si>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</si>
  <si>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</si>
  <si>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</si>
  <si>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</si>
  <si>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</si>
  <si>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</si>
  <si>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</si>
  <si>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</si>
  <si>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</si>
  <si>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</si>
  <si>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</si>
  <si>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</si>
  <si>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</si>
  <si>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</si>
  <si>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</si>
  <si>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</si>
  <si>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</si>
  <si>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</si>
  <si>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</si>
  <si>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</si>
  <si>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</si>
  <si>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</si>
  <si>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</si>
  <si>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</si>
  <si>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</si>
  <si>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</si>
  <si>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</si>
  <si>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</si>
  <si>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</si>
  <si>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</si>
  <si>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</si>
  <si>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</si>
  <si>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</si>
  <si>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</si>
  <si>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Ver. 07.17.25</t>
  </si>
  <si>
    <t>RangeMin</t>
  </si>
  <si>
    <t>RangeMax</t>
  </si>
  <si>
    <t>TolMin</t>
  </si>
  <si>
    <t>TolMax</t>
  </si>
  <si>
    <t>TolResolution</t>
  </si>
  <si>
    <t>Unit</t>
  </si>
  <si>
    <t>Flags</t>
  </si>
  <si>
    <t>TolMinText</t>
  </si>
  <si>
    <t>TolMaxText</t>
  </si>
  <si>
    <t>TolText</t>
  </si>
  <si>
    <t>RangeMaxText</t>
  </si>
  <si>
    <t>RangeText</t>
  </si>
  <si>
    <t>Ranges</t>
  </si>
  <si>
    <t>Tolerances</t>
  </si>
  <si>
    <t>On-Site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</si>
</sst>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4">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2"/>
    <tableColumn id="8" xr3:uid="{7C740CB9-37DA-435E-A87E-AF050E31623C}" uniqueName="8" name="wire_roll_cert_number" queryTableFieldId="8" dataDxfId="183"/>
    <tableColumn id="7" xr3:uid="{297A4F29-F6E9-4BD3-A7A2-5F1039480BAE}" uniqueName="7" name="certificate_number" queryTableFieldId="7" dataDxfId="182"/>
    <tableColumn id="6" xr3:uid="{B359FFDA-2633-4F67-9E7E-BA0BB88ADA64}" uniqueName="6" name="next_service_date" queryTableFieldId="6" dataDxfId="71"/>
    <tableColumn id="5" xr3:uid="{412A70E1-7452-417E-A3A9-BD3499EBD33C}" uniqueName="5" name="service_date" queryTableFieldId="5" dataDxfId="70"/>
    <tableColumn id="4" xr3:uid="{44F03B5B-6C09-4D5C-B2E2-D809B4EDF2B0}" uniqueName="4" name="custom_order_number" queryTableFieldId="4" dataDxfId="181"/>
    <tableColumn id="3" xr3:uid="{D963BD5C-EE98-4CDD-ABAE-5315BBDA1135}" uniqueName="3" name="asset_tag" queryTableFieldId="3" dataDxfId="180"/>
    <tableColumn id="2" xr3:uid="{D07D770F-21F7-425E-8CCA-AA85FFD513A3}" uniqueName="2" name="serial_number" queryTableFieldId="2" dataDxfId="179"/>
    <tableColumn id="1" xr3:uid="{4CB1C976-73DA-4579-B7F8-9D891581EA5A}" uniqueName="1" name="asset_id" queryTableFieldId="1" dataDxfId="6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8"/>
    <tableColumn id="2" xr3:uid="{44100894-4C9D-4514-95AC-618BC19E5917}" uniqueName="2" name="Temp" queryTableFieldId="4" dataDxfId="177"/>
    <tableColumn id="3" xr3:uid="{ECB904AC-F679-49D7-806F-647089E4822A}" uniqueName="3" name="Offset" queryTableFieldId="5" dataDxfId="17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5"/>
    <tableColumn id="3" xr3:uid="{5A7694DA-28F6-45C3-AA3A-8F5C42BC36CB}" uniqueName="3" name="login_email" queryTableFieldId="12"/>
    <tableColumn id="4" xr3:uid="{E8A7333A-3221-4D58-96FF-11D069828831}" uniqueName="4" name="IsPyro" queryTableFieldId="13" dataDxfId="17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3">
  <autoFilter ref="A1:C9" xr:uid="{8AF992F3-27EF-4265-960D-70EC6F74FAFA}"/>
  <sortState xmlns:xlrd2="http://schemas.microsoft.com/office/spreadsheetml/2017/richdata2" ref="A2:C9">
    <sortCondition ref="B1:B9"/>
  </sortState>
  <tableColumns count="3">
    <tableColumn id="1" xr3:uid="{1F7D0D09-7152-4679-B25C-65CF0E0AB2D4}" name="Type" dataDxfId="172"/>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Row],[Deviations]]&lt;TolMin,Survey[[#This Row],[Deviations]]&gt;TolMax)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1">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0">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9"/>
    <tableColumn id="3" xr3:uid="{2724CA85-C781-4E38-A0DA-097BFEEFE8B1}" uniqueName="3" name="Temp" queryTableFieldId="3" dataDxfId="168"/>
    <tableColumn id="6" xr3:uid="{12D5EB84-2052-49F7-A25B-127266D7FB89}" uniqueName="6" name="traceability_no" queryTableFieldId="6" dataDxfId="167"/>
    <tableColumn id="5" xr3:uid="{D8FBA668-C3CE-41DC-B112-B2663A4558F7}" uniqueName="5" name="Offset" queryTableFieldId="5" dataDxfId="16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5"/>
    <tableColumn id="5" xr3:uid="{27363C9A-3D85-416E-8BCC-52B2C8D77A72}" uniqueName="5" name="Uncert Units" queryTableFieldId="5" dataDxfId="16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3">
  <autoFilter ref="A3:C8" xr:uid="{5AC13131-9A1C-4C12-B4F9-A393708ED370}"/>
  <tableColumns count="3">
    <tableColumn id="1" xr3:uid="{97181276-3609-45C8-AD82-B2880A7AEDE4}" name="Min" dataDxfId="162"/>
    <tableColumn id="2" xr3:uid="{FCA9B2A8-03BC-4152-9483-74D5E30011E8}" name="Max" dataDxfId="161"/>
    <tableColumn id="3" xr3:uid="{53EFB432-094F-4AB8-B706-DACB84CFAD58}" name="CMC" dataDxfId="160"/>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7"/>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59"/>
    <tableColumn id="43" xr3:uid="{EC576AA5-7F07-4B99-BBD1-C006A3FF4861}" uniqueName="43" name="CalibrationMethod" queryTableFieldId="168" dataDxfId="158"/>
    <tableColumn id="44" xr3:uid="{11784700-CE79-4C3A-B181-67F89C94AC89}" uniqueName="44" name="ToleranceSource" queryTableFieldId="169" dataDxfId="157"/>
    <tableColumn id="45" xr3:uid="{F8D57A3B-9D48-4C00-8E7C-AC29615D88F6}" uniqueName="45" name="Item" queryTableFieldId="170" dataDxfId="15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5"/>
    <tableColumn id="51" xr3:uid="{5B79DBE7-7CAB-41DA-AF62-362ADDE2AED9}" uniqueName="51" name="WorkingZoneSize" queryTableFieldId="176" dataDxfId="15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3"/>
    <tableColumn id="63" xr3:uid="{478884C5-ACFA-42A0-A5A5-3FD7354DF395}" uniqueName="63" name="TestLocation" queryTableFieldId="188" dataDxfId="152"/>
    <tableColumn id="64" xr3:uid="{8742E83A-8953-4A6F-B342-02A544F42A3E}" uniqueName="64" name="OvenLocation" queryTableFieldId="189" dataDxfId="151"/>
    <tableColumn id="65" xr3:uid="{D2C69FD9-EF22-4D46-9BCA-A04DCD92EC4B}" uniqueName="65" name="Condition" queryTableFieldId="190" dataDxfId="15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9"/>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2" tableType="queryTable" totalsRowShown="0">
  <autoFilter ref="A1:C2" xr:uid="{16E5D2D7-E9E1-4F02-84D5-D46A9C6AA57B}"/>
  <tableColumns count="3">
    <tableColumn id="1" xr3:uid="{6F0C3A45-6403-4C94-9E6D-2D9707863D69}" uniqueName="1" name="AssetId" queryTableFieldId="1" dataDxfId="148"/>
    <tableColumn id="2" xr3:uid="{437C4123-EB61-4869-9470-5A1B394BA060}" uniqueName="2" name="Ranges" queryTableFieldId="2" dataDxfId="147"/>
    <tableColumn id="3" xr3:uid="{F2805B69-D38A-4282-80C7-76512A175951}" uniqueName="3" name="Tolerances" queryTableFieldId="3" dataDxfId="146"/>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8"/>
    <tableColumn id="3" xr3:uid="{E88E0260-3227-45C4-8780-42D2D8D460DF}" name="SAT TOL" dataDxfId="13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dataCellStyle="Normal 3"/>
    <tableColumn id="3" xr3:uid="{52334E52-C590-4A01-82BC-CCC9DA2C2817}" name="30" dataDxfId="131" dataCellStyle="Normal 3"/>
    <tableColumn id="4" xr3:uid="{145DAD22-055B-47E2-958D-C0E0B68ECCC8}" name="31" dataDxfId="130" dataCellStyle="Normal 3"/>
    <tableColumn id="5" xr3:uid="{09C3BF4E-C2AE-4497-AAA2-CF5A8A70B030}" name="32" dataDxfId="129" dataCellStyle="Normal 3"/>
    <tableColumn id="6" xr3:uid="{E9F444F5-7F75-4B80-BC2D-E9E92BB7C32D}" name="33" dataDxfId="128" dataCellStyle="Normal 3"/>
    <tableColumn id="7" xr3:uid="{C42F56B6-C38E-41DC-811A-50AF69D04B80}" name="34" dataDxfId="127" dataCellStyle="Normal 3"/>
    <tableColumn id="8" xr3:uid="{1930235F-D2C0-482D-8CC0-6B3AC765E7EA}" name="35" dataDxfId="126" dataCellStyle="Normal 3"/>
    <tableColumn id="9" xr3:uid="{6FCF613B-A86F-4DC6-9CC5-0A1E44E3DFE0}" name="36" dataDxfId="125" dataCellStyle="Normal 3"/>
    <tableColumn id="10" xr3:uid="{19EA3429-FD7E-4BA0-96B7-70F520D9FE0F}" name="37" dataDxfId="124" dataCellStyle="Normal 3"/>
    <tableColumn id="11" xr3:uid="{A5D0DAE1-1017-4DE3-AEA6-1BAF97E0FBDC}" name="38" dataDxfId="123" dataCellStyle="Normal 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dataCellStyle="Normal 3"/>
    <tableColumn id="3" xr3:uid="{5D74EEBF-1FB4-4DF9-8EDD-C656F929ADA2}" name="16" dataDxfId="116" dataCellStyle="Normal 3"/>
    <tableColumn id="4" xr3:uid="{B1176DF8-22B4-4741-A534-22D0C72EF1F0}" name="17" dataDxfId="115" dataCellStyle="Normal 3"/>
    <tableColumn id="5" xr3:uid="{1E29EA65-5182-4B3E-817F-0D30B2884EC7}" name="18" dataDxfId="114" dataCellStyle="Normal 3"/>
    <tableColumn id="6" xr3:uid="{AF53AEFB-F310-4F08-91BC-82FB0F484ECA}" name="19" dataDxfId="113" dataCellStyle="Normal 3"/>
    <tableColumn id="7" xr3:uid="{EE472F61-D1B5-43CF-A661-FA1D47001C17}" name="20" dataDxfId="112" dataCellStyle="Normal 3"/>
    <tableColumn id="8" xr3:uid="{841D54C1-AB74-4CB1-8C7F-C38D11EFAD3F}" name="21" dataDxfId="111" dataCellStyle="Normal 3"/>
    <tableColumn id="9" xr3:uid="{F1FB485B-DEAA-4958-8C40-80934EA1437F}" name="22" dataDxfId="110" dataCellStyle="Normal 3"/>
    <tableColumn id="10" xr3:uid="{5C552A76-BD54-46C5-93AD-8F25289FA051}" name="23" dataDxfId="109" dataCellStyle="Normal 3"/>
    <tableColumn id="11" xr3:uid="{B20FA5F1-0522-49D0-9B5A-34570A8AE6EA}" name="24" dataDxfId="108" dataCellStyle="Normal 3"/>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85" dataDxfId="84">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83"/>
    <tableColumn id="3" xr3:uid="{5F5E8FED-27C7-498A-86F2-8DE1BF0A773A}" uniqueName="3" name="Address2" queryTableFieldId="82" dataDxfId="8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1"/>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80" dataDxfId="79">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8"/>
    <tableColumn id="3" xr3:uid="{A4F2902A-51C9-47F2-ABB5-33476BF6B798}" uniqueName="3" name="login_email" queryTableFieldId="5"/>
    <tableColumn id="4" xr3:uid="{93F361AC-D356-4A7B-A6F2-34FB0F71E2F6}" uniqueName="4" name="IsPyro" queryTableFieldId="7" dataDxfId="77"/>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6" dataDxfId="75" headerRowCellStyle="Normal 2" dataCellStyle="Normal 2">
  <autoFilter ref="U11:V25" xr:uid="{DCCFF26E-EC5C-4962-98DB-A7DA1F3C8CE2}"/>
  <tableColumns count="2">
    <tableColumn id="1" xr3:uid="{DFC40837-B092-4826-9847-4A23BE22020F}" name="4" dataDxfId="74" dataCellStyle="Normal 2"/>
    <tableColumn id="2" xr3:uid="{0711DB07-19DA-4D5E-A417-C242A0304453}" name="10" dataDxfId="7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901</v>
      </c>
      <c r="E1" s="36" t="s">
        <v>902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399</v>
      </c>
      <c r="B1" t="s">
        <v>540</v>
      </c>
      <c r="C1" t="s">
        <v>541</v>
      </c>
      <c r="D1" t="s">
        <v>542</v>
      </c>
      <c r="E1" t="s">
        <v>543</v>
      </c>
      <c r="F1" t="s">
        <v>538</v>
      </c>
      <c r="G1" t="s">
        <v>528</v>
      </c>
      <c r="H1" t="s">
        <v>509</v>
      </c>
      <c r="I1" t="s">
        <v>529</v>
      </c>
      <c r="J1" t="s">
        <v>514</v>
      </c>
      <c r="K1" t="s">
        <v>515</v>
      </c>
      <c r="L1" t="s">
        <v>516</v>
      </c>
      <c r="M1" t="s">
        <v>530</v>
      </c>
      <c r="N1" t="s">
        <v>397</v>
      </c>
      <c r="O1" t="s">
        <v>398</v>
      </c>
      <c r="P1" t="s">
        <v>400</v>
      </c>
      <c r="Q1" t="s">
        <v>518</v>
      </c>
      <c r="R1" t="s">
        <v>519</v>
      </c>
      <c r="S1" t="s">
        <v>520</v>
      </c>
      <c r="T1" t="s">
        <v>517</v>
      </c>
      <c r="U1" t="s">
        <v>531</v>
      </c>
      <c r="V1" t="s">
        <v>532</v>
      </c>
      <c r="W1" t="s">
        <v>521</v>
      </c>
      <c r="X1" t="s">
        <v>522</v>
      </c>
      <c r="Y1" t="s">
        <v>523</v>
      </c>
      <c r="Z1" t="s">
        <v>510</v>
      </c>
      <c r="AA1" t="s">
        <v>511</v>
      </c>
      <c r="AB1" t="s">
        <v>512</v>
      </c>
      <c r="AC1" t="s">
        <v>513</v>
      </c>
      <c r="AD1" t="s">
        <v>401</v>
      </c>
      <c r="AE1" t="s">
        <v>402</v>
      </c>
      <c r="AF1" t="s">
        <v>526</v>
      </c>
      <c r="AG1" t="s">
        <v>527</v>
      </c>
      <c r="AH1" t="s">
        <v>524</v>
      </c>
      <c r="AI1" t="s">
        <v>525</v>
      </c>
      <c r="AJ1" t="s">
        <v>539</v>
      </c>
      <c r="AK1" t="s">
        <v>544</v>
      </c>
      <c r="AL1" t="s">
        <v>545</v>
      </c>
    </row>
    <row r="2" spans="1:38" x14ac:dyDescent="0.2">
      <c r="A2">
        <v>1235344</v>
      </c>
      <c r="B2">
        <v>6864835</v>
      </c>
      <c r="C2">
        <v>7653243</v>
      </c>
      <c r="E2" t="b">
        <v>0</v>
      </c>
      <c r="G2" t="s">
        <v>568</v>
      </c>
      <c r="I2" t="s">
        <v>569</v>
      </c>
      <c r="J2" t="s">
        <v>533</v>
      </c>
      <c r="K2" t="s">
        <v>533</v>
      </c>
      <c r="L2" t="s">
        <v>533</v>
      </c>
      <c r="M2" t="s">
        <v>570</v>
      </c>
      <c r="N2" t="s">
        <v>403</v>
      </c>
      <c r="O2" t="s">
        <v>325</v>
      </c>
      <c r="P2" t="s">
        <v>115</v>
      </c>
      <c r="V2" t="s">
        <v>571</v>
      </c>
      <c r="Y2" t="s">
        <v>572</v>
      </c>
      <c r="AD2" t="s">
        <v>324</v>
      </c>
      <c r="AE2" t="s">
        <v>404</v>
      </c>
      <c r="AJ2" t="s">
        <v>573</v>
      </c>
      <c r="AK2" t="s">
        <v>574</v>
      </c>
      <c r="AL2" t="s">
        <v>575</v>
      </c>
    </row>
    <row r="3" spans="1:38" x14ac:dyDescent="0.2">
      <c r="A3">
        <v>1235555</v>
      </c>
      <c r="B3">
        <v>8036587</v>
      </c>
      <c r="C3">
        <v>7589603</v>
      </c>
      <c r="E3" t="b">
        <v>0</v>
      </c>
      <c r="F3">
        <v>72040</v>
      </c>
      <c r="G3" t="s">
        <v>576</v>
      </c>
      <c r="H3">
        <v>1</v>
      </c>
      <c r="I3" t="s">
        <v>577</v>
      </c>
      <c r="J3" t="s">
        <v>534</v>
      </c>
      <c r="K3" t="s">
        <v>533</v>
      </c>
      <c r="L3" t="s">
        <v>535</v>
      </c>
      <c r="M3" t="s">
        <v>578</v>
      </c>
      <c r="N3" t="s">
        <v>447</v>
      </c>
      <c r="O3" t="s">
        <v>219</v>
      </c>
      <c r="P3" t="s">
        <v>425</v>
      </c>
      <c r="S3" t="s">
        <v>579</v>
      </c>
      <c r="U3" t="s">
        <v>580</v>
      </c>
      <c r="V3" t="s">
        <v>581</v>
      </c>
      <c r="W3" t="s">
        <v>442</v>
      </c>
      <c r="X3" t="s">
        <v>536</v>
      </c>
      <c r="Y3" t="s">
        <v>582</v>
      </c>
      <c r="Z3" t="s">
        <v>548</v>
      </c>
      <c r="AB3" t="s">
        <v>574</v>
      </c>
      <c r="AD3" t="s">
        <v>537</v>
      </c>
      <c r="AE3" t="s">
        <v>537</v>
      </c>
      <c r="AF3">
        <v>0</v>
      </c>
      <c r="AG3">
        <v>0</v>
      </c>
      <c r="AH3">
        <v>46</v>
      </c>
      <c r="AI3">
        <v>0</v>
      </c>
      <c r="AJ3" t="s">
        <v>550</v>
      </c>
      <c r="AK3" t="s">
        <v>574</v>
      </c>
      <c r="AL3" t="s">
        <v>583</v>
      </c>
    </row>
    <row r="4" spans="1:38" x14ac:dyDescent="0.2">
      <c r="A4">
        <v>1235388</v>
      </c>
      <c r="B4">
        <v>7537859</v>
      </c>
      <c r="C4">
        <v>187510</v>
      </c>
      <c r="E4" t="b">
        <v>0</v>
      </c>
      <c r="F4">
        <v>62285</v>
      </c>
      <c r="G4" t="s">
        <v>584</v>
      </c>
      <c r="H4">
        <v>1</v>
      </c>
      <c r="I4" t="s">
        <v>585</v>
      </c>
      <c r="J4" t="s">
        <v>534</v>
      </c>
      <c r="K4" t="s">
        <v>533</v>
      </c>
      <c r="L4" t="s">
        <v>535</v>
      </c>
      <c r="M4" t="s">
        <v>586</v>
      </c>
      <c r="N4" t="s">
        <v>407</v>
      </c>
      <c r="O4" t="s">
        <v>227</v>
      </c>
      <c r="P4" t="s">
        <v>408</v>
      </c>
      <c r="S4" t="s">
        <v>587</v>
      </c>
      <c r="U4" t="s">
        <v>588</v>
      </c>
      <c r="V4" t="s">
        <v>589</v>
      </c>
      <c r="W4" t="s">
        <v>590</v>
      </c>
      <c r="X4" t="s">
        <v>536</v>
      </c>
      <c r="Y4" t="s">
        <v>582</v>
      </c>
      <c r="Z4" t="s">
        <v>548</v>
      </c>
      <c r="AA4" t="s">
        <v>22</v>
      </c>
      <c r="AB4" t="s">
        <v>591</v>
      </c>
      <c r="AD4" t="s">
        <v>226</v>
      </c>
      <c r="AE4" t="s">
        <v>409</v>
      </c>
      <c r="AF4">
        <v>0</v>
      </c>
      <c r="AG4">
        <v>0</v>
      </c>
      <c r="AH4">
        <v>70</v>
      </c>
      <c r="AI4">
        <v>0</v>
      </c>
      <c r="AJ4" t="s">
        <v>550</v>
      </c>
      <c r="AK4" t="s">
        <v>591</v>
      </c>
      <c r="AL4" t="s">
        <v>551</v>
      </c>
    </row>
    <row r="5" spans="1:38" x14ac:dyDescent="0.2">
      <c r="A5">
        <v>1235682</v>
      </c>
      <c r="B5">
        <v>7943647</v>
      </c>
      <c r="C5">
        <v>187508</v>
      </c>
      <c r="E5" t="b">
        <v>0</v>
      </c>
      <c r="F5">
        <v>69999</v>
      </c>
      <c r="G5" t="s">
        <v>592</v>
      </c>
      <c r="H5">
        <v>1</v>
      </c>
      <c r="I5" t="s">
        <v>593</v>
      </c>
      <c r="J5" t="s">
        <v>534</v>
      </c>
      <c r="K5" t="s">
        <v>535</v>
      </c>
      <c r="L5" t="s">
        <v>535</v>
      </c>
      <c r="M5" t="s">
        <v>594</v>
      </c>
      <c r="N5" t="s">
        <v>476</v>
      </c>
      <c r="O5" t="s">
        <v>47</v>
      </c>
      <c r="S5" t="s">
        <v>546</v>
      </c>
      <c r="U5" t="s">
        <v>595</v>
      </c>
      <c r="V5" t="s">
        <v>596</v>
      </c>
      <c r="W5" t="s">
        <v>442</v>
      </c>
      <c r="X5" t="s">
        <v>536</v>
      </c>
      <c r="Y5" t="s">
        <v>547</v>
      </c>
      <c r="Z5" t="s">
        <v>548</v>
      </c>
      <c r="AA5" t="s">
        <v>22</v>
      </c>
      <c r="AB5" t="s">
        <v>549</v>
      </c>
      <c r="AD5" t="s">
        <v>477</v>
      </c>
      <c r="AE5" t="s">
        <v>422</v>
      </c>
      <c r="AF5">
        <v>0</v>
      </c>
      <c r="AG5">
        <v>0</v>
      </c>
      <c r="AH5">
        <v>392.75</v>
      </c>
      <c r="AI5">
        <v>0</v>
      </c>
      <c r="AJ5" t="s">
        <v>550</v>
      </c>
      <c r="AK5" t="s">
        <v>549</v>
      </c>
      <c r="AL5" t="s">
        <v>551</v>
      </c>
    </row>
    <row r="6" spans="1:38" x14ac:dyDescent="0.2">
      <c r="A6">
        <v>1235426</v>
      </c>
      <c r="B6">
        <v>8035840</v>
      </c>
      <c r="C6">
        <v>187508</v>
      </c>
      <c r="E6" t="b">
        <v>0</v>
      </c>
      <c r="F6">
        <v>72024</v>
      </c>
      <c r="G6" t="s">
        <v>555</v>
      </c>
      <c r="H6">
        <v>1</v>
      </c>
      <c r="I6" t="s">
        <v>556</v>
      </c>
      <c r="J6" t="s">
        <v>534</v>
      </c>
      <c r="K6" t="s">
        <v>535</v>
      </c>
      <c r="L6" t="s">
        <v>535</v>
      </c>
      <c r="M6" t="s">
        <v>597</v>
      </c>
      <c r="N6" t="s">
        <v>420</v>
      </c>
      <c r="O6" t="s">
        <v>54</v>
      </c>
      <c r="S6" t="s">
        <v>546</v>
      </c>
      <c r="U6" t="s">
        <v>598</v>
      </c>
      <c r="V6" t="s">
        <v>599</v>
      </c>
      <c r="W6" t="s">
        <v>442</v>
      </c>
      <c r="X6" t="s">
        <v>536</v>
      </c>
      <c r="Y6" t="s">
        <v>547</v>
      </c>
      <c r="Z6" t="s">
        <v>548</v>
      </c>
      <c r="AA6" t="s">
        <v>22</v>
      </c>
      <c r="AB6" t="s">
        <v>549</v>
      </c>
      <c r="AD6" t="s">
        <v>421</v>
      </c>
      <c r="AE6" t="s">
        <v>422</v>
      </c>
      <c r="AF6">
        <v>0</v>
      </c>
      <c r="AG6">
        <v>0</v>
      </c>
      <c r="AH6">
        <v>392.75</v>
      </c>
      <c r="AI6">
        <v>0</v>
      </c>
      <c r="AJ6" t="s">
        <v>550</v>
      </c>
      <c r="AK6" t="s">
        <v>549</v>
      </c>
      <c r="AL6" t="s">
        <v>551</v>
      </c>
    </row>
    <row r="7" spans="1:38" x14ac:dyDescent="0.2">
      <c r="A7">
        <v>1235686</v>
      </c>
      <c r="B7">
        <v>8143520</v>
      </c>
      <c r="C7">
        <v>187508</v>
      </c>
      <c r="E7" t="b">
        <v>0</v>
      </c>
      <c r="F7">
        <v>73531</v>
      </c>
      <c r="G7" t="s">
        <v>553</v>
      </c>
      <c r="H7">
        <v>1</v>
      </c>
      <c r="I7" t="s">
        <v>554</v>
      </c>
      <c r="J7" t="s">
        <v>534</v>
      </c>
      <c r="K7" t="s">
        <v>535</v>
      </c>
      <c r="L7" t="s">
        <v>535</v>
      </c>
      <c r="M7" t="s">
        <v>600</v>
      </c>
      <c r="N7" t="s">
        <v>478</v>
      </c>
      <c r="O7" t="s">
        <v>55</v>
      </c>
      <c r="S7" t="s">
        <v>546</v>
      </c>
      <c r="U7" t="s">
        <v>601</v>
      </c>
      <c r="V7" t="s">
        <v>602</v>
      </c>
      <c r="W7" t="s">
        <v>442</v>
      </c>
      <c r="X7" t="s">
        <v>536</v>
      </c>
      <c r="Y7" t="s">
        <v>547</v>
      </c>
      <c r="Z7" t="s">
        <v>548</v>
      </c>
      <c r="AA7" t="s">
        <v>22</v>
      </c>
      <c r="AB7" t="s">
        <v>549</v>
      </c>
      <c r="AD7" t="s">
        <v>479</v>
      </c>
      <c r="AE7" t="s">
        <v>480</v>
      </c>
      <c r="AF7">
        <v>0</v>
      </c>
      <c r="AG7">
        <v>0</v>
      </c>
      <c r="AH7">
        <v>392.75</v>
      </c>
      <c r="AI7">
        <v>0</v>
      </c>
      <c r="AJ7" t="s">
        <v>550</v>
      </c>
      <c r="AK7" t="s">
        <v>549</v>
      </c>
      <c r="AL7" t="s">
        <v>551</v>
      </c>
    </row>
    <row r="8" spans="1:38" x14ac:dyDescent="0.2">
      <c r="A8">
        <v>1235630</v>
      </c>
      <c r="B8">
        <v>7925909</v>
      </c>
      <c r="C8">
        <v>187508</v>
      </c>
      <c r="E8" t="b">
        <v>0</v>
      </c>
      <c r="F8">
        <v>69663</v>
      </c>
      <c r="G8" t="s">
        <v>603</v>
      </c>
      <c r="H8">
        <v>1</v>
      </c>
      <c r="I8" t="s">
        <v>604</v>
      </c>
      <c r="J8" t="s">
        <v>534</v>
      </c>
      <c r="K8" t="s">
        <v>535</v>
      </c>
      <c r="L8" t="s">
        <v>535</v>
      </c>
      <c r="M8" t="s">
        <v>605</v>
      </c>
      <c r="N8" t="s">
        <v>465</v>
      </c>
      <c r="O8" t="s">
        <v>109</v>
      </c>
      <c r="S8" t="s">
        <v>546</v>
      </c>
      <c r="U8" t="s">
        <v>606</v>
      </c>
      <c r="V8" t="s">
        <v>607</v>
      </c>
      <c r="W8" t="s">
        <v>442</v>
      </c>
      <c r="X8" t="s">
        <v>536</v>
      </c>
      <c r="Y8" t="s">
        <v>547</v>
      </c>
      <c r="Z8" t="s">
        <v>548</v>
      </c>
      <c r="AA8" t="s">
        <v>22</v>
      </c>
      <c r="AB8" t="s">
        <v>549</v>
      </c>
      <c r="AD8" t="s">
        <v>466</v>
      </c>
      <c r="AE8" t="s">
        <v>422</v>
      </c>
      <c r="AF8">
        <v>0</v>
      </c>
      <c r="AG8">
        <v>0</v>
      </c>
      <c r="AH8">
        <v>392.75</v>
      </c>
      <c r="AI8">
        <v>0</v>
      </c>
      <c r="AJ8" t="s">
        <v>550</v>
      </c>
      <c r="AK8" t="s">
        <v>549</v>
      </c>
      <c r="AL8" t="s">
        <v>551</v>
      </c>
    </row>
    <row r="9" spans="1:38" x14ac:dyDescent="0.2">
      <c r="A9">
        <v>1235561</v>
      </c>
      <c r="B9">
        <v>7925915</v>
      </c>
      <c r="C9">
        <v>187508</v>
      </c>
      <c r="E9" t="b">
        <v>0</v>
      </c>
      <c r="F9">
        <v>69665</v>
      </c>
      <c r="G9" t="s">
        <v>608</v>
      </c>
      <c r="H9">
        <v>1</v>
      </c>
      <c r="I9" t="s">
        <v>609</v>
      </c>
      <c r="J9" t="s">
        <v>534</v>
      </c>
      <c r="K9" t="s">
        <v>535</v>
      </c>
      <c r="L9" t="s">
        <v>535</v>
      </c>
      <c r="M9" t="s">
        <v>610</v>
      </c>
      <c r="N9" t="s">
        <v>448</v>
      </c>
      <c r="O9" t="s">
        <v>113</v>
      </c>
      <c r="S9" t="s">
        <v>546</v>
      </c>
      <c r="U9" t="s">
        <v>606</v>
      </c>
      <c r="V9" t="s">
        <v>611</v>
      </c>
      <c r="W9" t="s">
        <v>442</v>
      </c>
      <c r="X9" t="s">
        <v>536</v>
      </c>
      <c r="Y9" t="s">
        <v>547</v>
      </c>
      <c r="Z9" t="s">
        <v>548</v>
      </c>
      <c r="AA9" t="s">
        <v>22</v>
      </c>
      <c r="AB9" t="s">
        <v>549</v>
      </c>
      <c r="AD9" t="s">
        <v>449</v>
      </c>
      <c r="AE9" t="s">
        <v>450</v>
      </c>
      <c r="AF9">
        <v>0</v>
      </c>
      <c r="AG9">
        <v>0</v>
      </c>
      <c r="AH9">
        <v>392.75</v>
      </c>
      <c r="AI9">
        <v>0</v>
      </c>
      <c r="AJ9" t="s">
        <v>550</v>
      </c>
      <c r="AK9" t="s">
        <v>549</v>
      </c>
      <c r="AL9" t="s">
        <v>551</v>
      </c>
    </row>
    <row r="10" spans="1:38" x14ac:dyDescent="0.2">
      <c r="A10">
        <v>1235543</v>
      </c>
      <c r="B10">
        <v>8075187</v>
      </c>
      <c r="C10">
        <v>187508</v>
      </c>
      <c r="E10" t="b">
        <v>0</v>
      </c>
      <c r="F10">
        <v>72822</v>
      </c>
      <c r="G10" t="s">
        <v>612</v>
      </c>
      <c r="H10">
        <v>1</v>
      </c>
      <c r="I10" t="s">
        <v>613</v>
      </c>
      <c r="J10" t="s">
        <v>534</v>
      </c>
      <c r="K10" t="s">
        <v>535</v>
      </c>
      <c r="L10" t="s">
        <v>535</v>
      </c>
      <c r="M10" t="s">
        <v>614</v>
      </c>
      <c r="N10" t="s">
        <v>445</v>
      </c>
      <c r="O10" t="s">
        <v>112</v>
      </c>
      <c r="S10" t="s">
        <v>546</v>
      </c>
      <c r="U10" t="s">
        <v>615</v>
      </c>
      <c r="V10" t="s">
        <v>616</v>
      </c>
      <c r="W10" t="s">
        <v>442</v>
      </c>
      <c r="X10" t="s">
        <v>536</v>
      </c>
      <c r="Y10" t="s">
        <v>547</v>
      </c>
      <c r="Z10" t="s">
        <v>548</v>
      </c>
      <c r="AA10" t="s">
        <v>22</v>
      </c>
      <c r="AB10" t="s">
        <v>549</v>
      </c>
      <c r="AD10" t="s">
        <v>421</v>
      </c>
      <c r="AE10" t="s">
        <v>446</v>
      </c>
      <c r="AF10">
        <v>0</v>
      </c>
      <c r="AG10">
        <v>0</v>
      </c>
      <c r="AH10">
        <v>392.75</v>
      </c>
      <c r="AI10">
        <v>0</v>
      </c>
      <c r="AJ10" t="s">
        <v>550</v>
      </c>
      <c r="AK10" t="s">
        <v>549</v>
      </c>
      <c r="AL10" t="s">
        <v>551</v>
      </c>
    </row>
    <row r="11" spans="1:38" x14ac:dyDescent="0.2">
      <c r="A11">
        <v>1235622</v>
      </c>
      <c r="B11">
        <v>7925914</v>
      </c>
      <c r="C11">
        <v>187508</v>
      </c>
      <c r="E11" t="b">
        <v>0</v>
      </c>
      <c r="F11">
        <v>69664</v>
      </c>
      <c r="G11" t="s">
        <v>617</v>
      </c>
      <c r="H11">
        <v>1</v>
      </c>
      <c r="I11" t="s">
        <v>618</v>
      </c>
      <c r="J11" t="s">
        <v>534</v>
      </c>
      <c r="K11" t="s">
        <v>535</v>
      </c>
      <c r="L11" t="s">
        <v>535</v>
      </c>
      <c r="M11" t="s">
        <v>619</v>
      </c>
      <c r="N11" t="s">
        <v>460</v>
      </c>
      <c r="O11" t="s">
        <v>157</v>
      </c>
      <c r="S11" t="s">
        <v>546</v>
      </c>
      <c r="U11" t="s">
        <v>606</v>
      </c>
      <c r="V11" t="s">
        <v>620</v>
      </c>
      <c r="W11" t="s">
        <v>442</v>
      </c>
      <c r="X11" t="s">
        <v>536</v>
      </c>
      <c r="Y11" t="s">
        <v>547</v>
      </c>
      <c r="Z11" t="s">
        <v>548</v>
      </c>
      <c r="AA11" t="s">
        <v>22</v>
      </c>
      <c r="AB11" t="s">
        <v>549</v>
      </c>
      <c r="AD11" t="s">
        <v>461</v>
      </c>
      <c r="AE11" t="s">
        <v>462</v>
      </c>
      <c r="AF11">
        <v>0</v>
      </c>
      <c r="AG11">
        <v>0</v>
      </c>
      <c r="AH11">
        <v>392.75</v>
      </c>
      <c r="AI11">
        <v>0</v>
      </c>
      <c r="AJ11" t="s">
        <v>550</v>
      </c>
      <c r="AK11" t="s">
        <v>549</v>
      </c>
      <c r="AL11" t="s">
        <v>551</v>
      </c>
    </row>
    <row r="12" spans="1:38" x14ac:dyDescent="0.2">
      <c r="A12">
        <v>1235403</v>
      </c>
      <c r="B12">
        <v>7975239</v>
      </c>
      <c r="C12">
        <v>187508</v>
      </c>
      <c r="E12" t="b">
        <v>0</v>
      </c>
      <c r="F12">
        <v>70613</v>
      </c>
      <c r="G12" t="s">
        <v>621</v>
      </c>
      <c r="H12">
        <v>3</v>
      </c>
      <c r="I12" t="s">
        <v>622</v>
      </c>
      <c r="J12" t="s">
        <v>534</v>
      </c>
      <c r="K12" t="s">
        <v>535</v>
      </c>
      <c r="L12" t="s">
        <v>535</v>
      </c>
      <c r="M12" t="s">
        <v>623</v>
      </c>
      <c r="N12" t="s">
        <v>415</v>
      </c>
      <c r="O12" t="s">
        <v>176</v>
      </c>
      <c r="P12" t="s">
        <v>107</v>
      </c>
      <c r="S12" t="s">
        <v>624</v>
      </c>
      <c r="U12" t="s">
        <v>625</v>
      </c>
      <c r="V12" t="s">
        <v>626</v>
      </c>
      <c r="W12" t="s">
        <v>442</v>
      </c>
      <c r="X12" t="s">
        <v>536</v>
      </c>
      <c r="Y12" t="s">
        <v>547</v>
      </c>
      <c r="Z12" t="s">
        <v>548</v>
      </c>
      <c r="AA12" t="s">
        <v>22</v>
      </c>
      <c r="AB12" t="s">
        <v>549</v>
      </c>
      <c r="AD12" t="s">
        <v>175</v>
      </c>
      <c r="AE12" t="s">
        <v>416</v>
      </c>
      <c r="AF12">
        <v>0</v>
      </c>
      <c r="AG12">
        <v>0</v>
      </c>
      <c r="AH12">
        <v>418.5</v>
      </c>
      <c r="AI12">
        <v>0</v>
      </c>
      <c r="AJ12" t="s">
        <v>550</v>
      </c>
      <c r="AK12" t="s">
        <v>549</v>
      </c>
      <c r="AL12" t="s">
        <v>551</v>
      </c>
    </row>
    <row r="13" spans="1:38" x14ac:dyDescent="0.2">
      <c r="A13">
        <v>1235569</v>
      </c>
      <c r="B13">
        <v>7975237</v>
      </c>
      <c r="C13">
        <v>187508</v>
      </c>
      <c r="E13" t="b">
        <v>0</v>
      </c>
      <c r="F13">
        <v>70613</v>
      </c>
      <c r="G13" t="s">
        <v>621</v>
      </c>
      <c r="H13">
        <v>1</v>
      </c>
      <c r="I13" t="s">
        <v>627</v>
      </c>
      <c r="J13" t="s">
        <v>534</v>
      </c>
      <c r="K13" t="s">
        <v>535</v>
      </c>
      <c r="L13" t="s">
        <v>535</v>
      </c>
      <c r="M13" t="s">
        <v>628</v>
      </c>
      <c r="N13" t="s">
        <v>455</v>
      </c>
      <c r="O13" t="s">
        <v>178</v>
      </c>
      <c r="P13" t="s">
        <v>456</v>
      </c>
      <c r="S13" t="s">
        <v>624</v>
      </c>
      <c r="U13" t="s">
        <v>625</v>
      </c>
      <c r="V13" t="s">
        <v>629</v>
      </c>
      <c r="W13" t="s">
        <v>442</v>
      </c>
      <c r="X13" t="s">
        <v>536</v>
      </c>
      <c r="Y13" t="s">
        <v>547</v>
      </c>
      <c r="Z13" t="s">
        <v>548</v>
      </c>
      <c r="AA13" t="s">
        <v>22</v>
      </c>
      <c r="AB13" t="s">
        <v>549</v>
      </c>
      <c r="AD13" t="s">
        <v>177</v>
      </c>
      <c r="AE13" t="s">
        <v>416</v>
      </c>
      <c r="AF13">
        <v>0</v>
      </c>
      <c r="AG13">
        <v>0</v>
      </c>
      <c r="AH13">
        <v>418.5</v>
      </c>
      <c r="AI13">
        <v>0</v>
      </c>
      <c r="AJ13" t="s">
        <v>550</v>
      </c>
      <c r="AK13" t="s">
        <v>549</v>
      </c>
      <c r="AL13" t="s">
        <v>551</v>
      </c>
    </row>
    <row r="14" spans="1:38" x14ac:dyDescent="0.2">
      <c r="A14">
        <v>1235743</v>
      </c>
      <c r="B14">
        <v>7975241</v>
      </c>
      <c r="C14">
        <v>187508</v>
      </c>
      <c r="E14" t="b">
        <v>0</v>
      </c>
      <c r="F14">
        <v>70613</v>
      </c>
      <c r="G14" t="s">
        <v>621</v>
      </c>
      <c r="H14">
        <v>5</v>
      </c>
      <c r="I14" t="s">
        <v>630</v>
      </c>
      <c r="J14" t="s">
        <v>534</v>
      </c>
      <c r="K14" t="s">
        <v>535</v>
      </c>
      <c r="L14" t="s">
        <v>535</v>
      </c>
      <c r="M14" t="s">
        <v>631</v>
      </c>
      <c r="N14" t="s">
        <v>482</v>
      </c>
      <c r="O14" t="s">
        <v>484</v>
      </c>
      <c r="P14" t="s">
        <v>483</v>
      </c>
      <c r="S14" t="s">
        <v>624</v>
      </c>
      <c r="U14" t="s">
        <v>625</v>
      </c>
      <c r="V14" t="s">
        <v>632</v>
      </c>
      <c r="W14" t="s">
        <v>442</v>
      </c>
      <c r="X14" t="s">
        <v>536</v>
      </c>
      <c r="Y14" t="s">
        <v>547</v>
      </c>
      <c r="Z14" t="s">
        <v>548</v>
      </c>
      <c r="AA14" t="s">
        <v>22</v>
      </c>
      <c r="AB14" t="s">
        <v>549</v>
      </c>
      <c r="AD14" t="s">
        <v>485</v>
      </c>
      <c r="AE14" t="s">
        <v>416</v>
      </c>
      <c r="AF14">
        <v>0</v>
      </c>
      <c r="AG14">
        <v>0</v>
      </c>
      <c r="AH14">
        <v>418.5</v>
      </c>
      <c r="AI14">
        <v>0</v>
      </c>
      <c r="AJ14" t="s">
        <v>550</v>
      </c>
      <c r="AK14" t="s">
        <v>549</v>
      </c>
      <c r="AL14" t="s">
        <v>551</v>
      </c>
    </row>
    <row r="15" spans="1:38" x14ac:dyDescent="0.2">
      <c r="A15">
        <v>2550412</v>
      </c>
      <c r="B15">
        <v>7975245</v>
      </c>
      <c r="C15">
        <v>187508</v>
      </c>
      <c r="E15" t="b">
        <v>0</v>
      </c>
      <c r="F15">
        <v>70613</v>
      </c>
      <c r="G15" t="s">
        <v>621</v>
      </c>
      <c r="H15">
        <v>9</v>
      </c>
      <c r="I15" t="s">
        <v>633</v>
      </c>
      <c r="J15" t="s">
        <v>534</v>
      </c>
      <c r="K15" t="s">
        <v>535</v>
      </c>
      <c r="L15" t="s">
        <v>535</v>
      </c>
      <c r="M15" t="s">
        <v>634</v>
      </c>
      <c r="N15" t="s">
        <v>499</v>
      </c>
      <c r="O15" t="s">
        <v>500</v>
      </c>
      <c r="P15" t="s">
        <v>375</v>
      </c>
      <c r="S15" t="s">
        <v>624</v>
      </c>
      <c r="U15" t="s">
        <v>625</v>
      </c>
      <c r="V15" t="s">
        <v>635</v>
      </c>
      <c r="W15" t="s">
        <v>442</v>
      </c>
      <c r="X15" t="s">
        <v>536</v>
      </c>
      <c r="Y15" t="s">
        <v>547</v>
      </c>
      <c r="Z15" t="s">
        <v>548</v>
      </c>
      <c r="AA15" t="s">
        <v>22</v>
      </c>
      <c r="AB15" t="s">
        <v>549</v>
      </c>
      <c r="AD15" t="s">
        <v>501</v>
      </c>
      <c r="AE15" t="s">
        <v>502</v>
      </c>
      <c r="AF15">
        <v>0</v>
      </c>
      <c r="AG15">
        <v>0</v>
      </c>
      <c r="AH15">
        <v>418.5</v>
      </c>
      <c r="AI15">
        <v>0</v>
      </c>
      <c r="AJ15" t="s">
        <v>550</v>
      </c>
      <c r="AK15" t="s">
        <v>549</v>
      </c>
      <c r="AL15" t="s">
        <v>551</v>
      </c>
    </row>
    <row r="16" spans="1:38" x14ac:dyDescent="0.2">
      <c r="A16">
        <v>1446161</v>
      </c>
      <c r="B16">
        <v>7975243</v>
      </c>
      <c r="C16">
        <v>187508</v>
      </c>
      <c r="E16" t="b">
        <v>0</v>
      </c>
      <c r="F16">
        <v>70613</v>
      </c>
      <c r="G16" t="s">
        <v>621</v>
      </c>
      <c r="H16">
        <v>7</v>
      </c>
      <c r="I16" t="s">
        <v>636</v>
      </c>
      <c r="J16" t="s">
        <v>534</v>
      </c>
      <c r="K16" t="s">
        <v>535</v>
      </c>
      <c r="L16" t="s">
        <v>535</v>
      </c>
      <c r="M16" t="s">
        <v>637</v>
      </c>
      <c r="N16" t="s">
        <v>491</v>
      </c>
      <c r="O16" t="s">
        <v>493</v>
      </c>
      <c r="P16" t="s">
        <v>492</v>
      </c>
      <c r="S16" t="s">
        <v>624</v>
      </c>
      <c r="U16" t="s">
        <v>625</v>
      </c>
      <c r="V16" t="s">
        <v>638</v>
      </c>
      <c r="W16" t="s">
        <v>442</v>
      </c>
      <c r="X16" t="s">
        <v>536</v>
      </c>
      <c r="Y16" t="s">
        <v>547</v>
      </c>
      <c r="Z16" t="s">
        <v>548</v>
      </c>
      <c r="AA16" t="s">
        <v>22</v>
      </c>
      <c r="AB16" t="s">
        <v>549</v>
      </c>
      <c r="AD16" t="s">
        <v>494</v>
      </c>
      <c r="AE16" t="s">
        <v>416</v>
      </c>
      <c r="AF16">
        <v>0</v>
      </c>
      <c r="AG16">
        <v>0</v>
      </c>
      <c r="AH16">
        <v>418.5</v>
      </c>
      <c r="AI16">
        <v>0</v>
      </c>
      <c r="AJ16" t="s">
        <v>550</v>
      </c>
      <c r="AK16" t="s">
        <v>549</v>
      </c>
      <c r="AL16" t="s">
        <v>551</v>
      </c>
    </row>
    <row r="17" spans="1:38" x14ac:dyDescent="0.2">
      <c r="A17">
        <v>2701517</v>
      </c>
      <c r="B17">
        <v>7975246</v>
      </c>
      <c r="C17">
        <v>187508</v>
      </c>
      <c r="E17" t="b">
        <v>0</v>
      </c>
      <c r="F17">
        <v>70613</v>
      </c>
      <c r="G17" t="s">
        <v>621</v>
      </c>
      <c r="H17">
        <v>10</v>
      </c>
      <c r="I17" t="s">
        <v>639</v>
      </c>
      <c r="J17" t="s">
        <v>534</v>
      </c>
      <c r="K17" t="s">
        <v>535</v>
      </c>
      <c r="L17" t="s">
        <v>535</v>
      </c>
      <c r="M17" t="s">
        <v>640</v>
      </c>
      <c r="N17" t="s">
        <v>504</v>
      </c>
      <c r="O17" t="s">
        <v>506</v>
      </c>
      <c r="P17" t="s">
        <v>505</v>
      </c>
      <c r="S17" t="s">
        <v>624</v>
      </c>
      <c r="U17" t="s">
        <v>625</v>
      </c>
      <c r="V17" t="s">
        <v>641</v>
      </c>
      <c r="W17" t="s">
        <v>442</v>
      </c>
      <c r="X17" t="s">
        <v>536</v>
      </c>
      <c r="Y17" t="s">
        <v>547</v>
      </c>
      <c r="Z17" t="s">
        <v>548</v>
      </c>
      <c r="AA17" t="s">
        <v>22</v>
      </c>
      <c r="AB17" t="s">
        <v>549</v>
      </c>
      <c r="AD17" t="s">
        <v>179</v>
      </c>
      <c r="AE17" t="s">
        <v>416</v>
      </c>
      <c r="AF17">
        <v>0</v>
      </c>
      <c r="AG17">
        <v>0</v>
      </c>
      <c r="AH17">
        <v>418.5</v>
      </c>
      <c r="AI17">
        <v>0</v>
      </c>
      <c r="AJ17" t="s">
        <v>550</v>
      </c>
      <c r="AK17" t="s">
        <v>549</v>
      </c>
      <c r="AL17" t="s">
        <v>551</v>
      </c>
    </row>
    <row r="18" spans="1:38" x14ac:dyDescent="0.2">
      <c r="A18">
        <v>2336905</v>
      </c>
      <c r="B18">
        <v>7975244</v>
      </c>
      <c r="C18">
        <v>187508</v>
      </c>
      <c r="E18" t="b">
        <v>0</v>
      </c>
      <c r="F18">
        <v>70613</v>
      </c>
      <c r="G18" t="s">
        <v>621</v>
      </c>
      <c r="H18">
        <v>8</v>
      </c>
      <c r="I18" t="s">
        <v>642</v>
      </c>
      <c r="J18" t="s">
        <v>534</v>
      </c>
      <c r="K18" t="s">
        <v>535</v>
      </c>
      <c r="L18" t="s">
        <v>535</v>
      </c>
      <c r="M18" t="s">
        <v>643</v>
      </c>
      <c r="N18" t="s">
        <v>495</v>
      </c>
      <c r="O18" t="s">
        <v>497</v>
      </c>
      <c r="P18" t="s">
        <v>496</v>
      </c>
      <c r="S18" t="s">
        <v>624</v>
      </c>
      <c r="U18" t="s">
        <v>625</v>
      </c>
      <c r="V18" t="s">
        <v>644</v>
      </c>
      <c r="W18" t="s">
        <v>442</v>
      </c>
      <c r="X18" t="s">
        <v>536</v>
      </c>
      <c r="Y18" t="s">
        <v>547</v>
      </c>
      <c r="Z18" t="s">
        <v>548</v>
      </c>
      <c r="AA18" t="s">
        <v>22</v>
      </c>
      <c r="AB18" t="s">
        <v>549</v>
      </c>
      <c r="AD18" t="s">
        <v>498</v>
      </c>
      <c r="AE18" t="s">
        <v>416</v>
      </c>
      <c r="AF18">
        <v>0</v>
      </c>
      <c r="AG18">
        <v>0</v>
      </c>
      <c r="AH18">
        <v>418.5</v>
      </c>
      <c r="AI18">
        <v>0</v>
      </c>
      <c r="AJ18" t="s">
        <v>550</v>
      </c>
      <c r="AK18" t="s">
        <v>549</v>
      </c>
      <c r="AL18" t="s">
        <v>551</v>
      </c>
    </row>
    <row r="19" spans="1:38" x14ac:dyDescent="0.2">
      <c r="A19">
        <v>1235639</v>
      </c>
      <c r="B19">
        <v>7975242</v>
      </c>
      <c r="C19">
        <v>187508</v>
      </c>
      <c r="E19" t="b">
        <v>0</v>
      </c>
      <c r="F19">
        <v>70613</v>
      </c>
      <c r="G19" t="s">
        <v>621</v>
      </c>
      <c r="H19">
        <v>6</v>
      </c>
      <c r="I19" t="s">
        <v>645</v>
      </c>
      <c r="J19" t="s">
        <v>534</v>
      </c>
      <c r="K19" t="s">
        <v>535</v>
      </c>
      <c r="L19" t="s">
        <v>535</v>
      </c>
      <c r="M19" t="s">
        <v>646</v>
      </c>
      <c r="N19" t="s">
        <v>467</v>
      </c>
      <c r="O19" t="s">
        <v>174</v>
      </c>
      <c r="P19" t="s">
        <v>468</v>
      </c>
      <c r="S19" t="s">
        <v>624</v>
      </c>
      <c r="U19" t="s">
        <v>625</v>
      </c>
      <c r="V19" t="s">
        <v>647</v>
      </c>
      <c r="W19" t="s">
        <v>442</v>
      </c>
      <c r="X19" t="s">
        <v>536</v>
      </c>
      <c r="Y19" t="s">
        <v>547</v>
      </c>
      <c r="Z19" t="s">
        <v>548</v>
      </c>
      <c r="AA19" t="s">
        <v>22</v>
      </c>
      <c r="AB19" t="s">
        <v>549</v>
      </c>
      <c r="AD19" t="s">
        <v>173</v>
      </c>
      <c r="AE19" t="s">
        <v>416</v>
      </c>
      <c r="AF19">
        <v>0</v>
      </c>
      <c r="AG19">
        <v>0</v>
      </c>
      <c r="AH19">
        <v>418.5</v>
      </c>
      <c r="AI19">
        <v>0</v>
      </c>
      <c r="AJ19" t="s">
        <v>550</v>
      </c>
      <c r="AK19" t="s">
        <v>549</v>
      </c>
      <c r="AL19" t="s">
        <v>551</v>
      </c>
    </row>
    <row r="20" spans="1:38" x14ac:dyDescent="0.2">
      <c r="A20">
        <v>1235626</v>
      </c>
      <c r="B20">
        <v>7975238</v>
      </c>
      <c r="C20">
        <v>187508</v>
      </c>
      <c r="E20" t="b">
        <v>0</v>
      </c>
      <c r="F20">
        <v>70613</v>
      </c>
      <c r="G20" t="s">
        <v>621</v>
      </c>
      <c r="H20">
        <v>2</v>
      </c>
      <c r="I20" t="s">
        <v>648</v>
      </c>
      <c r="J20" t="s">
        <v>534</v>
      </c>
      <c r="K20" t="s">
        <v>535</v>
      </c>
      <c r="L20" t="s">
        <v>535</v>
      </c>
      <c r="M20" t="s">
        <v>649</v>
      </c>
      <c r="N20" t="s">
        <v>463</v>
      </c>
      <c r="O20" t="s">
        <v>182</v>
      </c>
      <c r="P20" t="s">
        <v>464</v>
      </c>
      <c r="S20" t="s">
        <v>624</v>
      </c>
      <c r="U20" t="s">
        <v>625</v>
      </c>
      <c r="V20" t="s">
        <v>650</v>
      </c>
      <c r="W20" t="s">
        <v>442</v>
      </c>
      <c r="X20" t="s">
        <v>536</v>
      </c>
      <c r="Y20" t="s">
        <v>547</v>
      </c>
      <c r="Z20" t="s">
        <v>548</v>
      </c>
      <c r="AA20" t="s">
        <v>22</v>
      </c>
      <c r="AB20" t="s">
        <v>549</v>
      </c>
      <c r="AD20" t="s">
        <v>181</v>
      </c>
      <c r="AE20" t="s">
        <v>416</v>
      </c>
      <c r="AF20">
        <v>0</v>
      </c>
      <c r="AG20">
        <v>0</v>
      </c>
      <c r="AH20">
        <v>418.5</v>
      </c>
      <c r="AI20">
        <v>0</v>
      </c>
      <c r="AJ20" t="s">
        <v>550</v>
      </c>
      <c r="AK20" t="s">
        <v>549</v>
      </c>
      <c r="AL20" t="s">
        <v>551</v>
      </c>
    </row>
    <row r="21" spans="1:38" x14ac:dyDescent="0.2">
      <c r="A21">
        <v>1235522</v>
      </c>
      <c r="B21">
        <v>7975240</v>
      </c>
      <c r="C21">
        <v>187508</v>
      </c>
      <c r="E21" t="b">
        <v>0</v>
      </c>
      <c r="F21">
        <v>70613</v>
      </c>
      <c r="G21" t="s">
        <v>621</v>
      </c>
      <c r="H21">
        <v>4</v>
      </c>
      <c r="I21" t="s">
        <v>651</v>
      </c>
      <c r="J21" t="s">
        <v>534</v>
      </c>
      <c r="K21" t="s">
        <v>535</v>
      </c>
      <c r="L21" t="s">
        <v>535</v>
      </c>
      <c r="M21" t="s">
        <v>652</v>
      </c>
      <c r="N21" t="s">
        <v>441</v>
      </c>
      <c r="O21" t="s">
        <v>180</v>
      </c>
      <c r="P21" t="s">
        <v>442</v>
      </c>
      <c r="S21" t="s">
        <v>624</v>
      </c>
      <c r="U21" t="s">
        <v>625</v>
      </c>
      <c r="V21" t="s">
        <v>653</v>
      </c>
      <c r="W21" t="s">
        <v>442</v>
      </c>
      <c r="X21" t="s">
        <v>536</v>
      </c>
      <c r="Y21" t="s">
        <v>547</v>
      </c>
      <c r="Z21" t="s">
        <v>548</v>
      </c>
      <c r="AA21" t="s">
        <v>22</v>
      </c>
      <c r="AB21" t="s">
        <v>549</v>
      </c>
      <c r="AD21" t="s">
        <v>179</v>
      </c>
      <c r="AE21" t="s">
        <v>416</v>
      </c>
      <c r="AF21">
        <v>0</v>
      </c>
      <c r="AG21">
        <v>0</v>
      </c>
      <c r="AH21">
        <v>418.5</v>
      </c>
      <c r="AI21">
        <v>0</v>
      </c>
      <c r="AJ21" t="s">
        <v>550</v>
      </c>
      <c r="AK21" t="s">
        <v>549</v>
      </c>
      <c r="AL21" t="s">
        <v>551</v>
      </c>
    </row>
    <row r="23" spans="1:38" x14ac:dyDescent="0.2">
      <c r="A23">
        <v>1235770</v>
      </c>
      <c r="B23">
        <v>8030104</v>
      </c>
      <c r="C23">
        <v>187514</v>
      </c>
      <c r="E23" t="b">
        <v>0</v>
      </c>
      <c r="F23">
        <v>71864</v>
      </c>
      <c r="G23" t="s">
        <v>654</v>
      </c>
      <c r="H23">
        <v>1</v>
      </c>
      <c r="I23" t="s">
        <v>655</v>
      </c>
      <c r="J23" t="s">
        <v>534</v>
      </c>
      <c r="K23" t="s">
        <v>535</v>
      </c>
      <c r="L23" t="s">
        <v>535</v>
      </c>
      <c r="M23" t="s">
        <v>656</v>
      </c>
      <c r="N23" t="s">
        <v>486</v>
      </c>
      <c r="O23" t="s">
        <v>487</v>
      </c>
      <c r="U23" t="s">
        <v>657</v>
      </c>
      <c r="V23" t="s">
        <v>658</v>
      </c>
      <c r="W23" t="s">
        <v>492</v>
      </c>
      <c r="X23" t="s">
        <v>536</v>
      </c>
      <c r="Y23" t="s">
        <v>413</v>
      </c>
      <c r="Z23" t="s">
        <v>548</v>
      </c>
      <c r="AB23" t="s">
        <v>659</v>
      </c>
      <c r="AD23" t="s">
        <v>232</v>
      </c>
      <c r="AE23" t="s">
        <v>488</v>
      </c>
      <c r="AF23">
        <v>0</v>
      </c>
      <c r="AG23">
        <v>0</v>
      </c>
      <c r="AH23">
        <v>0</v>
      </c>
      <c r="AI23">
        <v>0</v>
      </c>
      <c r="AJ23" t="s">
        <v>550</v>
      </c>
      <c r="AK23" t="s">
        <v>659</v>
      </c>
      <c r="AL23" t="s">
        <v>551</v>
      </c>
    </row>
    <row r="24" spans="1:38" x14ac:dyDescent="0.2">
      <c r="A24">
        <v>1235767</v>
      </c>
    </row>
    <row r="25" spans="1:38" x14ac:dyDescent="0.2">
      <c r="A25">
        <v>1235772</v>
      </c>
    </row>
    <row r="26" spans="1:38" x14ac:dyDescent="0.2">
      <c r="A26">
        <v>1235660</v>
      </c>
      <c r="B26">
        <v>7612900</v>
      </c>
      <c r="C26">
        <v>187509</v>
      </c>
      <c r="E26" t="b">
        <v>0</v>
      </c>
      <c r="F26">
        <v>64197</v>
      </c>
      <c r="G26" t="s">
        <v>660</v>
      </c>
      <c r="H26">
        <v>1</v>
      </c>
      <c r="I26" t="s">
        <v>661</v>
      </c>
      <c r="J26" t="s">
        <v>534</v>
      </c>
      <c r="K26" t="s">
        <v>535</v>
      </c>
      <c r="L26" t="s">
        <v>535</v>
      </c>
      <c r="M26" t="s">
        <v>662</v>
      </c>
      <c r="N26" t="s">
        <v>198</v>
      </c>
      <c r="O26" t="s">
        <v>473</v>
      </c>
      <c r="U26" t="s">
        <v>663</v>
      </c>
      <c r="V26" t="s">
        <v>664</v>
      </c>
      <c r="W26" t="s">
        <v>107</v>
      </c>
      <c r="X26" t="s">
        <v>536</v>
      </c>
      <c r="Y26" t="s">
        <v>116</v>
      </c>
      <c r="AB26" t="s">
        <v>659</v>
      </c>
      <c r="AD26" t="s">
        <v>234</v>
      </c>
      <c r="AE26" t="s">
        <v>432</v>
      </c>
      <c r="AF26">
        <v>0</v>
      </c>
      <c r="AG26">
        <v>0</v>
      </c>
      <c r="AI26">
        <v>0</v>
      </c>
      <c r="AJ26" t="s">
        <v>550</v>
      </c>
      <c r="AK26" t="s">
        <v>659</v>
      </c>
      <c r="AL26" t="s">
        <v>583</v>
      </c>
    </row>
    <row r="27" spans="1:38" x14ac:dyDescent="0.2">
      <c r="A27">
        <v>1235502</v>
      </c>
      <c r="B27">
        <v>6008756</v>
      </c>
      <c r="C27">
        <v>187514</v>
      </c>
      <c r="E27" t="b">
        <v>0</v>
      </c>
      <c r="F27">
        <v>41783</v>
      </c>
      <c r="G27" t="s">
        <v>665</v>
      </c>
      <c r="H27">
        <v>1</v>
      </c>
      <c r="I27" t="s">
        <v>666</v>
      </c>
      <c r="J27" t="s">
        <v>534</v>
      </c>
      <c r="K27" t="s">
        <v>535</v>
      </c>
      <c r="L27" t="s">
        <v>535</v>
      </c>
      <c r="M27" t="s">
        <v>667</v>
      </c>
      <c r="N27" t="s">
        <v>199</v>
      </c>
      <c r="O27" t="s">
        <v>431</v>
      </c>
      <c r="U27" t="s">
        <v>668</v>
      </c>
      <c r="V27" t="s">
        <v>669</v>
      </c>
      <c r="W27" t="s">
        <v>166</v>
      </c>
      <c r="X27" t="s">
        <v>536</v>
      </c>
      <c r="Y27" t="s">
        <v>116</v>
      </c>
      <c r="Z27" t="s">
        <v>548</v>
      </c>
      <c r="AB27" t="s">
        <v>659</v>
      </c>
      <c r="AD27" t="s">
        <v>235</v>
      </c>
      <c r="AE27" t="s">
        <v>432</v>
      </c>
      <c r="AF27">
        <v>0</v>
      </c>
      <c r="AG27">
        <v>0</v>
      </c>
      <c r="AH27">
        <v>27.5</v>
      </c>
      <c r="AI27">
        <v>0</v>
      </c>
      <c r="AJ27" t="s">
        <v>550</v>
      </c>
      <c r="AK27" t="s">
        <v>659</v>
      </c>
      <c r="AL27" t="s">
        <v>551</v>
      </c>
    </row>
    <row r="28" spans="1:38" x14ac:dyDescent="0.2">
      <c r="A28">
        <v>1235505</v>
      </c>
      <c r="B28">
        <v>7971837</v>
      </c>
      <c r="C28">
        <v>187514</v>
      </c>
      <c r="E28" t="b">
        <v>0</v>
      </c>
      <c r="F28">
        <v>70496</v>
      </c>
      <c r="G28" t="s">
        <v>670</v>
      </c>
      <c r="H28">
        <v>1</v>
      </c>
      <c r="I28" t="s">
        <v>671</v>
      </c>
      <c r="J28" t="s">
        <v>534</v>
      </c>
      <c r="K28" t="s">
        <v>535</v>
      </c>
      <c r="L28" t="s">
        <v>535</v>
      </c>
      <c r="M28" t="s">
        <v>672</v>
      </c>
      <c r="N28" t="s">
        <v>200</v>
      </c>
      <c r="O28" t="s">
        <v>435</v>
      </c>
      <c r="S28" t="s">
        <v>673</v>
      </c>
      <c r="U28" t="s">
        <v>674</v>
      </c>
      <c r="V28" t="s">
        <v>675</v>
      </c>
      <c r="W28" t="s">
        <v>505</v>
      </c>
      <c r="X28" t="s">
        <v>536</v>
      </c>
      <c r="Y28" t="s">
        <v>413</v>
      </c>
      <c r="Z28" t="s">
        <v>548</v>
      </c>
      <c r="AB28" t="s">
        <v>659</v>
      </c>
      <c r="AD28" t="s">
        <v>236</v>
      </c>
      <c r="AE28" t="s">
        <v>432</v>
      </c>
      <c r="AF28">
        <v>0</v>
      </c>
      <c r="AG28">
        <v>0</v>
      </c>
      <c r="AH28">
        <v>75</v>
      </c>
      <c r="AI28">
        <v>0</v>
      </c>
      <c r="AJ28" t="s">
        <v>550</v>
      </c>
      <c r="AK28" t="s">
        <v>659</v>
      </c>
      <c r="AL28" t="s">
        <v>551</v>
      </c>
    </row>
    <row r="29" spans="1:38" x14ac:dyDescent="0.2">
      <c r="A29">
        <v>1235646</v>
      </c>
      <c r="B29">
        <v>6249107</v>
      </c>
      <c r="C29">
        <v>187514</v>
      </c>
      <c r="E29" t="b">
        <v>0</v>
      </c>
      <c r="F29">
        <v>46530</v>
      </c>
      <c r="G29" t="s">
        <v>676</v>
      </c>
      <c r="H29">
        <v>1</v>
      </c>
      <c r="I29" t="s">
        <v>677</v>
      </c>
      <c r="J29" t="s">
        <v>534</v>
      </c>
      <c r="K29" t="s">
        <v>535</v>
      </c>
      <c r="L29" t="s">
        <v>535</v>
      </c>
      <c r="M29" t="s">
        <v>678</v>
      </c>
      <c r="N29" t="s">
        <v>201</v>
      </c>
      <c r="O29" t="s">
        <v>469</v>
      </c>
      <c r="U29" t="s">
        <v>679</v>
      </c>
      <c r="V29" t="s">
        <v>680</v>
      </c>
      <c r="W29" t="s">
        <v>166</v>
      </c>
      <c r="X29" t="s">
        <v>536</v>
      </c>
      <c r="Y29" t="s">
        <v>547</v>
      </c>
      <c r="AB29" t="s">
        <v>659</v>
      </c>
      <c r="AD29" t="s">
        <v>237</v>
      </c>
      <c r="AE29" t="s">
        <v>470</v>
      </c>
      <c r="AF29">
        <v>0</v>
      </c>
      <c r="AG29">
        <v>0</v>
      </c>
      <c r="AI29">
        <v>0</v>
      </c>
      <c r="AJ29" t="s">
        <v>550</v>
      </c>
      <c r="AK29" t="s">
        <v>659</v>
      </c>
      <c r="AL29" t="s">
        <v>551</v>
      </c>
    </row>
    <row r="30" spans="1:38" x14ac:dyDescent="0.2">
      <c r="A30">
        <v>1235659</v>
      </c>
      <c r="B30">
        <v>8065644</v>
      </c>
      <c r="C30">
        <v>187514</v>
      </c>
      <c r="E30" t="b">
        <v>0</v>
      </c>
      <c r="F30">
        <v>72594</v>
      </c>
      <c r="G30" t="s">
        <v>681</v>
      </c>
      <c r="H30">
        <v>1</v>
      </c>
      <c r="I30" t="s">
        <v>682</v>
      </c>
      <c r="J30" t="s">
        <v>534</v>
      </c>
      <c r="K30" t="s">
        <v>535</v>
      </c>
      <c r="L30" t="s">
        <v>535</v>
      </c>
      <c r="M30" t="s">
        <v>683</v>
      </c>
      <c r="N30" t="s">
        <v>202</v>
      </c>
      <c r="O30" t="s">
        <v>471</v>
      </c>
      <c r="U30" t="s">
        <v>684</v>
      </c>
      <c r="V30" t="s">
        <v>685</v>
      </c>
      <c r="W30" t="s">
        <v>456</v>
      </c>
      <c r="X30" t="s">
        <v>536</v>
      </c>
      <c r="Y30" t="s">
        <v>413</v>
      </c>
      <c r="Z30" t="s">
        <v>548</v>
      </c>
      <c r="AB30" t="s">
        <v>659</v>
      </c>
      <c r="AD30" t="s">
        <v>238</v>
      </c>
      <c r="AE30" t="s">
        <v>472</v>
      </c>
      <c r="AF30">
        <v>0</v>
      </c>
      <c r="AG30">
        <v>0</v>
      </c>
      <c r="AH30">
        <v>0</v>
      </c>
      <c r="AI30">
        <v>0</v>
      </c>
      <c r="AJ30" t="s">
        <v>550</v>
      </c>
      <c r="AK30" t="s">
        <v>659</v>
      </c>
      <c r="AL30" t="s">
        <v>551</v>
      </c>
    </row>
    <row r="31" spans="1:38" x14ac:dyDescent="0.2">
      <c r="A31">
        <v>1235504</v>
      </c>
      <c r="B31">
        <v>6820976</v>
      </c>
      <c r="C31">
        <v>187514</v>
      </c>
      <c r="E31" t="b">
        <v>0</v>
      </c>
      <c r="F31">
        <v>50724</v>
      </c>
      <c r="G31" t="s">
        <v>686</v>
      </c>
      <c r="H31">
        <v>1</v>
      </c>
      <c r="I31" t="s">
        <v>687</v>
      </c>
      <c r="J31" t="s">
        <v>534</v>
      </c>
      <c r="K31" t="s">
        <v>535</v>
      </c>
      <c r="L31" t="s">
        <v>535</v>
      </c>
      <c r="M31" t="s">
        <v>688</v>
      </c>
      <c r="N31" t="s">
        <v>203</v>
      </c>
      <c r="O31" t="s">
        <v>434</v>
      </c>
      <c r="U31" t="s">
        <v>689</v>
      </c>
      <c r="V31" t="s">
        <v>690</v>
      </c>
      <c r="W31" t="s">
        <v>483</v>
      </c>
      <c r="X31" t="s">
        <v>536</v>
      </c>
      <c r="Y31" t="s">
        <v>547</v>
      </c>
      <c r="Z31" t="s">
        <v>548</v>
      </c>
      <c r="AB31" t="s">
        <v>659</v>
      </c>
      <c r="AD31" t="s">
        <v>239</v>
      </c>
      <c r="AE31" t="s">
        <v>432</v>
      </c>
      <c r="AF31">
        <v>0</v>
      </c>
      <c r="AG31">
        <v>0</v>
      </c>
      <c r="AH31">
        <v>27.5</v>
      </c>
      <c r="AI31">
        <v>0</v>
      </c>
      <c r="AJ31" t="s">
        <v>550</v>
      </c>
      <c r="AK31" t="s">
        <v>659</v>
      </c>
      <c r="AL31" t="s">
        <v>551</v>
      </c>
    </row>
    <row r="32" spans="1:38" x14ac:dyDescent="0.2">
      <c r="A32">
        <v>1235506</v>
      </c>
      <c r="B32">
        <v>7162110</v>
      </c>
      <c r="C32">
        <v>187514</v>
      </c>
      <c r="E32" t="b">
        <v>0</v>
      </c>
      <c r="F32">
        <v>57050</v>
      </c>
      <c r="G32" t="s">
        <v>691</v>
      </c>
      <c r="H32">
        <v>1</v>
      </c>
      <c r="I32" t="s">
        <v>692</v>
      </c>
      <c r="J32" t="s">
        <v>534</v>
      </c>
      <c r="K32" t="s">
        <v>535</v>
      </c>
      <c r="L32" t="s">
        <v>535</v>
      </c>
      <c r="M32" t="s">
        <v>693</v>
      </c>
      <c r="N32" t="s">
        <v>204</v>
      </c>
      <c r="O32" t="s">
        <v>436</v>
      </c>
      <c r="U32" t="s">
        <v>694</v>
      </c>
      <c r="V32" t="s">
        <v>695</v>
      </c>
      <c r="W32" t="s">
        <v>107</v>
      </c>
      <c r="X32" t="s">
        <v>536</v>
      </c>
      <c r="Y32" t="s">
        <v>547</v>
      </c>
      <c r="AB32" t="s">
        <v>659</v>
      </c>
      <c r="AD32" t="s">
        <v>240</v>
      </c>
      <c r="AE32" t="s">
        <v>432</v>
      </c>
      <c r="AF32">
        <v>0</v>
      </c>
      <c r="AG32">
        <v>0</v>
      </c>
      <c r="AI32">
        <v>0</v>
      </c>
      <c r="AJ32" t="s">
        <v>550</v>
      </c>
      <c r="AK32" t="s">
        <v>659</v>
      </c>
      <c r="AL32" t="s">
        <v>551</v>
      </c>
    </row>
    <row r="33" spans="1:38" x14ac:dyDescent="0.2">
      <c r="A33">
        <v>1235510</v>
      </c>
      <c r="B33">
        <v>6129692</v>
      </c>
      <c r="C33">
        <v>187514</v>
      </c>
      <c r="E33" t="b">
        <v>0</v>
      </c>
      <c r="F33">
        <v>44349</v>
      </c>
      <c r="G33" t="s">
        <v>696</v>
      </c>
      <c r="H33">
        <v>1</v>
      </c>
      <c r="I33" t="s">
        <v>697</v>
      </c>
      <c r="J33" t="s">
        <v>534</v>
      </c>
      <c r="K33" t="s">
        <v>535</v>
      </c>
      <c r="L33" t="s">
        <v>535</v>
      </c>
      <c r="M33" t="s">
        <v>698</v>
      </c>
      <c r="N33" t="s">
        <v>205</v>
      </c>
      <c r="O33" t="s">
        <v>440</v>
      </c>
      <c r="U33" t="s">
        <v>699</v>
      </c>
      <c r="V33" t="s">
        <v>700</v>
      </c>
      <c r="W33" t="s">
        <v>701</v>
      </c>
      <c r="X33" t="s">
        <v>536</v>
      </c>
      <c r="Y33" t="s">
        <v>547</v>
      </c>
      <c r="AB33" t="s">
        <v>659</v>
      </c>
      <c r="AD33" t="s">
        <v>241</v>
      </c>
      <c r="AE33" t="s">
        <v>432</v>
      </c>
      <c r="AF33">
        <v>0</v>
      </c>
      <c r="AG33">
        <v>0</v>
      </c>
      <c r="AI33">
        <v>0</v>
      </c>
      <c r="AJ33" t="s">
        <v>550</v>
      </c>
      <c r="AK33" t="s">
        <v>659</v>
      </c>
      <c r="AL33" t="s">
        <v>551</v>
      </c>
    </row>
    <row r="34" spans="1:38" x14ac:dyDescent="0.2">
      <c r="A34">
        <v>1235590</v>
      </c>
      <c r="B34">
        <v>7948956</v>
      </c>
      <c r="C34">
        <v>187514</v>
      </c>
      <c r="E34" t="b">
        <v>0</v>
      </c>
      <c r="F34">
        <v>70164</v>
      </c>
      <c r="G34" t="s">
        <v>702</v>
      </c>
      <c r="H34">
        <v>1</v>
      </c>
      <c r="I34" t="s">
        <v>703</v>
      </c>
      <c r="J34" t="s">
        <v>704</v>
      </c>
      <c r="K34" t="s">
        <v>535</v>
      </c>
      <c r="L34" t="s">
        <v>535</v>
      </c>
      <c r="M34" t="s">
        <v>705</v>
      </c>
      <c r="N34" t="s">
        <v>207</v>
      </c>
      <c r="O34" t="s">
        <v>206</v>
      </c>
      <c r="U34" t="s">
        <v>706</v>
      </c>
      <c r="X34" t="s">
        <v>536</v>
      </c>
      <c r="Y34" t="s">
        <v>116</v>
      </c>
      <c r="Z34" t="s">
        <v>548</v>
      </c>
      <c r="AD34" t="s">
        <v>242</v>
      </c>
      <c r="AE34" t="s">
        <v>432</v>
      </c>
      <c r="AJ34" t="s">
        <v>550</v>
      </c>
      <c r="AK34" t="s">
        <v>659</v>
      </c>
      <c r="AL34" t="s">
        <v>551</v>
      </c>
    </row>
    <row r="35" spans="1:38" x14ac:dyDescent="0.2">
      <c r="A35">
        <v>1235489</v>
      </c>
      <c r="B35">
        <v>7008912</v>
      </c>
      <c r="C35">
        <v>187510</v>
      </c>
      <c r="E35" t="b">
        <v>0</v>
      </c>
      <c r="F35">
        <v>53750</v>
      </c>
      <c r="G35" t="s">
        <v>707</v>
      </c>
      <c r="H35">
        <v>1</v>
      </c>
      <c r="I35" t="s">
        <v>708</v>
      </c>
      <c r="J35" t="s">
        <v>534</v>
      </c>
      <c r="K35" t="s">
        <v>533</v>
      </c>
      <c r="L35" t="s">
        <v>535</v>
      </c>
      <c r="M35" t="s">
        <v>709</v>
      </c>
      <c r="N35" t="s">
        <v>424</v>
      </c>
      <c r="O35" t="s">
        <v>426</v>
      </c>
      <c r="S35" t="s">
        <v>587</v>
      </c>
      <c r="U35" t="s">
        <v>710</v>
      </c>
      <c r="V35" t="s">
        <v>711</v>
      </c>
      <c r="W35" t="s">
        <v>442</v>
      </c>
      <c r="X35" t="s">
        <v>536</v>
      </c>
      <c r="Y35" t="s">
        <v>116</v>
      </c>
      <c r="Z35" t="s">
        <v>548</v>
      </c>
      <c r="AA35" t="s">
        <v>22</v>
      </c>
      <c r="AB35" t="s">
        <v>591</v>
      </c>
      <c r="AD35" t="s">
        <v>427</v>
      </c>
      <c r="AE35" t="s">
        <v>427</v>
      </c>
      <c r="AF35">
        <v>0</v>
      </c>
      <c r="AG35">
        <v>0</v>
      </c>
      <c r="AH35">
        <v>76.25</v>
      </c>
      <c r="AI35">
        <v>0</v>
      </c>
      <c r="AJ35" t="s">
        <v>550</v>
      </c>
      <c r="AK35" t="s">
        <v>591</v>
      </c>
      <c r="AL35" t="s">
        <v>551</v>
      </c>
    </row>
    <row r="36" spans="1:38" x14ac:dyDescent="0.2">
      <c r="A36">
        <v>1235508</v>
      </c>
      <c r="B36">
        <v>4996970</v>
      </c>
      <c r="C36">
        <v>187508</v>
      </c>
      <c r="E36" t="b">
        <v>0</v>
      </c>
      <c r="F36">
        <v>28336</v>
      </c>
      <c r="G36" t="s">
        <v>712</v>
      </c>
      <c r="H36">
        <v>1</v>
      </c>
      <c r="I36" t="s">
        <v>713</v>
      </c>
      <c r="J36" t="s">
        <v>534</v>
      </c>
      <c r="K36" t="s">
        <v>535</v>
      </c>
      <c r="L36" t="s">
        <v>535</v>
      </c>
      <c r="M36" t="s">
        <v>714</v>
      </c>
      <c r="N36" t="s">
        <v>715</v>
      </c>
      <c r="O36" t="s">
        <v>438</v>
      </c>
      <c r="U36" t="s">
        <v>716</v>
      </c>
      <c r="X36" t="s">
        <v>536</v>
      </c>
      <c r="Y36" t="s">
        <v>116</v>
      </c>
      <c r="Z36" t="s">
        <v>548</v>
      </c>
      <c r="AD36" t="s">
        <v>717</v>
      </c>
      <c r="AE36" t="s">
        <v>411</v>
      </c>
      <c r="AJ36" t="s">
        <v>550</v>
      </c>
      <c r="AK36" t="s">
        <v>549</v>
      </c>
      <c r="AL36" t="s">
        <v>551</v>
      </c>
    </row>
    <row r="37" spans="1:38" x14ac:dyDescent="0.2">
      <c r="A37">
        <v>1235777</v>
      </c>
      <c r="B37">
        <v>5034456</v>
      </c>
      <c r="C37">
        <v>187514</v>
      </c>
      <c r="E37" t="b">
        <v>0</v>
      </c>
      <c r="F37">
        <v>29273</v>
      </c>
      <c r="G37" t="s">
        <v>718</v>
      </c>
      <c r="H37">
        <v>1</v>
      </c>
      <c r="I37" t="s">
        <v>719</v>
      </c>
      <c r="J37" t="s">
        <v>534</v>
      </c>
      <c r="K37" t="s">
        <v>535</v>
      </c>
      <c r="L37" t="s">
        <v>535</v>
      </c>
      <c r="M37" t="s">
        <v>720</v>
      </c>
      <c r="N37" t="s">
        <v>208</v>
      </c>
      <c r="O37" t="s">
        <v>489</v>
      </c>
      <c r="S37" t="s">
        <v>673</v>
      </c>
      <c r="V37" t="s">
        <v>721</v>
      </c>
      <c r="W37" t="s">
        <v>722</v>
      </c>
      <c r="X37" t="s">
        <v>536</v>
      </c>
      <c r="Y37" t="s">
        <v>116</v>
      </c>
      <c r="Z37" t="s">
        <v>548</v>
      </c>
      <c r="AB37" t="s">
        <v>659</v>
      </c>
      <c r="AD37" t="s">
        <v>244</v>
      </c>
      <c r="AE37" t="s">
        <v>490</v>
      </c>
      <c r="AF37">
        <v>0</v>
      </c>
      <c r="AG37">
        <v>0</v>
      </c>
      <c r="AH37">
        <v>27.5</v>
      </c>
      <c r="AI37">
        <v>0</v>
      </c>
      <c r="AJ37" t="s">
        <v>550</v>
      </c>
      <c r="AK37" t="s">
        <v>659</v>
      </c>
      <c r="AL37" t="s">
        <v>551</v>
      </c>
    </row>
    <row r="38" spans="1:38" x14ac:dyDescent="0.2">
      <c r="A38">
        <v>1235400</v>
      </c>
      <c r="B38">
        <v>6119636</v>
      </c>
      <c r="C38">
        <v>187514</v>
      </c>
      <c r="E38" t="b">
        <v>0</v>
      </c>
      <c r="F38">
        <v>44172</v>
      </c>
      <c r="G38" t="s">
        <v>723</v>
      </c>
      <c r="H38">
        <v>1</v>
      </c>
      <c r="I38" t="s">
        <v>724</v>
      </c>
      <c r="J38" t="s">
        <v>534</v>
      </c>
      <c r="K38" t="s">
        <v>535</v>
      </c>
      <c r="L38" t="s">
        <v>535</v>
      </c>
      <c r="M38" t="s">
        <v>725</v>
      </c>
      <c r="N38" t="s">
        <v>209</v>
      </c>
      <c r="O38" t="s">
        <v>410</v>
      </c>
      <c r="U38" t="s">
        <v>726</v>
      </c>
      <c r="V38" t="s">
        <v>727</v>
      </c>
      <c r="W38" t="s">
        <v>701</v>
      </c>
      <c r="X38" t="s">
        <v>536</v>
      </c>
      <c r="Y38" t="s">
        <v>547</v>
      </c>
      <c r="AB38" t="s">
        <v>659</v>
      </c>
      <c r="AD38" t="s">
        <v>245</v>
      </c>
      <c r="AE38" t="s">
        <v>411</v>
      </c>
      <c r="AF38">
        <v>0</v>
      </c>
      <c r="AG38">
        <v>0</v>
      </c>
      <c r="AI38">
        <v>0</v>
      </c>
      <c r="AJ38" t="s">
        <v>550</v>
      </c>
      <c r="AK38" t="s">
        <v>659</v>
      </c>
      <c r="AL38" t="s">
        <v>551</v>
      </c>
    </row>
    <row r="39" spans="1:38" x14ac:dyDescent="0.2">
      <c r="A39">
        <v>1235661</v>
      </c>
      <c r="B39">
        <v>8074219</v>
      </c>
      <c r="C39">
        <v>187514</v>
      </c>
      <c r="E39" t="b">
        <v>0</v>
      </c>
      <c r="F39">
        <v>72769</v>
      </c>
      <c r="G39" t="s">
        <v>728</v>
      </c>
      <c r="H39">
        <v>1</v>
      </c>
      <c r="I39" t="s">
        <v>729</v>
      </c>
      <c r="J39" t="s">
        <v>534</v>
      </c>
      <c r="K39" t="s">
        <v>535</v>
      </c>
      <c r="L39" t="s">
        <v>535</v>
      </c>
      <c r="M39" t="s">
        <v>730</v>
      </c>
      <c r="N39" t="s">
        <v>210</v>
      </c>
      <c r="O39" t="s">
        <v>474</v>
      </c>
      <c r="S39" t="s">
        <v>673</v>
      </c>
      <c r="U39" t="s">
        <v>731</v>
      </c>
      <c r="V39" t="s">
        <v>732</v>
      </c>
      <c r="W39" t="s">
        <v>505</v>
      </c>
      <c r="X39" t="s">
        <v>536</v>
      </c>
      <c r="Y39" t="s">
        <v>547</v>
      </c>
      <c r="Z39" t="s">
        <v>548</v>
      </c>
      <c r="AB39" t="s">
        <v>659</v>
      </c>
      <c r="AD39" t="s">
        <v>246</v>
      </c>
      <c r="AE39" t="s">
        <v>411</v>
      </c>
      <c r="AF39">
        <v>0</v>
      </c>
      <c r="AG39">
        <v>0</v>
      </c>
      <c r="AH39">
        <v>0</v>
      </c>
      <c r="AI39">
        <v>0</v>
      </c>
      <c r="AJ39" t="s">
        <v>550</v>
      </c>
      <c r="AK39" t="s">
        <v>659</v>
      </c>
      <c r="AL39" t="s">
        <v>551</v>
      </c>
    </row>
    <row r="40" spans="1:38" x14ac:dyDescent="0.2">
      <c r="A40">
        <v>1235507</v>
      </c>
      <c r="B40">
        <v>8085736</v>
      </c>
      <c r="C40">
        <v>187514</v>
      </c>
      <c r="E40" t="b">
        <v>0</v>
      </c>
      <c r="F40">
        <v>72935</v>
      </c>
      <c r="G40" t="s">
        <v>733</v>
      </c>
      <c r="H40">
        <v>1</v>
      </c>
      <c r="I40" t="s">
        <v>734</v>
      </c>
      <c r="J40" t="s">
        <v>533</v>
      </c>
      <c r="K40" t="s">
        <v>533</v>
      </c>
      <c r="L40" t="s">
        <v>533</v>
      </c>
      <c r="M40" t="s">
        <v>735</v>
      </c>
      <c r="N40" t="s">
        <v>211</v>
      </c>
      <c r="O40" t="s">
        <v>437</v>
      </c>
      <c r="U40" t="s">
        <v>736</v>
      </c>
      <c r="V40" t="s">
        <v>737</v>
      </c>
      <c r="W40" t="s">
        <v>468</v>
      </c>
      <c r="X40" t="s">
        <v>536</v>
      </c>
      <c r="Y40" t="s">
        <v>547</v>
      </c>
      <c r="AB40" t="s">
        <v>659</v>
      </c>
      <c r="AD40" t="s">
        <v>247</v>
      </c>
      <c r="AE40" t="s">
        <v>411</v>
      </c>
      <c r="AF40">
        <v>0</v>
      </c>
      <c r="AG40">
        <v>0</v>
      </c>
      <c r="AI40">
        <v>0</v>
      </c>
      <c r="AJ40" t="s">
        <v>550</v>
      </c>
      <c r="AK40" t="s">
        <v>659</v>
      </c>
      <c r="AL40" t="s">
        <v>551</v>
      </c>
    </row>
    <row r="42" spans="1:38" x14ac:dyDescent="0.2">
      <c r="A42">
        <v>1235500</v>
      </c>
      <c r="B42">
        <v>8128420</v>
      </c>
      <c r="C42">
        <v>187514</v>
      </c>
      <c r="E42" t="b">
        <v>0</v>
      </c>
      <c r="F42">
        <v>73271</v>
      </c>
      <c r="G42" t="s">
        <v>738</v>
      </c>
      <c r="H42">
        <v>1</v>
      </c>
      <c r="I42" t="s">
        <v>739</v>
      </c>
      <c r="J42" t="s">
        <v>534</v>
      </c>
      <c r="K42" t="s">
        <v>533</v>
      </c>
      <c r="L42" t="s">
        <v>535</v>
      </c>
      <c r="M42" t="s">
        <v>740</v>
      </c>
      <c r="N42" t="s">
        <v>212</v>
      </c>
      <c r="O42" t="s">
        <v>429</v>
      </c>
      <c r="U42" t="s">
        <v>741</v>
      </c>
      <c r="V42" t="s">
        <v>742</v>
      </c>
      <c r="W42" t="s">
        <v>107</v>
      </c>
      <c r="X42" t="s">
        <v>536</v>
      </c>
      <c r="Y42" t="s">
        <v>116</v>
      </c>
      <c r="Z42" t="s">
        <v>548</v>
      </c>
      <c r="AB42" t="s">
        <v>659</v>
      </c>
      <c r="AD42" t="s">
        <v>248</v>
      </c>
      <c r="AE42" t="s">
        <v>411</v>
      </c>
      <c r="AF42">
        <v>0</v>
      </c>
      <c r="AG42">
        <v>0</v>
      </c>
      <c r="AH42">
        <v>0</v>
      </c>
      <c r="AI42">
        <v>0</v>
      </c>
      <c r="AJ42" t="s">
        <v>550</v>
      </c>
      <c r="AK42" t="s">
        <v>659</v>
      </c>
      <c r="AL42" t="s">
        <v>551</v>
      </c>
    </row>
    <row r="43" spans="1:38" x14ac:dyDescent="0.2">
      <c r="A43">
        <v>1235509</v>
      </c>
      <c r="B43">
        <v>6206718</v>
      </c>
      <c r="C43">
        <v>187514</v>
      </c>
      <c r="E43" t="b">
        <v>0</v>
      </c>
      <c r="F43">
        <v>46040</v>
      </c>
      <c r="G43" t="s">
        <v>743</v>
      </c>
      <c r="H43">
        <v>2</v>
      </c>
      <c r="I43" t="s">
        <v>744</v>
      </c>
      <c r="J43" t="s">
        <v>534</v>
      </c>
      <c r="K43" t="s">
        <v>535</v>
      </c>
      <c r="L43" t="s">
        <v>535</v>
      </c>
      <c r="M43" t="s">
        <v>745</v>
      </c>
      <c r="N43" t="s">
        <v>213</v>
      </c>
      <c r="O43" t="s">
        <v>439</v>
      </c>
      <c r="U43" t="s">
        <v>746</v>
      </c>
      <c r="V43" t="s">
        <v>747</v>
      </c>
      <c r="W43" t="s">
        <v>722</v>
      </c>
      <c r="X43" t="s">
        <v>536</v>
      </c>
      <c r="Y43" t="s">
        <v>547</v>
      </c>
      <c r="AB43" t="s">
        <v>659</v>
      </c>
      <c r="AD43" t="s">
        <v>249</v>
      </c>
      <c r="AE43" t="s">
        <v>411</v>
      </c>
      <c r="AF43">
        <v>0</v>
      </c>
      <c r="AG43">
        <v>0</v>
      </c>
      <c r="AI43">
        <v>0</v>
      </c>
      <c r="AJ43" t="s">
        <v>550</v>
      </c>
      <c r="AK43" t="s">
        <v>659</v>
      </c>
      <c r="AL43" t="s">
        <v>551</v>
      </c>
    </row>
    <row r="44" spans="1:38" x14ac:dyDescent="0.2">
      <c r="A44">
        <v>1235498</v>
      </c>
      <c r="B44">
        <v>4234901</v>
      </c>
      <c r="C44">
        <v>187508</v>
      </c>
      <c r="E44" t="b">
        <v>0</v>
      </c>
      <c r="F44">
        <v>24455</v>
      </c>
      <c r="G44" t="s">
        <v>748</v>
      </c>
      <c r="H44">
        <v>1</v>
      </c>
      <c r="I44" t="s">
        <v>749</v>
      </c>
      <c r="J44" t="s">
        <v>534</v>
      </c>
      <c r="K44" t="s">
        <v>535</v>
      </c>
      <c r="L44" t="s">
        <v>535</v>
      </c>
      <c r="M44" t="s">
        <v>750</v>
      </c>
      <c r="N44" t="s">
        <v>214</v>
      </c>
      <c r="O44" t="s">
        <v>428</v>
      </c>
      <c r="S44" t="s">
        <v>751</v>
      </c>
      <c r="U44" t="s">
        <v>752</v>
      </c>
      <c r="V44" t="s">
        <v>753</v>
      </c>
      <c r="W44" t="s">
        <v>754</v>
      </c>
      <c r="X44" t="s">
        <v>536</v>
      </c>
      <c r="Y44" t="s">
        <v>116</v>
      </c>
      <c r="Z44" t="s">
        <v>548</v>
      </c>
      <c r="AB44" t="s">
        <v>549</v>
      </c>
      <c r="AD44" t="s">
        <v>250</v>
      </c>
      <c r="AE44" t="s">
        <v>411</v>
      </c>
      <c r="AF44">
        <v>0</v>
      </c>
      <c r="AG44">
        <v>0</v>
      </c>
      <c r="AH44">
        <v>68</v>
      </c>
      <c r="AI44">
        <v>0</v>
      </c>
      <c r="AJ44" t="s">
        <v>550</v>
      </c>
      <c r="AK44" t="s">
        <v>549</v>
      </c>
      <c r="AL44" t="s">
        <v>551</v>
      </c>
    </row>
    <row r="45" spans="1:38" x14ac:dyDescent="0.2">
      <c r="A45">
        <v>1235401</v>
      </c>
      <c r="B45">
        <v>6140648</v>
      </c>
      <c r="C45">
        <v>187514</v>
      </c>
      <c r="E45" t="b">
        <v>0</v>
      </c>
      <c r="F45">
        <v>44618</v>
      </c>
      <c r="G45" t="s">
        <v>755</v>
      </c>
      <c r="H45">
        <v>1</v>
      </c>
      <c r="I45" t="s">
        <v>756</v>
      </c>
      <c r="J45" t="s">
        <v>534</v>
      </c>
      <c r="K45" t="s">
        <v>535</v>
      </c>
      <c r="L45" t="s">
        <v>535</v>
      </c>
      <c r="M45" t="s">
        <v>757</v>
      </c>
      <c r="N45" t="s">
        <v>215</v>
      </c>
      <c r="O45" t="s">
        <v>412</v>
      </c>
      <c r="P45" t="s">
        <v>115</v>
      </c>
      <c r="U45" t="s">
        <v>758</v>
      </c>
      <c r="V45" t="s">
        <v>759</v>
      </c>
      <c r="W45" t="s">
        <v>166</v>
      </c>
      <c r="X45" t="s">
        <v>536</v>
      </c>
      <c r="Y45" t="s">
        <v>116</v>
      </c>
      <c r="AB45" t="s">
        <v>659</v>
      </c>
      <c r="AD45" t="s">
        <v>251</v>
      </c>
      <c r="AE45" t="s">
        <v>411</v>
      </c>
      <c r="AF45">
        <v>0</v>
      </c>
      <c r="AG45">
        <v>0</v>
      </c>
      <c r="AI45">
        <v>0</v>
      </c>
      <c r="AJ45" t="s">
        <v>550</v>
      </c>
      <c r="AK45" t="s">
        <v>659</v>
      </c>
      <c r="AL45" t="s">
        <v>551</v>
      </c>
    </row>
    <row r="46" spans="1:38" x14ac:dyDescent="0.2">
      <c r="A46">
        <v>1235402</v>
      </c>
      <c r="B46">
        <v>8128495</v>
      </c>
      <c r="C46">
        <v>187514</v>
      </c>
      <c r="E46" t="b">
        <v>0</v>
      </c>
      <c r="F46">
        <v>73279</v>
      </c>
      <c r="G46" t="s">
        <v>760</v>
      </c>
      <c r="H46">
        <v>1</v>
      </c>
      <c r="I46" t="s">
        <v>761</v>
      </c>
      <c r="J46" t="s">
        <v>534</v>
      </c>
      <c r="K46" t="s">
        <v>535</v>
      </c>
      <c r="L46" t="s">
        <v>535</v>
      </c>
      <c r="M46" t="s">
        <v>762</v>
      </c>
      <c r="N46" t="s">
        <v>216</v>
      </c>
      <c r="O46" t="s">
        <v>414</v>
      </c>
      <c r="P46" t="s">
        <v>115</v>
      </c>
      <c r="U46" t="s">
        <v>763</v>
      </c>
      <c r="V46" t="s">
        <v>764</v>
      </c>
      <c r="W46" t="s">
        <v>107</v>
      </c>
      <c r="X46" t="s">
        <v>536</v>
      </c>
      <c r="Y46" t="s">
        <v>116</v>
      </c>
      <c r="Z46" t="s">
        <v>548</v>
      </c>
      <c r="AB46" t="s">
        <v>659</v>
      </c>
      <c r="AD46" t="s">
        <v>252</v>
      </c>
      <c r="AE46" t="s">
        <v>411</v>
      </c>
      <c r="AF46">
        <v>0</v>
      </c>
      <c r="AG46">
        <v>0</v>
      </c>
      <c r="AH46">
        <v>0</v>
      </c>
      <c r="AI46">
        <v>0</v>
      </c>
      <c r="AJ46" t="s">
        <v>550</v>
      </c>
      <c r="AK46" t="s">
        <v>659</v>
      </c>
      <c r="AL46" t="s">
        <v>551</v>
      </c>
    </row>
    <row r="47" spans="1:38" x14ac:dyDescent="0.2">
      <c r="A47">
        <v>1235610</v>
      </c>
      <c r="B47">
        <v>3518992</v>
      </c>
      <c r="E47" t="b">
        <v>0</v>
      </c>
      <c r="F47">
        <v>7771</v>
      </c>
      <c r="G47" t="s">
        <v>765</v>
      </c>
      <c r="H47">
        <v>1</v>
      </c>
      <c r="I47" t="s">
        <v>766</v>
      </c>
      <c r="J47" t="s">
        <v>534</v>
      </c>
      <c r="K47" t="s">
        <v>533</v>
      </c>
      <c r="L47" t="s">
        <v>535</v>
      </c>
      <c r="M47" t="s">
        <v>767</v>
      </c>
      <c r="N47" t="s">
        <v>222</v>
      </c>
      <c r="O47" t="s">
        <v>221</v>
      </c>
      <c r="P47" t="s">
        <v>458</v>
      </c>
      <c r="S47" t="s">
        <v>579</v>
      </c>
      <c r="V47" t="s">
        <v>768</v>
      </c>
      <c r="W47" t="s">
        <v>442</v>
      </c>
      <c r="X47" t="s">
        <v>536</v>
      </c>
      <c r="Y47" t="s">
        <v>116</v>
      </c>
      <c r="Z47" t="s">
        <v>548</v>
      </c>
      <c r="AD47" t="s">
        <v>220</v>
      </c>
      <c r="AE47" t="s">
        <v>459</v>
      </c>
      <c r="AF47">
        <v>0</v>
      </c>
      <c r="AG47">
        <v>0</v>
      </c>
      <c r="AH47">
        <v>41</v>
      </c>
      <c r="AI47">
        <v>0</v>
      </c>
      <c r="AJ47" t="s">
        <v>769</v>
      </c>
    </row>
    <row r="49" spans="1:38" x14ac:dyDescent="0.2">
      <c r="A49">
        <v>1235673</v>
      </c>
      <c r="B49">
        <v>7098933</v>
      </c>
      <c r="C49">
        <v>187514</v>
      </c>
      <c r="E49" t="b">
        <v>0</v>
      </c>
      <c r="F49">
        <v>55608</v>
      </c>
      <c r="G49" t="s">
        <v>770</v>
      </c>
      <c r="H49">
        <v>1</v>
      </c>
      <c r="I49" t="s">
        <v>771</v>
      </c>
      <c r="J49" t="s">
        <v>534</v>
      </c>
      <c r="K49" t="s">
        <v>535</v>
      </c>
      <c r="L49" t="s">
        <v>535</v>
      </c>
      <c r="M49" t="s">
        <v>772</v>
      </c>
      <c r="N49" t="s">
        <v>327</v>
      </c>
      <c r="O49" t="s">
        <v>475</v>
      </c>
      <c r="U49" t="s">
        <v>773</v>
      </c>
      <c r="V49" t="s">
        <v>774</v>
      </c>
      <c r="W49" t="s">
        <v>107</v>
      </c>
      <c r="X49" t="s">
        <v>536</v>
      </c>
      <c r="Y49" t="s">
        <v>547</v>
      </c>
      <c r="Z49" t="s">
        <v>548</v>
      </c>
      <c r="AB49" t="s">
        <v>659</v>
      </c>
      <c r="AD49" t="s">
        <v>326</v>
      </c>
      <c r="AE49" t="s">
        <v>444</v>
      </c>
      <c r="AF49">
        <v>0</v>
      </c>
      <c r="AG49">
        <v>0</v>
      </c>
      <c r="AH49">
        <v>27.5</v>
      </c>
      <c r="AI49">
        <v>0</v>
      </c>
      <c r="AJ49" t="s">
        <v>550</v>
      </c>
      <c r="AK49" t="s">
        <v>659</v>
      </c>
      <c r="AL49" t="s">
        <v>551</v>
      </c>
    </row>
    <row r="50" spans="1:38" x14ac:dyDescent="0.2">
      <c r="A50">
        <v>1235526</v>
      </c>
      <c r="B50">
        <v>6917566</v>
      </c>
      <c r="C50">
        <v>187514</v>
      </c>
      <c r="E50" t="b">
        <v>0</v>
      </c>
      <c r="F50">
        <v>51875</v>
      </c>
      <c r="G50" t="s">
        <v>775</v>
      </c>
      <c r="H50">
        <v>1</v>
      </c>
      <c r="I50" t="s">
        <v>776</v>
      </c>
      <c r="J50" t="s">
        <v>534</v>
      </c>
      <c r="K50" t="s">
        <v>535</v>
      </c>
      <c r="L50" t="s">
        <v>535</v>
      </c>
      <c r="M50" t="s">
        <v>777</v>
      </c>
      <c r="N50" t="s">
        <v>217</v>
      </c>
      <c r="O50" t="s">
        <v>443</v>
      </c>
      <c r="U50" t="s">
        <v>778</v>
      </c>
      <c r="V50" t="s">
        <v>779</v>
      </c>
      <c r="W50" t="s">
        <v>456</v>
      </c>
      <c r="X50" t="s">
        <v>536</v>
      </c>
      <c r="Y50" t="s">
        <v>547</v>
      </c>
      <c r="AB50" t="s">
        <v>659</v>
      </c>
      <c r="AD50" t="s">
        <v>253</v>
      </c>
      <c r="AE50" t="s">
        <v>444</v>
      </c>
      <c r="AF50">
        <v>0</v>
      </c>
      <c r="AG50">
        <v>0</v>
      </c>
      <c r="AI50">
        <v>0</v>
      </c>
      <c r="AJ50" t="s">
        <v>550</v>
      </c>
      <c r="AK50" t="s">
        <v>659</v>
      </c>
      <c r="AL50" t="s">
        <v>551</v>
      </c>
    </row>
    <row r="51" spans="1:38" x14ac:dyDescent="0.2">
      <c r="A51">
        <v>2635568</v>
      </c>
      <c r="B51">
        <v>7621062</v>
      </c>
      <c r="C51">
        <v>187514</v>
      </c>
      <c r="E51" t="b">
        <v>0</v>
      </c>
      <c r="F51">
        <v>64450</v>
      </c>
      <c r="G51" t="s">
        <v>780</v>
      </c>
      <c r="H51">
        <v>1</v>
      </c>
      <c r="I51" t="s">
        <v>781</v>
      </c>
      <c r="J51" t="s">
        <v>533</v>
      </c>
      <c r="K51" t="s">
        <v>533</v>
      </c>
      <c r="L51" t="s">
        <v>533</v>
      </c>
      <c r="M51" t="s">
        <v>782</v>
      </c>
      <c r="N51" t="s">
        <v>218</v>
      </c>
      <c r="O51" t="s">
        <v>503</v>
      </c>
      <c r="U51" t="s">
        <v>783</v>
      </c>
      <c r="V51" t="s">
        <v>784</v>
      </c>
      <c r="W51" t="s">
        <v>496</v>
      </c>
      <c r="X51" t="s">
        <v>536</v>
      </c>
      <c r="Y51" t="s">
        <v>413</v>
      </c>
      <c r="Z51" t="s">
        <v>548</v>
      </c>
      <c r="AB51" t="s">
        <v>659</v>
      </c>
      <c r="AD51" t="s">
        <v>254</v>
      </c>
      <c r="AE51" t="s">
        <v>444</v>
      </c>
      <c r="AF51">
        <v>0</v>
      </c>
      <c r="AG51">
        <v>0</v>
      </c>
      <c r="AH51">
        <v>27.5</v>
      </c>
      <c r="AI51">
        <v>0</v>
      </c>
      <c r="AJ51" t="s">
        <v>550</v>
      </c>
      <c r="AK51" t="s">
        <v>659</v>
      </c>
      <c r="AL51" t="s">
        <v>551</v>
      </c>
    </row>
    <row r="52" spans="1:38" x14ac:dyDescent="0.2">
      <c r="A52">
        <v>1235345</v>
      </c>
      <c r="B52">
        <v>7865996</v>
      </c>
      <c r="C52">
        <v>7654931</v>
      </c>
      <c r="E52" t="b">
        <v>0</v>
      </c>
      <c r="F52">
        <v>68489</v>
      </c>
      <c r="G52" t="s">
        <v>785</v>
      </c>
      <c r="H52">
        <v>1</v>
      </c>
      <c r="I52" t="s">
        <v>786</v>
      </c>
      <c r="J52" t="s">
        <v>534</v>
      </c>
      <c r="K52" t="s">
        <v>535</v>
      </c>
      <c r="L52" t="s">
        <v>535</v>
      </c>
      <c r="M52" t="s">
        <v>787</v>
      </c>
      <c r="N52" t="s">
        <v>184</v>
      </c>
      <c r="O52" t="s">
        <v>184</v>
      </c>
      <c r="P52" t="s">
        <v>405</v>
      </c>
      <c r="S52" t="s">
        <v>788</v>
      </c>
      <c r="U52" t="s">
        <v>789</v>
      </c>
      <c r="V52" t="s">
        <v>790</v>
      </c>
      <c r="W52" t="s">
        <v>791</v>
      </c>
      <c r="X52" t="s">
        <v>536</v>
      </c>
      <c r="Y52" t="s">
        <v>116</v>
      </c>
      <c r="Z52" t="s">
        <v>792</v>
      </c>
      <c r="AB52" t="s">
        <v>574</v>
      </c>
      <c r="AD52" t="s">
        <v>183</v>
      </c>
      <c r="AE52" t="s">
        <v>406</v>
      </c>
      <c r="AF52">
        <v>0</v>
      </c>
      <c r="AG52">
        <v>0</v>
      </c>
      <c r="AH52">
        <v>117.75</v>
      </c>
      <c r="AI52">
        <v>0</v>
      </c>
      <c r="AJ52" t="s">
        <v>550</v>
      </c>
      <c r="AK52" t="s">
        <v>574</v>
      </c>
      <c r="AL52" t="s">
        <v>793</v>
      </c>
    </row>
    <row r="53" spans="1:38" x14ac:dyDescent="0.2">
      <c r="A53">
        <v>1235444</v>
      </c>
      <c r="B53">
        <v>7855800</v>
      </c>
      <c r="C53">
        <v>187508</v>
      </c>
      <c r="E53" t="b">
        <v>0</v>
      </c>
      <c r="F53">
        <v>68290</v>
      </c>
      <c r="G53" t="s">
        <v>794</v>
      </c>
      <c r="H53">
        <v>1</v>
      </c>
      <c r="I53" t="s">
        <v>795</v>
      </c>
      <c r="J53" t="s">
        <v>534</v>
      </c>
      <c r="K53" t="s">
        <v>533</v>
      </c>
      <c r="L53" t="s">
        <v>535</v>
      </c>
      <c r="M53" t="s">
        <v>796</v>
      </c>
      <c r="N53" t="s">
        <v>188</v>
      </c>
      <c r="O53" t="s">
        <v>187</v>
      </c>
      <c r="P53" t="s">
        <v>115</v>
      </c>
      <c r="S53" t="s">
        <v>587</v>
      </c>
      <c r="U53" t="s">
        <v>797</v>
      </c>
      <c r="V53" t="s">
        <v>798</v>
      </c>
      <c r="W53" t="s">
        <v>442</v>
      </c>
      <c r="X53" t="s">
        <v>536</v>
      </c>
      <c r="Y53" t="s">
        <v>547</v>
      </c>
      <c r="Z53" t="s">
        <v>548</v>
      </c>
      <c r="AB53" t="s">
        <v>549</v>
      </c>
      <c r="AD53" t="s">
        <v>423</v>
      </c>
      <c r="AE53" t="s">
        <v>799</v>
      </c>
      <c r="AF53">
        <v>0</v>
      </c>
      <c r="AG53">
        <v>0</v>
      </c>
      <c r="AH53">
        <v>102</v>
      </c>
      <c r="AI53">
        <v>0</v>
      </c>
      <c r="AJ53" t="s">
        <v>550</v>
      </c>
      <c r="AK53" t="s">
        <v>549</v>
      </c>
      <c r="AL53" t="s">
        <v>551</v>
      </c>
    </row>
    <row r="54" spans="1:38" x14ac:dyDescent="0.2">
      <c r="A54">
        <v>1235564</v>
      </c>
      <c r="B54">
        <v>7890061</v>
      </c>
      <c r="C54">
        <v>187508</v>
      </c>
      <c r="E54" t="b">
        <v>0</v>
      </c>
      <c r="F54">
        <v>69031</v>
      </c>
      <c r="G54" t="s">
        <v>800</v>
      </c>
      <c r="H54">
        <v>1</v>
      </c>
      <c r="I54" t="s">
        <v>801</v>
      </c>
      <c r="J54" t="s">
        <v>534</v>
      </c>
      <c r="K54" t="s">
        <v>533</v>
      </c>
      <c r="L54" t="s">
        <v>535</v>
      </c>
      <c r="M54" t="s">
        <v>802</v>
      </c>
      <c r="N54" t="s">
        <v>193</v>
      </c>
      <c r="O54" t="s">
        <v>192</v>
      </c>
      <c r="S54" t="s">
        <v>803</v>
      </c>
      <c r="U54" t="s">
        <v>804</v>
      </c>
      <c r="V54" t="s">
        <v>805</v>
      </c>
      <c r="W54" t="s">
        <v>442</v>
      </c>
      <c r="X54" t="s">
        <v>536</v>
      </c>
      <c r="Y54" t="s">
        <v>547</v>
      </c>
      <c r="Z54" t="s">
        <v>548</v>
      </c>
      <c r="AB54" t="s">
        <v>549</v>
      </c>
      <c r="AD54" t="s">
        <v>191</v>
      </c>
      <c r="AE54" t="s">
        <v>454</v>
      </c>
      <c r="AF54">
        <v>0</v>
      </c>
      <c r="AG54">
        <v>0</v>
      </c>
      <c r="AH54">
        <v>75</v>
      </c>
      <c r="AI54">
        <v>0</v>
      </c>
      <c r="AJ54" t="s">
        <v>550</v>
      </c>
      <c r="AK54" t="s">
        <v>549</v>
      </c>
      <c r="AL54" t="s">
        <v>551</v>
      </c>
    </row>
    <row r="55" spans="1:38" x14ac:dyDescent="0.2">
      <c r="A55">
        <v>1235501</v>
      </c>
      <c r="B55">
        <v>8010165</v>
      </c>
      <c r="C55">
        <v>187508</v>
      </c>
      <c r="E55" t="b">
        <v>0</v>
      </c>
      <c r="F55">
        <v>71410</v>
      </c>
      <c r="G55" t="s">
        <v>806</v>
      </c>
      <c r="H55">
        <v>1</v>
      </c>
      <c r="I55" t="s">
        <v>807</v>
      </c>
      <c r="J55" t="s">
        <v>534</v>
      </c>
      <c r="K55" t="s">
        <v>533</v>
      </c>
      <c r="L55" t="s">
        <v>535</v>
      </c>
      <c r="M55" t="s">
        <v>808</v>
      </c>
      <c r="N55" t="s">
        <v>196</v>
      </c>
      <c r="O55" t="s">
        <v>195</v>
      </c>
      <c r="P55" t="s">
        <v>413</v>
      </c>
      <c r="S55" t="s">
        <v>587</v>
      </c>
      <c r="U55" t="s">
        <v>625</v>
      </c>
      <c r="V55" t="s">
        <v>809</v>
      </c>
      <c r="W55" t="s">
        <v>442</v>
      </c>
      <c r="X55" t="s">
        <v>536</v>
      </c>
      <c r="Y55" t="s">
        <v>547</v>
      </c>
      <c r="Z55" t="s">
        <v>548</v>
      </c>
      <c r="AB55" t="s">
        <v>549</v>
      </c>
      <c r="AD55" t="s">
        <v>194</v>
      </c>
      <c r="AE55" t="s">
        <v>430</v>
      </c>
      <c r="AF55">
        <v>0</v>
      </c>
      <c r="AG55">
        <v>0</v>
      </c>
      <c r="AH55">
        <v>75</v>
      </c>
      <c r="AI55">
        <v>0</v>
      </c>
      <c r="AJ55" t="s">
        <v>550</v>
      </c>
      <c r="AK55" t="s">
        <v>549</v>
      </c>
      <c r="AL55" t="s">
        <v>551</v>
      </c>
    </row>
    <row r="56" spans="1:38" x14ac:dyDescent="0.2">
      <c r="A56">
        <v>1235704</v>
      </c>
      <c r="B56">
        <v>8031653</v>
      </c>
      <c r="C56">
        <v>187514</v>
      </c>
      <c r="E56" t="b">
        <v>0</v>
      </c>
      <c r="F56">
        <v>71907</v>
      </c>
      <c r="G56" t="s">
        <v>810</v>
      </c>
      <c r="H56">
        <v>1</v>
      </c>
      <c r="I56" t="s">
        <v>811</v>
      </c>
      <c r="J56" t="s">
        <v>534</v>
      </c>
      <c r="K56" t="s">
        <v>535</v>
      </c>
      <c r="L56" t="s">
        <v>535</v>
      </c>
      <c r="M56" t="s">
        <v>812</v>
      </c>
      <c r="N56" t="s">
        <v>262</v>
      </c>
      <c r="O56" t="s">
        <v>481</v>
      </c>
      <c r="S56" t="s">
        <v>673</v>
      </c>
      <c r="U56" t="s">
        <v>813</v>
      </c>
      <c r="V56" t="s">
        <v>814</v>
      </c>
      <c r="W56" t="s">
        <v>375</v>
      </c>
      <c r="X56" t="s">
        <v>536</v>
      </c>
      <c r="Y56" t="s">
        <v>413</v>
      </c>
      <c r="Z56" t="s">
        <v>548</v>
      </c>
      <c r="AB56" t="s">
        <v>659</v>
      </c>
      <c r="AD56" t="s">
        <v>261</v>
      </c>
      <c r="AE56" t="s">
        <v>261</v>
      </c>
      <c r="AF56">
        <v>0</v>
      </c>
      <c r="AG56">
        <v>0</v>
      </c>
      <c r="AH56">
        <v>27.5</v>
      </c>
      <c r="AI56">
        <v>0</v>
      </c>
      <c r="AJ56" t="s">
        <v>550</v>
      </c>
      <c r="AK56" t="s">
        <v>659</v>
      </c>
      <c r="AL56" t="s">
        <v>551</v>
      </c>
    </row>
    <row r="57" spans="1:38" x14ac:dyDescent="0.2">
      <c r="A57">
        <v>1235563</v>
      </c>
      <c r="B57">
        <v>7009411</v>
      </c>
      <c r="C57">
        <v>7589603</v>
      </c>
      <c r="E57" t="b">
        <v>0</v>
      </c>
      <c r="F57">
        <v>53782</v>
      </c>
      <c r="G57" t="s">
        <v>815</v>
      </c>
      <c r="H57">
        <v>1</v>
      </c>
      <c r="I57" t="s">
        <v>816</v>
      </c>
      <c r="J57" t="s">
        <v>534</v>
      </c>
      <c r="K57" t="s">
        <v>533</v>
      </c>
      <c r="L57" t="s">
        <v>535</v>
      </c>
      <c r="M57" t="s">
        <v>817</v>
      </c>
      <c r="N57" t="s">
        <v>228</v>
      </c>
      <c r="O57" t="s">
        <v>228</v>
      </c>
      <c r="P57" t="s">
        <v>451</v>
      </c>
      <c r="S57" t="s">
        <v>579</v>
      </c>
      <c r="U57" t="s">
        <v>818</v>
      </c>
      <c r="V57" t="s">
        <v>819</v>
      </c>
      <c r="W57" t="s">
        <v>442</v>
      </c>
      <c r="X57" t="s">
        <v>536</v>
      </c>
      <c r="Y57" t="s">
        <v>116</v>
      </c>
      <c r="Z57" t="s">
        <v>548</v>
      </c>
      <c r="AB57" t="s">
        <v>574</v>
      </c>
      <c r="AD57" t="s">
        <v>452</v>
      </c>
      <c r="AE57" t="s">
        <v>453</v>
      </c>
      <c r="AF57">
        <v>0</v>
      </c>
      <c r="AG57">
        <v>0</v>
      </c>
      <c r="AH57">
        <v>46</v>
      </c>
      <c r="AI57">
        <v>0</v>
      </c>
      <c r="AJ57" t="s">
        <v>550</v>
      </c>
      <c r="AK57" t="s">
        <v>574</v>
      </c>
      <c r="AL57" t="s">
        <v>583</v>
      </c>
    </row>
    <row r="58" spans="1:38" x14ac:dyDescent="0.2">
      <c r="A58">
        <v>1235428</v>
      </c>
      <c r="B58">
        <v>3934094</v>
      </c>
      <c r="C58">
        <v>7589603</v>
      </c>
      <c r="E58" t="b">
        <v>0</v>
      </c>
      <c r="F58">
        <v>17702</v>
      </c>
      <c r="G58" t="s">
        <v>820</v>
      </c>
      <c r="H58">
        <v>1</v>
      </c>
      <c r="I58" t="s">
        <v>821</v>
      </c>
      <c r="J58" t="s">
        <v>534</v>
      </c>
      <c r="K58" t="s">
        <v>535</v>
      </c>
      <c r="L58" t="s">
        <v>535</v>
      </c>
      <c r="M58" t="s">
        <v>822</v>
      </c>
      <c r="N58" t="s">
        <v>229</v>
      </c>
      <c r="O58" t="s">
        <v>229</v>
      </c>
      <c r="P58" t="s">
        <v>754</v>
      </c>
      <c r="S58" t="s">
        <v>579</v>
      </c>
      <c r="V58" t="s">
        <v>823</v>
      </c>
      <c r="W58" t="s">
        <v>442</v>
      </c>
      <c r="X58" t="s">
        <v>536</v>
      </c>
      <c r="Y58" t="s">
        <v>116</v>
      </c>
      <c r="Z58" t="s">
        <v>548</v>
      </c>
      <c r="AB58" t="s">
        <v>574</v>
      </c>
      <c r="AD58" t="s">
        <v>824</v>
      </c>
      <c r="AE58" t="s">
        <v>825</v>
      </c>
      <c r="AF58">
        <v>0</v>
      </c>
      <c r="AG58">
        <v>0</v>
      </c>
      <c r="AH58">
        <v>41</v>
      </c>
      <c r="AI58">
        <v>0</v>
      </c>
      <c r="AJ58" t="s">
        <v>550</v>
      </c>
      <c r="AK58" t="s">
        <v>574</v>
      </c>
      <c r="AL58" t="s">
        <v>583</v>
      </c>
    </row>
    <row r="59" spans="1:38" x14ac:dyDescent="0.2">
      <c r="A59">
        <v>2822437</v>
      </c>
    </row>
    <row r="60" spans="1:38" x14ac:dyDescent="0.2">
      <c r="A60">
        <v>1235598</v>
      </c>
      <c r="B60">
        <v>7490110</v>
      </c>
      <c r="C60">
        <v>7589602</v>
      </c>
      <c r="E60" t="b">
        <v>0</v>
      </c>
      <c r="F60">
        <v>61175</v>
      </c>
      <c r="G60" t="s">
        <v>826</v>
      </c>
      <c r="H60">
        <v>1</v>
      </c>
      <c r="I60" t="s">
        <v>827</v>
      </c>
      <c r="J60" t="s">
        <v>534</v>
      </c>
      <c r="K60" t="s">
        <v>533</v>
      </c>
      <c r="L60" t="s">
        <v>535</v>
      </c>
      <c r="M60" t="s">
        <v>828</v>
      </c>
      <c r="N60" t="s">
        <v>185</v>
      </c>
      <c r="O60" t="s">
        <v>185</v>
      </c>
      <c r="P60" t="s">
        <v>442</v>
      </c>
      <c r="S60" t="s">
        <v>587</v>
      </c>
      <c r="U60" t="s">
        <v>829</v>
      </c>
      <c r="V60" t="s">
        <v>830</v>
      </c>
      <c r="W60" t="s">
        <v>442</v>
      </c>
      <c r="X60" t="s">
        <v>536</v>
      </c>
      <c r="Y60" t="s">
        <v>116</v>
      </c>
      <c r="Z60" t="s">
        <v>548</v>
      </c>
      <c r="AA60" t="s">
        <v>22</v>
      </c>
      <c r="AB60" t="s">
        <v>591</v>
      </c>
      <c r="AD60" t="s">
        <v>457</v>
      </c>
      <c r="AE60" t="s">
        <v>457</v>
      </c>
      <c r="AF60">
        <v>0</v>
      </c>
      <c r="AG60">
        <v>0</v>
      </c>
      <c r="AH60">
        <v>76.25</v>
      </c>
      <c r="AI60">
        <v>0</v>
      </c>
      <c r="AJ60" t="s">
        <v>550</v>
      </c>
      <c r="AK60" t="s">
        <v>591</v>
      </c>
      <c r="AL60" t="s">
        <v>583</v>
      </c>
    </row>
    <row r="61" spans="1:38" x14ac:dyDescent="0.2">
      <c r="A61">
        <v>1235517</v>
      </c>
      <c r="B61">
        <v>6829128</v>
      </c>
      <c r="C61">
        <v>187510</v>
      </c>
      <c r="E61" t="b">
        <v>0</v>
      </c>
      <c r="F61">
        <v>50907</v>
      </c>
      <c r="G61" t="s">
        <v>831</v>
      </c>
      <c r="H61">
        <v>1</v>
      </c>
      <c r="I61" t="s">
        <v>832</v>
      </c>
      <c r="J61" t="s">
        <v>534</v>
      </c>
      <c r="K61" t="s">
        <v>533</v>
      </c>
      <c r="L61" t="s">
        <v>535</v>
      </c>
      <c r="M61" t="s">
        <v>833</v>
      </c>
      <c r="N61" t="s">
        <v>186</v>
      </c>
      <c r="O61" t="s">
        <v>186</v>
      </c>
      <c r="P61" t="s">
        <v>107</v>
      </c>
      <c r="S61" t="s">
        <v>587</v>
      </c>
      <c r="U61" t="s">
        <v>834</v>
      </c>
      <c r="V61" t="s">
        <v>835</v>
      </c>
      <c r="W61" t="s">
        <v>442</v>
      </c>
      <c r="X61" t="s">
        <v>536</v>
      </c>
      <c r="Y61" t="s">
        <v>116</v>
      </c>
      <c r="Z61" t="s">
        <v>548</v>
      </c>
      <c r="AA61" t="s">
        <v>22</v>
      </c>
      <c r="AB61" t="s">
        <v>591</v>
      </c>
      <c r="AD61" t="s">
        <v>836</v>
      </c>
      <c r="AE61" t="s">
        <v>836</v>
      </c>
      <c r="AF61">
        <v>0</v>
      </c>
      <c r="AG61">
        <v>0</v>
      </c>
      <c r="AH61">
        <v>74.75</v>
      </c>
      <c r="AI61">
        <v>0</v>
      </c>
      <c r="AJ61" t="s">
        <v>550</v>
      </c>
      <c r="AK61" t="s">
        <v>591</v>
      </c>
      <c r="AL61" t="s">
        <v>551</v>
      </c>
    </row>
    <row r="62" spans="1:38" x14ac:dyDescent="0.2">
      <c r="A62">
        <v>2822784</v>
      </c>
      <c r="B62">
        <v>8069275</v>
      </c>
      <c r="E62" t="b">
        <v>0</v>
      </c>
      <c r="F62">
        <v>72690</v>
      </c>
      <c r="G62" t="s">
        <v>837</v>
      </c>
      <c r="H62">
        <v>1</v>
      </c>
      <c r="I62" t="s">
        <v>838</v>
      </c>
      <c r="J62" t="s">
        <v>534</v>
      </c>
      <c r="K62" t="s">
        <v>535</v>
      </c>
      <c r="L62" t="s">
        <v>535</v>
      </c>
      <c r="M62" t="s">
        <v>839</v>
      </c>
      <c r="N62" t="s">
        <v>507</v>
      </c>
      <c r="O62" t="s">
        <v>507</v>
      </c>
      <c r="P62" t="s">
        <v>148</v>
      </c>
      <c r="S62" t="s">
        <v>840</v>
      </c>
      <c r="V62" t="s">
        <v>841</v>
      </c>
      <c r="W62" t="s">
        <v>442</v>
      </c>
      <c r="X62" t="s">
        <v>536</v>
      </c>
      <c r="Y62" t="s">
        <v>582</v>
      </c>
      <c r="Z62" t="s">
        <v>548</v>
      </c>
      <c r="AA62" t="s">
        <v>22</v>
      </c>
      <c r="AD62" t="s">
        <v>508</v>
      </c>
      <c r="AE62" t="s">
        <v>508</v>
      </c>
      <c r="AF62">
        <v>0</v>
      </c>
      <c r="AG62">
        <v>0</v>
      </c>
      <c r="AH62">
        <v>76.25</v>
      </c>
      <c r="AI62">
        <v>0</v>
      </c>
      <c r="AJ62" t="s">
        <v>550</v>
      </c>
    </row>
    <row r="63" spans="1:38" x14ac:dyDescent="0.2">
      <c r="A63">
        <v>1235416</v>
      </c>
      <c r="B63">
        <v>7618351</v>
      </c>
      <c r="C63">
        <v>187510</v>
      </c>
      <c r="E63" t="b">
        <v>0</v>
      </c>
      <c r="F63">
        <v>64375</v>
      </c>
      <c r="G63" t="s">
        <v>842</v>
      </c>
      <c r="H63">
        <v>1</v>
      </c>
      <c r="I63" t="s">
        <v>843</v>
      </c>
      <c r="J63" t="s">
        <v>534</v>
      </c>
      <c r="K63" t="s">
        <v>844</v>
      </c>
      <c r="L63" t="s">
        <v>535</v>
      </c>
      <c r="M63" t="s">
        <v>845</v>
      </c>
      <c r="N63" t="s">
        <v>417</v>
      </c>
      <c r="O63" t="s">
        <v>417</v>
      </c>
      <c r="P63" t="s">
        <v>418</v>
      </c>
      <c r="S63" t="s">
        <v>846</v>
      </c>
      <c r="U63" t="s">
        <v>847</v>
      </c>
      <c r="V63" t="s">
        <v>848</v>
      </c>
      <c r="W63" t="s">
        <v>442</v>
      </c>
      <c r="X63" t="s">
        <v>536</v>
      </c>
      <c r="Y63" t="s">
        <v>116</v>
      </c>
      <c r="Z63" t="s">
        <v>548</v>
      </c>
      <c r="AA63" t="s">
        <v>22</v>
      </c>
      <c r="AB63" t="s">
        <v>591</v>
      </c>
      <c r="AD63" t="s">
        <v>419</v>
      </c>
      <c r="AE63" t="s">
        <v>419</v>
      </c>
      <c r="AF63">
        <v>0</v>
      </c>
      <c r="AG63">
        <v>0</v>
      </c>
      <c r="AH63">
        <v>76.25</v>
      </c>
      <c r="AI63">
        <v>0</v>
      </c>
      <c r="AJ63" t="s">
        <v>550</v>
      </c>
      <c r="AK63" t="s">
        <v>591</v>
      </c>
      <c r="AL63" t="s">
        <v>551</v>
      </c>
    </row>
    <row r="64" spans="1:38" x14ac:dyDescent="0.2">
      <c r="A64">
        <v>1235503</v>
      </c>
      <c r="B64">
        <v>8035837</v>
      </c>
      <c r="C64">
        <v>187508</v>
      </c>
      <c r="E64" t="b">
        <v>0</v>
      </c>
      <c r="F64">
        <v>72022</v>
      </c>
      <c r="G64" t="s">
        <v>849</v>
      </c>
      <c r="H64">
        <v>1</v>
      </c>
      <c r="I64" t="s">
        <v>850</v>
      </c>
      <c r="J64" t="s">
        <v>534</v>
      </c>
      <c r="K64" t="s">
        <v>533</v>
      </c>
      <c r="L64" t="s">
        <v>535</v>
      </c>
      <c r="M64" t="s">
        <v>851</v>
      </c>
      <c r="N64" t="s">
        <v>265</v>
      </c>
      <c r="O64" t="s">
        <v>189</v>
      </c>
      <c r="P64" t="s">
        <v>413</v>
      </c>
      <c r="S64" t="s">
        <v>852</v>
      </c>
      <c r="U64" t="s">
        <v>853</v>
      </c>
      <c r="V64" t="s">
        <v>854</v>
      </c>
      <c r="W64" t="s">
        <v>442</v>
      </c>
      <c r="X64" t="s">
        <v>536</v>
      </c>
      <c r="Y64" t="s">
        <v>547</v>
      </c>
      <c r="Z64" t="s">
        <v>548</v>
      </c>
      <c r="AB64" t="s">
        <v>549</v>
      </c>
      <c r="AD64" t="s">
        <v>266</v>
      </c>
      <c r="AE64" t="s">
        <v>433</v>
      </c>
      <c r="AF64">
        <v>0</v>
      </c>
      <c r="AG64">
        <v>0</v>
      </c>
      <c r="AH64">
        <v>97</v>
      </c>
      <c r="AI64">
        <v>0</v>
      </c>
      <c r="AJ64" t="s">
        <v>550</v>
      </c>
      <c r="AK64" t="s">
        <v>549</v>
      </c>
      <c r="AL64" t="s">
        <v>551</v>
      </c>
    </row>
    <row r="65" spans="1:1" x14ac:dyDescent="0.2">
      <c r="A65">
        <v>1235768</v>
      </c>
    </row>
    <row r="66" spans="1:1" x14ac:dyDescent="0.2">
      <c r="A66">
        <v>1235769</v>
      </c>
    </row>
    <row r="67" spans="1:1" x14ac:dyDescent="0.2">
      <c r="A67">
        <v>1235540</v>
      </c>
    </row>
  </sheetData>
  <sheetProtection algorithmName="SHA-512" hashValue="bvz3mxxJ3PepuooPKubUd+/lyKNhARNtcuohj0aqMTRHBJtCLo9iwnAATB+P1D2RHVxIlQ/QQVNf48H2L6L+2w==" saltValue="E660gIbRwAfA8HdcFYb7D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567</v>
      </c>
      <c r="B1" s="39" t="s">
        <v>565</v>
      </c>
      <c r="C1" s="39" t="s">
        <v>566</v>
      </c>
    </row>
    <row r="2" spans="1:3" x14ac:dyDescent="0.2">
      <c r="A2" s="39" t="s">
        <v>564</v>
      </c>
      <c r="B2">
        <v>-100</v>
      </c>
      <c r="C2">
        <v>450</v>
      </c>
    </row>
    <row r="3" spans="1:3" x14ac:dyDescent="0.2">
      <c r="A3" s="39" t="s">
        <v>558</v>
      </c>
      <c r="B3">
        <v>-50</v>
      </c>
      <c r="C3">
        <v>450</v>
      </c>
    </row>
    <row r="4" spans="1:3" x14ac:dyDescent="0.2">
      <c r="A4" s="39" t="s">
        <v>557</v>
      </c>
      <c r="B4">
        <v>70</v>
      </c>
      <c r="C4">
        <v>500</v>
      </c>
    </row>
    <row r="5" spans="1:3" x14ac:dyDescent="0.2">
      <c r="A5" s="39" t="s">
        <v>559</v>
      </c>
      <c r="B5">
        <v>70</v>
      </c>
      <c r="C5">
        <v>450</v>
      </c>
    </row>
    <row r="6" spans="1:3" x14ac:dyDescent="0.2">
      <c r="A6" s="39" t="s">
        <v>561</v>
      </c>
      <c r="B6">
        <v>70</v>
      </c>
      <c r="C6">
        <v>1000</v>
      </c>
    </row>
    <row r="7" spans="1:3" x14ac:dyDescent="0.2">
      <c r="A7" s="39" t="s">
        <v>562</v>
      </c>
      <c r="B7">
        <v>200</v>
      </c>
      <c r="C7">
        <v>1850</v>
      </c>
    </row>
    <row r="8" spans="1:3" x14ac:dyDescent="0.2">
      <c r="A8" s="39" t="s">
        <v>560</v>
      </c>
      <c r="B8">
        <v>700</v>
      </c>
      <c r="C8">
        <v>2200</v>
      </c>
    </row>
    <row r="9" spans="1:3" x14ac:dyDescent="0.2">
      <c r="A9" s="39" t="s">
        <v>563</v>
      </c>
      <c r="B9">
        <v>700</v>
      </c>
      <c r="C9">
        <v>2200</v>
      </c>
    </row>
  </sheetData>
  <sheetProtection algorithmName="SHA-512" hashValue="FLjJjOyP1ALs+pLTsS0iK3vLHb0H2o2KFdHR1jP3/aPMiyWZV1bY3NCdguqzAbSDH7SbkP4zFJsdChvMoINMCw==" saltValue="dCX++KUBd/EERW8p7SdY+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2" sqref="G2"/>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914</v>
      </c>
      <c r="G1" s="39" t="s">
        <v>917</v>
      </c>
      <c r="I1" s="502" t="s">
        <v>911</v>
      </c>
      <c r="J1" s="503"/>
      <c r="L1" s="36"/>
      <c r="M1" s="453" t="s">
        <v>906</v>
      </c>
      <c r="N1" s="454" t="s">
        <v>15</v>
      </c>
      <c r="O1" s="454" t="s">
        <v>910</v>
      </c>
      <c r="P1" s="454" t="s">
        <v>900</v>
      </c>
      <c r="Q1" s="454" t="s">
        <v>14</v>
      </c>
    </row>
    <row r="2" spans="1:17" ht="13.5" thickTop="1" x14ac:dyDescent="0.2">
      <c r="A2" s="440"/>
      <c r="I2" s="464" t="s">
        <v>907</v>
      </c>
      <c r="J2" s="465">
        <f>COUNTIF(Survey[TestPoint],"&lt;=5")-1</f>
        <v>-1</v>
      </c>
      <c r="L2" s="476" t="s">
        <v>1</v>
      </c>
      <c r="M2" s="460" t="e">
        <f>_xlfn.XLOOKUP(P2,Survey[CorrectedTemp],Survey[TestPoint])</f>
        <v>#N/A</v>
      </c>
      <c r="N2" s="455">
        <f>P2-NominalTemp</f>
        <v>0</v>
      </c>
      <c r="O2" s="456" t="s">
        <v>268</v>
      </c>
      <c r="P2" s="455">
        <f>MAX(Survey[CorrectedTemp])</f>
        <v>0</v>
      </c>
      <c r="Q2" s="457" t="e">
        <f>_xlfn.XLOOKUP(P2,Survey[CorrectedTemp],Survey[Time])</f>
        <v>#N/A</v>
      </c>
    </row>
    <row r="3" spans="1:17" x14ac:dyDescent="0.2">
      <c r="I3" s="470" t="s">
        <v>915</v>
      </c>
      <c r="J3" s="471" t="e">
        <f>_xlfn.T.INV.2T(1-0.9545, DoF)</f>
        <v>#NUM!</v>
      </c>
      <c r="L3" s="476" t="s">
        <v>2</v>
      </c>
      <c r="M3" s="461" t="e">
        <f>_xlfn.XLOOKUP(P3,Survey[CorrectedTemp],Survey[TestPoint])</f>
        <v>#N/A</v>
      </c>
      <c r="N3" s="458">
        <f>P3-NominalTemp</f>
        <v>0</v>
      </c>
      <c r="O3" s="447" t="s">
        <v>269</v>
      </c>
      <c r="P3" s="458">
        <f>MIN(Survey[CorrectedTemp])</f>
        <v>0</v>
      </c>
      <c r="Q3" s="459" t="e">
        <f>_xlfn.XLOOKUP(P3,Survey[CorrectedTemp],Survey[Time])</f>
        <v>#N/A</v>
      </c>
    </row>
    <row r="4" spans="1:17" x14ac:dyDescent="0.2">
      <c r="I4" s="466" t="s">
        <v>919</v>
      </c>
      <c r="J4" s="467" cm="1">
        <f t="array" ref="J4">SUM(_xlfn._xlws.FILTER(Survey[Deviations],Survey[TestPoint]&lt;=5)^2)/DoF</f>
        <v>0</v>
      </c>
      <c r="L4" s="504" t="s">
        <v>912</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920</v>
      </c>
      <c r="J5" s="472" cm="1">
        <f t="array" ref="J5">VLOOKUP(NominalTemp,_xlfn._xlws.FILTER(MUG[],MUG[Meas Units]="°F"),8,TRUE)</f>
        <v>0.66776102980616914</v>
      </c>
      <c r="L5" s="504"/>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918</v>
      </c>
      <c r="J6" s="467">
        <f>SQRT(Base₂^2+sp²)</f>
        <v>0.66776102980616914</v>
      </c>
      <c r="L6" s="504"/>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908</v>
      </c>
      <c r="J7" s="473" t="e">
        <f>J6*k</f>
        <v>#NUM!</v>
      </c>
      <c r="L7" s="504"/>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909</v>
      </c>
      <c r="J8" s="469">
        <f>VLOOKUP(NominalTemp,CMCs[],3,TRUE)</f>
        <v>1.6</v>
      </c>
      <c r="L8" s="504"/>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916</v>
      </c>
      <c r="J9" s="475" t="e">
        <f>MAX(J7,J8)</f>
        <v>#NUM!</v>
      </c>
      <c r="L9" s="504"/>
      <c r="M9" s="140">
        <v>6</v>
      </c>
      <c r="O9" t="str" cm="1">
        <f t="array" ref="O9">IF(
  Main!O10 = "",
  "",
  IF(
    COUNTIF(Survey[TestPoint], Alerts[[#This Row],[TestPoint]]) = 0,
    "DROPPED",
    IF(
      OR(
        _xlfn._xlws.FILTER(
          Survey[OutOfTolerance],
          Survey[TestPoint] = Alerts[[#This Row],[TestPoint]]
        )
      ),
      "Out of Tol",
      ""
    )
  )
)</f>
        <v/>
      </c>
    </row>
    <row r="10" spans="1:17" x14ac:dyDescent="0.2">
      <c r="L10" s="504"/>
      <c r="M10" s="140">
        <v>7</v>
      </c>
      <c r="O10" t="str" cm="1">
        <f t="array" ref="O10">IF(
  Main!O11 = "",
  "",
  IF(
    COUNTIF(Survey[TestPoint], Alerts[[#This Row],[TestPoint]]) = 0,
    "DROPPED",
    IF(
      OR(
        _xlfn._xlws.FILTER(
          Survey[OutOfTolerance],
          Survey[TestPoint] = Alerts[[#This Row],[TestPoint]]
        )
      ),
      "Out of Tol",
      ""
    )
  )
)</f>
        <v/>
      </c>
    </row>
    <row r="11" spans="1:17" x14ac:dyDescent="0.2">
      <c r="L11" s="504"/>
      <c r="M11" s="140">
        <v>8</v>
      </c>
      <c r="O11" t="str" cm="1">
        <f t="array" ref="O11">IF(
  Main!O12 = "",
  "",
  IF(
    COUNTIF(Survey[TestPoint], Alerts[[#This Row],[TestPoint]]) = 0,
    "DROPPED",
    IF(
      OR(
        _xlfn._xlws.FILTER(
          Survey[OutOfTolerance],
          Survey[TestPoint] = Alerts[[#This Row],[TestPoint]]
        )
      ),
      "Out of Tol",
      ""
    )
  )
)</f>
        <v/>
      </c>
    </row>
    <row r="12" spans="1:17" x14ac:dyDescent="0.2">
      <c r="L12" s="504"/>
      <c r="M12" s="140">
        <v>9</v>
      </c>
      <c r="O12" t="str" cm="1">
        <f t="array" ref="O12">IF(
  Main!O13 = "",
  "",
  IF(
    COUNTIF(Survey[TestPoint], Alerts[[#This Row],[TestPoint]]) = 0,
    "DROPPED",
    IF(
      OR(
        _xlfn._xlws.FILTER(
          Survey[OutOfTolerance],
          Survey[TestPoint] = Alerts[[#This Row],[TestPoint]]
        )
      ),
      "Out of Tol",
      ""
    )
  )
)</f>
        <v/>
      </c>
    </row>
    <row r="13" spans="1:17" x14ac:dyDescent="0.2">
      <c r="L13" s="504"/>
      <c r="M13" s="140">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40">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40">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topLeftCell="B1"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20.7109375" customWidth="1"/>
  </cols>
  <sheetData>
    <row r="1" spans="1:9" x14ac:dyDescent="0.2">
      <c r="A1"/>
      <c r="B1"/>
      <c r="C1"/>
      <c r="D1"/>
      <c r="E1"/>
      <c r="F1"/>
    </row>
    <row r="2" spans="1:9" x14ac:dyDescent="0.2">
      <c r="H2" t="s">
        <v>941</v>
      </c>
      <c r="I2" t="str" cm="1">
        <f t="array" ref="I2">TRANSPOSE(_xlfn._xlws.FILTER(CorrectionFactors[], (CorrectionFactors[point]&gt;=Main!V22) * (CorrectionFactors[point]&lt;=Main!V23), ""))</f>
        <v/>
      </c>
    </row>
    <row r="3" spans="1:9" x14ac:dyDescent="0.2">
      <c r="H3" t="s">
        <v>306</v>
      </c>
    </row>
    <row r="4" spans="1:9" x14ac:dyDescent="0.2">
      <c r="H4" t="s">
        <v>942</v>
      </c>
    </row>
    <row r="5" spans="1:9" x14ac:dyDescent="0.2">
      <c r="H5" t="s">
        <v>943</v>
      </c>
    </row>
    <row r="6" spans="1:9" x14ac:dyDescent="0.2">
      <c r="H6" t="s">
        <v>944</v>
      </c>
    </row>
    <row r="7" spans="1:9" x14ac:dyDescent="0.2">
      <c r="H7" t="s">
        <v>945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858</v>
      </c>
      <c r="B1" s="411" t="s">
        <v>859</v>
      </c>
    </row>
    <row r="2" spans="1:3" x14ac:dyDescent="0.2">
      <c r="A2" s="39"/>
      <c r="B2" s="39"/>
    </row>
    <row r="3" spans="1:3" x14ac:dyDescent="0.2">
      <c r="A3" s="39" t="s">
        <v>565</v>
      </c>
      <c r="B3" s="39" t="s">
        <v>566</v>
      </c>
      <c r="C3" s="39" t="s">
        <v>860</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Fx4p5/TmoVhp2fMvY2szd1MLv7c9M6jTgHb22L08Ur90UKUchugCAwrzdH0tJm+1mqEDnjSIy3UQmJqcV0mVZQ==" saltValue="gzST+N0c3GleEXALVrOMe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2"/>
  <sheetViews>
    <sheetView workbookViewId="0"/>
  </sheetViews>
  <sheetFormatPr defaultRowHeight="12.75" x14ac:dyDescent="0.2"/>
  <cols>
    <col min="1" max="1" width="9.7109375" bestFit="1" customWidth="1"/>
    <col min="2" max="2" width="10.85546875" bestFit="1" customWidth="1"/>
    <col min="3" max="3" width="13.28515625" bestFit="1" customWidth="1"/>
  </cols>
  <sheetData>
    <row r="1" spans="1:7" x14ac:dyDescent="0.2">
      <c r="A1"/>
      <c r="B1"/>
      <c r="C1"/>
      <c r="E1" t="s">
        <v>399</v>
      </c>
      <c r="F1" t="s">
        <v>965</v>
      </c>
      <c r="G1" t="s">
        <v>966</v>
      </c>
    </row>
    <row r="2" spans="1:7" x14ac:dyDescent="0.2">
      <c r="A2"/>
      <c r="B2"/>
      <c r="C2"/>
      <c r="E2" t="e" cm="1">
        <f t="array" ref="E2">_xlfn.XLOOKUP(AssetId,AggregatedUUTRangeTol[AssetId],AggregatedUUTRangeTol[])</f>
        <v>#N/A</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8" sqref="Q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s>
  <sheetData>
    <row r="1" spans="1:24" x14ac:dyDescent="0.2">
      <c r="A1"/>
      <c r="B1"/>
      <c r="C1"/>
      <c r="D1"/>
      <c r="E1"/>
      <c r="F1"/>
      <c r="G1"/>
      <c r="H1"/>
      <c r="I1" t="s">
        <v>960</v>
      </c>
      <c r="J1" t="s">
        <v>961</v>
      </c>
      <c r="K1" t="s">
        <v>962</v>
      </c>
      <c r="L1" t="s">
        <v>963</v>
      </c>
      <c r="M1" t="s">
        <v>964</v>
      </c>
      <c r="O1" s="39" t="s">
        <v>399</v>
      </c>
      <c r="P1" t="s">
        <v>953</v>
      </c>
      <c r="Q1" t="s">
        <v>954</v>
      </c>
      <c r="R1" t="s">
        <v>955</v>
      </c>
      <c r="S1" t="s">
        <v>956</v>
      </c>
      <c r="T1" t="s">
        <v>957</v>
      </c>
      <c r="U1" t="s">
        <v>958</v>
      </c>
      <c r="V1" t="s">
        <v>959</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_xlfn._xlws.FILTER(
  UUTRangeTol[[AssetId]:[Flags]],
  (UUTRangeTol[AssetId]=AssetId) *
  IF(ISNUMBER(UUTRangeTol[RangeMin]), UUTRangeTol[RangeMin]&lt;=NominalTemp, TRUE) *
  (UUTRangeTol[RangeMax]&gt;=NominalTemp)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498" t="s">
        <v>952</v>
      </c>
      <c r="B1" s="333"/>
      <c r="C1" s="535" t="s">
        <v>50</v>
      </c>
      <c r="D1" s="536"/>
      <c r="E1" s="536"/>
      <c r="F1" s="536"/>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37" t="s">
        <v>102</v>
      </c>
      <c r="K3" s="538"/>
      <c r="L3" s="539"/>
      <c r="M3" s="316"/>
      <c r="N3" s="554" t="s">
        <v>91</v>
      </c>
      <c r="O3" s="554"/>
      <c r="P3" s="554"/>
      <c r="Q3" s="554"/>
      <c r="R3" s="554"/>
      <c r="S3" s="554"/>
      <c r="T3" s="494"/>
    </row>
    <row r="4" spans="1:22" s="291" customFormat="1" x14ac:dyDescent="0.2">
      <c r="A4" s="334"/>
      <c r="B4" s="144"/>
      <c r="C4" s="145" t="s">
        <v>230</v>
      </c>
      <c r="D4" s="298" t="str">
        <f>IF(Condition="","",Condition)</f>
        <v/>
      </c>
      <c r="E4" s="316"/>
      <c r="F4" s="316"/>
      <c r="G4" s="316"/>
      <c r="H4" s="316"/>
      <c r="I4" s="316"/>
      <c r="J4" s="542" t="s">
        <v>1</v>
      </c>
      <c r="K4" s="543"/>
      <c r="L4" s="146">
        <f>IFERROR(Survey!N2,0)</f>
        <v>0</v>
      </c>
      <c r="M4" s="316"/>
      <c r="N4" s="147" t="s">
        <v>90</v>
      </c>
      <c r="O4" s="148" t="s">
        <v>89</v>
      </c>
      <c r="P4" s="540" t="s">
        <v>100</v>
      </c>
      <c r="Q4" s="541"/>
      <c r="R4" s="147" t="s">
        <v>137</v>
      </c>
      <c r="S4" s="147" t="s">
        <v>141</v>
      </c>
      <c r="T4" s="494"/>
    </row>
    <row r="5" spans="1:22" s="291" customFormat="1" x14ac:dyDescent="0.2">
      <c r="A5" s="334"/>
      <c r="B5" s="144"/>
      <c r="C5" s="145" t="s">
        <v>41</v>
      </c>
      <c r="D5" s="558" t="e">
        <f>companyName</f>
        <v>#N/A</v>
      </c>
      <c r="E5" s="559"/>
      <c r="F5" s="559"/>
      <c r="G5" s="559"/>
      <c r="H5" s="560"/>
      <c r="I5" s="299"/>
      <c r="J5" s="542" t="s">
        <v>2</v>
      </c>
      <c r="K5" s="543"/>
      <c r="L5" s="146">
        <f>IFERROR(Survey!N3,0)</f>
        <v>0</v>
      </c>
      <c r="M5" s="316"/>
      <c r="N5" s="462">
        <v>1</v>
      </c>
      <c r="O5" s="149"/>
      <c r="P5" s="571" t="str">
        <f>VLOOKUP(N5,Alerts[],3,FALSE)</f>
        <v/>
      </c>
      <c r="Q5" s="572"/>
      <c r="R5" s="463" t="str" cm="1">
        <f t="array" ref="R5">IFZERO(VLOOKUP(N5,Alerts[],4,FALSE),"")</f>
        <v/>
      </c>
      <c r="S5" s="150" t="str" cm="1">
        <f t="array" ref="S5">IFZERO(VLOOKUP(N5,Alerts[],5,FALSE),"")</f>
        <v/>
      </c>
      <c r="T5" s="494"/>
    </row>
    <row r="6" spans="1:22" s="291" customFormat="1" x14ac:dyDescent="0.2">
      <c r="A6" s="334"/>
      <c r="B6" s="144"/>
      <c r="C6" s="145" t="s">
        <v>40</v>
      </c>
      <c r="D6" s="555" t="e">
        <f>VLOOKUP("assetName",WorkItemDetails[],2,FALSE)</f>
        <v>#N/A</v>
      </c>
      <c r="E6" s="556"/>
      <c r="F6" s="556"/>
      <c r="G6" s="556"/>
      <c r="H6" s="557"/>
      <c r="J6" s="542" t="s">
        <v>101</v>
      </c>
      <c r="K6" s="543"/>
      <c r="L6" s="146">
        <f>L4-L5</f>
        <v>0</v>
      </c>
      <c r="M6" s="316"/>
      <c r="N6" s="462">
        <v>2</v>
      </c>
      <c r="O6" s="149"/>
      <c r="P6" s="571" t="str">
        <f>VLOOKUP(N6,Alerts[],3,FALSE)</f>
        <v/>
      </c>
      <c r="Q6" s="572"/>
      <c r="R6" s="463" t="str" cm="1">
        <f t="array" ref="R6">IFZERO(VLOOKUP(N6,Alerts[],4,FALSE),"")</f>
        <v/>
      </c>
      <c r="S6" s="150" t="str" cm="1">
        <f t="array" ref="S6">IFZERO(VLOOKUP(N6,Alerts[],5,FALSE),"")</f>
        <v/>
      </c>
      <c r="T6" s="494"/>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71" t="str">
        <f>VLOOKUP(N7,Alerts[],3,FALSE)</f>
        <v/>
      </c>
      <c r="Q7" s="572"/>
      <c r="R7" s="463" t="str" cm="1">
        <f t="array" ref="R7">IFZERO(VLOOKUP(N7,Alerts[],4,FALSE),"")</f>
        <v/>
      </c>
      <c r="S7" s="150" t="str" cm="1">
        <f t="array" ref="S7">IFZERO(VLOOKUP(N7,Alerts[],5,FALSE),"")</f>
        <v/>
      </c>
      <c r="T7" s="494"/>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71" t="str">
        <f>VLOOKUP(N8,Alerts[],3,FALSE)</f>
        <v/>
      </c>
      <c r="Q8" s="572"/>
      <c r="R8" s="463" t="str" cm="1">
        <f t="array" ref="R8">IFZERO(VLOOKUP(N8,Alerts[],4,FALSE),"")</f>
        <v/>
      </c>
      <c r="S8" s="150" t="str" cm="1">
        <f t="array" ref="S8">IFZERO(VLOOKUP(N8,Alerts[],5,FALSE),"")</f>
        <v/>
      </c>
      <c r="T8" s="494"/>
    </row>
    <row r="9" spans="1:22" s="291" customFormat="1" ht="12.75" customHeight="1" x14ac:dyDescent="0.2">
      <c r="A9" s="334"/>
      <c r="B9" s="144"/>
      <c r="C9" s="153" t="s">
        <v>66</v>
      </c>
      <c r="D9" s="295"/>
      <c r="E9" s="299" t="str" cm="1">
        <f t="array" ref="E9">IFERROR(
  _xlfn.XLOOKUP(
    Main!$D$9,
    _xlfn._xlws.FILTER(AssetPool[asset_tag], AssetPool[root_category_name]="DAQ Modules"),
    _xlfn._xlws.FILTER(AssetPool[asset_id], AssetPool[root_category_name]="DAQ Modules")
  ),
  ""
)</f>
        <v/>
      </c>
      <c r="F9" s="316"/>
      <c r="G9" s="316"/>
      <c r="H9" s="316"/>
      <c r="I9" s="316"/>
      <c r="J9" s="316"/>
      <c r="K9" s="316"/>
      <c r="L9" s="316"/>
      <c r="M9" s="316"/>
      <c r="N9" s="462">
        <v>5</v>
      </c>
      <c r="O9" s="149"/>
      <c r="P9" s="571" t="str">
        <f>VLOOKUP(N9,Alerts[],3,FALSE)</f>
        <v/>
      </c>
      <c r="Q9" s="572"/>
      <c r="R9" s="463" t="str" cm="1">
        <f t="array" ref="R9">IFZERO(VLOOKUP(N9,Alerts[],4,FALSE),"")</f>
        <v/>
      </c>
      <c r="S9" s="150" t="str" cm="1">
        <f t="array" ref="S9">IFZERO(VLOOKUP(N9,Alerts[],5,FALSE),"")</f>
        <v/>
      </c>
      <c r="T9" s="494"/>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71" t="str">
        <f>VLOOKUP(N10,Alerts[],3,FALSE)</f>
        <v/>
      </c>
      <c r="Q10" s="572"/>
      <c r="R10" s="463" t="str" cm="1">
        <f t="array" ref="R10">IFZERO(VLOOKUP(N10,Alerts[],4,FALSE),"")</f>
        <v/>
      </c>
      <c r="S10" s="150" t="str" cm="1">
        <f t="array" ref="S10">IFZERO(VLOOKUP(N10,Alerts[],5,FALSE),"")</f>
        <v/>
      </c>
      <c r="T10" s="494"/>
    </row>
    <row r="11" spans="1:22" s="291" customFormat="1" x14ac:dyDescent="0.2">
      <c r="A11" s="334"/>
      <c r="B11" s="144"/>
      <c r="C11" s="153" t="s">
        <v>53</v>
      </c>
      <c r="D11" s="492" t="e">
        <f>VLOOKUP("serial_number",DaqbookServiceRecord[], 2, FALSE)</f>
        <v>#N/A</v>
      </c>
      <c r="E11" s="316"/>
      <c r="F11" s="316"/>
      <c r="G11" s="317" t="str">
        <f>IF(OR(ISBLANK(D3),ISBLANK(D13)),"",IF(D13&lt;D3,"!!!!! DAQBOOK IS OUT OF CERTIFICATION !!!!!",""))</f>
        <v/>
      </c>
      <c r="H11" s="316"/>
      <c r="I11" s="316"/>
      <c r="J11" s="316"/>
      <c r="K11" s="316"/>
      <c r="L11" s="316"/>
      <c r="M11" s="316"/>
      <c r="N11" s="462">
        <v>7</v>
      </c>
      <c r="O11" s="149"/>
      <c r="P11" s="571" t="str">
        <f>VLOOKUP(N11,Alerts[],3,FALSE)</f>
        <v/>
      </c>
      <c r="Q11" s="572"/>
      <c r="R11" s="463" t="str" cm="1">
        <f t="array" ref="R11">IFZERO(VLOOKUP(N11,Alerts[],4,FALSE),"")</f>
        <v/>
      </c>
      <c r="S11" s="150" t="str" cm="1">
        <f t="array" ref="S11">IFZERO(VLOOKUP(N11,Alerts[],5,FALSE),"")</f>
        <v/>
      </c>
      <c r="T11" s="494"/>
    </row>
    <row r="12" spans="1:22" s="291" customFormat="1" x14ac:dyDescent="0.2">
      <c r="A12" s="334"/>
      <c r="B12" s="144"/>
      <c r="C12" s="153" t="s">
        <v>87</v>
      </c>
      <c r="D12" s="292" t="e">
        <f>VLOOKUP("service_date",DaqbookServiceRecord[], 2, FALSE)</f>
        <v>#N/A</v>
      </c>
      <c r="E12" s="316"/>
      <c r="F12" s="316"/>
      <c r="G12" s="317" t="str">
        <f>IF(IF(COUNTIFS(DataForChannels1to14[],"&gt;"&amp;B2,DataForChannels1to14[],"&lt;"&amp;(B2+200))&gt;0,1,0)=1,"!!!!! OVEN OVERSHOT IN POINTS 1-14 !!!!!","")</f>
        <v/>
      </c>
      <c r="H12" s="316"/>
      <c r="I12" s="316"/>
      <c r="J12" s="337"/>
      <c r="K12" s="320"/>
      <c r="L12" s="337"/>
      <c r="M12" s="320"/>
      <c r="N12" s="462">
        <v>8</v>
      </c>
      <c r="O12" s="149"/>
      <c r="P12" s="571" t="str">
        <f>VLOOKUP(N12,Alerts[],3,FALSE)</f>
        <v/>
      </c>
      <c r="Q12" s="572"/>
      <c r="R12" s="463" t="str" cm="1">
        <f t="array" ref="R12">IFZERO(VLOOKUP(N12,Alerts[],4,FALSE),"")</f>
        <v/>
      </c>
      <c r="S12" s="150" t="str" cm="1">
        <f t="array" ref="S12">IFZERO(VLOOKUP(N12,Alerts[],5,FALSE),"")</f>
        <v/>
      </c>
      <c r="T12" s="494"/>
    </row>
    <row r="13" spans="1:22" s="291" customFormat="1" x14ac:dyDescent="0.2">
      <c r="A13" s="334"/>
      <c r="B13" s="154"/>
      <c r="C13" s="155" t="s">
        <v>86</v>
      </c>
      <c r="D13" s="292" t="e">
        <f>VLOOKUP("next_service_date",DaqbookServiceRecord[], 2, FALSE)</f>
        <v>#N/A</v>
      </c>
      <c r="E13" s="316"/>
      <c r="F13" s="341"/>
      <c r="G13" s="332" t="str">
        <f>IF(IF(COUNTIFS(DataForChannels15to28[],"&gt;"&amp;B2,DataForChannels15to28[],"&lt;"&amp;(B2+200))&gt;0,1,0)=1,"!!!!! OVEN OVERSHOT IN POINTS 15-28 !!!!!","")</f>
        <v/>
      </c>
      <c r="H13" s="316"/>
      <c r="I13" s="316"/>
      <c r="J13" s="252" t="s">
        <v>323</v>
      </c>
      <c r="K13" s="552" t="str">
        <f>IFERROR(VLOOKUP("PoNumber",WorkItemDetails[],2,FALSE),"")</f>
        <v/>
      </c>
      <c r="L13" s="553"/>
      <c r="M13" s="316"/>
      <c r="N13" s="462">
        <v>9</v>
      </c>
      <c r="O13" s="149"/>
      <c r="P13" s="571" t="str">
        <f>VLOOKUP(N13,Alerts[],3,FALSE)</f>
        <v/>
      </c>
      <c r="Q13" s="572"/>
      <c r="R13" s="463" t="str" cm="1">
        <f t="array" ref="R13">IFZERO(VLOOKUP(N13,Alerts[],4,FALSE),"")</f>
        <v/>
      </c>
      <c r="S13" s="150" t="str" cm="1">
        <f t="array" ref="S13">IFZERO(VLOOKUP(N13,Alerts[],5,FALSE),"")</f>
        <v/>
      </c>
      <c r="T13" s="494"/>
    </row>
    <row r="14" spans="1:22" s="291" customFormat="1" x14ac:dyDescent="0.2">
      <c r="A14" s="334"/>
      <c r="B14" s="144"/>
      <c r="C14" s="153" t="s">
        <v>88</v>
      </c>
      <c r="D14" s="492" t="e">
        <f>VLOOKUP("certificate_number",DaqbookServiceRecord[], 2, FALSE)</f>
        <v>#N/A</v>
      </c>
      <c r="E14" s="316"/>
      <c r="F14" s="316"/>
      <c r="G14" s="317" t="str">
        <f>IF(IF(COUNTIFS(DataForChannels29to40[],"&gt;"&amp;B2,DataForChannels29to40[],"&lt;"&amp;(B2+200))&gt;0,1,0)=1,"!!!!! OVEN OVERSHOT IN POINTS 29-40 !!!!!","")</f>
        <v/>
      </c>
      <c r="H14" s="316"/>
      <c r="I14" s="316"/>
      <c r="J14" s="156" t="s">
        <v>136</v>
      </c>
      <c r="K14" s="561"/>
      <c r="L14" s="562"/>
      <c r="M14" s="316"/>
      <c r="N14" s="462">
        <v>10</v>
      </c>
      <c r="O14" s="149"/>
      <c r="P14" s="571" t="str">
        <f>VLOOKUP(N14,Alerts[],3,FALSE)</f>
        <v/>
      </c>
      <c r="Q14" s="572"/>
      <c r="R14" s="463" t="str" cm="1">
        <f t="array" ref="R14">IFZERO(VLOOKUP(N14,Alerts[],4,FALSE),"")</f>
        <v/>
      </c>
      <c r="S14" s="150" t="str" cm="1">
        <f t="array" ref="S14">IFZERO(VLOOKUP(N14,Alerts[],5,FALSE),"")</f>
        <v/>
      </c>
      <c r="T14" s="494"/>
    </row>
    <row r="15" spans="1:22" s="291" customFormat="1" x14ac:dyDescent="0.2">
      <c r="A15" s="334"/>
      <c r="B15" s="197"/>
      <c r="C15" s="195" t="s">
        <v>65</v>
      </c>
      <c r="D15" s="309"/>
      <c r="E15" s="316"/>
      <c r="F15" s="316"/>
      <c r="G15" s="316"/>
      <c r="H15" s="479" t="b">
        <v>1</v>
      </c>
      <c r="I15" s="316"/>
      <c r="J15" s="157" t="s">
        <v>131</v>
      </c>
      <c r="K15" s="546"/>
      <c r="L15" s="547"/>
      <c r="M15" s="316"/>
      <c r="N15" s="462">
        <v>11</v>
      </c>
      <c r="O15" s="149"/>
      <c r="P15" s="571" t="str">
        <f>VLOOKUP(N15,Alerts[],3,FALSE)</f>
        <v/>
      </c>
      <c r="Q15" s="572"/>
      <c r="R15" s="463" t="str" cm="1">
        <f t="array" ref="R15">IFZERO(VLOOKUP(N15,Alerts[],4,FALSE),"")</f>
        <v/>
      </c>
      <c r="S15" s="150" t="str" cm="1">
        <f t="array" ref="S15">IFZERO(VLOOKUP(N15,Alerts[],5,FALSE),"")</f>
        <v/>
      </c>
      <c r="T15" s="494"/>
    </row>
    <row r="16" spans="1:22" s="291" customFormat="1" x14ac:dyDescent="0.2">
      <c r="A16" s="334"/>
      <c r="B16" s="158"/>
      <c r="C16" s="196" t="s">
        <v>264</v>
      </c>
      <c r="D16" s="309"/>
      <c r="E16" s="316"/>
      <c r="F16" s="156" t="s">
        <v>77</v>
      </c>
      <c r="G16" s="441" t="s">
        <v>267</v>
      </c>
      <c r="H16" s="442"/>
      <c r="I16" s="316"/>
      <c r="J16" s="508" t="s">
        <v>163</v>
      </c>
      <c r="K16" s="509"/>
      <c r="L16" s="297"/>
      <c r="M16" s="316"/>
      <c r="N16" s="462">
        <v>12</v>
      </c>
      <c r="O16" s="149"/>
      <c r="P16" s="571" t="str">
        <f>VLOOKUP(N16,Alerts[],3,FALSE)</f>
        <v/>
      </c>
      <c r="Q16" s="572"/>
      <c r="R16" s="463" t="str" cm="1">
        <f t="array" ref="R16">IFZERO(VLOOKUP(N16,Alerts[],4,FALSE),"")</f>
        <v/>
      </c>
      <c r="S16" s="150" t="str" cm="1">
        <f t="array" ref="S16">IFZERO(VLOOKUP(N16,Alerts[],5,FALSE),"")</f>
        <v/>
      </c>
      <c r="T16" s="494"/>
    </row>
    <row r="17" spans="1:22" s="291" customFormat="1" x14ac:dyDescent="0.2">
      <c r="A17" s="334"/>
      <c r="B17" s="144"/>
      <c r="C17" s="145" t="s">
        <v>64</v>
      </c>
      <c r="D17" s="310"/>
      <c r="E17" s="316"/>
      <c r="F17" s="157" t="s">
        <v>96</v>
      </c>
      <c r="G17" s="414" t="str">
        <f>IF(ISBLANK(Load),"",Load)</f>
        <v/>
      </c>
      <c r="H17" s="316"/>
      <c r="I17" s="317"/>
      <c r="J17" s="508" t="s">
        <v>164</v>
      </c>
      <c r="K17" s="509"/>
      <c r="L17" s="160" t="str">
        <f>IF(K15="SIM Load Hot",TEXT(D26,"hh:mm"),"")</f>
        <v/>
      </c>
      <c r="M17" s="316"/>
      <c r="N17" s="462">
        <v>13</v>
      </c>
      <c r="O17" s="149"/>
      <c r="P17" s="571" t="str">
        <f>VLOOKUP(N17,Alerts[],3,FALSE)</f>
        <v/>
      </c>
      <c r="Q17" s="572"/>
      <c r="R17" s="463" t="str" cm="1">
        <f t="array" ref="R17">IFZERO(VLOOKUP(N17,Alerts[],4,FALSE),"")</f>
        <v/>
      </c>
      <c r="S17" s="150" t="str" cm="1">
        <f t="array" ref="S17">IFZERO(VLOOKUP(N17,Alerts[],5,FALSE),"")</f>
        <v/>
      </c>
      <c r="T17" s="494"/>
    </row>
    <row r="18" spans="1:22" s="291" customFormat="1" x14ac:dyDescent="0.2">
      <c r="A18" s="334"/>
      <c r="B18" s="154"/>
      <c r="C18" s="161" t="s">
        <v>67</v>
      </c>
      <c r="D18" s="295"/>
      <c r="E18" s="316"/>
      <c r="F18" s="162" t="s">
        <v>78</v>
      </c>
      <c r="G18" s="563" t="s">
        <v>19</v>
      </c>
      <c r="H18" s="564"/>
      <c r="I18" s="317"/>
      <c r="J18" s="342"/>
      <c r="K18" s="316"/>
      <c r="L18" s="317"/>
      <c r="M18" s="316"/>
      <c r="N18" s="462">
        <v>14</v>
      </c>
      <c r="O18" s="149"/>
      <c r="P18" s="571" t="str">
        <f>VLOOKUP(N18,Alerts[],3,FALSE)</f>
        <v/>
      </c>
      <c r="Q18" s="572"/>
      <c r="R18" s="463" t="str" cm="1">
        <f t="array" ref="R18">IFZERO(VLOOKUP(N18,Alerts[],4,FALSE),"")</f>
        <v/>
      </c>
      <c r="S18" s="150" t="str" cm="1">
        <f t="array" ref="S18">IFZERO(VLOOKUP(N18,Alerts[],5,FALSE),"")</f>
        <v/>
      </c>
      <c r="T18" s="494"/>
    </row>
    <row r="19" spans="1:22" s="291" customFormat="1" x14ac:dyDescent="0.2">
      <c r="A19" s="334"/>
      <c r="B19" s="144"/>
      <c r="C19" s="145" t="s">
        <v>10</v>
      </c>
      <c r="D19" s="501">
        <f>Tolerances</f>
        <v>0</v>
      </c>
      <c r="E19" s="316"/>
      <c r="F19" s="157" t="s">
        <v>79</v>
      </c>
      <c r="G19" s="544" t="str">
        <f>IF(K15="Salt",0, IF(OR(K15="Hot",K15="SIM Load Hot"),IF(OR(D26="",D28=""),"N/A",IF(ISBLANK(D26),"N/A",D28-D26)),"N/A"))</f>
        <v>N/A</v>
      </c>
      <c r="H19" s="545"/>
      <c r="I19" s="343" t="str">
        <f>IF(G19="N/A","N/A",IF(G19=0,"&lt;2",ROUND(IF(LEN(G19)&gt;3,G19*1440,RIGHT(TEXT(G19,"hh:mm"),2)),0))&amp;" MINUTES")</f>
        <v>N/A</v>
      </c>
      <c r="J19" s="496">
        <f>V21</f>
        <v>40</v>
      </c>
      <c r="K19" s="316"/>
      <c r="L19" s="317"/>
      <c r="M19" s="316"/>
      <c r="N19" s="462">
        <v>15</v>
      </c>
      <c r="O19" s="149"/>
      <c r="P19" s="571" t="str">
        <f>VLOOKUP(N19,Alerts[],3,FALSE)</f>
        <v/>
      </c>
      <c r="Q19" s="572"/>
      <c r="R19" s="463" t="str" cm="1">
        <f t="array" ref="R19">IFZERO(VLOOKUP(N19,Alerts[],4,FALSE),"")</f>
        <v/>
      </c>
      <c r="S19" s="150" t="str" cm="1">
        <f t="array" ref="S19">IFZERO(VLOOKUP(N19,Alerts[],5,FALSE),"")</f>
        <v/>
      </c>
      <c r="T19" s="494"/>
      <c r="U19" s="299" t="s">
        <v>951</v>
      </c>
      <c r="V19" s="299">
        <f>L20</f>
        <v>1</v>
      </c>
    </row>
    <row r="20" spans="1:22" s="291" customFormat="1" ht="13.7" customHeight="1" x14ac:dyDescent="0.2">
      <c r="A20" s="192"/>
      <c r="B20" s="548" t="str">
        <f>"SAT Tolerance (per " &amp; IF(E20, "AMS2750", "BAC5621") &amp; "):"</f>
        <v>SAT Tolerance (per AMS2750):</v>
      </c>
      <c r="C20" s="549"/>
      <c r="D20" s="412" t="e">
        <f>G94</f>
        <v>#N/A</v>
      </c>
      <c r="E20" s="477" t="b">
        <v>1</v>
      </c>
      <c r="F20" s="316"/>
      <c r="G20" s="316"/>
      <c r="H20" s="316"/>
      <c r="I20" s="317"/>
      <c r="J20" s="316"/>
      <c r="K20" s="316"/>
      <c r="L20" s="478">
        <v>1</v>
      </c>
      <c r="M20" s="316"/>
      <c r="N20" s="462">
        <v>16</v>
      </c>
      <c r="O20" s="149"/>
      <c r="P20" s="571" t="str">
        <f>VLOOKUP(N20,Alerts[],3,FALSE)</f>
        <v/>
      </c>
      <c r="Q20" s="572"/>
      <c r="R20" s="463" t="str" cm="1">
        <f t="array" ref="R20">IFZERO(VLOOKUP(N20,Alerts[],4,FALSE),"")</f>
        <v/>
      </c>
      <c r="S20" s="150" t="str" cm="1">
        <f t="array" ref="S20">IFZERO(VLOOKUP(N20,Alerts[],5,FALSE),"")</f>
        <v/>
      </c>
      <c r="T20" s="494"/>
      <c r="U20" s="299" t="s">
        <v>950</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71" t="str">
        <f>VLOOKUP(N21,Alerts[],3,FALSE)</f>
        <v/>
      </c>
      <c r="Q21" s="572"/>
      <c r="R21" s="463" t="str" cm="1">
        <f t="array" ref="R21">IFZERO(VLOOKUP(N21,Alerts[],4,FALSE),"")</f>
        <v/>
      </c>
      <c r="S21" s="150" t="str" cm="1">
        <f t="array" ref="S21">IFZERO(VLOOKUP(N21,Alerts[],5,FALSE),"")</f>
        <v/>
      </c>
      <c r="T21" s="494"/>
      <c r="U21" s="299" t="s">
        <v>949</v>
      </c>
      <c r="V21" s="497">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71" t="str">
        <f>VLOOKUP(N22,Alerts[],3,FALSE)</f>
        <v/>
      </c>
      <c r="Q22" s="572"/>
      <c r="R22" s="463" t="str" cm="1">
        <f t="array" ref="R22">IFZERO(VLOOKUP(N22,Alerts[],4,FALSE),"")</f>
        <v/>
      </c>
      <c r="S22" s="150" t="str" cm="1">
        <f t="array" ref="S22">IFZERO(VLOOKUP(N22,Alerts[],5,FALSE),"")</f>
        <v/>
      </c>
      <c r="T22" s="494"/>
      <c r="U22" s="299" t="s">
        <v>948</v>
      </c>
      <c r="V22" s="299">
        <f>V20+1</f>
        <v>1</v>
      </c>
    </row>
    <row r="23" spans="1:22" s="291" customFormat="1" x14ac:dyDescent="0.2">
      <c r="A23" s="334"/>
      <c r="B23" s="144"/>
      <c r="C23" s="444" t="s">
        <v>913</v>
      </c>
      <c r="D23" s="295"/>
      <c r="E23" s="316"/>
      <c r="F23" s="163" t="s">
        <v>97</v>
      </c>
      <c r="G23" s="525" t="s">
        <v>371</v>
      </c>
      <c r="H23" s="526"/>
      <c r="I23" s="526"/>
      <c r="J23" s="526"/>
      <c r="K23" s="527"/>
      <c r="L23" s="317"/>
      <c r="M23" s="316"/>
      <c r="N23" s="462">
        <v>19</v>
      </c>
      <c r="O23" s="149"/>
      <c r="P23" s="571" t="str">
        <f>VLOOKUP(N23,Alerts[],3,FALSE)</f>
        <v/>
      </c>
      <c r="Q23" s="572"/>
      <c r="R23" s="463" t="str" cm="1">
        <f t="array" ref="R23">IFZERO(VLOOKUP(N23,Alerts[],4,FALSE),"")</f>
        <v/>
      </c>
      <c r="S23" s="150" t="str" cm="1">
        <f t="array" ref="S23">IFZERO(VLOOKUP(N23,Alerts[],5,FALSE),"")</f>
        <v/>
      </c>
      <c r="T23" s="494"/>
      <c r="U23" s="299" t="s">
        <v>947</v>
      </c>
      <c r="V23" s="299">
        <f>V20+V21</f>
        <v>40</v>
      </c>
    </row>
    <row r="24" spans="1:22" s="291" customFormat="1" x14ac:dyDescent="0.2">
      <c r="A24" s="334"/>
      <c r="B24" s="550" t="s">
        <v>552</v>
      </c>
      <c r="C24" s="551"/>
      <c r="D24" s="295">
        <v>1</v>
      </c>
      <c r="E24" s="316"/>
      <c r="F24" s="163" t="s">
        <v>98</v>
      </c>
      <c r="G24" s="528"/>
      <c r="H24" s="529"/>
      <c r="I24" s="529"/>
      <c r="J24" s="529"/>
      <c r="K24" s="530"/>
      <c r="L24" s="317"/>
      <c r="M24" s="316"/>
      <c r="N24" s="462">
        <v>20</v>
      </c>
      <c r="O24" s="149"/>
      <c r="P24" s="571" t="str">
        <f>VLOOKUP(N24,Alerts[],3,FALSE)</f>
        <v/>
      </c>
      <c r="Q24" s="572"/>
      <c r="R24" s="463" t="str" cm="1">
        <f t="array" ref="R24">IFZERO(VLOOKUP(N24,Alerts[],4,FALSE),"")</f>
        <v/>
      </c>
      <c r="S24" s="150" t="str" cm="1">
        <f t="array" ref="S24">IFZERO(VLOOKUP(N24,Alerts[],5,FALSE),"")</f>
        <v/>
      </c>
      <c r="T24" s="494"/>
      <c r="U24" s="299" t="s">
        <v>946</v>
      </c>
      <c r="V24" s="299" t="str">
        <f>IF(V19=1,"","DaqBook points "&amp;V22&amp;"-"&amp;V23&amp;" used.")</f>
        <v/>
      </c>
    </row>
    <row r="25" spans="1:22" s="291" customFormat="1" x14ac:dyDescent="0.2">
      <c r="A25" s="334"/>
      <c r="B25" s="331"/>
      <c r="C25" s="332"/>
      <c r="D25" s="339"/>
      <c r="E25" s="316"/>
      <c r="F25" s="163" t="s">
        <v>99</v>
      </c>
      <c r="G25" s="528"/>
      <c r="H25" s="529"/>
      <c r="I25" s="529"/>
      <c r="J25" s="529"/>
      <c r="K25" s="530"/>
      <c r="L25" s="317"/>
      <c r="M25" s="316"/>
      <c r="N25" s="462">
        <v>21</v>
      </c>
      <c r="O25" s="149"/>
      <c r="P25" s="571" t="str">
        <f>VLOOKUP(N25,Alerts[],3,FALSE)</f>
        <v/>
      </c>
      <c r="Q25" s="572"/>
      <c r="R25" s="463" t="str" cm="1">
        <f t="array" ref="R25">IFZERO(VLOOKUP(N25,Alerts[],4,FALSE),"")</f>
        <v/>
      </c>
      <c r="S25" s="150" t="str" cm="1">
        <f t="array" ref="S25">IFZERO(VLOOKUP(N25,Alerts[],5,FALSE),"")</f>
        <v/>
      </c>
      <c r="T25" s="494"/>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71" t="str">
        <f>VLOOKUP(N26,Alerts[],3,FALSE)</f>
        <v/>
      </c>
      <c r="Q26" s="572"/>
      <c r="R26" s="463" t="str" cm="1">
        <f t="array" ref="R26">IFZERO(VLOOKUP(N26,Alerts[],4,FALSE),"")</f>
        <v/>
      </c>
      <c r="S26" s="150" t="str" cm="1">
        <f t="array" ref="S26">IFZERO(VLOOKUP(N26,Alerts[],5,FALSE),"")</f>
        <v/>
      </c>
      <c r="T26" s="494"/>
    </row>
    <row r="27" spans="1:22" s="291" customFormat="1" x14ac:dyDescent="0.2">
      <c r="A27" s="334"/>
      <c r="B27" s="164">
        <v>10</v>
      </c>
      <c r="C27" s="145" t="s">
        <v>61</v>
      </c>
      <c r="D27" s="305"/>
      <c r="E27" s="318"/>
      <c r="F27" s="252" t="s">
        <v>270</v>
      </c>
      <c r="G27" s="251" t="str">
        <f>G28</f>
        <v/>
      </c>
      <c r="H27" s="523" t="str">
        <f>IF(ISBLANK(D6),"",IF(CheckRec="x","CHECK INSTRUMENT CAL DATES!!!!             CHECK INSTRUMENT CAL DATES!!!!",""))</f>
        <v/>
      </c>
      <c r="I27" s="524"/>
      <c r="J27" s="524"/>
      <c r="K27" s="524"/>
      <c r="L27" s="317"/>
      <c r="M27" s="316"/>
      <c r="N27" s="462">
        <v>23</v>
      </c>
      <c r="O27" s="149"/>
      <c r="P27" s="571" t="str">
        <f>VLOOKUP(N27,Alerts[],3,FALSE)</f>
        <v/>
      </c>
      <c r="Q27" s="572"/>
      <c r="R27" s="463" t="str" cm="1">
        <f t="array" ref="R27">IFZERO(VLOOKUP(N27,Alerts[],4,FALSE),"")</f>
        <v/>
      </c>
      <c r="S27" s="150" t="str" cm="1">
        <f t="array" ref="S27">IFZERO(VLOOKUP(N27,Alerts[],5,FALSE),"")</f>
        <v/>
      </c>
      <c r="T27" s="494"/>
    </row>
    <row r="28" spans="1:22" s="291" customFormat="1" x14ac:dyDescent="0.2">
      <c r="A28" s="334"/>
      <c r="B28" s="165">
        <v>30</v>
      </c>
      <c r="C28" s="161" t="s">
        <v>62</v>
      </c>
      <c r="D28" s="305"/>
      <c r="E28" s="318"/>
      <c r="F28" s="252" t="s">
        <v>271</v>
      </c>
      <c r="G28" s="251" t="str">
        <f>IF(CheckRec="y","Cal by Customer",IF(D$3,D$3,""))</f>
        <v/>
      </c>
      <c r="H28" s="523"/>
      <c r="I28" s="524"/>
      <c r="J28" s="524"/>
      <c r="K28" s="524"/>
      <c r="L28" s="317"/>
      <c r="M28" s="316"/>
      <c r="N28" s="462">
        <v>24</v>
      </c>
      <c r="O28" s="149"/>
      <c r="P28" s="571" t="str">
        <f>VLOOKUP(N28,Alerts[],3,FALSE)</f>
        <v/>
      </c>
      <c r="Q28" s="572"/>
      <c r="R28" s="463" t="str" cm="1">
        <f t="array" ref="R28">IFZERO(VLOOKUP(N28,Alerts[],4,FALSE),"")</f>
        <v/>
      </c>
      <c r="S28" s="150" t="str" cm="1">
        <f t="array" ref="S28">IFZERO(VLOOKUP(N28,Alerts[],5,FALSE),"")</f>
        <v/>
      </c>
      <c r="T28" s="494"/>
    </row>
    <row r="29" spans="1:22" s="291" customFormat="1" x14ac:dyDescent="0.2">
      <c r="A29" s="334"/>
      <c r="B29" s="164">
        <v>40</v>
      </c>
      <c r="C29" s="145" t="s">
        <v>73</v>
      </c>
      <c r="D29" s="166" t="str">
        <f>(IF(OR(D27="",D28=""),"",IF(ISBLANK(D27),"",D28-D27)))</f>
        <v/>
      </c>
      <c r="E29" s="346" t="str">
        <f>IFERROR(IF(D29=0,"&lt;2",ROUND(IF(LEN(D29)&gt;3,D29*1440,TEXT(D29,"hh:mm")),0)) &amp;" MINUTES","")</f>
        <v/>
      </c>
      <c r="F29" s="320" t="s">
        <v>272</v>
      </c>
      <c r="G29" s="317"/>
      <c r="H29" s="317"/>
      <c r="I29" s="317"/>
      <c r="J29" s="317"/>
      <c r="K29" s="317"/>
      <c r="L29" s="317"/>
      <c r="M29" s="316"/>
      <c r="N29" s="462">
        <v>25</v>
      </c>
      <c r="O29" s="149"/>
      <c r="P29" s="571" t="str">
        <f>VLOOKUP(N29,Alerts[],3,FALSE)</f>
        <v/>
      </c>
      <c r="Q29" s="572"/>
      <c r="R29" s="463" t="str" cm="1">
        <f t="array" ref="R29">IFZERO(VLOOKUP(N29,Alerts[],4,FALSE),"")</f>
        <v/>
      </c>
      <c r="S29" s="150" t="str" cm="1">
        <f t="array" ref="S29">IFZERO(VLOOKUP(N29,Alerts[],5,FALSE),"")</f>
        <v/>
      </c>
      <c r="T29" s="494"/>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71" t="str">
        <f>VLOOKUP(N30,Alerts[],3,FALSE)</f>
        <v/>
      </c>
      <c r="Q30" s="572"/>
      <c r="R30" s="463" t="str" cm="1">
        <f t="array" ref="R30">IFZERO(VLOOKUP(N30,Alerts[],4,FALSE),"")</f>
        <v/>
      </c>
      <c r="S30" s="150" t="str" cm="1">
        <f t="array" ref="S30">IFZERO(VLOOKUP(N30,Alerts[],5,FALSE),"")</f>
        <v/>
      </c>
      <c r="T30" s="494"/>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71" t="str">
        <f>VLOOKUP(N31,Alerts[],3,FALSE)</f>
        <v/>
      </c>
      <c r="Q31" s="572"/>
      <c r="R31" s="463" t="str" cm="1">
        <f t="array" ref="R31">IFZERO(VLOOKUP(N31,Alerts[],4,FALSE),"")</f>
        <v/>
      </c>
      <c r="S31" s="150" t="str" cm="1">
        <f t="array" ref="S31">IFZERO(VLOOKUP(N31,Alerts[],5,FALSE),"")</f>
        <v/>
      </c>
      <c r="T31" s="494"/>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71" t="str">
        <f>VLOOKUP(N32,Alerts[],3,FALSE)</f>
        <v/>
      </c>
      <c r="Q32" s="572"/>
      <c r="R32" s="463" t="str" cm="1">
        <f t="array" ref="R32">IFZERO(VLOOKUP(N32,Alerts[],4,FALSE),"")</f>
        <v/>
      </c>
      <c r="S32" s="150" t="str" cm="1">
        <f t="array" ref="S32">IFZERO(VLOOKUP(N32,Alerts[],5,FALSE),"")</f>
        <v/>
      </c>
      <c r="T32" s="494"/>
    </row>
    <row r="33" spans="1:23" s="291" customFormat="1" x14ac:dyDescent="0.2">
      <c r="A33" s="334"/>
      <c r="B33" s="331"/>
      <c r="C33" s="353"/>
      <c r="D33" s="143"/>
      <c r="E33" s="143"/>
      <c r="F33" s="143"/>
      <c r="G33" s="143"/>
      <c r="H33" s="143"/>
      <c r="I33" s="143"/>
      <c r="J33" s="143"/>
      <c r="K33" s="143"/>
      <c r="L33" s="143"/>
      <c r="M33" s="316"/>
      <c r="N33" s="462">
        <v>29</v>
      </c>
      <c r="O33" s="149"/>
      <c r="P33" s="571" t="str">
        <f>VLOOKUP(N33,Alerts[],3,FALSE)</f>
        <v/>
      </c>
      <c r="Q33" s="572"/>
      <c r="R33" s="463" t="str" cm="1">
        <f t="array" ref="R33">IFZERO(VLOOKUP(N33,Alerts[],4,FALSE),"")</f>
        <v/>
      </c>
      <c r="S33" s="150" t="str" cm="1">
        <f t="array" ref="S33">IFZERO(VLOOKUP(N33,Alerts[],5,FALSE),"")</f>
        <v/>
      </c>
      <c r="T33" s="494"/>
    </row>
    <row r="34" spans="1:23" s="291" customFormat="1" ht="12.75" customHeight="1" x14ac:dyDescent="0.2">
      <c r="A34" s="334"/>
      <c r="B34" s="537" t="s">
        <v>49</v>
      </c>
      <c r="C34" s="538"/>
      <c r="D34" s="538"/>
      <c r="E34" s="538"/>
      <c r="F34" s="538"/>
      <c r="G34" s="538"/>
      <c r="H34" s="538"/>
      <c r="I34" s="538"/>
      <c r="J34" s="538"/>
      <c r="K34" s="538"/>
      <c r="L34" s="539"/>
      <c r="M34" s="316"/>
      <c r="N34" s="462">
        <v>30</v>
      </c>
      <c r="O34" s="149"/>
      <c r="P34" s="571" t="str">
        <f>VLOOKUP(N34,Alerts[],3,FALSE)</f>
        <v/>
      </c>
      <c r="Q34" s="572"/>
      <c r="R34" s="463" t="str" cm="1">
        <f t="array" ref="R34">IFZERO(VLOOKUP(N34,Alerts[],4,FALSE),"")</f>
        <v/>
      </c>
      <c r="S34" s="150" t="str" cm="1">
        <f t="array" ref="S34">IFZERO(VLOOKUP(N34,Alerts[],5,FALSE),"")</f>
        <v/>
      </c>
      <c r="T34" s="495"/>
    </row>
    <row r="35" spans="1:23" s="291" customFormat="1" ht="12.75" customHeight="1" thickBot="1" x14ac:dyDescent="0.25">
      <c r="A35" s="499"/>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71" t="str">
        <f>VLOOKUP(N35,Alerts[],3,FALSE)</f>
        <v/>
      </c>
      <c r="Q35" s="572"/>
      <c r="R35" s="463" t="str" cm="1">
        <f t="array" ref="R35">IFZERO(VLOOKUP(N35,Alerts[],4,FALSE),"")</f>
        <v/>
      </c>
      <c r="S35" s="150" t="str" cm="1">
        <f t="array" ref="S35">IFZERO(VLOOKUP(N35,Alerts[],5,FALSE),"")</f>
        <v/>
      </c>
      <c r="T35" s="495"/>
    </row>
    <row r="36" spans="1:23" s="291" customFormat="1" ht="13.5" thickBot="1" x14ac:dyDescent="0.25">
      <c r="A36" s="500" t="s">
        <v>922</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71" t="str">
        <f>VLOOKUP(N36,Alerts[],3,FALSE)</f>
        <v/>
      </c>
      <c r="Q36" s="572"/>
      <c r="R36" s="463" t="str" cm="1">
        <f t="array" ref="R36">IFZERO(VLOOKUP(N36,Alerts[],4,FALSE),"")</f>
        <v/>
      </c>
      <c r="S36" s="150" t="str" cm="1">
        <f t="array" ref="S36">IFZERO(VLOOKUP(N36,Alerts[],5,FALSE),"")</f>
        <v/>
      </c>
      <c r="T36" s="495"/>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71" t="str">
        <f>VLOOKUP(N37,Alerts[],3,FALSE)</f>
        <v/>
      </c>
      <c r="Q37" s="572"/>
      <c r="R37" s="463" t="str" cm="1">
        <f t="array" ref="R37">IFZERO(VLOOKUP(N37,Alerts[],4,FALSE),"")</f>
        <v/>
      </c>
      <c r="S37" s="150" t="str" cm="1">
        <f t="array" ref="S37">IFZERO(VLOOKUP(N37,Alerts[],5,FALSE),"")</f>
        <v/>
      </c>
      <c r="T37" s="495"/>
    </row>
    <row r="38" spans="1:23" s="291" customFormat="1" x14ac:dyDescent="0.2">
      <c r="A38" s="202" t="str">
        <f t="shared" si="0"/>
        <v/>
      </c>
      <c r="B38" s="204"/>
      <c r="C38" s="194"/>
      <c r="D38" s="203"/>
      <c r="E38" s="203"/>
      <c r="F38" s="203"/>
      <c r="G38" s="203"/>
      <c r="H38" s="203"/>
      <c r="I38" s="176"/>
      <c r="J38" s="176"/>
      <c r="K38" s="176"/>
      <c r="L38" s="176"/>
      <c r="M38" s="316"/>
      <c r="N38" s="462">
        <v>34</v>
      </c>
      <c r="O38" s="149"/>
      <c r="P38" s="571" t="str">
        <f>VLOOKUP(N38,Alerts[],3,FALSE)</f>
        <v/>
      </c>
      <c r="Q38" s="572"/>
      <c r="R38" s="463" t="str" cm="1">
        <f t="array" ref="R38">IFZERO(VLOOKUP(N38,Alerts[],4,FALSE),"")</f>
        <v/>
      </c>
      <c r="S38" s="150" t="str" cm="1">
        <f t="array" ref="S38">IFZERO(VLOOKUP(N38,Alerts[],5,FALSE),"")</f>
        <v/>
      </c>
      <c r="T38" s="495"/>
    </row>
    <row r="39" spans="1:23" s="291" customFormat="1" x14ac:dyDescent="0.2">
      <c r="A39" s="202" t="str">
        <f t="shared" si="0"/>
        <v/>
      </c>
      <c r="B39" s="204"/>
      <c r="C39" s="194"/>
      <c r="D39" s="203"/>
      <c r="E39" s="203"/>
      <c r="F39" s="203"/>
      <c r="G39" s="203"/>
      <c r="H39" s="176"/>
      <c r="I39" s="176"/>
      <c r="J39" s="176"/>
      <c r="K39" s="176"/>
      <c r="L39" s="176"/>
      <c r="M39" s="316"/>
      <c r="N39" s="462">
        <v>35</v>
      </c>
      <c r="O39" s="149"/>
      <c r="P39" s="571" t="str">
        <f>VLOOKUP(N39,Alerts[],3,FALSE)</f>
        <v/>
      </c>
      <c r="Q39" s="572"/>
      <c r="R39" s="463" t="str" cm="1">
        <f t="array" ref="R39">IFZERO(VLOOKUP(N39,Alerts[],4,FALSE),"")</f>
        <v/>
      </c>
      <c r="S39" s="150" t="str" cm="1">
        <f t="array" ref="S39">IFZERO(VLOOKUP(N39,Alerts[],5,FALSE),"")</f>
        <v/>
      </c>
      <c r="T39" s="495"/>
    </row>
    <row r="40" spans="1:23" s="291" customFormat="1" x14ac:dyDescent="0.2">
      <c r="A40" s="202" t="str">
        <f t="shared" si="0"/>
        <v/>
      </c>
      <c r="B40" s="204"/>
      <c r="C40" s="194"/>
      <c r="D40" s="203"/>
      <c r="E40" s="203"/>
      <c r="F40" s="203"/>
      <c r="G40" s="203"/>
      <c r="H40" s="176"/>
      <c r="I40" s="176"/>
      <c r="J40" s="176"/>
      <c r="K40" s="176"/>
      <c r="L40" s="176"/>
      <c r="M40" s="316"/>
      <c r="N40" s="462">
        <v>36</v>
      </c>
      <c r="O40" s="149"/>
      <c r="P40" s="571" t="str">
        <f>VLOOKUP(N40,Alerts[],3,FALSE)</f>
        <v/>
      </c>
      <c r="Q40" s="572"/>
      <c r="R40" s="463" t="str" cm="1">
        <f t="array" ref="R40">IFZERO(VLOOKUP(N40,Alerts[],4,FALSE),"")</f>
        <v/>
      </c>
      <c r="S40" s="150" t="str" cm="1">
        <f t="array" ref="S40">IFZERO(VLOOKUP(N40,Alerts[],5,FALSE),"")</f>
        <v/>
      </c>
      <c r="T40" s="495"/>
    </row>
    <row r="41" spans="1:23" s="291" customFormat="1" x14ac:dyDescent="0.2">
      <c r="A41" s="202" t="str">
        <f t="shared" si="0"/>
        <v/>
      </c>
      <c r="B41" s="177"/>
      <c r="C41" s="178"/>
      <c r="D41" s="179"/>
      <c r="E41" s="179"/>
      <c r="F41" s="179"/>
      <c r="G41" s="179"/>
      <c r="H41" s="179"/>
      <c r="I41" s="179"/>
      <c r="J41" s="179"/>
      <c r="K41" s="179"/>
      <c r="L41" s="179"/>
      <c r="M41" s="316"/>
      <c r="N41" s="462">
        <v>37</v>
      </c>
      <c r="O41" s="149"/>
      <c r="P41" s="571" t="str">
        <f>VLOOKUP(N41,Alerts[],3,FALSE)</f>
        <v/>
      </c>
      <c r="Q41" s="572"/>
      <c r="R41" s="463" t="str" cm="1">
        <f t="array" ref="R41">IFZERO(VLOOKUP(N41,Alerts[],4,FALSE),"")</f>
        <v/>
      </c>
      <c r="S41" s="150" t="str" cm="1">
        <f t="array" ref="S41">IFZERO(VLOOKUP(N41,Alerts[],5,FALSE),"")</f>
        <v/>
      </c>
      <c r="T41" s="495"/>
    </row>
    <row r="42" spans="1:23" s="291" customFormat="1" x14ac:dyDescent="0.2">
      <c r="A42" s="202" t="str">
        <f t="shared" si="0"/>
        <v/>
      </c>
      <c r="B42" s="177"/>
      <c r="C42" s="178"/>
      <c r="D42" s="179"/>
      <c r="E42" s="179"/>
      <c r="F42" s="179"/>
      <c r="G42" s="179"/>
      <c r="H42" s="179"/>
      <c r="I42" s="179"/>
      <c r="J42" s="179"/>
      <c r="K42" s="179"/>
      <c r="L42" s="179"/>
      <c r="M42" s="316"/>
      <c r="N42" s="462">
        <v>38</v>
      </c>
      <c r="O42" s="149"/>
      <c r="P42" s="571" t="str">
        <f>VLOOKUP(N42,Alerts[],3,FALSE)</f>
        <v/>
      </c>
      <c r="Q42" s="572"/>
      <c r="R42" s="463" t="str" cm="1">
        <f t="array" ref="R42">IFZERO(VLOOKUP(N42,Alerts[],4,FALSE),"")</f>
        <v/>
      </c>
      <c r="S42" s="150" t="str" cm="1">
        <f t="array" ref="S42">IFZERO(VLOOKUP(N42,Alerts[],5,FALSE),"")</f>
        <v/>
      </c>
      <c r="T42" s="495"/>
    </row>
    <row r="43" spans="1:23" s="291" customFormat="1" x14ac:dyDescent="0.2">
      <c r="A43" s="202" t="str">
        <f t="shared" si="0"/>
        <v/>
      </c>
      <c r="B43" s="177"/>
      <c r="C43" s="178"/>
      <c r="D43" s="179"/>
      <c r="E43" s="179"/>
      <c r="F43" s="179"/>
      <c r="G43" s="179"/>
      <c r="H43" s="179"/>
      <c r="I43" s="179"/>
      <c r="J43" s="179"/>
      <c r="K43" s="179"/>
      <c r="L43" s="179"/>
      <c r="M43" s="316"/>
      <c r="N43" s="462">
        <v>39</v>
      </c>
      <c r="O43" s="149"/>
      <c r="P43" s="571" t="str">
        <f>VLOOKUP(N43,Alerts[],3,FALSE)</f>
        <v/>
      </c>
      <c r="Q43" s="572"/>
      <c r="R43" s="463" t="str" cm="1">
        <f t="array" ref="R43">IFZERO(VLOOKUP(N43,Alerts[],4,FALSE),"")</f>
        <v/>
      </c>
      <c r="S43" s="150" t="str" cm="1">
        <f t="array" ref="S43">IFZERO(VLOOKUP(N43,Alerts[],5,FALSE),"")</f>
        <v/>
      </c>
      <c r="T43" s="495"/>
    </row>
    <row r="44" spans="1:23" s="291" customFormat="1" x14ac:dyDescent="0.2">
      <c r="A44" s="202" t="str">
        <f t="shared" si="0"/>
        <v/>
      </c>
      <c r="B44" s="177"/>
      <c r="C44" s="178"/>
      <c r="D44" s="179"/>
      <c r="E44" s="179"/>
      <c r="F44" s="179"/>
      <c r="G44" s="179"/>
      <c r="H44" s="179"/>
      <c r="I44" s="179"/>
      <c r="J44" s="179"/>
      <c r="K44" s="179"/>
      <c r="L44" s="179"/>
      <c r="M44" s="316"/>
      <c r="N44" s="462">
        <v>40</v>
      </c>
      <c r="O44" s="149"/>
      <c r="P44" s="571" t="str">
        <f>VLOOKUP(N44,Alerts[],3,FALSE)</f>
        <v/>
      </c>
      <c r="Q44" s="572"/>
      <c r="R44" s="463" t="str" cm="1">
        <f t="array" ref="R44">IFZERO(VLOOKUP(N44,Alerts[],4,FALSE),"")</f>
        <v/>
      </c>
      <c r="S44" s="150" t="str" cm="1">
        <f t="array" ref="S44">IFZERO(VLOOKUP(N44,Alerts[],5,FALSE),"")</f>
        <v/>
      </c>
      <c r="T44" s="495"/>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505" t="s">
        <v>33</v>
      </c>
      <c r="E46" s="506"/>
      <c r="F46" s="506"/>
      <c r="G46" s="506"/>
      <c r="H46" s="506"/>
      <c r="I46" s="507"/>
      <c r="J46" s="360"/>
      <c r="K46" s="360"/>
      <c r="L46" s="360"/>
      <c r="M46" s="531" t="s">
        <v>328</v>
      </c>
      <c r="N46" s="532"/>
      <c r="O46" s="533"/>
      <c r="P46" s="534"/>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329</v>
      </c>
      <c r="N47" s="314" t="s">
        <v>330</v>
      </c>
      <c r="O47" s="361"/>
      <c r="P47" s="512" t="s">
        <v>331</v>
      </c>
      <c r="Q47" s="512"/>
      <c r="R47" s="432" t="s">
        <v>332</v>
      </c>
      <c r="S47" s="320"/>
      <c r="T47" s="320"/>
      <c r="U47" s="320"/>
    </row>
    <row r="48" spans="1:23" x14ac:dyDescent="0.2">
      <c r="A48" s="334"/>
      <c r="B48" s="358"/>
      <c r="C48" s="430" t="s">
        <v>34</v>
      </c>
      <c r="D48" s="303"/>
      <c r="E48" s="303"/>
      <c r="F48" s="303"/>
      <c r="G48" s="303"/>
      <c r="H48" s="303"/>
      <c r="I48" s="303"/>
      <c r="J48" s="360"/>
      <c r="K48" s="360"/>
      <c r="L48" s="360"/>
      <c r="M48" s="513" t="s">
        <v>333</v>
      </c>
      <c r="N48" s="513"/>
      <c r="O48" s="362"/>
      <c r="P48" s="514" t="s">
        <v>380</v>
      </c>
      <c r="Q48" s="515"/>
      <c r="R48" s="516"/>
      <c r="S48" s="363"/>
      <c r="T48" s="321"/>
      <c r="U48" s="514" t="s">
        <v>383</v>
      </c>
      <c r="V48" s="515"/>
      <c r="W48" s="516"/>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857</v>
      </c>
      <c r="L49" s="360"/>
      <c r="M49" s="252" t="s">
        <v>334</v>
      </c>
      <c r="N49" s="313" t="str">
        <f>IF(PB="","",PB)</f>
        <v/>
      </c>
      <c r="O49" s="330"/>
      <c r="P49" s="517" t="s">
        <v>385</v>
      </c>
      <c r="Q49" s="518"/>
      <c r="R49" s="519"/>
      <c r="S49" s="433"/>
      <c r="T49" s="322"/>
      <c r="U49" s="517" t="s">
        <v>384</v>
      </c>
      <c r="V49" s="518"/>
      <c r="W49" s="519"/>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335</v>
      </c>
      <c r="N50" s="313" t="str">
        <f>IF(Integral="","",Integral)</f>
        <v/>
      </c>
      <c r="O50" s="330"/>
      <c r="P50" s="520" t="s">
        <v>336</v>
      </c>
      <c r="Q50" s="521"/>
      <c r="R50" s="522"/>
      <c r="S50" s="366"/>
      <c r="T50" s="323"/>
      <c r="U50" s="520" t="s">
        <v>336</v>
      </c>
      <c r="V50" s="521"/>
      <c r="W50" s="522"/>
      <c r="X50" s="320"/>
    </row>
    <row r="51" spans="1:24" x14ac:dyDescent="0.2">
      <c r="A51" s="334"/>
      <c r="B51" s="367"/>
      <c r="C51" s="429" t="s">
        <v>57</v>
      </c>
      <c r="D51" s="303"/>
      <c r="E51" s="303"/>
      <c r="F51" s="303"/>
      <c r="G51" s="303"/>
      <c r="H51" s="303"/>
      <c r="I51" s="303"/>
      <c r="J51" s="360"/>
      <c r="K51" s="368"/>
      <c r="L51" s="360"/>
      <c r="M51" s="416" t="s">
        <v>337</v>
      </c>
      <c r="N51" s="313" t="str">
        <f>IF(Derivative="","",Derivative)</f>
        <v/>
      </c>
      <c r="O51" s="316"/>
      <c r="P51" s="517" t="s">
        <v>381</v>
      </c>
      <c r="Q51" s="518"/>
      <c r="R51" s="519"/>
      <c r="S51" s="433"/>
      <c r="T51" s="324"/>
      <c r="U51" s="517" t="s">
        <v>386</v>
      </c>
      <c r="V51" s="518"/>
      <c r="W51" s="519"/>
      <c r="X51" s="304"/>
    </row>
    <row r="52" spans="1:24" x14ac:dyDescent="0.2">
      <c r="A52" s="334"/>
      <c r="B52" s="358"/>
      <c r="C52" s="429" t="s">
        <v>343</v>
      </c>
      <c r="D52" s="303"/>
      <c r="E52" s="303"/>
      <c r="F52" s="303"/>
      <c r="G52" s="303"/>
      <c r="H52" s="303"/>
      <c r="I52" s="303"/>
      <c r="J52" s="360"/>
      <c r="K52" s="368"/>
      <c r="L52" s="360"/>
      <c r="M52" s="416" t="s">
        <v>338</v>
      </c>
      <c r="N52" s="313" t="str">
        <f>IF(Other1="","",Other1)</f>
        <v/>
      </c>
      <c r="O52" s="330"/>
      <c r="P52" s="520" t="s">
        <v>336</v>
      </c>
      <c r="Q52" s="521"/>
      <c r="R52" s="522"/>
      <c r="S52" s="366"/>
      <c r="T52" s="325"/>
      <c r="U52" s="520" t="s">
        <v>336</v>
      </c>
      <c r="V52" s="521"/>
      <c r="W52" s="522"/>
      <c r="X52" s="320"/>
    </row>
    <row r="53" spans="1:24" ht="12.75" customHeight="1" x14ac:dyDescent="0.2">
      <c r="A53" s="334"/>
      <c r="B53" s="358"/>
      <c r="C53" s="429" t="s">
        <v>58</v>
      </c>
      <c r="D53" s="308"/>
      <c r="E53" s="308"/>
      <c r="F53" s="308"/>
      <c r="G53" s="308"/>
      <c r="H53" s="308"/>
      <c r="I53" s="308"/>
      <c r="J53" s="360"/>
      <c r="K53" s="369"/>
      <c r="L53" s="369"/>
      <c r="M53" s="417" t="s">
        <v>338</v>
      </c>
      <c r="N53" s="313" t="str">
        <f>IF(Other2="","",Other2)</f>
        <v/>
      </c>
      <c r="O53" s="330"/>
      <c r="P53" s="565" t="s">
        <v>382</v>
      </c>
      <c r="Q53" s="566"/>
      <c r="R53" s="567"/>
      <c r="S53" s="434"/>
      <c r="T53" s="326"/>
      <c r="U53" s="565" t="s">
        <v>387</v>
      </c>
      <c r="V53" s="566"/>
      <c r="W53" s="567"/>
      <c r="X53" s="415"/>
    </row>
    <row r="54" spans="1:24" x14ac:dyDescent="0.2">
      <c r="A54" s="334"/>
      <c r="B54" s="358"/>
      <c r="C54" s="431" t="s">
        <v>82</v>
      </c>
      <c r="D54" s="486" t="str">
        <f>_xlfn.XLOOKUP(D$48,WireSets[serial_number],WireSets[certificate_number],"",0)</f>
        <v/>
      </c>
      <c r="E54" s="486" t="str">
        <f>_xlfn.XLOOKUP(E$48,WireSets[serial_number],WireSets[certificate_number],"",0)</f>
        <v/>
      </c>
      <c r="F54" s="486" t="str">
        <f>_xlfn.XLOOKUP(F$48,WireSets[serial_number],WireSets[certificate_number],"",0)</f>
        <v/>
      </c>
      <c r="G54" s="486" t="str">
        <f>_xlfn.XLOOKUP(G$48,WireSets[serial_number],WireSets[certificate_number],"",0)</f>
        <v/>
      </c>
      <c r="H54" s="486" t="str">
        <f>_xlfn.XLOOKUP(H$48,WireSets[serial_number],WireSets[certificate_number],"",0)</f>
        <v/>
      </c>
      <c r="I54" s="486" t="str">
        <f>_xlfn.XLOOKUP(I$48,WireSets[serial_number],WireSets[certificate_number],"",0)</f>
        <v/>
      </c>
      <c r="J54" s="370"/>
      <c r="K54" s="418"/>
      <c r="L54" s="419"/>
      <c r="M54" s="420" t="s">
        <v>365</v>
      </c>
      <c r="N54" s="312">
        <v>0</v>
      </c>
      <c r="O54" s="318"/>
      <c r="P54" s="568"/>
      <c r="Q54" s="569"/>
      <c r="R54" s="570"/>
      <c r="S54" s="371"/>
      <c r="T54" s="327"/>
      <c r="U54" s="568"/>
      <c r="V54" s="569"/>
      <c r="W54" s="570"/>
    </row>
    <row r="55" spans="1:24" x14ac:dyDescent="0.2">
      <c r="A55" s="334"/>
      <c r="B55" s="358"/>
      <c r="C55" s="431" t="s">
        <v>152</v>
      </c>
      <c r="D55" s="487" t="str">
        <f>_xlfn.XLOOKUP(D$48,WireSets[serial_number],WireSets[wire_roll_cert_number],"",0)</f>
        <v/>
      </c>
      <c r="E55" s="487" t="str">
        <f>_xlfn.XLOOKUP(E$48,WireSets[serial_number],WireSets[wire_roll_cert_number],"",0)</f>
        <v/>
      </c>
      <c r="F55" s="487" t="str">
        <f>_xlfn.XLOOKUP(F$48,WireSets[serial_number],WireSets[wire_roll_cert_number],"",0)</f>
        <v/>
      </c>
      <c r="G55" s="487" t="str">
        <f>_xlfn.XLOOKUP(G$48,WireSets[serial_number],WireSets[wire_roll_cert_number],"",0)</f>
        <v/>
      </c>
      <c r="H55" s="487" t="str">
        <f>_xlfn.XLOOKUP(H$48,WireSets[serial_number],WireSets[wire_roll_cert_number],"",0)</f>
        <v/>
      </c>
      <c r="I55" s="487" t="str">
        <f>_xlfn.XLOOKUP(I$48,WireSets[serial_number],WireSets[wire_roll_cert_number],"",0)</f>
        <v/>
      </c>
      <c r="J55" s="372"/>
      <c r="K55" s="421"/>
      <c r="L55" s="422"/>
      <c r="M55" s="423" t="s">
        <v>366</v>
      </c>
      <c r="N55" s="312">
        <v>0</v>
      </c>
      <c r="O55" s="318"/>
      <c r="P55" s="255" t="s">
        <v>339</v>
      </c>
      <c r="Q55" s="255" t="s">
        <v>14</v>
      </c>
      <c r="R55" s="263" t="s">
        <v>340</v>
      </c>
      <c r="S55" s="373"/>
      <c r="T55" s="328"/>
      <c r="U55" s="315" t="s">
        <v>341</v>
      </c>
      <c r="V55" s="255" t="s">
        <v>14</v>
      </c>
      <c r="W55" s="255" t="s">
        <v>342</v>
      </c>
    </row>
    <row r="56" spans="1:24" x14ac:dyDescent="0.2">
      <c r="A56" s="334"/>
      <c r="B56" s="374"/>
      <c r="C56" s="431" t="s">
        <v>153</v>
      </c>
      <c r="D56" s="303"/>
      <c r="E56" s="303"/>
      <c r="F56" s="303"/>
      <c r="G56" s="303"/>
      <c r="H56" s="303"/>
      <c r="I56" s="303"/>
      <c r="J56" s="375"/>
      <c r="K56" s="424"/>
      <c r="L56" s="425"/>
      <c r="M56" s="423" t="s">
        <v>367</v>
      </c>
      <c r="N56" s="312">
        <v>0</v>
      </c>
      <c r="O56" s="318"/>
      <c r="P56" s="435"/>
      <c r="Q56" s="436"/>
      <c r="R56" s="437"/>
      <c r="S56" s="376"/>
      <c r="T56" s="329"/>
      <c r="U56" s="438"/>
      <c r="V56" s="436"/>
      <c r="W56" s="435"/>
    </row>
    <row r="57" spans="1:24" x14ac:dyDescent="0.2">
      <c r="A57" s="334"/>
      <c r="B57" s="355"/>
      <c r="C57" s="252" t="s">
        <v>344</v>
      </c>
      <c r="D57" s="304"/>
      <c r="E57" s="304"/>
      <c r="F57" s="304"/>
      <c r="G57" s="304"/>
      <c r="H57" s="304"/>
      <c r="I57" s="304"/>
      <c r="J57" s="316"/>
      <c r="K57" s="426"/>
      <c r="L57" s="427"/>
      <c r="M57" s="428" t="s">
        <v>368</v>
      </c>
      <c r="N57" s="312">
        <v>0</v>
      </c>
      <c r="O57" s="318"/>
      <c r="P57" s="316"/>
      <c r="Q57" s="316"/>
      <c r="R57" s="316"/>
      <c r="S57" s="316"/>
    </row>
    <row r="58" spans="1:24" x14ac:dyDescent="0.2">
      <c r="A58" s="334"/>
      <c r="B58" s="355"/>
      <c r="C58" s="505" t="s">
        <v>158</v>
      </c>
      <c r="D58" s="506"/>
      <c r="E58" s="506"/>
      <c r="F58" s="506"/>
      <c r="G58" s="506"/>
      <c r="H58" s="506"/>
      <c r="I58" s="506"/>
      <c r="J58" s="506"/>
      <c r="K58" s="510"/>
      <c r="L58" s="511"/>
      <c r="M58" s="320"/>
      <c r="N58" s="320"/>
      <c r="O58" s="320"/>
      <c r="P58" s="320"/>
      <c r="Q58" s="320"/>
      <c r="R58" s="320"/>
      <c r="S58" s="320"/>
      <c r="T58" s="320"/>
      <c r="U58" s="320"/>
    </row>
    <row r="59" spans="1:24" x14ac:dyDescent="0.2">
      <c r="A59" s="334"/>
      <c r="B59" s="355"/>
      <c r="C59" s="505" t="s">
        <v>161</v>
      </c>
      <c r="D59" s="506"/>
      <c r="E59" s="506"/>
      <c r="F59" s="506"/>
      <c r="G59" s="506"/>
      <c r="H59" s="506"/>
      <c r="I59" s="506"/>
      <c r="J59" s="506"/>
      <c r="K59" s="506"/>
      <c r="L59" s="507"/>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159</v>
      </c>
      <c r="E60" s="311"/>
      <c r="F60" s="182" t="str">
        <f>Unit&amp;" and oven setpoint raised until high limit system activated at "</f>
        <v xml:space="preserve">°F and oven setpoint raised until high limit system activated at </v>
      </c>
      <c r="G60" s="183"/>
      <c r="H60" s="183"/>
      <c r="I60" s="183"/>
      <c r="J60" s="184"/>
      <c r="K60" s="311"/>
      <c r="L60" s="185" t="str">
        <f>Unit&amp;"."</f>
        <v>°F.</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160</v>
      </c>
      <c r="E61" s="311"/>
      <c r="F61" s="187" t="s">
        <v>162</v>
      </c>
      <c r="G61" s="188"/>
      <c r="H61" s="188"/>
      <c r="I61" s="189"/>
      <c r="J61" s="311"/>
      <c r="K61" s="190" t="str">
        <f>Unit&amp;"."</f>
        <v>°F.</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363</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3"/>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905</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903</v>
      </c>
      <c r="G85" t="s">
        <v>151</v>
      </c>
      <c r="H85" t="s">
        <v>150</v>
      </c>
      <c r="I85" s="39" t="s">
        <v>904</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c r="G93" s="398" t="e">
        <f>VLOOKUP(G97,G86:H91,2,FALSE)</f>
        <v>#N/A</v>
      </c>
      <c r="H93" s="399"/>
      <c r="I93" s="400"/>
      <c r="J93" s="393"/>
      <c r="K93" s="394"/>
      <c r="L93" s="395"/>
      <c r="M93" s="390"/>
      <c r="N93" s="391"/>
      <c r="O93" s="391"/>
      <c r="P93" s="391"/>
      <c r="Q93" s="390"/>
      <c r="R93" s="316"/>
      <c r="S93" s="316"/>
    </row>
    <row r="94" spans="1:19" x14ac:dyDescent="0.2">
      <c r="A94" s="387"/>
      <c r="B94" s="388"/>
      <c r="C94" s="389"/>
      <c r="D94" s="390"/>
      <c r="E94" s="396"/>
      <c r="F94" s="401"/>
      <c r="G94" s="402" t="e">
        <f>"±"&amp;G93&amp;"°F"</f>
        <v>#N/A</v>
      </c>
      <c r="H94" s="403"/>
      <c r="J94" s="393"/>
      <c r="K94" s="394"/>
      <c r="L94" s="395"/>
      <c r="M94" s="390"/>
      <c r="N94" s="391"/>
      <c r="O94" s="391"/>
      <c r="P94" s="391"/>
      <c r="Q94" s="390"/>
      <c r="R94" s="316"/>
      <c r="S94" s="316"/>
    </row>
    <row r="95" spans="1:19" x14ac:dyDescent="0.2">
      <c r="A95" s="387"/>
      <c r="B95" s="388"/>
      <c r="C95" s="389"/>
      <c r="D95" s="390"/>
      <c r="E95" s="392"/>
      <c r="F95" s="393"/>
      <c r="G95" s="394"/>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921</v>
      </c>
      <c r="G97" s="389">
        <f>IF(TolMin+TolMax=0,TolMax,"Not Implemented: AMS Class unknown for asymmetrical tolerances.")</f>
        <v>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S5bTsy90rf8aX/mMaq+zQK5+zSbWAe0NX+y27YtD6b+CFrn1IflL4wsoodF4WwSwZLFrzYkU72e612G8Rx3T3Q==" saltValue="fPWQm55jwoNndJpCVob74A=="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6"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939</v>
      </c>
      <c r="B1" s="1" t="s">
        <v>938</v>
      </c>
    </row>
    <row r="2" spans="1:2" x14ac:dyDescent="0.2">
      <c r="A2" t="s">
        <v>940</v>
      </c>
      <c r="B2" t="b">
        <v>1</v>
      </c>
    </row>
  </sheetData>
  <sheetProtection algorithmName="SHA-512" hashValue="iAT9+xDnUYZfPCq8YUTsWaeRPqiM/kY269M6Jux6XIhMUUARV1PUUgJ9DLrQ3pqH5FxwPd6quZ8BrOxnNl/+eg==" saltValue="aJ2B6a8a56SUtJitOqwwrw=="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8"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888</v>
      </c>
      <c r="C2" s="48" t="s">
        <v>889</v>
      </c>
      <c r="D2" s="48" t="s">
        <v>890</v>
      </c>
      <c r="E2" s="48" t="s">
        <v>395</v>
      </c>
      <c r="F2" s="48" t="s">
        <v>891</v>
      </c>
      <c r="G2" s="48" t="s">
        <v>892</v>
      </c>
      <c r="H2" s="48" t="s">
        <v>893</v>
      </c>
      <c r="I2" s="48" t="s">
        <v>894</v>
      </c>
      <c r="J2" s="48" t="s">
        <v>895</v>
      </c>
      <c r="K2" s="48" t="s">
        <v>396</v>
      </c>
      <c r="L2" s="48" t="s">
        <v>896</v>
      </c>
      <c r="M2" s="48" t="s">
        <v>897</v>
      </c>
      <c r="N2" s="48" t="s">
        <v>898</v>
      </c>
      <c r="O2" s="48" t="s">
        <v>899</v>
      </c>
      <c r="P2" s="52"/>
      <c r="Q2" s="443" t="s">
        <v>14</v>
      </c>
      <c r="R2" s="48" t="s">
        <v>874</v>
      </c>
      <c r="S2" s="48" t="s">
        <v>875</v>
      </c>
      <c r="T2" s="48" t="s">
        <v>876</v>
      </c>
      <c r="U2" s="48" t="s">
        <v>877</v>
      </c>
      <c r="V2" s="48" t="s">
        <v>878</v>
      </c>
      <c r="W2" s="48" t="s">
        <v>879</v>
      </c>
      <c r="X2" s="48" t="s">
        <v>880</v>
      </c>
      <c r="Y2" s="48" t="s">
        <v>881</v>
      </c>
      <c r="Z2" s="48" t="s">
        <v>882</v>
      </c>
      <c r="AA2" s="48" t="s">
        <v>883</v>
      </c>
      <c r="AB2" s="48" t="s">
        <v>884</v>
      </c>
      <c r="AC2" s="48" t="s">
        <v>885</v>
      </c>
      <c r="AD2" s="48" t="s">
        <v>886</v>
      </c>
      <c r="AE2" s="48" t="s">
        <v>887</v>
      </c>
      <c r="AF2" s="52"/>
      <c r="AG2" s="443" t="s">
        <v>14</v>
      </c>
      <c r="AH2" s="87" t="s">
        <v>862</v>
      </c>
      <c r="AI2" s="87" t="s">
        <v>863</v>
      </c>
      <c r="AJ2" s="87" t="s">
        <v>864</v>
      </c>
      <c r="AK2" s="87" t="s">
        <v>865</v>
      </c>
      <c r="AL2" s="87" t="s">
        <v>866</v>
      </c>
      <c r="AM2" s="87" t="s">
        <v>867</v>
      </c>
      <c r="AN2" s="87" t="s">
        <v>868</v>
      </c>
      <c r="AO2" s="87" t="s">
        <v>869</v>
      </c>
      <c r="AP2" s="87" t="s">
        <v>870</v>
      </c>
      <c r="AQ2" s="87" t="s">
        <v>871</v>
      </c>
      <c r="AR2" s="87" t="s">
        <v>872</v>
      </c>
      <c r="AS2" s="87" t="s">
        <v>873</v>
      </c>
    </row>
    <row r="3" spans="1:45" x14ac:dyDescent="0.2">
      <c r="B3" s="489"/>
      <c r="C3" s="489"/>
      <c r="D3" s="489"/>
      <c r="E3" s="489"/>
      <c r="F3" s="489"/>
      <c r="G3" s="489"/>
      <c r="H3" s="489"/>
      <c r="I3" s="489"/>
      <c r="J3" s="489"/>
      <c r="K3" s="489"/>
      <c r="L3" s="490"/>
      <c r="M3" s="490"/>
      <c r="N3" s="490"/>
      <c r="O3" s="485"/>
      <c r="Q3" s="488"/>
      <c r="R3" s="489"/>
      <c r="S3" s="489"/>
      <c r="T3" s="489"/>
      <c r="U3" s="489"/>
      <c r="V3" s="489"/>
      <c r="W3" s="489"/>
      <c r="X3" s="489"/>
      <c r="Y3" s="489"/>
      <c r="Z3" s="489"/>
      <c r="AA3" s="489"/>
      <c r="AD3" s="491"/>
      <c r="AE3" s="485"/>
      <c r="AG3" s="488"/>
      <c r="AH3" s="489"/>
      <c r="AI3" s="489"/>
      <c r="AJ3" s="489"/>
      <c r="AK3" s="489"/>
      <c r="AL3" s="489"/>
      <c r="AM3" s="489"/>
      <c r="AN3" s="489"/>
      <c r="AO3" s="489"/>
      <c r="AP3" s="489"/>
      <c r="AQ3" s="489"/>
    </row>
    <row r="4" spans="1:45" x14ac:dyDescent="0.2">
      <c r="Q4" s="488"/>
      <c r="AG4" s="488"/>
    </row>
    <row r="5" spans="1:45" x14ac:dyDescent="0.2">
      <c r="Q5" s="488"/>
      <c r="AG5" s="488"/>
    </row>
    <row r="6" spans="1:45" x14ac:dyDescent="0.2">
      <c r="Q6" s="488"/>
      <c r="AG6" s="488"/>
    </row>
    <row r="7" spans="1:45" x14ac:dyDescent="0.2">
      <c r="Q7" s="488"/>
      <c r="AG7" s="488"/>
    </row>
    <row r="8" spans="1:45" x14ac:dyDescent="0.2">
      <c r="Q8" s="488"/>
      <c r="AG8" s="488"/>
    </row>
    <row r="9" spans="1:45" x14ac:dyDescent="0.2">
      <c r="Q9" s="488"/>
      <c r="AG9" s="488"/>
    </row>
    <row r="10" spans="1:45" x14ac:dyDescent="0.2">
      <c r="Q10" s="488"/>
      <c r="AG10" s="488"/>
    </row>
    <row r="11" spans="1:45" x14ac:dyDescent="0.2">
      <c r="Q11" s="488"/>
      <c r="AG11" s="488"/>
    </row>
    <row r="12" spans="1:45" x14ac:dyDescent="0.2">
      <c r="Q12" s="488"/>
      <c r="AG12" s="488"/>
    </row>
    <row r="13" spans="1:45" x14ac:dyDescent="0.2">
      <c r="Q13" s="488"/>
      <c r="AG13" s="488"/>
    </row>
    <row r="14" spans="1:45" x14ac:dyDescent="0.2">
      <c r="Q14" s="488"/>
      <c r="AG14" s="488"/>
    </row>
    <row r="15" spans="1:45" x14ac:dyDescent="0.2">
      <c r="Q15" s="488"/>
      <c r="AG15" s="488"/>
    </row>
    <row r="16" spans="1:45" x14ac:dyDescent="0.2">
      <c r="Q16" s="488"/>
      <c r="AG16" s="488"/>
    </row>
    <row r="17" spans="17:33" x14ac:dyDescent="0.2">
      <c r="Q17" s="488"/>
      <c r="AG17" s="488"/>
    </row>
    <row r="18" spans="17:33" x14ac:dyDescent="0.2">
      <c r="Q18" s="488"/>
      <c r="AG18" s="488"/>
    </row>
    <row r="19" spans="17:33" x14ac:dyDescent="0.2">
      <c r="Q19" s="488"/>
      <c r="AG19" s="488"/>
    </row>
    <row r="20" spans="17:33" x14ac:dyDescent="0.2">
      <c r="Q20" s="488"/>
      <c r="AG20" s="488"/>
    </row>
    <row r="21" spans="17:33" x14ac:dyDescent="0.2">
      <c r="Q21" s="488"/>
      <c r="AG21" s="488"/>
    </row>
    <row r="22" spans="17:33" x14ac:dyDescent="0.2">
      <c r="Q22" s="488"/>
      <c r="AG22" s="488"/>
    </row>
    <row r="23" spans="17:33" x14ac:dyDescent="0.2">
      <c r="Q23" s="488"/>
      <c r="AG23" s="488"/>
    </row>
    <row r="24" spans="17:33" x14ac:dyDescent="0.2">
      <c r="Q24" s="488"/>
      <c r="AG24" s="488"/>
    </row>
    <row r="25" spans="17:33" x14ac:dyDescent="0.2">
      <c r="Q25" s="488"/>
      <c r="AG25" s="488"/>
    </row>
    <row r="26" spans="17:33" x14ac:dyDescent="0.2">
      <c r="Q26" s="488"/>
      <c r="AG26" s="488"/>
    </row>
    <row r="27" spans="17:33" x14ac:dyDescent="0.2">
      <c r="Q27" s="488"/>
      <c r="AG27" s="488"/>
    </row>
    <row r="28" spans="17:33" x14ac:dyDescent="0.2">
      <c r="Q28" s="488"/>
      <c r="AG28" s="488"/>
    </row>
    <row r="29" spans="17:33" x14ac:dyDescent="0.2">
      <c r="Q29" s="488"/>
      <c r="AG29" s="488"/>
    </row>
    <row r="30" spans="17:33" x14ac:dyDescent="0.2">
      <c r="Q30" s="488"/>
      <c r="AG30" s="488"/>
    </row>
    <row r="31" spans="17:33" x14ac:dyDescent="0.2">
      <c r="Q31" s="488"/>
      <c r="AG31" s="488"/>
    </row>
    <row r="32" spans="17:33" x14ac:dyDescent="0.2">
      <c r="Q32" s="488"/>
      <c r="AG32" s="488"/>
    </row>
    <row r="33" spans="17:33" x14ac:dyDescent="0.2">
      <c r="Q33" s="488"/>
      <c r="AG33" s="488"/>
    </row>
    <row r="34" spans="17:33" x14ac:dyDescent="0.2">
      <c r="Q34" s="488"/>
      <c r="AG34" s="488"/>
    </row>
    <row r="35" spans="17:33" x14ac:dyDescent="0.2">
      <c r="Q35" s="488"/>
      <c r="AG35" s="488"/>
    </row>
    <row r="36" spans="17:33" x14ac:dyDescent="0.2">
      <c r="Q36" s="488"/>
      <c r="AG36" s="488"/>
    </row>
    <row r="37" spans="17:33" x14ac:dyDescent="0.2">
      <c r="Q37" s="488"/>
      <c r="AG37" s="488"/>
    </row>
    <row r="38" spans="17:33" x14ac:dyDescent="0.2">
      <c r="Q38" s="488"/>
      <c r="AG38" s="488"/>
    </row>
    <row r="39" spans="17:33" x14ac:dyDescent="0.2">
      <c r="Q39" s="488"/>
      <c r="AG39" s="488"/>
    </row>
    <row r="40" spans="17:33" x14ac:dyDescent="0.2">
      <c r="Q40" s="488"/>
      <c r="AG40" s="488"/>
    </row>
    <row r="41" spans="17:33" x14ac:dyDescent="0.2">
      <c r="Q41" s="488"/>
      <c r="AG41" s="488"/>
    </row>
    <row r="42" spans="17:33" x14ac:dyDescent="0.2">
      <c r="Q42" s="488"/>
      <c r="AG42" s="488"/>
    </row>
    <row r="43" spans="17:33" x14ac:dyDescent="0.2">
      <c r="Q43" s="488"/>
      <c r="AG43" s="488"/>
    </row>
    <row r="44" spans="17:33" x14ac:dyDescent="0.2">
      <c r="Q44" s="488"/>
      <c r="AG44" s="488"/>
    </row>
    <row r="45" spans="17:33" x14ac:dyDescent="0.2">
      <c r="Q45" s="488"/>
      <c r="AG45" s="488"/>
    </row>
    <row r="46" spans="17:33" x14ac:dyDescent="0.2">
      <c r="Q46" s="488"/>
      <c r="AG46" s="488"/>
    </row>
    <row r="47" spans="17:33" x14ac:dyDescent="0.2">
      <c r="Q47" s="488"/>
      <c r="AG47" s="488"/>
    </row>
    <row r="48" spans="17:33" x14ac:dyDescent="0.2">
      <c r="Q48" s="488"/>
      <c r="AG48" s="488"/>
    </row>
    <row r="49" spans="17:33" x14ac:dyDescent="0.2">
      <c r="Q49" s="488"/>
      <c r="AG49" s="488"/>
    </row>
    <row r="50" spans="17:33" x14ac:dyDescent="0.2">
      <c r="Q50" s="488"/>
      <c r="AG50" s="488"/>
    </row>
    <row r="51" spans="17:33" x14ac:dyDescent="0.2">
      <c r="Q51" s="488"/>
      <c r="AG51" s="488"/>
    </row>
    <row r="52" spans="17:33" x14ac:dyDescent="0.2">
      <c r="Q52" s="488"/>
      <c r="AG52" s="488"/>
    </row>
    <row r="53" spans="17:33" x14ac:dyDescent="0.2">
      <c r="Q53" s="488"/>
      <c r="AG53" s="488"/>
    </row>
    <row r="54" spans="17:33" x14ac:dyDescent="0.2">
      <c r="Q54" s="488"/>
      <c r="AG54" s="488"/>
    </row>
    <row r="55" spans="17:33" x14ac:dyDescent="0.2">
      <c r="Q55" s="488"/>
      <c r="AG55" s="488"/>
    </row>
    <row r="56" spans="17:33" x14ac:dyDescent="0.2">
      <c r="Q56" s="488"/>
      <c r="AG56" s="488"/>
    </row>
    <row r="57" spans="17:33" x14ac:dyDescent="0.2">
      <c r="Q57" s="488"/>
      <c r="AG57" s="488"/>
    </row>
    <row r="58" spans="17:33" x14ac:dyDescent="0.2">
      <c r="Q58" s="488"/>
      <c r="AG58" s="488"/>
    </row>
    <row r="59" spans="17:33" x14ac:dyDescent="0.2">
      <c r="Q59" s="488"/>
      <c r="AG59" s="488"/>
    </row>
    <row r="60" spans="17:33" x14ac:dyDescent="0.2">
      <c r="Q60" s="488"/>
      <c r="AG60" s="488"/>
    </row>
    <row r="61" spans="17:33" x14ac:dyDescent="0.2">
      <c r="Q61" s="488"/>
      <c r="AG61" s="488"/>
    </row>
    <row r="62" spans="17:33" x14ac:dyDescent="0.2">
      <c r="Q62" s="488"/>
      <c r="AG62" s="488"/>
    </row>
    <row r="63" spans="17:33" x14ac:dyDescent="0.2">
      <c r="Q63" s="488"/>
      <c r="AG63" s="488"/>
    </row>
    <row r="64" spans="17:33" x14ac:dyDescent="0.2">
      <c r="Q64" s="488"/>
      <c r="AG64" s="488"/>
    </row>
    <row r="65" spans="17:33" x14ac:dyDescent="0.2">
      <c r="Q65" s="488"/>
      <c r="AG65" s="488"/>
    </row>
    <row r="66" spans="17:33" x14ac:dyDescent="0.2">
      <c r="Q66" s="488"/>
      <c r="AG66" s="488"/>
    </row>
    <row r="67" spans="17:33" x14ac:dyDescent="0.2">
      <c r="Q67" s="488"/>
      <c r="AG67" s="488"/>
    </row>
    <row r="68" spans="17:33" x14ac:dyDescent="0.2">
      <c r="Q68" s="488"/>
      <c r="AG68" s="488"/>
    </row>
    <row r="69" spans="17:33" x14ac:dyDescent="0.2">
      <c r="Q69" s="488"/>
      <c r="AG69" s="488"/>
    </row>
    <row r="70" spans="17:33" x14ac:dyDescent="0.2">
      <c r="Q70" s="488"/>
      <c r="AG70" s="488"/>
    </row>
    <row r="71" spans="17:33" x14ac:dyDescent="0.2">
      <c r="Q71" s="488"/>
      <c r="AG71" s="488"/>
    </row>
    <row r="72" spans="17:33" x14ac:dyDescent="0.2">
      <c r="Q72" s="488"/>
      <c r="AG72" s="488"/>
    </row>
    <row r="73" spans="17:33" x14ac:dyDescent="0.2">
      <c r="Q73" s="488"/>
      <c r="AG73" s="488"/>
    </row>
    <row r="74" spans="17:33" x14ac:dyDescent="0.2">
      <c r="Q74" s="488"/>
      <c r="AG74" s="488"/>
    </row>
    <row r="75" spans="17:33" x14ac:dyDescent="0.2">
      <c r="Q75" s="488"/>
      <c r="AG75" s="488"/>
    </row>
    <row r="76" spans="17:33" x14ac:dyDescent="0.2">
      <c r="Q76" s="488"/>
      <c r="AG76" s="488"/>
    </row>
    <row r="77" spans="17:33" x14ac:dyDescent="0.2">
      <c r="Q77" s="488"/>
      <c r="AG77" s="488"/>
    </row>
    <row r="78" spans="17:33" x14ac:dyDescent="0.2">
      <c r="Q78" s="488"/>
      <c r="AG78" s="488"/>
    </row>
    <row r="79" spans="17:33" x14ac:dyDescent="0.2">
      <c r="Q79" s="488"/>
      <c r="AG79" s="488"/>
    </row>
    <row r="80" spans="17:33" x14ac:dyDescent="0.2">
      <c r="Q80" s="488"/>
      <c r="AG80" s="488"/>
    </row>
    <row r="81" spans="17:33" x14ac:dyDescent="0.2">
      <c r="Q81" s="488"/>
      <c r="AG81" s="488"/>
    </row>
    <row r="82" spans="17:33" x14ac:dyDescent="0.2">
      <c r="Q82" s="488"/>
      <c r="AG82" s="488"/>
    </row>
    <row r="83" spans="17:33" x14ac:dyDescent="0.2">
      <c r="Q83" s="488"/>
      <c r="AG83" s="488"/>
    </row>
    <row r="84" spans="17:33" x14ac:dyDescent="0.2">
      <c r="Q84" s="488"/>
      <c r="AG84" s="488"/>
    </row>
    <row r="85" spans="17:33" x14ac:dyDescent="0.2">
      <c r="Q85" s="488"/>
      <c r="AG85" s="488"/>
    </row>
    <row r="86" spans="17:33" x14ac:dyDescent="0.2">
      <c r="Q86" s="488"/>
      <c r="AG86" s="488"/>
    </row>
    <row r="87" spans="17:33" x14ac:dyDescent="0.2">
      <c r="Q87" s="488"/>
      <c r="AG87" s="488"/>
    </row>
    <row r="88" spans="17:33" x14ac:dyDescent="0.2">
      <c r="Q88" s="488"/>
      <c r="AG88" s="488"/>
    </row>
    <row r="89" spans="17:33" x14ac:dyDescent="0.2">
      <c r="Q89" s="488"/>
      <c r="AG89" s="488"/>
    </row>
    <row r="90" spans="17:33" x14ac:dyDescent="0.2">
      <c r="Q90" s="488"/>
      <c r="AG90" s="488"/>
    </row>
    <row r="91" spans="17:33" x14ac:dyDescent="0.2">
      <c r="Q91" s="488"/>
      <c r="AG91" s="488"/>
    </row>
    <row r="92" spans="17:33" x14ac:dyDescent="0.2">
      <c r="Q92" s="488"/>
      <c r="AG92" s="488"/>
    </row>
    <row r="93" spans="17:33" x14ac:dyDescent="0.2">
      <c r="Q93" s="488"/>
      <c r="AG93" s="488"/>
    </row>
    <row r="94" spans="17:33" x14ac:dyDescent="0.2">
      <c r="Q94" s="488"/>
      <c r="AG94" s="488"/>
    </row>
    <row r="95" spans="17:33" x14ac:dyDescent="0.2">
      <c r="Q95" s="488"/>
      <c r="AG95" s="488"/>
    </row>
    <row r="96" spans="17:33" x14ac:dyDescent="0.2">
      <c r="Q96" s="488"/>
      <c r="AG96" s="488"/>
    </row>
    <row r="97" spans="17:33" x14ac:dyDescent="0.2">
      <c r="Q97" s="488"/>
      <c r="AG97" s="488"/>
    </row>
    <row r="98" spans="17:33" x14ac:dyDescent="0.2">
      <c r="Q98" s="488"/>
      <c r="AG98" s="488"/>
    </row>
    <row r="99" spans="17:33" x14ac:dyDescent="0.2">
      <c r="Q99" s="488"/>
      <c r="AG99" s="488"/>
    </row>
    <row r="100" spans="17:33" x14ac:dyDescent="0.2">
      <c r="Q100" s="488"/>
      <c r="AG100" s="488"/>
    </row>
    <row r="101" spans="17:33" x14ac:dyDescent="0.2">
      <c r="Q101" s="488"/>
      <c r="AG101" s="488"/>
    </row>
    <row r="102" spans="17:33" x14ac:dyDescent="0.2">
      <c r="Q102" s="488"/>
      <c r="AG102" s="488"/>
    </row>
    <row r="103" spans="17:33" x14ac:dyDescent="0.2">
      <c r="Q103" s="488"/>
      <c r="AG103" s="488"/>
    </row>
    <row r="104" spans="17:33" x14ac:dyDescent="0.2">
      <c r="Q104" s="488"/>
      <c r="AG104" s="488"/>
    </row>
    <row r="105" spans="17:33" x14ac:dyDescent="0.2">
      <c r="Q105" s="488"/>
      <c r="AG105" s="488"/>
    </row>
    <row r="106" spans="17:33" x14ac:dyDescent="0.2">
      <c r="Q106" s="488"/>
      <c r="AG106" s="488"/>
    </row>
    <row r="107" spans="17:33" x14ac:dyDescent="0.2">
      <c r="Q107" s="488"/>
      <c r="AG107" s="488"/>
    </row>
    <row r="108" spans="17:33" x14ac:dyDescent="0.2">
      <c r="Q108" s="488"/>
      <c r="AG108" s="488"/>
    </row>
    <row r="109" spans="17:33" x14ac:dyDescent="0.2">
      <c r="Q109" s="488"/>
      <c r="AG109" s="488"/>
    </row>
    <row r="110" spans="17:33" x14ac:dyDescent="0.2">
      <c r="Q110" s="488"/>
      <c r="AG110" s="488"/>
    </row>
    <row r="111" spans="17:33" x14ac:dyDescent="0.2">
      <c r="Q111" s="488"/>
      <c r="AG111" s="488"/>
    </row>
    <row r="112" spans="17:33" x14ac:dyDescent="0.2">
      <c r="Q112" s="488"/>
      <c r="AG112" s="488"/>
    </row>
    <row r="113" spans="17:33" x14ac:dyDescent="0.2">
      <c r="Q113" s="488"/>
      <c r="AG113" s="488"/>
    </row>
    <row r="114" spans="17:33" x14ac:dyDescent="0.2">
      <c r="Q114" s="488"/>
      <c r="AG114" s="488"/>
    </row>
    <row r="115" spans="17:33" x14ac:dyDescent="0.2">
      <c r="Q115" s="488"/>
      <c r="AG115" s="488"/>
    </row>
    <row r="116" spans="17:33" x14ac:dyDescent="0.2">
      <c r="Q116" s="488"/>
      <c r="AG116" s="488"/>
    </row>
    <row r="117" spans="17:33" x14ac:dyDescent="0.2">
      <c r="Q117" s="488"/>
      <c r="AG117" s="488"/>
    </row>
    <row r="118" spans="17:33" x14ac:dyDescent="0.2">
      <c r="Q118" s="488"/>
      <c r="AG118" s="488"/>
    </row>
    <row r="119" spans="17:33" x14ac:dyDescent="0.2">
      <c r="Q119" s="488"/>
      <c r="AG119" s="488"/>
    </row>
    <row r="120" spans="17:33" x14ac:dyDescent="0.2">
      <c r="Q120" s="488"/>
      <c r="AG120" s="488"/>
    </row>
    <row r="121" spans="17:33" x14ac:dyDescent="0.2">
      <c r="Q121" s="488"/>
      <c r="AG121" s="488"/>
    </row>
    <row r="122" spans="17:33" x14ac:dyDescent="0.2">
      <c r="Q122" s="488"/>
      <c r="AG122" s="488"/>
    </row>
    <row r="123" spans="17:33" x14ac:dyDescent="0.2">
      <c r="Q123" s="488"/>
      <c r="AG123" s="488"/>
    </row>
    <row r="124" spans="17:33" x14ac:dyDescent="0.2">
      <c r="Q124" s="488"/>
      <c r="AG124" s="488"/>
    </row>
    <row r="125" spans="17:33" x14ac:dyDescent="0.2">
      <c r="Q125" s="488"/>
      <c r="AG125" s="488"/>
    </row>
    <row r="126" spans="17:33" x14ac:dyDescent="0.2">
      <c r="Q126" s="488"/>
      <c r="AG126" s="488"/>
    </row>
    <row r="127" spans="17:33" x14ac:dyDescent="0.2">
      <c r="Q127" s="488"/>
      <c r="AG127" s="488"/>
    </row>
    <row r="128" spans="17:33" x14ac:dyDescent="0.2">
      <c r="Q128" s="488"/>
      <c r="AG128" s="488"/>
    </row>
    <row r="129" spans="17:33" x14ac:dyDescent="0.2">
      <c r="Q129" s="488"/>
      <c r="AG129" s="488"/>
    </row>
    <row r="130" spans="17:33" x14ac:dyDescent="0.2">
      <c r="Q130" s="488"/>
      <c r="AG130" s="488"/>
    </row>
    <row r="131" spans="17:33" x14ac:dyDescent="0.2">
      <c r="Q131" s="488"/>
      <c r="AG131" s="488"/>
    </row>
    <row r="132" spans="17:33" x14ac:dyDescent="0.2">
      <c r="Q132" s="488"/>
      <c r="AG132" s="488"/>
    </row>
    <row r="133" spans="17:33" x14ac:dyDescent="0.2">
      <c r="Q133" s="488"/>
      <c r="AG133" s="488"/>
    </row>
    <row r="134" spans="17:33" x14ac:dyDescent="0.2">
      <c r="Q134" s="488"/>
      <c r="AG134" s="488"/>
    </row>
    <row r="135" spans="17:33" x14ac:dyDescent="0.2">
      <c r="Q135" s="488"/>
      <c r="AG135" s="488"/>
    </row>
    <row r="136" spans="17:33" x14ac:dyDescent="0.2">
      <c r="Q136" s="488"/>
      <c r="AG136" s="488"/>
    </row>
    <row r="137" spans="17:33" x14ac:dyDescent="0.2">
      <c r="Q137" s="488"/>
      <c r="AG137" s="488"/>
    </row>
    <row r="138" spans="17:33" x14ac:dyDescent="0.2">
      <c r="Q138" s="488"/>
      <c r="AG138" s="488"/>
    </row>
    <row r="139" spans="17:33" x14ac:dyDescent="0.2">
      <c r="Q139" s="488"/>
      <c r="AG139" s="488"/>
    </row>
    <row r="140" spans="17:33" x14ac:dyDescent="0.2">
      <c r="Q140" s="488"/>
      <c r="AG140" s="488"/>
    </row>
    <row r="141" spans="17:33" x14ac:dyDescent="0.2">
      <c r="Q141" s="488"/>
      <c r="AG141" s="488"/>
    </row>
    <row r="142" spans="17:33" x14ac:dyDescent="0.2">
      <c r="Q142" s="488"/>
      <c r="AG142" s="488"/>
    </row>
    <row r="143" spans="17:33" x14ac:dyDescent="0.2">
      <c r="Q143" s="488"/>
      <c r="AG143" s="488"/>
    </row>
    <row r="144" spans="17:33" x14ac:dyDescent="0.2">
      <c r="Q144" s="488"/>
      <c r="AG144" s="488"/>
    </row>
    <row r="145" spans="17:33" x14ac:dyDescent="0.2">
      <c r="Q145" s="488"/>
      <c r="AG145" s="488"/>
    </row>
    <row r="146" spans="17:33" x14ac:dyDescent="0.2">
      <c r="Q146" s="488"/>
      <c r="AG146" s="488"/>
    </row>
    <row r="147" spans="17:33" x14ac:dyDescent="0.2">
      <c r="Q147" s="488"/>
      <c r="AG147" s="488"/>
    </row>
    <row r="148" spans="17:33" x14ac:dyDescent="0.2">
      <c r="Q148" s="488"/>
      <c r="AG148" s="488"/>
    </row>
    <row r="149" spans="17:33" x14ac:dyDescent="0.2">
      <c r="Q149" s="488"/>
      <c r="AG149" s="488"/>
    </row>
    <row r="150" spans="17:33" x14ac:dyDescent="0.2">
      <c r="Q150" s="488"/>
      <c r="AG150" s="488"/>
    </row>
    <row r="151" spans="17:33" x14ac:dyDescent="0.2">
      <c r="Q151" s="488"/>
      <c r="AG151" s="488"/>
    </row>
    <row r="152" spans="17:33" x14ac:dyDescent="0.2">
      <c r="Q152" s="488"/>
      <c r="AG152" s="488"/>
    </row>
    <row r="153" spans="17:33" x14ac:dyDescent="0.2">
      <c r="Q153" s="488"/>
      <c r="AG153" s="488"/>
    </row>
    <row r="154" spans="17:33" x14ac:dyDescent="0.2">
      <c r="Q154" s="488"/>
      <c r="AG154" s="488"/>
    </row>
    <row r="155" spans="17:33" x14ac:dyDescent="0.2">
      <c r="Q155" s="488"/>
      <c r="AG155" s="488"/>
    </row>
    <row r="156" spans="17:33" x14ac:dyDescent="0.2">
      <c r="Q156" s="488"/>
      <c r="AG156" s="488"/>
    </row>
    <row r="157" spans="17:33" x14ac:dyDescent="0.2">
      <c r="Q157" s="488"/>
      <c r="AG157" s="488"/>
    </row>
    <row r="158" spans="17:33" x14ac:dyDescent="0.2">
      <c r="Q158" s="488"/>
      <c r="AG158" s="488"/>
    </row>
    <row r="159" spans="17:33" x14ac:dyDescent="0.2">
      <c r="Q159" s="488"/>
      <c r="AG159" s="488"/>
    </row>
    <row r="160" spans="17:33" x14ac:dyDescent="0.2">
      <c r="Q160" s="488"/>
      <c r="AG160" s="488"/>
    </row>
    <row r="161" spans="17:33" x14ac:dyDescent="0.2">
      <c r="Q161" s="488"/>
      <c r="AG161" s="488"/>
    </row>
    <row r="162" spans="17:33" x14ac:dyDescent="0.2">
      <c r="Q162" s="488"/>
      <c r="AG162" s="488"/>
    </row>
    <row r="163" spans="17:33" x14ac:dyDescent="0.2">
      <c r="Q163" s="488"/>
      <c r="AG163" s="488"/>
    </row>
    <row r="164" spans="17:33" x14ac:dyDescent="0.2">
      <c r="Q164" s="488"/>
      <c r="AG164" s="488"/>
    </row>
    <row r="165" spans="17:33" x14ac:dyDescent="0.2">
      <c r="Q165" s="488"/>
      <c r="AG165" s="488"/>
    </row>
    <row r="166" spans="17:33" x14ac:dyDescent="0.2">
      <c r="Q166" s="488"/>
      <c r="AG166" s="488"/>
    </row>
    <row r="167" spans="17:33" x14ac:dyDescent="0.2">
      <c r="Q167" s="488"/>
      <c r="AG167" s="488"/>
    </row>
    <row r="168" spans="17:33" x14ac:dyDescent="0.2">
      <c r="Q168" s="488"/>
      <c r="AG168" s="488"/>
    </row>
    <row r="169" spans="17:33" x14ac:dyDescent="0.2">
      <c r="Q169" s="488"/>
      <c r="AG169" s="488"/>
    </row>
    <row r="170" spans="17:33" x14ac:dyDescent="0.2">
      <c r="Q170" s="488"/>
      <c r="AG170" s="488"/>
    </row>
    <row r="171" spans="17:33" x14ac:dyDescent="0.2">
      <c r="Q171" s="488"/>
      <c r="AG171" s="488"/>
    </row>
    <row r="172" spans="17:33" x14ac:dyDescent="0.2">
      <c r="Q172" s="488"/>
      <c r="AG172" s="488"/>
    </row>
    <row r="173" spans="17:33" x14ac:dyDescent="0.2">
      <c r="Q173" s="488"/>
      <c r="AG173" s="488"/>
    </row>
    <row r="174" spans="17:33" x14ac:dyDescent="0.2">
      <c r="Q174" s="488"/>
      <c r="AG174" s="488"/>
    </row>
    <row r="175" spans="17:33" x14ac:dyDescent="0.2">
      <c r="Q175" s="488"/>
      <c r="AG175" s="488"/>
    </row>
    <row r="176" spans="17:33" x14ac:dyDescent="0.2">
      <c r="Q176" s="488"/>
      <c r="AG176" s="488"/>
    </row>
    <row r="177" spans="17:33" x14ac:dyDescent="0.2">
      <c r="Q177" s="488"/>
      <c r="AG177" s="488"/>
    </row>
    <row r="178" spans="17:33" x14ac:dyDescent="0.2">
      <c r="Q178" s="488"/>
      <c r="AG178" s="488"/>
    </row>
    <row r="179" spans="17:33" x14ac:dyDescent="0.2">
      <c r="Q179" s="488"/>
      <c r="AG179" s="488"/>
    </row>
    <row r="180" spans="17:33" x14ac:dyDescent="0.2">
      <c r="Q180" s="488"/>
      <c r="AG180" s="488"/>
    </row>
    <row r="181" spans="17:33" x14ac:dyDescent="0.2">
      <c r="Q181" s="488"/>
      <c r="AG181" s="488"/>
    </row>
    <row r="182" spans="17:33" x14ac:dyDescent="0.2">
      <c r="Q182" s="488"/>
      <c r="AG182" s="488"/>
    </row>
    <row r="183" spans="17:33" x14ac:dyDescent="0.2">
      <c r="Q183" s="488"/>
      <c r="AG183" s="488"/>
    </row>
    <row r="184" spans="17:33" x14ac:dyDescent="0.2">
      <c r="Q184" s="488"/>
      <c r="AG184" s="488"/>
    </row>
    <row r="185" spans="17:33" x14ac:dyDescent="0.2">
      <c r="Q185" s="488"/>
      <c r="AG185" s="488"/>
    </row>
    <row r="186" spans="17:33" x14ac:dyDescent="0.2">
      <c r="Q186" s="488"/>
      <c r="AG186" s="488"/>
    </row>
    <row r="187" spans="17:33" x14ac:dyDescent="0.2">
      <c r="Q187" s="488"/>
      <c r="AG187" s="488"/>
    </row>
    <row r="188" spans="17:33" x14ac:dyDescent="0.2">
      <c r="Q188" s="488"/>
      <c r="AG188" s="488"/>
    </row>
    <row r="189" spans="17:33" x14ac:dyDescent="0.2">
      <c r="Q189" s="488"/>
      <c r="AG189" s="488"/>
    </row>
    <row r="190" spans="17:33" x14ac:dyDescent="0.2">
      <c r="Q190" s="488"/>
      <c r="AG190" s="488"/>
    </row>
    <row r="191" spans="17:33" x14ac:dyDescent="0.2">
      <c r="Q191" s="488"/>
      <c r="AG191" s="488"/>
    </row>
    <row r="192" spans="17:33" x14ac:dyDescent="0.2">
      <c r="Q192" s="488"/>
      <c r="AG192" s="488"/>
    </row>
    <row r="193" spans="17:33" x14ac:dyDescent="0.2">
      <c r="Q193" s="488"/>
      <c r="AG193" s="488"/>
    </row>
    <row r="194" spans="17:33" x14ac:dyDescent="0.2">
      <c r="Q194" s="488"/>
      <c r="AG194" s="488"/>
    </row>
    <row r="195" spans="17:33" x14ac:dyDescent="0.2">
      <c r="Q195" s="488"/>
      <c r="AG195" s="488"/>
    </row>
    <row r="196" spans="17:33" x14ac:dyDescent="0.2">
      <c r="Q196" s="488"/>
      <c r="AG196" s="488"/>
    </row>
    <row r="197" spans="17:33" x14ac:dyDescent="0.2">
      <c r="Q197" s="488"/>
      <c r="AG197" s="488"/>
    </row>
    <row r="198" spans="17:33" x14ac:dyDescent="0.2">
      <c r="Q198" s="488"/>
      <c r="AG198" s="488"/>
    </row>
    <row r="199" spans="17:33" x14ac:dyDescent="0.2">
      <c r="Q199" s="488"/>
      <c r="AG199" s="488"/>
    </row>
    <row r="200" spans="17:33" x14ac:dyDescent="0.2">
      <c r="Q200" s="488"/>
      <c r="AG200" s="488"/>
    </row>
    <row r="201" spans="17:33" x14ac:dyDescent="0.2">
      <c r="Q201" s="488"/>
      <c r="AG201" s="488"/>
    </row>
    <row r="202" spans="17:33" x14ac:dyDescent="0.2">
      <c r="Q202" s="488"/>
      <c r="AG202" s="488"/>
    </row>
    <row r="203" spans="17:33" x14ac:dyDescent="0.2">
      <c r="Q203" s="488"/>
      <c r="AG203" s="488"/>
    </row>
    <row r="204" spans="17:33" x14ac:dyDescent="0.2">
      <c r="Q204" s="488"/>
      <c r="AG204" s="488"/>
    </row>
    <row r="205" spans="17:33" x14ac:dyDescent="0.2">
      <c r="Q205" s="488"/>
      <c r="AG205" s="488"/>
    </row>
    <row r="206" spans="17:33" x14ac:dyDescent="0.2">
      <c r="Q206" s="488"/>
      <c r="AG206" s="488"/>
    </row>
    <row r="207" spans="17:33" x14ac:dyDescent="0.2">
      <c r="Q207" s="488"/>
      <c r="AG207" s="488"/>
    </row>
    <row r="208" spans="17:33" x14ac:dyDescent="0.2">
      <c r="Q208" s="488"/>
      <c r="AG208" s="488"/>
    </row>
    <row r="209" spans="17:33" x14ac:dyDescent="0.2">
      <c r="Q209" s="488"/>
      <c r="AG209" s="488"/>
    </row>
    <row r="210" spans="17:33" x14ac:dyDescent="0.2">
      <c r="Q210" s="488"/>
      <c r="AG210" s="488"/>
    </row>
    <row r="211" spans="17:33" x14ac:dyDescent="0.2">
      <c r="Q211" s="488"/>
      <c r="AG211" s="488"/>
    </row>
    <row r="212" spans="17:33" x14ac:dyDescent="0.2">
      <c r="Q212" s="488"/>
      <c r="AG212" s="488"/>
    </row>
    <row r="213" spans="17:33" x14ac:dyDescent="0.2">
      <c r="Q213" s="488"/>
      <c r="AG213" s="488"/>
    </row>
    <row r="214" spans="17:33" x14ac:dyDescent="0.2">
      <c r="Q214" s="488"/>
      <c r="AG214" s="488"/>
    </row>
    <row r="215" spans="17:33" x14ac:dyDescent="0.2">
      <c r="Q215" s="488"/>
      <c r="AG215" s="488"/>
    </row>
    <row r="216" spans="17:33" x14ac:dyDescent="0.2">
      <c r="Q216" s="488"/>
      <c r="AG216" s="488"/>
    </row>
    <row r="217" spans="17:33" x14ac:dyDescent="0.2">
      <c r="Q217" s="488"/>
      <c r="AG217" s="488"/>
    </row>
    <row r="218" spans="17:33" x14ac:dyDescent="0.2">
      <c r="Q218" s="488"/>
      <c r="AG218" s="488"/>
    </row>
    <row r="219" spans="17:33" x14ac:dyDescent="0.2">
      <c r="Q219" s="488"/>
      <c r="AG219" s="488"/>
    </row>
    <row r="220" spans="17:33" x14ac:dyDescent="0.2">
      <c r="Q220" s="488"/>
      <c r="AG220" s="488"/>
    </row>
    <row r="221" spans="17:33" x14ac:dyDescent="0.2">
      <c r="Q221" s="488"/>
      <c r="AG221" s="488"/>
    </row>
    <row r="222" spans="17:33" x14ac:dyDescent="0.2">
      <c r="Q222" s="488"/>
      <c r="AG222" s="488"/>
    </row>
    <row r="223" spans="17:33" x14ac:dyDescent="0.2">
      <c r="Q223" s="488"/>
      <c r="AG223" s="488"/>
    </row>
    <row r="224" spans="17:33" x14ac:dyDescent="0.2">
      <c r="Q224" s="488"/>
      <c r="AG224" s="488"/>
    </row>
    <row r="225" spans="17:33" x14ac:dyDescent="0.2">
      <c r="Q225" s="488"/>
      <c r="AG225" s="488"/>
    </row>
    <row r="226" spans="17:33" x14ac:dyDescent="0.2">
      <c r="Q226" s="488"/>
      <c r="AG226" s="488"/>
    </row>
    <row r="227" spans="17:33" x14ac:dyDescent="0.2">
      <c r="Q227" s="488"/>
      <c r="AG227" s="488"/>
    </row>
    <row r="228" spans="17:33" x14ac:dyDescent="0.2">
      <c r="Q228" s="488"/>
      <c r="AG228" s="488"/>
    </row>
    <row r="229" spans="17:33" x14ac:dyDescent="0.2">
      <c r="Q229" s="488"/>
      <c r="AG229" s="488"/>
    </row>
    <row r="230" spans="17:33" x14ac:dyDescent="0.2">
      <c r="Q230" s="488"/>
      <c r="AG230" s="488"/>
    </row>
    <row r="231" spans="17:33" x14ac:dyDescent="0.2">
      <c r="Q231" s="488"/>
      <c r="AG231" s="488"/>
    </row>
    <row r="232" spans="17:33" x14ac:dyDescent="0.2">
      <c r="Q232" s="488"/>
      <c r="AG232" s="488"/>
    </row>
    <row r="233" spans="17:33" x14ac:dyDescent="0.2">
      <c r="Q233" s="488"/>
      <c r="AG233" s="488"/>
    </row>
    <row r="234" spans="17:33" x14ac:dyDescent="0.2">
      <c r="Q234" s="488"/>
      <c r="AG234" s="488"/>
    </row>
    <row r="235" spans="17:33" x14ac:dyDescent="0.2">
      <c r="Q235" s="488"/>
      <c r="AG235" s="488"/>
    </row>
    <row r="236" spans="17:33" x14ac:dyDescent="0.2">
      <c r="Q236" s="488"/>
      <c r="AG236" s="488"/>
    </row>
    <row r="237" spans="17:33" x14ac:dyDescent="0.2">
      <c r="Q237" s="488"/>
      <c r="AG237" s="488"/>
    </row>
    <row r="238" spans="17:33" x14ac:dyDescent="0.2">
      <c r="Q238" s="488"/>
      <c r="AG238" s="488"/>
    </row>
    <row r="239" spans="17:33" x14ac:dyDescent="0.2">
      <c r="Q239" s="488"/>
      <c r="AG239" s="488"/>
    </row>
    <row r="240" spans="17:33" x14ac:dyDescent="0.2">
      <c r="Q240" s="488"/>
      <c r="AG240" s="488"/>
    </row>
    <row r="241" spans="17:33" x14ac:dyDescent="0.2">
      <c r="Q241" s="488"/>
      <c r="AG241" s="488"/>
    </row>
    <row r="242" spans="17:33" x14ac:dyDescent="0.2">
      <c r="Q242" s="488"/>
      <c r="AG242" s="488"/>
    </row>
    <row r="243" spans="17:33" x14ac:dyDescent="0.2">
      <c r="Q243" s="488"/>
      <c r="AG243" s="488"/>
    </row>
    <row r="244" spans="17:33" x14ac:dyDescent="0.2">
      <c r="Q244" s="488"/>
      <c r="AG244" s="488"/>
    </row>
    <row r="245" spans="17:33" x14ac:dyDescent="0.2">
      <c r="Q245" s="488"/>
      <c r="AG245" s="488"/>
    </row>
    <row r="246" spans="17:33" x14ac:dyDescent="0.2">
      <c r="Q246" s="488"/>
      <c r="AG246" s="488"/>
    </row>
    <row r="247" spans="17:33" x14ac:dyDescent="0.2">
      <c r="Q247" s="488"/>
      <c r="AG247" s="488"/>
    </row>
    <row r="248" spans="17:33" x14ac:dyDescent="0.2">
      <c r="Q248" s="488"/>
      <c r="AG248" s="488"/>
    </row>
    <row r="249" spans="17:33" x14ac:dyDescent="0.2">
      <c r="Q249" s="488"/>
      <c r="AG249" s="488"/>
    </row>
    <row r="250" spans="17:33" x14ac:dyDescent="0.2">
      <c r="Q250" s="488"/>
      <c r="AG250" s="488"/>
    </row>
    <row r="251" spans="17:33" x14ac:dyDescent="0.2">
      <c r="Q251" s="488"/>
      <c r="AG251" s="488"/>
    </row>
    <row r="252" spans="17:33" x14ac:dyDescent="0.2">
      <c r="Q252" s="488"/>
      <c r="AG252" s="488"/>
    </row>
    <row r="253" spans="17:33" x14ac:dyDescent="0.2">
      <c r="Q253" s="488"/>
      <c r="AG253" s="488"/>
    </row>
    <row r="254" spans="17:33" x14ac:dyDescent="0.2">
      <c r="Q254" s="488"/>
      <c r="AG254" s="488"/>
    </row>
    <row r="255" spans="17:33" x14ac:dyDescent="0.2">
      <c r="Q255" s="488"/>
      <c r="AG255" s="488"/>
    </row>
    <row r="256" spans="17:33" x14ac:dyDescent="0.2">
      <c r="Q256" s="488"/>
      <c r="AG256" s="488"/>
    </row>
    <row r="257" spans="17:33" x14ac:dyDescent="0.2">
      <c r="Q257" s="488"/>
      <c r="AG257" s="488"/>
    </row>
    <row r="258" spans="17:33" x14ac:dyDescent="0.2">
      <c r="Q258" s="488"/>
      <c r="AG258" s="488"/>
    </row>
    <row r="259" spans="17:33" x14ac:dyDescent="0.2">
      <c r="Q259" s="488"/>
      <c r="AG259" s="488"/>
    </row>
    <row r="260" spans="17:33" x14ac:dyDescent="0.2">
      <c r="Q260" s="488"/>
      <c r="AG260" s="488"/>
    </row>
    <row r="261" spans="17:33" x14ac:dyDescent="0.2">
      <c r="Q261" s="488"/>
      <c r="AG261" s="488"/>
    </row>
    <row r="262" spans="17:33" x14ac:dyDescent="0.2">
      <c r="Q262" s="488"/>
      <c r="AG262" s="488"/>
    </row>
    <row r="263" spans="17:33" x14ac:dyDescent="0.2">
      <c r="Q263" s="488"/>
      <c r="AG263" s="488"/>
    </row>
    <row r="264" spans="17:33" x14ac:dyDescent="0.2">
      <c r="Q264" s="488"/>
      <c r="AG264" s="488"/>
    </row>
    <row r="265" spans="17:33" x14ac:dyDescent="0.2">
      <c r="Q265" s="488"/>
      <c r="AG265" s="488"/>
    </row>
    <row r="266" spans="17:33" x14ac:dyDescent="0.2">
      <c r="Q266" s="488"/>
      <c r="AG266" s="488"/>
    </row>
    <row r="267" spans="17:33" x14ac:dyDescent="0.2">
      <c r="Q267" s="488"/>
      <c r="AG267" s="488"/>
    </row>
    <row r="268" spans="17:33" x14ac:dyDescent="0.2">
      <c r="Q268" s="488"/>
      <c r="AG268" s="488"/>
    </row>
    <row r="269" spans="17:33" x14ac:dyDescent="0.2">
      <c r="Q269" s="488"/>
      <c r="AG269" s="488"/>
    </row>
    <row r="270" spans="17:33" x14ac:dyDescent="0.2">
      <c r="Q270" s="488"/>
      <c r="AG270" s="488"/>
    </row>
    <row r="271" spans="17:33" x14ac:dyDescent="0.2">
      <c r="Q271" s="488"/>
      <c r="AG271" s="488"/>
    </row>
    <row r="272" spans="17:33" x14ac:dyDescent="0.2">
      <c r="Q272" s="488"/>
      <c r="AG272" s="488"/>
    </row>
    <row r="273" spans="17:33" x14ac:dyDescent="0.2">
      <c r="Q273" s="488"/>
      <c r="AG273" s="488"/>
    </row>
    <row r="274" spans="17:33" x14ac:dyDescent="0.2">
      <c r="Q274" s="488"/>
      <c r="AG274" s="488"/>
    </row>
    <row r="275" spans="17:33" x14ac:dyDescent="0.2">
      <c r="Q275" s="488"/>
      <c r="AG275" s="488"/>
    </row>
    <row r="276" spans="17:33" x14ac:dyDescent="0.2">
      <c r="Q276" s="488"/>
      <c r="AG276" s="488"/>
    </row>
    <row r="277" spans="17:33" x14ac:dyDescent="0.2">
      <c r="Q277" s="488"/>
      <c r="AG277" s="488"/>
    </row>
    <row r="278" spans="17:33" x14ac:dyDescent="0.2">
      <c r="Q278" s="488"/>
      <c r="AG278" s="488"/>
    </row>
    <row r="279" spans="17:33" x14ac:dyDescent="0.2">
      <c r="Q279" s="488"/>
      <c r="AG279" s="488"/>
    </row>
    <row r="280" spans="17:33" x14ac:dyDescent="0.2">
      <c r="Q280" s="488"/>
      <c r="AG280" s="488"/>
    </row>
    <row r="281" spans="17:33" x14ac:dyDescent="0.2">
      <c r="Q281" s="488"/>
      <c r="AG281" s="488"/>
    </row>
    <row r="282" spans="17:33" x14ac:dyDescent="0.2">
      <c r="Q282" s="488"/>
      <c r="AG282" s="488"/>
    </row>
    <row r="283" spans="17:33" x14ac:dyDescent="0.2">
      <c r="Q283" s="488"/>
      <c r="AG283" s="488"/>
    </row>
    <row r="284" spans="17:33" x14ac:dyDescent="0.2">
      <c r="Q284" s="488"/>
      <c r="AG284" s="488"/>
    </row>
    <row r="285" spans="17:33" x14ac:dyDescent="0.2">
      <c r="Q285" s="488"/>
      <c r="AG285" s="488"/>
    </row>
    <row r="286" spans="17:33" x14ac:dyDescent="0.2">
      <c r="Q286" s="488"/>
      <c r="AG286" s="488"/>
    </row>
    <row r="287" spans="17:33" x14ac:dyDescent="0.2">
      <c r="Q287" s="488"/>
      <c r="AG287" s="488"/>
    </row>
    <row r="288" spans="17:33" x14ac:dyDescent="0.2">
      <c r="Q288" s="488"/>
      <c r="AG288" s="488"/>
    </row>
    <row r="289" spans="17:33" x14ac:dyDescent="0.2">
      <c r="Q289" s="488"/>
      <c r="AG289" s="488"/>
    </row>
    <row r="290" spans="17:33" x14ac:dyDescent="0.2">
      <c r="Q290" s="488"/>
      <c r="AG290" s="488"/>
    </row>
    <row r="291" spans="17:33" x14ac:dyDescent="0.2">
      <c r="Q291" s="488"/>
      <c r="AG291" s="488"/>
    </row>
    <row r="292" spans="17:33" x14ac:dyDescent="0.2">
      <c r="Q292" s="488"/>
      <c r="AG292" s="488"/>
    </row>
    <row r="293" spans="17:33" x14ac:dyDescent="0.2">
      <c r="Q293" s="488"/>
      <c r="AG293" s="488"/>
    </row>
    <row r="294" spans="17:33" x14ac:dyDescent="0.2">
      <c r="Q294" s="488"/>
      <c r="AG294" s="488"/>
    </row>
    <row r="295" spans="17:33" x14ac:dyDescent="0.2">
      <c r="Q295" s="488"/>
      <c r="AG295" s="488"/>
    </row>
    <row r="296" spans="17:33" x14ac:dyDescent="0.2">
      <c r="Q296" s="488"/>
      <c r="AG296" s="488"/>
    </row>
    <row r="297" spans="17:33" x14ac:dyDescent="0.2">
      <c r="Q297" s="488"/>
      <c r="AG297" s="488"/>
    </row>
    <row r="298" spans="17:33" x14ac:dyDescent="0.2">
      <c r="Q298" s="488"/>
      <c r="AG298" s="488"/>
    </row>
    <row r="299" spans="17:33" x14ac:dyDescent="0.2">
      <c r="Q299" s="488"/>
      <c r="AG299" s="488"/>
    </row>
    <row r="300" spans="17:33" x14ac:dyDescent="0.2">
      <c r="Q300" s="488"/>
      <c r="AG300" s="488"/>
    </row>
    <row r="301" spans="17:33" x14ac:dyDescent="0.2">
      <c r="Q301" s="488"/>
      <c r="AG301" s="488"/>
    </row>
    <row r="302" spans="17:33" x14ac:dyDescent="0.2">
      <c r="Q302" s="488"/>
      <c r="AG302" s="488"/>
    </row>
    <row r="303" spans="17:33" x14ac:dyDescent="0.2">
      <c r="Q303" s="488"/>
      <c r="AG303" s="488"/>
    </row>
    <row r="304" spans="17:33" x14ac:dyDescent="0.2">
      <c r="Q304" s="488"/>
      <c r="AG304" s="488"/>
    </row>
    <row r="305" spans="17:33" x14ac:dyDescent="0.2">
      <c r="Q305" s="488"/>
      <c r="AG305" s="488"/>
    </row>
    <row r="306" spans="17:33" x14ac:dyDescent="0.2">
      <c r="Q306" s="488"/>
      <c r="AG306" s="488"/>
    </row>
    <row r="307" spans="17:33" x14ac:dyDescent="0.2">
      <c r="Q307" s="488"/>
      <c r="AG307" s="488"/>
    </row>
    <row r="308" spans="17:33" x14ac:dyDescent="0.2">
      <c r="Q308" s="488"/>
      <c r="AG308" s="488"/>
    </row>
    <row r="309" spans="17:33" x14ac:dyDescent="0.2">
      <c r="Q309" s="488"/>
      <c r="AG309" s="488"/>
    </row>
    <row r="310" spans="17:33" x14ac:dyDescent="0.2">
      <c r="Q310" s="488"/>
      <c r="AG310" s="488"/>
    </row>
    <row r="311" spans="17:33" x14ac:dyDescent="0.2">
      <c r="Q311" s="488"/>
      <c r="AG311" s="488"/>
    </row>
    <row r="312" spans="17:33" x14ac:dyDescent="0.2">
      <c r="Q312" s="488"/>
      <c r="AG312" s="488"/>
    </row>
    <row r="313" spans="17:33" x14ac:dyDescent="0.2">
      <c r="Q313" s="488"/>
      <c r="AG313" s="488"/>
    </row>
    <row r="314" spans="17:33" x14ac:dyDescent="0.2">
      <c r="Q314" s="488"/>
      <c r="AG314" s="488"/>
    </row>
    <row r="315" spans="17:33" x14ac:dyDescent="0.2">
      <c r="Q315" s="488"/>
      <c r="AG315" s="488"/>
    </row>
    <row r="316" spans="17:33" x14ac:dyDescent="0.2">
      <c r="Q316" s="488"/>
      <c r="AG316" s="488"/>
    </row>
    <row r="317" spans="17:33" x14ac:dyDescent="0.2">
      <c r="Q317" s="488"/>
      <c r="AG317" s="488"/>
    </row>
    <row r="318" spans="17:33" x14ac:dyDescent="0.2">
      <c r="Q318" s="488"/>
      <c r="AG318" s="488"/>
    </row>
    <row r="319" spans="17:33" x14ac:dyDescent="0.2">
      <c r="Q319" s="488"/>
      <c r="AG319" s="488"/>
    </row>
    <row r="320" spans="17:33" x14ac:dyDescent="0.2">
      <c r="Q320" s="488"/>
      <c r="AG320" s="488"/>
    </row>
    <row r="321" spans="17:33" x14ac:dyDescent="0.2">
      <c r="Q321" s="488"/>
      <c r="AG321" s="488"/>
    </row>
    <row r="322" spans="17:33" x14ac:dyDescent="0.2">
      <c r="Q322" s="488"/>
      <c r="AG322" s="488"/>
    </row>
    <row r="323" spans="17:33" x14ac:dyDescent="0.2">
      <c r="Q323" s="488"/>
      <c r="AG323" s="488"/>
    </row>
    <row r="324" spans="17:33" x14ac:dyDescent="0.2">
      <c r="Q324" s="488"/>
      <c r="AG324" s="488"/>
    </row>
    <row r="325" spans="17:33" x14ac:dyDescent="0.2">
      <c r="Q325" s="488"/>
      <c r="AG325" s="488"/>
    </row>
    <row r="326" spans="17:33" x14ac:dyDescent="0.2">
      <c r="Q326" s="488"/>
      <c r="AG326" s="488"/>
    </row>
    <row r="327" spans="17:33" x14ac:dyDescent="0.2">
      <c r="Q327" s="488"/>
      <c r="AG327" s="488"/>
    </row>
    <row r="328" spans="17:33" x14ac:dyDescent="0.2">
      <c r="Q328" s="488"/>
      <c r="AG328" s="488"/>
    </row>
    <row r="329" spans="17:33" x14ac:dyDescent="0.2">
      <c r="Q329" s="488"/>
      <c r="AG329" s="488"/>
    </row>
    <row r="330" spans="17:33" x14ac:dyDescent="0.2">
      <c r="Q330" s="488"/>
      <c r="AG330" s="488"/>
    </row>
    <row r="331" spans="17:33" x14ac:dyDescent="0.2">
      <c r="Q331" s="488"/>
      <c r="AG331" s="488"/>
    </row>
    <row r="332" spans="17:33" x14ac:dyDescent="0.2">
      <c r="Q332" s="488"/>
      <c r="AG332" s="488"/>
    </row>
    <row r="333" spans="17:33" x14ac:dyDescent="0.2">
      <c r="Q333" s="488"/>
      <c r="AG333" s="488"/>
    </row>
    <row r="334" spans="17:33" x14ac:dyDescent="0.2">
      <c r="Q334" s="488"/>
      <c r="AG334" s="488"/>
    </row>
    <row r="335" spans="17:33" x14ac:dyDescent="0.2">
      <c r="Q335" s="488"/>
      <c r="AG335" s="488"/>
    </row>
    <row r="336" spans="17:33" x14ac:dyDescent="0.2">
      <c r="Q336" s="488"/>
      <c r="AG336" s="488"/>
    </row>
    <row r="337" spans="17:33" x14ac:dyDescent="0.2">
      <c r="Q337" s="488"/>
      <c r="AG337" s="488"/>
    </row>
    <row r="338" spans="17:33" x14ac:dyDescent="0.2">
      <c r="Q338" s="488"/>
      <c r="AG338" s="488"/>
    </row>
    <row r="339" spans="17:33" x14ac:dyDescent="0.2">
      <c r="Q339" s="488"/>
      <c r="AG339" s="488"/>
    </row>
    <row r="340" spans="17:33" x14ac:dyDescent="0.2">
      <c r="Q340" s="488"/>
      <c r="AG340" s="488"/>
    </row>
    <row r="341" spans="17:33" x14ac:dyDescent="0.2">
      <c r="Q341" s="488"/>
      <c r="AG341" s="488"/>
    </row>
    <row r="342" spans="17:33" x14ac:dyDescent="0.2">
      <c r="Q342" s="488"/>
      <c r="AG342" s="488"/>
    </row>
    <row r="343" spans="17:33" x14ac:dyDescent="0.2">
      <c r="Q343" s="488"/>
      <c r="AG343" s="488"/>
    </row>
    <row r="344" spans="17:33" x14ac:dyDescent="0.2">
      <c r="Q344" s="488"/>
      <c r="AG344" s="488"/>
    </row>
    <row r="345" spans="17:33" x14ac:dyDescent="0.2">
      <c r="Q345" s="488"/>
      <c r="AG345" s="488"/>
    </row>
    <row r="346" spans="17:33" x14ac:dyDescent="0.2">
      <c r="Q346" s="488"/>
      <c r="AG346" s="488"/>
    </row>
    <row r="347" spans="17:33" x14ac:dyDescent="0.2">
      <c r="Q347" s="488"/>
      <c r="AG347" s="488"/>
    </row>
    <row r="348" spans="17:33" x14ac:dyDescent="0.2">
      <c r="Q348" s="488"/>
      <c r="AG348" s="488"/>
    </row>
    <row r="349" spans="17:33" x14ac:dyDescent="0.2">
      <c r="Q349" s="488"/>
      <c r="AG349" s="488"/>
    </row>
    <row r="350" spans="17:33" x14ac:dyDescent="0.2">
      <c r="Q350" s="488"/>
      <c r="AG350" s="488"/>
    </row>
    <row r="351" spans="17:33" x14ac:dyDescent="0.2">
      <c r="Q351" s="488"/>
      <c r="AG351" s="488"/>
    </row>
    <row r="352" spans="17:33" x14ac:dyDescent="0.2">
      <c r="Q352" s="488"/>
      <c r="AG352" s="488"/>
    </row>
    <row r="353" spans="17:33" x14ac:dyDescent="0.2">
      <c r="Q353" s="488"/>
      <c r="AG353" s="488"/>
    </row>
    <row r="354" spans="17:33" x14ac:dyDescent="0.2">
      <c r="Q354" s="488"/>
      <c r="AG354" s="488"/>
    </row>
    <row r="355" spans="17:33" x14ac:dyDescent="0.2">
      <c r="Q355" s="488"/>
      <c r="AG355" s="488"/>
    </row>
    <row r="356" spans="17:33" x14ac:dyDescent="0.2">
      <c r="Q356" s="488"/>
      <c r="AG356" s="488"/>
    </row>
    <row r="357" spans="17:33" x14ac:dyDescent="0.2">
      <c r="Q357" s="488"/>
      <c r="AG357" s="488"/>
    </row>
    <row r="358" spans="17:33" x14ac:dyDescent="0.2">
      <c r="Q358" s="488"/>
      <c r="AG358" s="488"/>
    </row>
    <row r="359" spans="17:33" x14ac:dyDescent="0.2">
      <c r="Q359" s="488"/>
      <c r="AG359" s="488"/>
    </row>
    <row r="360" spans="17:33" x14ac:dyDescent="0.2">
      <c r="Q360" s="488"/>
      <c r="AG360" s="488"/>
    </row>
    <row r="361" spans="17:33" x14ac:dyDescent="0.2">
      <c r="Q361" s="488"/>
      <c r="AG361" s="488"/>
    </row>
    <row r="362" spans="17:33" x14ac:dyDescent="0.2">
      <c r="Q362" s="488"/>
      <c r="AG362" s="488"/>
    </row>
    <row r="363" spans="17:33" x14ac:dyDescent="0.2">
      <c r="Q363" s="488"/>
      <c r="AG363" s="488"/>
    </row>
    <row r="364" spans="17:33" x14ac:dyDescent="0.2">
      <c r="Q364" s="488"/>
      <c r="AG364" s="488"/>
    </row>
    <row r="365" spans="17:33" x14ac:dyDescent="0.2">
      <c r="Q365" s="488"/>
      <c r="AG365" s="488"/>
    </row>
    <row r="366" spans="17:33" x14ac:dyDescent="0.2">
      <c r="Q366" s="488"/>
      <c r="AG366" s="488"/>
    </row>
    <row r="367" spans="17:33" x14ac:dyDescent="0.2">
      <c r="Q367" s="488"/>
      <c r="AG367" s="488"/>
    </row>
    <row r="368" spans="17:33" x14ac:dyDescent="0.2">
      <c r="Q368" s="488"/>
      <c r="AG368" s="488"/>
    </row>
    <row r="369" spans="17:33" x14ac:dyDescent="0.2">
      <c r="Q369" s="488"/>
      <c r="AG369" s="488"/>
    </row>
    <row r="370" spans="17:33" x14ac:dyDescent="0.2">
      <c r="Q370" s="488"/>
      <c r="AG370" s="488"/>
    </row>
    <row r="371" spans="17:33" x14ac:dyDescent="0.2">
      <c r="Q371" s="488"/>
      <c r="AG371" s="488"/>
    </row>
    <row r="372" spans="17:33" x14ac:dyDescent="0.2">
      <c r="Q372" s="488"/>
      <c r="AG372" s="488"/>
    </row>
    <row r="373" spans="17:33" x14ac:dyDescent="0.2">
      <c r="Q373" s="488"/>
      <c r="AG373" s="488"/>
    </row>
    <row r="374" spans="17:33" x14ac:dyDescent="0.2">
      <c r="Q374" s="488"/>
      <c r="AG374" s="488"/>
    </row>
    <row r="375" spans="17:33" x14ac:dyDescent="0.2">
      <c r="Q375" s="488"/>
      <c r="AG375" s="488"/>
    </row>
    <row r="376" spans="17:33" x14ac:dyDescent="0.2">
      <c r="Q376" s="488"/>
      <c r="AG376" s="488"/>
    </row>
    <row r="377" spans="17:33" x14ac:dyDescent="0.2">
      <c r="Q377" s="488"/>
      <c r="AG377" s="488"/>
    </row>
    <row r="378" spans="17:33" x14ac:dyDescent="0.2">
      <c r="Q378" s="488"/>
      <c r="AG378" s="488"/>
    </row>
    <row r="379" spans="17:33" x14ac:dyDescent="0.2">
      <c r="Q379" s="488"/>
      <c r="AG379" s="488"/>
    </row>
    <row r="380" spans="17:33" x14ac:dyDescent="0.2">
      <c r="Q380" s="488"/>
      <c r="AG380" s="488"/>
    </row>
    <row r="381" spans="17:33" x14ac:dyDescent="0.2">
      <c r="Q381" s="488"/>
      <c r="AG381" s="488"/>
    </row>
    <row r="382" spans="17:33" x14ac:dyDescent="0.2">
      <c r="Q382" s="488"/>
      <c r="AG382" s="488"/>
    </row>
    <row r="383" spans="17:33" x14ac:dyDescent="0.2">
      <c r="Q383" s="488"/>
      <c r="AG383" s="488"/>
    </row>
    <row r="384" spans="17:33" x14ac:dyDescent="0.2">
      <c r="Q384" s="488"/>
      <c r="AG384" s="488"/>
    </row>
    <row r="385" spans="17:33" x14ac:dyDescent="0.2">
      <c r="Q385" s="488"/>
      <c r="AG385" s="488"/>
    </row>
    <row r="386" spans="17:33" x14ac:dyDescent="0.2">
      <c r="Q386" s="488"/>
      <c r="AG386" s="488"/>
    </row>
    <row r="387" spans="17:33" x14ac:dyDescent="0.2">
      <c r="Q387" s="488"/>
      <c r="AG387" s="488"/>
    </row>
    <row r="388" spans="17:33" x14ac:dyDescent="0.2">
      <c r="Q388" s="488"/>
      <c r="AG388" s="488"/>
    </row>
    <row r="389" spans="17:33" x14ac:dyDescent="0.2">
      <c r="Q389" s="488"/>
      <c r="AG389" s="488"/>
    </row>
    <row r="390" spans="17:33" x14ac:dyDescent="0.2">
      <c r="Q390" s="488"/>
      <c r="AG390" s="488"/>
    </row>
    <row r="391" spans="17:33" x14ac:dyDescent="0.2">
      <c r="Q391" s="488"/>
      <c r="AG391" s="488"/>
    </row>
    <row r="392" spans="17:33" x14ac:dyDescent="0.2">
      <c r="Q392" s="488"/>
      <c r="AG392" s="488"/>
    </row>
    <row r="393" spans="17:33" x14ac:dyDescent="0.2">
      <c r="Q393" s="488"/>
      <c r="AG393" s="488"/>
    </row>
    <row r="394" spans="17:33" x14ac:dyDescent="0.2">
      <c r="Q394" s="488"/>
      <c r="AG394" s="488"/>
    </row>
    <row r="395" spans="17:33" x14ac:dyDescent="0.2">
      <c r="Q395" s="488"/>
      <c r="AG395" s="488"/>
    </row>
    <row r="396" spans="17:33" x14ac:dyDescent="0.2">
      <c r="Q396" s="488"/>
      <c r="AG396" s="488"/>
    </row>
    <row r="397" spans="17:33" x14ac:dyDescent="0.2">
      <c r="Q397" s="488"/>
      <c r="AG397" s="488"/>
    </row>
    <row r="398" spans="17:33" x14ac:dyDescent="0.2">
      <c r="Q398" s="488"/>
      <c r="AG398" s="488"/>
    </row>
    <row r="399" spans="17:33" x14ac:dyDescent="0.2">
      <c r="Q399" s="488"/>
      <c r="AG399" s="488"/>
    </row>
    <row r="400" spans="17:33" x14ac:dyDescent="0.2">
      <c r="Q400" s="488"/>
      <c r="AG400" s="488"/>
    </row>
    <row r="401" spans="17:33" x14ac:dyDescent="0.2">
      <c r="Q401" s="488"/>
      <c r="AG401" s="488"/>
    </row>
    <row r="402" spans="17:33" x14ac:dyDescent="0.2">
      <c r="Q402" s="488"/>
      <c r="AG402" s="488"/>
    </row>
    <row r="403" spans="17:33" x14ac:dyDescent="0.2">
      <c r="Q403" s="488"/>
      <c r="AG403" s="488"/>
    </row>
    <row r="404" spans="17:33" x14ac:dyDescent="0.2">
      <c r="Q404" s="488"/>
      <c r="AG404" s="488"/>
    </row>
    <row r="405" spans="17:33" x14ac:dyDescent="0.2">
      <c r="Q405" s="488"/>
      <c r="AG405" s="488"/>
    </row>
    <row r="406" spans="17:33" x14ac:dyDescent="0.2">
      <c r="Q406" s="488"/>
      <c r="AG406" s="488"/>
    </row>
    <row r="407" spans="17:33" x14ac:dyDescent="0.2">
      <c r="Q407" s="488"/>
      <c r="AG407" s="488"/>
    </row>
    <row r="408" spans="17:33" x14ac:dyDescent="0.2">
      <c r="Q408" s="488"/>
      <c r="AG408" s="488"/>
    </row>
    <row r="409" spans="17:33" x14ac:dyDescent="0.2">
      <c r="Q409" s="488"/>
      <c r="AG409" s="488"/>
    </row>
    <row r="410" spans="17:33" x14ac:dyDescent="0.2">
      <c r="Q410" s="488"/>
      <c r="AG410" s="488"/>
    </row>
    <row r="411" spans="17:33" x14ac:dyDescent="0.2">
      <c r="Q411" s="488"/>
      <c r="AG411" s="488"/>
    </row>
    <row r="412" spans="17:33" x14ac:dyDescent="0.2">
      <c r="Q412" s="488"/>
      <c r="AG412" s="488"/>
    </row>
    <row r="413" spans="17:33" x14ac:dyDescent="0.2">
      <c r="Q413" s="488"/>
      <c r="AG413" s="488"/>
    </row>
    <row r="414" spans="17:33" x14ac:dyDescent="0.2">
      <c r="Q414" s="488"/>
      <c r="AG414" s="488"/>
    </row>
    <row r="415" spans="17:33" x14ac:dyDescent="0.2">
      <c r="Q415" s="488"/>
      <c r="AG415" s="488"/>
    </row>
    <row r="416" spans="17:33" x14ac:dyDescent="0.2">
      <c r="Q416" s="488"/>
      <c r="AG416" s="488"/>
    </row>
    <row r="417" spans="17:33" x14ac:dyDescent="0.2">
      <c r="Q417" s="488"/>
      <c r="AG417" s="488"/>
    </row>
    <row r="418" spans="17:33" x14ac:dyDescent="0.2">
      <c r="Q418" s="488"/>
      <c r="AG418" s="488"/>
    </row>
    <row r="419" spans="17:33" x14ac:dyDescent="0.2">
      <c r="Q419" s="488"/>
      <c r="AG419" s="488"/>
    </row>
    <row r="420" spans="17:33" x14ac:dyDescent="0.2">
      <c r="Q420" s="488"/>
      <c r="AG420" s="488"/>
    </row>
    <row r="421" spans="17:33" x14ac:dyDescent="0.2">
      <c r="Q421" s="488"/>
      <c r="AG421" s="488"/>
    </row>
    <row r="422" spans="17:33" x14ac:dyDescent="0.2">
      <c r="Q422" s="488"/>
      <c r="AG422" s="488"/>
    </row>
    <row r="423" spans="17:33" x14ac:dyDescent="0.2">
      <c r="Q423" s="488"/>
      <c r="AG423" s="488"/>
    </row>
    <row r="424" spans="17:33" x14ac:dyDescent="0.2">
      <c r="Q424" s="488"/>
      <c r="AG424" s="488"/>
    </row>
    <row r="425" spans="17:33" x14ac:dyDescent="0.2">
      <c r="Q425" s="488"/>
      <c r="AG425" s="488"/>
    </row>
    <row r="426" spans="17:33" x14ac:dyDescent="0.2">
      <c r="Q426" s="488"/>
      <c r="AG426" s="488"/>
    </row>
    <row r="427" spans="17:33" x14ac:dyDescent="0.2">
      <c r="Q427" s="488"/>
      <c r="AG427" s="488"/>
    </row>
    <row r="428" spans="17:33" x14ac:dyDescent="0.2">
      <c r="Q428" s="488"/>
      <c r="AG428" s="488"/>
    </row>
    <row r="429" spans="17:33" x14ac:dyDescent="0.2">
      <c r="Q429" s="488"/>
      <c r="AG429" s="488"/>
    </row>
    <row r="430" spans="17:33" x14ac:dyDescent="0.2">
      <c r="Q430" s="488"/>
      <c r="AG430" s="488"/>
    </row>
    <row r="431" spans="17:33" x14ac:dyDescent="0.2">
      <c r="Q431" s="488"/>
      <c r="AG431" s="488"/>
    </row>
    <row r="432" spans="17:33" x14ac:dyDescent="0.2">
      <c r="Q432" s="488"/>
      <c r="AG432" s="488"/>
    </row>
    <row r="433" spans="17:33" x14ac:dyDescent="0.2">
      <c r="Q433" s="488"/>
      <c r="AG433" s="488"/>
    </row>
    <row r="434" spans="17:33" x14ac:dyDescent="0.2">
      <c r="Q434" s="488"/>
      <c r="AG434" s="488"/>
    </row>
    <row r="435" spans="17:33" x14ac:dyDescent="0.2">
      <c r="Q435" s="488"/>
      <c r="AG435" s="488"/>
    </row>
    <row r="436" spans="17:33" x14ac:dyDescent="0.2">
      <c r="Q436" s="488"/>
      <c r="AG436" s="488"/>
    </row>
    <row r="437" spans="17:33" x14ac:dyDescent="0.2">
      <c r="Q437" s="488"/>
      <c r="AG437" s="488"/>
    </row>
    <row r="438" spans="17:33" x14ac:dyDescent="0.2">
      <c r="Q438" s="488"/>
      <c r="AG438" s="488"/>
    </row>
    <row r="439" spans="17:33" x14ac:dyDescent="0.2">
      <c r="Q439" s="488"/>
      <c r="AG439" s="488"/>
    </row>
    <row r="440" spans="17:33" x14ac:dyDescent="0.2">
      <c r="Q440" s="488"/>
      <c r="AG440" s="488"/>
    </row>
    <row r="441" spans="17:33" x14ac:dyDescent="0.2">
      <c r="Q441" s="488"/>
      <c r="AG441" s="488"/>
    </row>
    <row r="442" spans="17:33" x14ac:dyDescent="0.2">
      <c r="Q442" s="488"/>
      <c r="AG442" s="488"/>
    </row>
    <row r="443" spans="17:33" x14ac:dyDescent="0.2">
      <c r="Q443" s="488"/>
      <c r="AG443" s="488"/>
    </row>
    <row r="444" spans="17:33" x14ac:dyDescent="0.2">
      <c r="Q444" s="488"/>
      <c r="AG444" s="488"/>
    </row>
    <row r="445" spans="17:33" x14ac:dyDescent="0.2">
      <c r="Q445" s="488"/>
      <c r="AG445" s="488"/>
    </row>
    <row r="446" spans="17:33" x14ac:dyDescent="0.2">
      <c r="Q446" s="488"/>
      <c r="AG446" s="488"/>
    </row>
    <row r="447" spans="17:33" x14ac:dyDescent="0.2">
      <c r="Q447" s="488"/>
      <c r="AG447" s="488"/>
    </row>
    <row r="448" spans="17:33" x14ac:dyDescent="0.2">
      <c r="Q448" s="488"/>
      <c r="AG448" s="488"/>
    </row>
    <row r="449" spans="17:33" x14ac:dyDescent="0.2">
      <c r="Q449" s="488"/>
      <c r="AG449" s="488"/>
    </row>
    <row r="450" spans="17:33" x14ac:dyDescent="0.2">
      <c r="Q450" s="488"/>
      <c r="AG450" s="488"/>
    </row>
    <row r="451" spans="17:33" x14ac:dyDescent="0.2">
      <c r="Q451" s="488"/>
      <c r="AG451" s="488"/>
    </row>
    <row r="452" spans="17:33" x14ac:dyDescent="0.2">
      <c r="Q452" s="488"/>
      <c r="AG452" s="488"/>
    </row>
    <row r="453" spans="17:33" x14ac:dyDescent="0.2">
      <c r="Q453" s="488"/>
      <c r="AG453" s="488"/>
    </row>
    <row r="454" spans="17:33" x14ac:dyDescent="0.2">
      <c r="Q454" s="488"/>
      <c r="AG454" s="488"/>
    </row>
    <row r="455" spans="17:33" x14ac:dyDescent="0.2">
      <c r="Q455" s="488"/>
      <c r="AG455" s="488"/>
    </row>
    <row r="456" spans="17:33" x14ac:dyDescent="0.2">
      <c r="Q456" s="488"/>
      <c r="AG456" s="488"/>
    </row>
    <row r="457" spans="17:33" x14ac:dyDescent="0.2">
      <c r="Q457" s="488"/>
      <c r="AG457" s="488"/>
    </row>
    <row r="458" spans="17:33" x14ac:dyDescent="0.2">
      <c r="Q458" s="488"/>
      <c r="AG458" s="488"/>
    </row>
    <row r="459" spans="17:33" x14ac:dyDescent="0.2">
      <c r="Q459" s="488"/>
      <c r="AG459" s="488"/>
    </row>
    <row r="460" spans="17:33" x14ac:dyDescent="0.2">
      <c r="Q460" s="488"/>
      <c r="AG460" s="488"/>
    </row>
    <row r="461" spans="17:33" x14ac:dyDescent="0.2">
      <c r="Q461" s="488"/>
      <c r="AG461" s="488"/>
    </row>
    <row r="462" spans="17:33" x14ac:dyDescent="0.2">
      <c r="Q462" s="488"/>
      <c r="AG462" s="488"/>
    </row>
    <row r="463" spans="17:33" x14ac:dyDescent="0.2">
      <c r="Q463" s="488"/>
      <c r="AG463" s="488"/>
    </row>
    <row r="464" spans="17:33" x14ac:dyDescent="0.2">
      <c r="Q464" s="488"/>
      <c r="AG464" s="488"/>
    </row>
    <row r="465" spans="17:33" x14ac:dyDescent="0.2">
      <c r="Q465" s="488"/>
      <c r="AG465" s="488"/>
    </row>
    <row r="466" spans="17:33" x14ac:dyDescent="0.2">
      <c r="Q466" s="488"/>
      <c r="AG466" s="488"/>
    </row>
    <row r="467" spans="17:33" x14ac:dyDescent="0.2">
      <c r="Q467" s="488"/>
      <c r="AG467" s="488"/>
    </row>
    <row r="468" spans="17:33" x14ac:dyDescent="0.2">
      <c r="Q468" s="488"/>
      <c r="AG468" s="488"/>
    </row>
    <row r="469" spans="17:33" x14ac:dyDescent="0.2">
      <c r="Q469" s="488"/>
      <c r="AG469" s="488"/>
    </row>
    <row r="470" spans="17:33" x14ac:dyDescent="0.2">
      <c r="Q470" s="488"/>
      <c r="AG470" s="488"/>
    </row>
    <row r="471" spans="17:33" x14ac:dyDescent="0.2">
      <c r="Q471" s="488"/>
      <c r="AG471" s="488"/>
    </row>
    <row r="472" spans="17:33" x14ac:dyDescent="0.2">
      <c r="Q472" s="488"/>
      <c r="AG472" s="488"/>
    </row>
    <row r="473" spans="17:33" x14ac:dyDescent="0.2">
      <c r="Q473" s="488"/>
      <c r="AG473" s="488"/>
    </row>
    <row r="474" spans="17:33" x14ac:dyDescent="0.2">
      <c r="Q474" s="488"/>
      <c r="AG474" s="488"/>
    </row>
    <row r="475" spans="17:33" x14ac:dyDescent="0.2">
      <c r="Q475" s="488"/>
      <c r="AG475" s="488"/>
    </row>
    <row r="476" spans="17:33" x14ac:dyDescent="0.2">
      <c r="Q476" s="488"/>
      <c r="AG476" s="488"/>
    </row>
    <row r="477" spans="17:33" x14ac:dyDescent="0.2">
      <c r="Q477" s="488"/>
      <c r="AG477" s="488"/>
    </row>
    <row r="478" spans="17:33" x14ac:dyDescent="0.2">
      <c r="Q478" s="488"/>
      <c r="AG478" s="488"/>
    </row>
    <row r="479" spans="17:33" x14ac:dyDescent="0.2">
      <c r="Q479" s="488"/>
      <c r="AG479" s="488"/>
    </row>
    <row r="480" spans="17:33" x14ac:dyDescent="0.2">
      <c r="Q480" s="488"/>
      <c r="AG480" s="488"/>
    </row>
    <row r="481" spans="17:33" x14ac:dyDescent="0.2">
      <c r="Q481" s="488"/>
      <c r="AG481" s="488"/>
    </row>
    <row r="482" spans="17:33" x14ac:dyDescent="0.2">
      <c r="Q482" s="488"/>
      <c r="AG482" s="488"/>
    </row>
    <row r="483" spans="17:33" x14ac:dyDescent="0.2">
      <c r="Q483" s="488"/>
      <c r="AG483" s="488"/>
    </row>
    <row r="484" spans="17:33" x14ac:dyDescent="0.2">
      <c r="Q484" s="488"/>
      <c r="AG484" s="488"/>
    </row>
    <row r="485" spans="17:33" x14ac:dyDescent="0.2">
      <c r="Q485" s="488"/>
      <c r="AG485" s="488"/>
    </row>
    <row r="486" spans="17:33" x14ac:dyDescent="0.2">
      <c r="Q486" s="488"/>
      <c r="AG486" s="488"/>
    </row>
    <row r="487" spans="17:33" x14ac:dyDescent="0.2">
      <c r="Q487" s="488"/>
      <c r="AG487" s="488"/>
    </row>
    <row r="488" spans="17:33" x14ac:dyDescent="0.2">
      <c r="Q488" s="488"/>
      <c r="AG488" s="488"/>
    </row>
    <row r="489" spans="17:33" x14ac:dyDescent="0.2">
      <c r="Q489" s="488"/>
      <c r="AG489" s="488"/>
    </row>
    <row r="490" spans="17:33" x14ac:dyDescent="0.2">
      <c r="Q490" s="488"/>
      <c r="AG490" s="488"/>
    </row>
    <row r="491" spans="17:33" x14ac:dyDescent="0.2">
      <c r="Q491" s="488"/>
      <c r="AG491" s="488"/>
    </row>
    <row r="492" spans="17:33" x14ac:dyDescent="0.2">
      <c r="Q492" s="488"/>
      <c r="AG492" s="488"/>
    </row>
    <row r="493" spans="17:33" x14ac:dyDescent="0.2">
      <c r="Q493" s="488"/>
      <c r="AG493" s="488"/>
    </row>
    <row r="494" spans="17:33" x14ac:dyDescent="0.2">
      <c r="Q494" s="488"/>
      <c r="AG494" s="488"/>
    </row>
    <row r="495" spans="17:33" x14ac:dyDescent="0.2">
      <c r="Q495" s="488"/>
      <c r="AG495" s="488"/>
    </row>
    <row r="496" spans="17:33" x14ac:dyDescent="0.2">
      <c r="Q496" s="488"/>
      <c r="AG496" s="488"/>
    </row>
    <row r="497" spans="17:33" x14ac:dyDescent="0.2">
      <c r="Q497" s="488"/>
      <c r="AG497" s="488"/>
    </row>
    <row r="498" spans="17:33" x14ac:dyDescent="0.2">
      <c r="Q498" s="488"/>
      <c r="AG498" s="488"/>
    </row>
    <row r="499" spans="17:33" x14ac:dyDescent="0.2">
      <c r="Q499" s="488"/>
      <c r="AG499" s="488"/>
    </row>
    <row r="500" spans="17:33" x14ac:dyDescent="0.2">
      <c r="Q500" s="488"/>
      <c r="AG500" s="488"/>
    </row>
    <row r="501" spans="17:33" x14ac:dyDescent="0.2">
      <c r="Q501" s="488"/>
      <c r="AG501" s="488"/>
    </row>
    <row r="502" spans="17:33" x14ac:dyDescent="0.2">
      <c r="Q502" s="488"/>
      <c r="AG502" s="488"/>
    </row>
    <row r="503" spans="17:33" x14ac:dyDescent="0.2">
      <c r="Q503" s="488"/>
      <c r="AG503" s="488"/>
    </row>
    <row r="504" spans="17:33" x14ac:dyDescent="0.2">
      <c r="Q504" s="488"/>
      <c r="AG504" s="488"/>
    </row>
    <row r="505" spans="17:33" x14ac:dyDescent="0.2">
      <c r="Q505" s="488"/>
      <c r="AG505" s="488"/>
    </row>
    <row r="506" spans="17:33" x14ac:dyDescent="0.2">
      <c r="Q506" s="488"/>
      <c r="AG506" s="488"/>
    </row>
    <row r="507" spans="17:33" x14ac:dyDescent="0.2">
      <c r="Q507" s="488"/>
      <c r="AG507" s="488"/>
    </row>
    <row r="508" spans="17:33" x14ac:dyDescent="0.2">
      <c r="Q508" s="488"/>
      <c r="AG508" s="488"/>
    </row>
    <row r="509" spans="17:33" x14ac:dyDescent="0.2">
      <c r="Q509" s="488"/>
      <c r="AG509" s="488"/>
    </row>
    <row r="510" spans="17:33" x14ac:dyDescent="0.2">
      <c r="Q510" s="488"/>
      <c r="AG510" s="488"/>
    </row>
    <row r="511" spans="17:33" x14ac:dyDescent="0.2">
      <c r="Q511" s="488"/>
      <c r="AG511" s="488"/>
    </row>
    <row r="512" spans="17:33" x14ac:dyDescent="0.2">
      <c r="Q512" s="488"/>
      <c r="AG512" s="488"/>
    </row>
    <row r="513" spans="17:33" x14ac:dyDescent="0.2">
      <c r="Q513" s="488"/>
      <c r="AG513" s="488"/>
    </row>
    <row r="514" spans="17:33" x14ac:dyDescent="0.2">
      <c r="Q514" s="488"/>
      <c r="AG514" s="488"/>
    </row>
    <row r="515" spans="17:33" x14ac:dyDescent="0.2">
      <c r="Q515" s="488"/>
      <c r="AG515" s="488"/>
    </row>
    <row r="516" spans="17:33" x14ac:dyDescent="0.2">
      <c r="Q516" s="488"/>
      <c r="AG516" s="488"/>
    </row>
    <row r="517" spans="17:33" x14ac:dyDescent="0.2">
      <c r="Q517" s="488"/>
      <c r="AG517" s="488"/>
    </row>
    <row r="518" spans="17:33" x14ac:dyDescent="0.2">
      <c r="Q518" s="488"/>
      <c r="AG518" s="488"/>
    </row>
    <row r="519" spans="17:33" x14ac:dyDescent="0.2">
      <c r="Q519" s="488"/>
      <c r="AG519" s="488"/>
    </row>
    <row r="520" spans="17:33" x14ac:dyDescent="0.2">
      <c r="Q520" s="488"/>
      <c r="AG520" s="488"/>
    </row>
    <row r="521" spans="17:33" x14ac:dyDescent="0.2">
      <c r="Q521" s="488"/>
      <c r="AG521" s="488"/>
    </row>
    <row r="522" spans="17:33" x14ac:dyDescent="0.2">
      <c r="Q522" s="488"/>
      <c r="AG522" s="488"/>
    </row>
    <row r="523" spans="17:33" x14ac:dyDescent="0.2">
      <c r="Q523" s="488"/>
      <c r="AG523" s="488"/>
    </row>
    <row r="524" spans="17:33" x14ac:dyDescent="0.2">
      <c r="Q524" s="488"/>
      <c r="AG524" s="488"/>
    </row>
    <row r="525" spans="17:33" x14ac:dyDescent="0.2">
      <c r="Q525" s="488"/>
      <c r="AG525" s="488"/>
    </row>
    <row r="526" spans="17:33" x14ac:dyDescent="0.2">
      <c r="Q526" s="488"/>
      <c r="AG526" s="488"/>
    </row>
    <row r="527" spans="17:33" x14ac:dyDescent="0.2">
      <c r="Q527" s="488"/>
      <c r="AG527" s="488"/>
    </row>
    <row r="528" spans="17:33" x14ac:dyDescent="0.2">
      <c r="Q528" s="488"/>
      <c r="AG528" s="488"/>
    </row>
    <row r="529" spans="17:33" x14ac:dyDescent="0.2">
      <c r="Q529" s="488"/>
      <c r="AG529" s="488"/>
    </row>
    <row r="530" spans="17:33" x14ac:dyDescent="0.2">
      <c r="Q530" s="488"/>
      <c r="AG530" s="488"/>
    </row>
    <row r="531" spans="17:33" x14ac:dyDescent="0.2">
      <c r="Q531" s="488"/>
      <c r="AG531" s="488"/>
    </row>
    <row r="532" spans="17:33" x14ac:dyDescent="0.2">
      <c r="Q532" s="488"/>
      <c r="AG532" s="488"/>
    </row>
    <row r="533" spans="17:33" x14ac:dyDescent="0.2">
      <c r="Q533" s="488"/>
      <c r="AG533" s="488"/>
    </row>
    <row r="534" spans="17:33" x14ac:dyDescent="0.2">
      <c r="Q534" s="488"/>
      <c r="AG534" s="488"/>
    </row>
    <row r="535" spans="17:33" x14ac:dyDescent="0.2">
      <c r="Q535" s="488"/>
      <c r="AG535" s="488"/>
    </row>
    <row r="536" spans="17:33" x14ac:dyDescent="0.2">
      <c r="Q536" s="488"/>
      <c r="AG536" s="488"/>
    </row>
    <row r="537" spans="17:33" x14ac:dyDescent="0.2">
      <c r="Q537" s="488"/>
      <c r="AG537" s="488"/>
    </row>
    <row r="538" spans="17:33" x14ac:dyDescent="0.2">
      <c r="Q538" s="488"/>
      <c r="AG538" s="488"/>
    </row>
    <row r="539" spans="17:33" x14ac:dyDescent="0.2">
      <c r="Q539" s="488"/>
      <c r="AG539" s="488"/>
    </row>
    <row r="540" spans="17:33" x14ac:dyDescent="0.2">
      <c r="Q540" s="488"/>
      <c r="AG540" s="488"/>
    </row>
    <row r="541" spans="17:33" x14ac:dyDescent="0.2">
      <c r="Q541" s="488"/>
      <c r="AG541" s="488"/>
    </row>
    <row r="542" spans="17:33" x14ac:dyDescent="0.2">
      <c r="Q542" s="488"/>
      <c r="AG542" s="488"/>
    </row>
    <row r="543" spans="17:33" x14ac:dyDescent="0.2">
      <c r="Q543" s="488"/>
      <c r="AG543" s="488"/>
    </row>
    <row r="544" spans="17:33" x14ac:dyDescent="0.2">
      <c r="Q544" s="488"/>
      <c r="AG544" s="488"/>
    </row>
    <row r="545" spans="17:33" x14ac:dyDescent="0.2">
      <c r="Q545" s="488"/>
      <c r="AG545" s="488"/>
    </row>
    <row r="546" spans="17:33" x14ac:dyDescent="0.2">
      <c r="Q546" s="488"/>
      <c r="AG546" s="488"/>
    </row>
    <row r="547" spans="17:33" x14ac:dyDescent="0.2">
      <c r="Q547" s="488"/>
      <c r="AG547" s="488"/>
    </row>
    <row r="548" spans="17:33" x14ac:dyDescent="0.2">
      <c r="Q548" s="488"/>
      <c r="AG548" s="488"/>
    </row>
    <row r="549" spans="17:33" x14ac:dyDescent="0.2">
      <c r="Q549" s="488"/>
      <c r="AG549" s="488"/>
    </row>
    <row r="550" spans="17:33" x14ac:dyDescent="0.2">
      <c r="Q550" s="488"/>
      <c r="AG550" s="488"/>
    </row>
    <row r="551" spans="17:33" x14ac:dyDescent="0.2">
      <c r="Q551" s="488"/>
      <c r="AG551" s="488"/>
    </row>
    <row r="552" spans="17:33" x14ac:dyDescent="0.2">
      <c r="Q552" s="488"/>
      <c r="AG552" s="488"/>
    </row>
    <row r="553" spans="17:33" x14ac:dyDescent="0.2">
      <c r="Q553" s="488"/>
      <c r="AG553" s="488"/>
    </row>
    <row r="554" spans="17:33" x14ac:dyDescent="0.2">
      <c r="Q554" s="488"/>
      <c r="AG554" s="488"/>
    </row>
    <row r="555" spans="17:33" x14ac:dyDescent="0.2">
      <c r="Q555" s="488"/>
      <c r="AG555" s="488"/>
    </row>
    <row r="556" spans="17:33" x14ac:dyDescent="0.2">
      <c r="Q556" s="488"/>
      <c r="AG556" s="488"/>
    </row>
    <row r="557" spans="17:33" x14ac:dyDescent="0.2">
      <c r="Q557" s="488"/>
      <c r="AG557" s="488"/>
    </row>
    <row r="558" spans="17:33" x14ac:dyDescent="0.2">
      <c r="Q558" s="488"/>
      <c r="AG558" s="488"/>
    </row>
    <row r="559" spans="17:33" x14ac:dyDescent="0.2">
      <c r="Q559" s="488"/>
      <c r="AG559" s="488"/>
    </row>
    <row r="560" spans="17:33" x14ac:dyDescent="0.2">
      <c r="AG560" s="488"/>
    </row>
    <row r="561" spans="33:33" x14ac:dyDescent="0.2">
      <c r="AG561" s="488"/>
    </row>
    <row r="562" spans="33:33" x14ac:dyDescent="0.2">
      <c r="AG562" s="488"/>
    </row>
    <row r="563" spans="33:33" x14ac:dyDescent="0.2">
      <c r="AG563" s="488"/>
    </row>
    <row r="564" spans="33:33" x14ac:dyDescent="0.2">
      <c r="AG564" s="488"/>
    </row>
    <row r="565" spans="33:33" x14ac:dyDescent="0.2">
      <c r="AG565" s="488"/>
    </row>
    <row r="566" spans="33:33" x14ac:dyDescent="0.2">
      <c r="AG566" s="488"/>
    </row>
    <row r="567" spans="33:33" x14ac:dyDescent="0.2">
      <c r="AG567" s="488"/>
    </row>
    <row r="568" spans="33:33" x14ac:dyDescent="0.2">
      <c r="AG568" s="488"/>
    </row>
    <row r="569" spans="33:33" x14ac:dyDescent="0.2">
      <c r="AG569" s="488"/>
    </row>
    <row r="570" spans="33:33" x14ac:dyDescent="0.2">
      <c r="AG570" s="488"/>
    </row>
    <row r="571" spans="33:33" x14ac:dyDescent="0.2">
      <c r="AG571" s="488"/>
    </row>
    <row r="572" spans="33:33" x14ac:dyDescent="0.2">
      <c r="AG572" s="488"/>
    </row>
    <row r="573" spans="33:33" x14ac:dyDescent="0.2">
      <c r="AG573" s="488"/>
    </row>
    <row r="574" spans="33:33" x14ac:dyDescent="0.2">
      <c r="AG574" s="488"/>
    </row>
    <row r="575" spans="33:33" x14ac:dyDescent="0.2">
      <c r="AG575" s="488"/>
    </row>
    <row r="576" spans="33:33" x14ac:dyDescent="0.2">
      <c r="AG576" s="488"/>
    </row>
    <row r="577" spans="33:33" x14ac:dyDescent="0.2">
      <c r="AG577" s="488"/>
    </row>
    <row r="578" spans="33:33" x14ac:dyDescent="0.2">
      <c r="AG578" s="488"/>
    </row>
    <row r="579" spans="33:33" x14ac:dyDescent="0.2">
      <c r="AG579" s="488"/>
    </row>
    <row r="580" spans="33:33" x14ac:dyDescent="0.2">
      <c r="AG580" s="488"/>
    </row>
    <row r="581" spans="33:33" x14ac:dyDescent="0.2">
      <c r="AG581" s="488"/>
    </row>
    <row r="582" spans="33:33" x14ac:dyDescent="0.2">
      <c r="AG582" s="488"/>
    </row>
    <row r="583" spans="33:33" x14ac:dyDescent="0.2">
      <c r="AG583" s="488"/>
    </row>
    <row r="584" spans="33:33" x14ac:dyDescent="0.2">
      <c r="AG584" s="488"/>
    </row>
    <row r="585" spans="33:33" x14ac:dyDescent="0.2">
      <c r="AG585" s="488"/>
    </row>
    <row r="586" spans="33:33" x14ac:dyDescent="0.2">
      <c r="AG586" s="488"/>
    </row>
    <row r="587" spans="33:33" x14ac:dyDescent="0.2">
      <c r="AG587" s="488"/>
    </row>
    <row r="588" spans="33:33" x14ac:dyDescent="0.2">
      <c r="AG588" s="488"/>
    </row>
    <row r="589" spans="33:33" x14ac:dyDescent="0.2">
      <c r="AG589" s="488"/>
    </row>
    <row r="590" spans="33:33" x14ac:dyDescent="0.2">
      <c r="AG590" s="488"/>
    </row>
    <row r="591" spans="33:33" x14ac:dyDescent="0.2">
      <c r="AG591" s="488"/>
    </row>
    <row r="592" spans="33:33" x14ac:dyDescent="0.2">
      <c r="AG592" s="488"/>
    </row>
    <row r="593" spans="33:33" x14ac:dyDescent="0.2">
      <c r="AG593" s="488"/>
    </row>
    <row r="594" spans="33:33" x14ac:dyDescent="0.2">
      <c r="AG594" s="488"/>
    </row>
    <row r="595" spans="33:33" x14ac:dyDescent="0.2">
      <c r="AG595" s="488"/>
    </row>
    <row r="596" spans="33:33" x14ac:dyDescent="0.2">
      <c r="AG596" s="488"/>
    </row>
    <row r="597" spans="33:33" x14ac:dyDescent="0.2">
      <c r="AG597" s="488"/>
    </row>
    <row r="598" spans="33:33" x14ac:dyDescent="0.2">
      <c r="AG598" s="488"/>
    </row>
    <row r="599" spans="33:33" x14ac:dyDescent="0.2">
      <c r="AG599" s="488"/>
    </row>
    <row r="600" spans="33:33" x14ac:dyDescent="0.2">
      <c r="AG600" s="488"/>
    </row>
    <row r="601" spans="33:33" x14ac:dyDescent="0.2">
      <c r="AG601" s="488"/>
    </row>
    <row r="602" spans="33:33" x14ac:dyDescent="0.2">
      <c r="AG602" s="488"/>
    </row>
    <row r="603" spans="33:33" x14ac:dyDescent="0.2">
      <c r="AG603" s="488"/>
    </row>
    <row r="604" spans="33:33" x14ac:dyDescent="0.2">
      <c r="AG604" s="488"/>
    </row>
    <row r="605" spans="33:33" x14ac:dyDescent="0.2">
      <c r="AG605" s="488"/>
    </row>
    <row r="606" spans="33:33" x14ac:dyDescent="0.2">
      <c r="AG606" s="488"/>
    </row>
    <row r="607" spans="33:33" x14ac:dyDescent="0.2">
      <c r="AG607" s="488"/>
    </row>
    <row r="608" spans="33:33" x14ac:dyDescent="0.2">
      <c r="AG608" s="488"/>
    </row>
    <row r="609" spans="33:33" x14ac:dyDescent="0.2">
      <c r="AG609" s="488"/>
    </row>
    <row r="610" spans="33:33" x14ac:dyDescent="0.2">
      <c r="AG610" s="488"/>
    </row>
    <row r="611" spans="33:33" x14ac:dyDescent="0.2">
      <c r="AG611" s="488"/>
    </row>
    <row r="612" spans="33:33" x14ac:dyDescent="0.2">
      <c r="AG612" s="488"/>
    </row>
    <row r="613" spans="33:33" x14ac:dyDescent="0.2">
      <c r="AG613" s="488"/>
    </row>
    <row r="614" spans="33:33" x14ac:dyDescent="0.2">
      <c r="AG614" s="488"/>
    </row>
    <row r="615" spans="33:33" x14ac:dyDescent="0.2">
      <c r="AG615" s="488"/>
    </row>
    <row r="616" spans="33:33" x14ac:dyDescent="0.2">
      <c r="AG616" s="488"/>
    </row>
    <row r="617" spans="33:33" x14ac:dyDescent="0.2">
      <c r="AG617" s="488"/>
    </row>
    <row r="618" spans="33:33" x14ac:dyDescent="0.2">
      <c r="AG618" s="488"/>
    </row>
    <row r="619" spans="33:33" x14ac:dyDescent="0.2">
      <c r="AG619" s="488"/>
    </row>
    <row r="620" spans="33:33" x14ac:dyDescent="0.2">
      <c r="AG620" s="488"/>
    </row>
    <row r="621" spans="33:33" x14ac:dyDescent="0.2">
      <c r="AG621" s="488"/>
    </row>
    <row r="622" spans="33:33" x14ac:dyDescent="0.2">
      <c r="AG622" s="488"/>
    </row>
    <row r="623" spans="33:33" x14ac:dyDescent="0.2">
      <c r="AG623" s="488"/>
    </row>
    <row r="624" spans="33:33" x14ac:dyDescent="0.2">
      <c r="AG624" s="488"/>
    </row>
    <row r="625" spans="33:33" x14ac:dyDescent="0.2">
      <c r="AG625" s="488"/>
    </row>
    <row r="626" spans="33:33" x14ac:dyDescent="0.2">
      <c r="AG626" s="488"/>
    </row>
    <row r="627" spans="33:33" x14ac:dyDescent="0.2">
      <c r="AG627" s="488"/>
    </row>
    <row r="628" spans="33:33" x14ac:dyDescent="0.2">
      <c r="AG628" s="488"/>
    </row>
    <row r="629" spans="33:33" x14ac:dyDescent="0.2">
      <c r="AG629" s="488"/>
    </row>
    <row r="630" spans="33:33" x14ac:dyDescent="0.2">
      <c r="AG630" s="488"/>
    </row>
    <row r="631" spans="33:33" x14ac:dyDescent="0.2">
      <c r="AG631" s="488"/>
    </row>
    <row r="632" spans="33:33" x14ac:dyDescent="0.2">
      <c r="AG632" s="488"/>
    </row>
    <row r="633" spans="33:33" x14ac:dyDescent="0.2">
      <c r="AG633" s="488"/>
    </row>
    <row r="634" spans="33:33" x14ac:dyDescent="0.2">
      <c r="AG634" s="488"/>
    </row>
    <row r="635" spans="33:33" x14ac:dyDescent="0.2">
      <c r="AG635" s="488"/>
    </row>
    <row r="636" spans="33:33" x14ac:dyDescent="0.2">
      <c r="AG636" s="488"/>
    </row>
    <row r="637" spans="33:33" x14ac:dyDescent="0.2">
      <c r="AG637" s="488"/>
    </row>
    <row r="638" spans="33:33" x14ac:dyDescent="0.2">
      <c r="AG638" s="488"/>
    </row>
    <row r="639" spans="33:33" x14ac:dyDescent="0.2">
      <c r="AG639" s="488"/>
    </row>
    <row r="640" spans="33:33" x14ac:dyDescent="0.2">
      <c r="AG640" s="488"/>
    </row>
    <row r="641" spans="33:33" x14ac:dyDescent="0.2">
      <c r="AG641" s="488"/>
    </row>
    <row r="642" spans="33:33" x14ac:dyDescent="0.2">
      <c r="AG642" s="488"/>
    </row>
    <row r="643" spans="33:33" x14ac:dyDescent="0.2">
      <c r="AG643" s="488"/>
    </row>
    <row r="644" spans="33:33" x14ac:dyDescent="0.2">
      <c r="AG644" s="488"/>
    </row>
    <row r="645" spans="33:33" x14ac:dyDescent="0.2">
      <c r="AG645" s="488"/>
    </row>
    <row r="646" spans="33:33" x14ac:dyDescent="0.2">
      <c r="AG646" s="488"/>
    </row>
    <row r="647" spans="33:33" x14ac:dyDescent="0.2">
      <c r="AG647" s="488"/>
    </row>
    <row r="648" spans="33:33" x14ac:dyDescent="0.2">
      <c r="AG648" s="488"/>
    </row>
    <row r="649" spans="33:33" x14ac:dyDescent="0.2">
      <c r="AG649" s="488"/>
    </row>
    <row r="650" spans="33:33" x14ac:dyDescent="0.2">
      <c r="AG650" s="488"/>
    </row>
    <row r="651" spans="33:33" x14ac:dyDescent="0.2">
      <c r="AG651" s="488"/>
    </row>
    <row r="652" spans="33:33" x14ac:dyDescent="0.2">
      <c r="AG652" s="488"/>
    </row>
    <row r="653" spans="33:33" x14ac:dyDescent="0.2">
      <c r="AG653" s="488"/>
    </row>
    <row r="654" spans="33:33" x14ac:dyDescent="0.2">
      <c r="AG654" s="488"/>
    </row>
    <row r="655" spans="33:33" x14ac:dyDescent="0.2">
      <c r="AG655" s="488"/>
    </row>
    <row r="656" spans="33:33" x14ac:dyDescent="0.2">
      <c r="AG656" s="488"/>
    </row>
    <row r="657" spans="33:33" x14ac:dyDescent="0.2">
      <c r="AG657" s="488"/>
    </row>
    <row r="658" spans="33:33" x14ac:dyDescent="0.2">
      <c r="AG658" s="488"/>
    </row>
    <row r="659" spans="33:33" x14ac:dyDescent="0.2">
      <c r="AG659" s="488"/>
    </row>
    <row r="660" spans="33:33" x14ac:dyDescent="0.2">
      <c r="AG660" s="488"/>
    </row>
    <row r="661" spans="33:33" x14ac:dyDescent="0.2">
      <c r="AG661" s="488"/>
    </row>
    <row r="662" spans="33:33" x14ac:dyDescent="0.2">
      <c r="AG662" s="488"/>
    </row>
    <row r="663" spans="33:33" x14ac:dyDescent="0.2">
      <c r="AG663" s="488"/>
    </row>
    <row r="664" spans="33:33" x14ac:dyDescent="0.2">
      <c r="AG664" s="488"/>
    </row>
    <row r="665" spans="33:33" x14ac:dyDescent="0.2">
      <c r="AG665" s="488"/>
    </row>
    <row r="666" spans="33:33" x14ac:dyDescent="0.2">
      <c r="AG666" s="488"/>
    </row>
    <row r="667" spans="33:33" x14ac:dyDescent="0.2">
      <c r="AG667" s="488"/>
    </row>
    <row r="668" spans="33:33" x14ac:dyDescent="0.2">
      <c r="AG668" s="488"/>
    </row>
    <row r="669" spans="33:33" x14ac:dyDescent="0.2">
      <c r="AG669" s="488"/>
    </row>
    <row r="670" spans="33:33" x14ac:dyDescent="0.2">
      <c r="AG670" s="488"/>
    </row>
    <row r="671" spans="33:33" x14ac:dyDescent="0.2">
      <c r="AG671" s="488"/>
    </row>
    <row r="672" spans="33:33" x14ac:dyDescent="0.2">
      <c r="AG672" s="488"/>
    </row>
    <row r="673" spans="33:33" x14ac:dyDescent="0.2">
      <c r="AG673" s="488"/>
    </row>
    <row r="674" spans="33:33" x14ac:dyDescent="0.2">
      <c r="AG674" s="488"/>
    </row>
    <row r="675" spans="33:33" x14ac:dyDescent="0.2">
      <c r="AG675" s="488"/>
    </row>
    <row r="676" spans="33:33" x14ac:dyDescent="0.2">
      <c r="AG676" s="488"/>
    </row>
    <row r="677" spans="33:33" x14ac:dyDescent="0.2">
      <c r="AG677" s="488"/>
    </row>
    <row r="678" spans="33:33" x14ac:dyDescent="0.2">
      <c r="AG678" s="488"/>
    </row>
    <row r="679" spans="33:33" x14ac:dyDescent="0.2">
      <c r="AG679" s="488"/>
    </row>
    <row r="680" spans="33:33" x14ac:dyDescent="0.2">
      <c r="AG680" s="488"/>
    </row>
    <row r="681" spans="33:33" x14ac:dyDescent="0.2">
      <c r="AG681" s="488"/>
    </row>
    <row r="682" spans="33:33" x14ac:dyDescent="0.2">
      <c r="AG682" s="488"/>
    </row>
    <row r="683" spans="33:33" x14ac:dyDescent="0.2">
      <c r="AG683" s="488"/>
    </row>
    <row r="684" spans="33:33" x14ac:dyDescent="0.2">
      <c r="AG684" s="488"/>
    </row>
    <row r="685" spans="33:33" x14ac:dyDescent="0.2">
      <c r="AG685" s="488"/>
    </row>
    <row r="686" spans="33:33" x14ac:dyDescent="0.2">
      <c r="AG686" s="488"/>
    </row>
    <row r="687" spans="33:33" x14ac:dyDescent="0.2">
      <c r="AG687" s="488"/>
    </row>
    <row r="688" spans="33:33" x14ac:dyDescent="0.2">
      <c r="AG688" s="488"/>
    </row>
    <row r="689" spans="33:33" x14ac:dyDescent="0.2">
      <c r="AG689" s="488"/>
    </row>
    <row r="690" spans="33:33" x14ac:dyDescent="0.2">
      <c r="AG690" s="488"/>
    </row>
    <row r="691" spans="33:33" x14ac:dyDescent="0.2">
      <c r="AG691" s="488"/>
    </row>
    <row r="692" spans="33:33" x14ac:dyDescent="0.2">
      <c r="AG692" s="488"/>
    </row>
    <row r="693" spans="33:33" x14ac:dyDescent="0.2">
      <c r="AG693" s="488"/>
    </row>
    <row r="694" spans="33:33" x14ac:dyDescent="0.2">
      <c r="AG694" s="488"/>
    </row>
    <row r="695" spans="33:33" x14ac:dyDescent="0.2">
      <c r="AG695" s="488"/>
    </row>
    <row r="696" spans="33:33" x14ac:dyDescent="0.2">
      <c r="AG696" s="488"/>
    </row>
    <row r="697" spans="33:33" x14ac:dyDescent="0.2">
      <c r="AG697" s="488"/>
    </row>
    <row r="698" spans="33:33" x14ac:dyDescent="0.2">
      <c r="AG698" s="488"/>
    </row>
    <row r="699" spans="33:33" x14ac:dyDescent="0.2">
      <c r="AG699" s="488"/>
    </row>
    <row r="700" spans="33:33" x14ac:dyDescent="0.2">
      <c r="AG700" s="488"/>
    </row>
    <row r="701" spans="33:33" x14ac:dyDescent="0.2">
      <c r="AG701" s="488"/>
    </row>
    <row r="702" spans="33:33" x14ac:dyDescent="0.2">
      <c r="AG702" s="488"/>
    </row>
    <row r="703" spans="33:33" x14ac:dyDescent="0.2">
      <c r="AG703" s="488"/>
    </row>
    <row r="704" spans="33:33" x14ac:dyDescent="0.2">
      <c r="AG704" s="488"/>
    </row>
    <row r="705" spans="33:33" x14ac:dyDescent="0.2">
      <c r="AG705" s="488"/>
    </row>
    <row r="706" spans="33:33" x14ac:dyDescent="0.2">
      <c r="AG706" s="488"/>
    </row>
    <row r="707" spans="33:33" x14ac:dyDescent="0.2">
      <c r="AG707" s="488"/>
    </row>
    <row r="708" spans="33:33" x14ac:dyDescent="0.2">
      <c r="AG708" s="488"/>
    </row>
    <row r="709" spans="33:33" x14ac:dyDescent="0.2">
      <c r="AG709" s="488"/>
    </row>
    <row r="710" spans="33:33" x14ac:dyDescent="0.2">
      <c r="AG710" s="488"/>
    </row>
    <row r="711" spans="33:33" x14ac:dyDescent="0.2">
      <c r="AG711" s="488"/>
    </row>
    <row r="712" spans="33:33" x14ac:dyDescent="0.2">
      <c r="AG712" s="488"/>
    </row>
    <row r="713" spans="33:33" x14ac:dyDescent="0.2">
      <c r="AG713" s="488"/>
    </row>
    <row r="714" spans="33:33" x14ac:dyDescent="0.2">
      <c r="AG714" s="488"/>
    </row>
    <row r="715" spans="33:33" x14ac:dyDescent="0.2">
      <c r="AG715" s="488"/>
    </row>
    <row r="716" spans="33:33" x14ac:dyDescent="0.2">
      <c r="AG716" s="488"/>
    </row>
    <row r="717" spans="33:33" x14ac:dyDescent="0.2">
      <c r="AG717" s="488"/>
    </row>
    <row r="718" spans="33:33" x14ac:dyDescent="0.2">
      <c r="AG718" s="488"/>
    </row>
    <row r="719" spans="33:33" x14ac:dyDescent="0.2">
      <c r="AG719" s="488"/>
    </row>
    <row r="720" spans="33:33" x14ac:dyDescent="0.2">
      <c r="AG720" s="488"/>
    </row>
    <row r="721" spans="33:33" x14ac:dyDescent="0.2">
      <c r="AG721" s="488"/>
    </row>
    <row r="722" spans="33:33" x14ac:dyDescent="0.2">
      <c r="AG722" s="488"/>
    </row>
    <row r="723" spans="33:33" x14ac:dyDescent="0.2">
      <c r="AG723" s="488"/>
    </row>
    <row r="724" spans="33:33" x14ac:dyDescent="0.2">
      <c r="AG724" s="488"/>
    </row>
    <row r="725" spans="33:33" x14ac:dyDescent="0.2">
      <c r="AG725" s="488"/>
    </row>
    <row r="726" spans="33:33" x14ac:dyDescent="0.2">
      <c r="AG726" s="488"/>
    </row>
    <row r="727" spans="33:33" x14ac:dyDescent="0.2">
      <c r="AG727" s="488"/>
    </row>
    <row r="728" spans="33:33" x14ac:dyDescent="0.2">
      <c r="AG728" s="488"/>
    </row>
    <row r="729" spans="33:33" x14ac:dyDescent="0.2">
      <c r="AG729" s="488"/>
    </row>
    <row r="730" spans="33:33" x14ac:dyDescent="0.2">
      <c r="AG730" s="488"/>
    </row>
    <row r="731" spans="33:33" x14ac:dyDescent="0.2">
      <c r="AG731" s="488"/>
    </row>
    <row r="732" spans="33:33" x14ac:dyDescent="0.2">
      <c r="AG732" s="488"/>
    </row>
    <row r="733" spans="33:33" x14ac:dyDescent="0.2">
      <c r="AG733" s="488"/>
    </row>
    <row r="734" spans="33:33" x14ac:dyDescent="0.2">
      <c r="AG734" s="488"/>
    </row>
    <row r="735" spans="33:33" x14ac:dyDescent="0.2">
      <c r="AG735" s="488"/>
    </row>
    <row r="736" spans="33:33" x14ac:dyDescent="0.2">
      <c r="AG736" s="488"/>
    </row>
    <row r="737" spans="33:33" x14ac:dyDescent="0.2">
      <c r="AG737" s="488"/>
    </row>
    <row r="738" spans="33:33" x14ac:dyDescent="0.2">
      <c r="AG738" s="488"/>
    </row>
    <row r="739" spans="33:33" x14ac:dyDescent="0.2">
      <c r="AG739" s="488"/>
    </row>
    <row r="740" spans="33:33" x14ac:dyDescent="0.2">
      <c r="AG740" s="488"/>
    </row>
    <row r="741" spans="33:33" x14ac:dyDescent="0.2">
      <c r="AG741" s="488"/>
    </row>
    <row r="742" spans="33:33" x14ac:dyDescent="0.2">
      <c r="AG742" s="488"/>
    </row>
    <row r="743" spans="33:33" x14ac:dyDescent="0.2">
      <c r="AG743" s="488"/>
    </row>
    <row r="744" spans="33:33" x14ac:dyDescent="0.2">
      <c r="AG744" s="488"/>
    </row>
    <row r="745" spans="33:33" x14ac:dyDescent="0.2">
      <c r="AG745" s="488"/>
    </row>
    <row r="746" spans="33:33" x14ac:dyDescent="0.2">
      <c r="AG746" s="488"/>
    </row>
    <row r="747" spans="33:33" x14ac:dyDescent="0.2">
      <c r="AG747" s="488"/>
    </row>
    <row r="748" spans="33:33" x14ac:dyDescent="0.2">
      <c r="AG748" s="488"/>
    </row>
    <row r="749" spans="33:33" x14ac:dyDescent="0.2">
      <c r="AG749" s="488"/>
    </row>
    <row r="750" spans="33:33" x14ac:dyDescent="0.2">
      <c r="AG750" s="488"/>
    </row>
    <row r="751" spans="33:33" x14ac:dyDescent="0.2">
      <c r="AG751" s="488"/>
    </row>
    <row r="752" spans="33:33" x14ac:dyDescent="0.2">
      <c r="AG752" s="488"/>
    </row>
    <row r="753" spans="33:33" x14ac:dyDescent="0.2">
      <c r="AG753" s="488"/>
    </row>
    <row r="754" spans="33:33" x14ac:dyDescent="0.2">
      <c r="AG754" s="488"/>
    </row>
    <row r="755" spans="33:33" x14ac:dyDescent="0.2">
      <c r="AG755" s="488"/>
    </row>
    <row r="756" spans="33:33" x14ac:dyDescent="0.2">
      <c r="AG756" s="488"/>
    </row>
    <row r="757" spans="33:33" x14ac:dyDescent="0.2">
      <c r="AG757" s="488"/>
    </row>
    <row r="758" spans="33:33" x14ac:dyDescent="0.2">
      <c r="AG758" s="488"/>
    </row>
    <row r="759" spans="33:33" x14ac:dyDescent="0.2">
      <c r="AG759" s="488"/>
    </row>
    <row r="760" spans="33:33" x14ac:dyDescent="0.2">
      <c r="AG760" s="488"/>
    </row>
    <row r="761" spans="33:33" x14ac:dyDescent="0.2">
      <c r="AG761" s="488"/>
    </row>
    <row r="762" spans="33:33" x14ac:dyDescent="0.2">
      <c r="AG762" s="488"/>
    </row>
    <row r="763" spans="33:33" x14ac:dyDescent="0.2">
      <c r="AG763" s="488"/>
    </row>
    <row r="764" spans="33:33" x14ac:dyDescent="0.2">
      <c r="AG764" s="488"/>
    </row>
    <row r="765" spans="33:33" x14ac:dyDescent="0.2">
      <c r="AG765" s="488"/>
    </row>
    <row r="766" spans="33:33" x14ac:dyDescent="0.2">
      <c r="AG766" s="488"/>
    </row>
    <row r="767" spans="33:33" x14ac:dyDescent="0.2">
      <c r="AG767" s="488"/>
    </row>
    <row r="768" spans="33:33" x14ac:dyDescent="0.2">
      <c r="AG768" s="488"/>
    </row>
    <row r="769" spans="33:33" x14ac:dyDescent="0.2">
      <c r="AG769" s="488"/>
    </row>
    <row r="770" spans="33:33" x14ac:dyDescent="0.2">
      <c r="AG770" s="488"/>
    </row>
    <row r="771" spans="33:33" x14ac:dyDescent="0.2">
      <c r="AG771" s="488"/>
    </row>
    <row r="772" spans="33:33" x14ac:dyDescent="0.2">
      <c r="AG772" s="488"/>
    </row>
    <row r="773" spans="33:33" x14ac:dyDescent="0.2">
      <c r="AG773" s="488"/>
    </row>
    <row r="774" spans="33:33" x14ac:dyDescent="0.2">
      <c r="AG774" s="488"/>
    </row>
    <row r="775" spans="33:33" x14ac:dyDescent="0.2">
      <c r="AG775" s="488"/>
    </row>
    <row r="776" spans="33:33" x14ac:dyDescent="0.2">
      <c r="AG776" s="488"/>
    </row>
    <row r="777" spans="33:33" x14ac:dyDescent="0.2">
      <c r="AG777" s="488"/>
    </row>
    <row r="778" spans="33:33" x14ac:dyDescent="0.2">
      <c r="AG778" s="488"/>
    </row>
    <row r="779" spans="33:33" x14ac:dyDescent="0.2">
      <c r="AG779" s="488"/>
    </row>
    <row r="780" spans="33:33" x14ac:dyDescent="0.2">
      <c r="AG780" s="488"/>
    </row>
    <row r="781" spans="33:33" x14ac:dyDescent="0.2">
      <c r="AG781" s="488"/>
    </row>
    <row r="782" spans="33:33" x14ac:dyDescent="0.2">
      <c r="AG782" s="488"/>
    </row>
    <row r="783" spans="33:33" x14ac:dyDescent="0.2">
      <c r="AG783" s="488"/>
    </row>
    <row r="784" spans="33:33" x14ac:dyDescent="0.2">
      <c r="AG784" s="488"/>
    </row>
    <row r="785" spans="33:33" x14ac:dyDescent="0.2">
      <c r="AG785" s="488"/>
    </row>
    <row r="786" spans="33:33" x14ac:dyDescent="0.2">
      <c r="AG786" s="488"/>
    </row>
    <row r="787" spans="33:33" x14ac:dyDescent="0.2">
      <c r="AG787" s="488"/>
    </row>
    <row r="788" spans="33:33" x14ac:dyDescent="0.2">
      <c r="AG788" s="488"/>
    </row>
    <row r="789" spans="33:33" x14ac:dyDescent="0.2">
      <c r="AG789" s="488"/>
    </row>
    <row r="790" spans="33:33" x14ac:dyDescent="0.2">
      <c r="AG790" s="488"/>
    </row>
    <row r="791" spans="33:33" x14ac:dyDescent="0.2">
      <c r="AG791" s="488"/>
    </row>
    <row r="792" spans="33:33" x14ac:dyDescent="0.2">
      <c r="AG792" s="488"/>
    </row>
    <row r="793" spans="33:33" x14ac:dyDescent="0.2">
      <c r="AG793" s="488"/>
    </row>
    <row r="794" spans="33:33" x14ac:dyDescent="0.2">
      <c r="AG794" s="488"/>
    </row>
    <row r="795" spans="33:33" x14ac:dyDescent="0.2">
      <c r="AG795" s="488"/>
    </row>
    <row r="796" spans="33:33" x14ac:dyDescent="0.2">
      <c r="AG796" s="488"/>
    </row>
    <row r="797" spans="33:33" x14ac:dyDescent="0.2">
      <c r="AG797" s="488"/>
    </row>
    <row r="798" spans="33:33" x14ac:dyDescent="0.2">
      <c r="AG798" s="488"/>
    </row>
    <row r="799" spans="33:33" x14ac:dyDescent="0.2">
      <c r="AG799" s="488"/>
    </row>
    <row r="800" spans="33:33" x14ac:dyDescent="0.2">
      <c r="AG800" s="488"/>
    </row>
    <row r="801" spans="33:33" x14ac:dyDescent="0.2">
      <c r="AG801" s="488"/>
    </row>
    <row r="802" spans="33:33" x14ac:dyDescent="0.2">
      <c r="AG802" s="488"/>
    </row>
    <row r="803" spans="33:33" x14ac:dyDescent="0.2">
      <c r="AG803" s="488"/>
    </row>
    <row r="804" spans="33:33" x14ac:dyDescent="0.2">
      <c r="AG804" s="488"/>
    </row>
    <row r="805" spans="33:33" x14ac:dyDescent="0.2">
      <c r="AG805" s="488"/>
    </row>
    <row r="806" spans="33:33" x14ac:dyDescent="0.2">
      <c r="AG806" s="488"/>
    </row>
    <row r="807" spans="33:33" x14ac:dyDescent="0.2">
      <c r="AG807" s="488"/>
    </row>
    <row r="808" spans="33:33" x14ac:dyDescent="0.2">
      <c r="AG808" s="488"/>
    </row>
    <row r="809" spans="33:33" x14ac:dyDescent="0.2">
      <c r="AG809" s="488"/>
    </row>
    <row r="810" spans="33:33" x14ac:dyDescent="0.2">
      <c r="AG810" s="488"/>
    </row>
    <row r="811" spans="33:33" x14ac:dyDescent="0.2">
      <c r="AG811" s="488"/>
    </row>
    <row r="812" spans="33:33" x14ac:dyDescent="0.2">
      <c r="AG812" s="488"/>
    </row>
    <row r="813" spans="33:33" x14ac:dyDescent="0.2">
      <c r="AG813" s="488"/>
    </row>
    <row r="814" spans="33:33" x14ac:dyDescent="0.2">
      <c r="AG814" s="488"/>
    </row>
    <row r="815" spans="33:33" x14ac:dyDescent="0.2">
      <c r="AG815" s="488"/>
    </row>
    <row r="816" spans="33:33" x14ac:dyDescent="0.2">
      <c r="AG816" s="488"/>
    </row>
    <row r="817" spans="33:33" x14ac:dyDescent="0.2">
      <c r="AG817" s="488"/>
    </row>
    <row r="818" spans="33:33" x14ac:dyDescent="0.2">
      <c r="AG818" s="488"/>
    </row>
    <row r="819" spans="33:33" x14ac:dyDescent="0.2">
      <c r="AG819" s="488"/>
    </row>
    <row r="820" spans="33:33" x14ac:dyDescent="0.2">
      <c r="AG820" s="488"/>
    </row>
    <row r="821" spans="33:33" x14ac:dyDescent="0.2">
      <c r="AG821" s="488"/>
    </row>
    <row r="822" spans="33:33" x14ac:dyDescent="0.2">
      <c r="AG822" s="488"/>
    </row>
    <row r="823" spans="33:33" x14ac:dyDescent="0.2">
      <c r="AG823" s="488"/>
    </row>
    <row r="824" spans="33:33" x14ac:dyDescent="0.2">
      <c r="AG824" s="488"/>
    </row>
    <row r="825" spans="33:33" x14ac:dyDescent="0.2">
      <c r="AG825" s="488"/>
    </row>
    <row r="826" spans="33:33" x14ac:dyDescent="0.2">
      <c r="AG826" s="488"/>
    </row>
    <row r="827" spans="33:33" x14ac:dyDescent="0.2">
      <c r="AG827" s="488"/>
    </row>
    <row r="828" spans="33:33" x14ac:dyDescent="0.2">
      <c r="AG828" s="488"/>
    </row>
    <row r="829" spans="33:33" x14ac:dyDescent="0.2">
      <c r="AG829" s="488"/>
    </row>
    <row r="830" spans="33:33" x14ac:dyDescent="0.2">
      <c r="AG830" s="488"/>
    </row>
    <row r="831" spans="33:33" x14ac:dyDescent="0.2">
      <c r="AG831" s="488"/>
    </row>
    <row r="832" spans="33:33" x14ac:dyDescent="0.2">
      <c r="AG832" s="488"/>
    </row>
    <row r="833" spans="33:33" x14ac:dyDescent="0.2">
      <c r="AG833" s="488"/>
    </row>
    <row r="834" spans="33:33" x14ac:dyDescent="0.2">
      <c r="AG834" s="488"/>
    </row>
    <row r="835" spans="33:33" x14ac:dyDescent="0.2">
      <c r="AG835" s="488"/>
    </row>
    <row r="836" spans="33:33" x14ac:dyDescent="0.2">
      <c r="AG836" s="488"/>
    </row>
    <row r="837" spans="33:33" x14ac:dyDescent="0.2">
      <c r="AG837" s="488"/>
    </row>
    <row r="838" spans="33:33" x14ac:dyDescent="0.2">
      <c r="AG838" s="488"/>
    </row>
    <row r="839" spans="33:33" x14ac:dyDescent="0.2">
      <c r="AG839" s="488"/>
    </row>
    <row r="840" spans="33:33" x14ac:dyDescent="0.2">
      <c r="AG840" s="488"/>
    </row>
    <row r="841" spans="33:33" x14ac:dyDescent="0.2">
      <c r="AG841" s="488"/>
    </row>
    <row r="842" spans="33:33" x14ac:dyDescent="0.2">
      <c r="AG842" s="488"/>
    </row>
    <row r="843" spans="33:33" x14ac:dyDescent="0.2">
      <c r="AG843" s="488"/>
    </row>
    <row r="844" spans="33:33" x14ac:dyDescent="0.2">
      <c r="AG844" s="488"/>
    </row>
    <row r="845" spans="33:33" x14ac:dyDescent="0.2">
      <c r="AG845" s="488"/>
    </row>
    <row r="846" spans="33:33" x14ac:dyDescent="0.2">
      <c r="AG846" s="488"/>
    </row>
    <row r="847" spans="33:33" x14ac:dyDescent="0.2">
      <c r="AG847" s="488"/>
    </row>
    <row r="848" spans="33:33" x14ac:dyDescent="0.2">
      <c r="AG848" s="488"/>
    </row>
    <row r="849" spans="33:33" x14ac:dyDescent="0.2">
      <c r="AG849" s="488"/>
    </row>
    <row r="850" spans="33:33" x14ac:dyDescent="0.2">
      <c r="AG850" s="488"/>
    </row>
    <row r="851" spans="33:33" x14ac:dyDescent="0.2">
      <c r="AG851" s="488"/>
    </row>
    <row r="852" spans="33:33" x14ac:dyDescent="0.2">
      <c r="AG852" s="488"/>
    </row>
    <row r="853" spans="33:33" x14ac:dyDescent="0.2">
      <c r="AG853" s="488"/>
    </row>
    <row r="854" spans="33:33" x14ac:dyDescent="0.2">
      <c r="AG854" s="488"/>
    </row>
    <row r="855" spans="33:33" x14ac:dyDescent="0.2">
      <c r="AG855" s="488"/>
    </row>
    <row r="856" spans="33:33" x14ac:dyDescent="0.2">
      <c r="AG856" s="488"/>
    </row>
    <row r="857" spans="33:33" x14ac:dyDescent="0.2">
      <c r="AG857" s="488"/>
    </row>
    <row r="858" spans="33:33" x14ac:dyDescent="0.2">
      <c r="AG858" s="488"/>
    </row>
    <row r="859" spans="33:33" x14ac:dyDescent="0.2">
      <c r="AG859" s="488"/>
    </row>
    <row r="860" spans="33:33" x14ac:dyDescent="0.2">
      <c r="AG860" s="488"/>
    </row>
    <row r="861" spans="33:33" x14ac:dyDescent="0.2">
      <c r="AG861" s="488"/>
    </row>
    <row r="862" spans="33:33" x14ac:dyDescent="0.2">
      <c r="AG862" s="488"/>
    </row>
    <row r="863" spans="33:33" x14ac:dyDescent="0.2">
      <c r="AG863" s="488"/>
    </row>
    <row r="864" spans="33:33" x14ac:dyDescent="0.2">
      <c r="AG864" s="488"/>
    </row>
    <row r="865" spans="33:33" x14ac:dyDescent="0.2">
      <c r="AG865" s="488"/>
    </row>
    <row r="866" spans="33:33" x14ac:dyDescent="0.2">
      <c r="AG866" s="488"/>
    </row>
    <row r="867" spans="33:33" x14ac:dyDescent="0.2">
      <c r="AG867" s="488"/>
    </row>
    <row r="868" spans="33:33" x14ac:dyDescent="0.2">
      <c r="AG868" s="488"/>
    </row>
    <row r="869" spans="33:33" x14ac:dyDescent="0.2">
      <c r="AG869" s="488"/>
    </row>
    <row r="870" spans="33:33" x14ac:dyDescent="0.2">
      <c r="AG870" s="488"/>
    </row>
    <row r="871" spans="33:33" x14ac:dyDescent="0.2">
      <c r="AG871" s="488"/>
    </row>
    <row r="872" spans="33:33" x14ac:dyDescent="0.2">
      <c r="AG872" s="488"/>
    </row>
    <row r="873" spans="33:33" x14ac:dyDescent="0.2">
      <c r="AG873" s="488"/>
    </row>
    <row r="874" spans="33:33" x14ac:dyDescent="0.2">
      <c r="AG874" s="488"/>
    </row>
    <row r="875" spans="33:33" x14ac:dyDescent="0.2">
      <c r="AG875" s="488"/>
    </row>
    <row r="876" spans="33:33" x14ac:dyDescent="0.2">
      <c r="AG876" s="488"/>
    </row>
    <row r="877" spans="33:33" x14ac:dyDescent="0.2">
      <c r="AG877" s="488"/>
    </row>
    <row r="878" spans="33:33" x14ac:dyDescent="0.2">
      <c r="AG878" s="488"/>
    </row>
    <row r="879" spans="33:33" x14ac:dyDescent="0.2">
      <c r="AG879" s="488"/>
    </row>
    <row r="880" spans="33:33" x14ac:dyDescent="0.2">
      <c r="AG880" s="488"/>
    </row>
    <row r="881" spans="33:33" x14ac:dyDescent="0.2">
      <c r="AG881" s="488"/>
    </row>
    <row r="882" spans="33:33" x14ac:dyDescent="0.2">
      <c r="AG882" s="488"/>
    </row>
    <row r="883" spans="33:33" x14ac:dyDescent="0.2">
      <c r="AG883" s="488"/>
    </row>
    <row r="884" spans="33:33" x14ac:dyDescent="0.2">
      <c r="AG884" s="488"/>
    </row>
    <row r="885" spans="33:33" x14ac:dyDescent="0.2">
      <c r="AG885" s="488"/>
    </row>
    <row r="886" spans="33:33" x14ac:dyDescent="0.2">
      <c r="AG886" s="488"/>
    </row>
    <row r="887" spans="33:33" x14ac:dyDescent="0.2">
      <c r="AG887" s="488"/>
    </row>
    <row r="888" spans="33:33" x14ac:dyDescent="0.2">
      <c r="AG888" s="488"/>
    </row>
    <row r="889" spans="33:33" x14ac:dyDescent="0.2">
      <c r="AG889" s="488"/>
    </row>
    <row r="890" spans="33:33" x14ac:dyDescent="0.2">
      <c r="AG890" s="488"/>
    </row>
    <row r="891" spans="33:33" x14ac:dyDescent="0.2">
      <c r="AG891" s="488"/>
    </row>
    <row r="892" spans="33:33" x14ac:dyDescent="0.2">
      <c r="AG892" s="488"/>
    </row>
    <row r="893" spans="33:33" x14ac:dyDescent="0.2">
      <c r="AG893" s="488"/>
    </row>
    <row r="894" spans="33:33" x14ac:dyDescent="0.2">
      <c r="AG894" s="488"/>
    </row>
    <row r="895" spans="33:33" x14ac:dyDescent="0.2">
      <c r="AG895" s="488"/>
    </row>
    <row r="896" spans="33:33" x14ac:dyDescent="0.2">
      <c r="AG896" s="488"/>
    </row>
    <row r="897" spans="33:33" x14ac:dyDescent="0.2">
      <c r="AG897" s="488"/>
    </row>
    <row r="898" spans="33:33" x14ac:dyDescent="0.2">
      <c r="AG898" s="488"/>
    </row>
    <row r="899" spans="33:33" x14ac:dyDescent="0.2">
      <c r="AG899" s="488"/>
    </row>
    <row r="900" spans="33:33" x14ac:dyDescent="0.2">
      <c r="AG900" s="488"/>
    </row>
    <row r="901" spans="33:33" x14ac:dyDescent="0.2">
      <c r="AG901" s="488"/>
    </row>
    <row r="902" spans="33:33" x14ac:dyDescent="0.2">
      <c r="AG902" s="488"/>
    </row>
    <row r="903" spans="33:33" x14ac:dyDescent="0.2">
      <c r="AG903" s="488"/>
    </row>
    <row r="904" spans="33:33" x14ac:dyDescent="0.2">
      <c r="AG904" s="488"/>
    </row>
    <row r="905" spans="33:33" x14ac:dyDescent="0.2">
      <c r="AG905" s="488"/>
    </row>
    <row r="906" spans="33:33" x14ac:dyDescent="0.2">
      <c r="AG906" s="488"/>
    </row>
    <row r="907" spans="33:33" x14ac:dyDescent="0.2">
      <c r="AG907" s="488"/>
    </row>
    <row r="908" spans="33:33" x14ac:dyDescent="0.2">
      <c r="AG908" s="488"/>
    </row>
    <row r="909" spans="33:33" x14ac:dyDescent="0.2">
      <c r="AG909" s="488"/>
    </row>
    <row r="910" spans="33:33" x14ac:dyDescent="0.2">
      <c r="AG910" s="488"/>
    </row>
    <row r="911" spans="33:33" x14ac:dyDescent="0.2">
      <c r="AG911" s="488"/>
    </row>
    <row r="912" spans="33:33" x14ac:dyDescent="0.2">
      <c r="AG912" s="488"/>
    </row>
    <row r="913" spans="33:33" x14ac:dyDescent="0.2">
      <c r="AG913" s="488"/>
    </row>
    <row r="914" spans="33:33" x14ac:dyDescent="0.2">
      <c r="AG914" s="488"/>
    </row>
    <row r="915" spans="33:33" x14ac:dyDescent="0.2">
      <c r="AG915" s="488"/>
    </row>
    <row r="916" spans="33:33" x14ac:dyDescent="0.2">
      <c r="AG916" s="488"/>
    </row>
    <row r="917" spans="33:33" x14ac:dyDescent="0.2">
      <c r="AG917" s="488"/>
    </row>
    <row r="918" spans="33:33" x14ac:dyDescent="0.2">
      <c r="AG918" s="488"/>
    </row>
    <row r="919" spans="33:33" x14ac:dyDescent="0.2">
      <c r="AG919" s="488"/>
    </row>
    <row r="920" spans="33:33" x14ac:dyDescent="0.2">
      <c r="AG920" s="488"/>
    </row>
    <row r="921" spans="33:33" x14ac:dyDescent="0.2">
      <c r="AG921" s="488"/>
    </row>
    <row r="922" spans="33:33" x14ac:dyDescent="0.2">
      <c r="AG922" s="488"/>
    </row>
    <row r="923" spans="33:33" x14ac:dyDescent="0.2">
      <c r="AG923" s="488"/>
    </row>
    <row r="924" spans="33:33" x14ac:dyDescent="0.2">
      <c r="AG924" s="488"/>
    </row>
    <row r="925" spans="33:33" x14ac:dyDescent="0.2">
      <c r="AG925" s="488"/>
    </row>
    <row r="926" spans="33:33" x14ac:dyDescent="0.2">
      <c r="AG926" s="488"/>
    </row>
    <row r="927" spans="33:33" x14ac:dyDescent="0.2">
      <c r="AG927" s="488"/>
    </row>
  </sheetData>
  <sheetProtection algorithmName="SHA-512" hashValue="Kb+FGposlz+3sHYLC1/pS20cipmA7+AQJxKoRaLawVCOO9XZAxhadbPiubO449EdzYt/mtElBWn0bJp2gJXLHQ==" saltValue="HL6FM1YdZ47pq7Upln5Bg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231</v>
      </c>
      <c r="D11" s="81" t="e">
        <f>Main!D6</f>
        <v>#N/A</v>
      </c>
    </row>
    <row r="14" spans="3:8" ht="15.75" x14ac:dyDescent="0.25">
      <c r="C14" s="83" t="s">
        <v>121</v>
      </c>
      <c r="E14" s="81"/>
      <c r="F14" s="82" t="s">
        <v>122</v>
      </c>
      <c r="G14" s="81"/>
      <c r="H14" s="81"/>
    </row>
    <row r="15" spans="3:8" ht="15.75" customHeight="1" x14ac:dyDescent="0.2">
      <c r="C15" s="133"/>
      <c r="D15" s="76"/>
      <c r="E15" s="574" t="s">
        <v>373</v>
      </c>
      <c r="F15" s="574"/>
      <c r="G15" s="574"/>
      <c r="H15" s="574"/>
    </row>
    <row r="16" spans="3:8" ht="15" x14ac:dyDescent="0.2">
      <c r="C16" s="133"/>
      <c r="D16" s="75"/>
      <c r="E16" s="300" t="s">
        <v>124</v>
      </c>
      <c r="F16" s="300"/>
      <c r="G16" s="300"/>
      <c r="H16" s="300"/>
    </row>
    <row r="17" spans="3:8" ht="15" x14ac:dyDescent="0.2">
      <c r="C17" s="133"/>
      <c r="D17" s="75"/>
      <c r="E17" s="573" t="s">
        <v>125</v>
      </c>
      <c r="F17" s="573"/>
      <c r="G17" s="573"/>
      <c r="H17" s="573"/>
    </row>
    <row r="18" spans="3:8" ht="15" x14ac:dyDescent="0.2">
      <c r="C18" s="133"/>
      <c r="D18" s="75"/>
      <c r="E18" s="573" t="s">
        <v>6</v>
      </c>
      <c r="F18" s="573"/>
      <c r="G18" s="573"/>
      <c r="H18" s="573"/>
    </row>
    <row r="19" spans="3:8" ht="15" x14ac:dyDescent="0.2">
      <c r="C19" s="133"/>
      <c r="D19" s="75"/>
      <c r="E19" s="573" t="s">
        <v>130</v>
      </c>
      <c r="F19" s="573"/>
      <c r="G19" s="573"/>
      <c r="H19" s="573"/>
    </row>
    <row r="20" spans="3:8" ht="15" x14ac:dyDescent="0.2">
      <c r="C20" s="133"/>
      <c r="D20" s="75"/>
      <c r="E20" s="573" t="s">
        <v>127</v>
      </c>
      <c r="F20" s="573"/>
      <c r="G20" s="573"/>
      <c r="H20" s="573"/>
    </row>
    <row r="21" spans="3:8" ht="15" x14ac:dyDescent="0.2">
      <c r="C21" s="133"/>
      <c r="D21" s="75"/>
      <c r="E21" s="573" t="s">
        <v>128</v>
      </c>
      <c r="F21" s="573"/>
      <c r="G21" s="573"/>
      <c r="H21" s="573"/>
    </row>
    <row r="22" spans="3:8" ht="15" x14ac:dyDescent="0.2">
      <c r="C22" s="133"/>
      <c r="D22" s="75"/>
      <c r="E22" s="573" t="s">
        <v>106</v>
      </c>
      <c r="F22" s="573"/>
      <c r="G22" s="573"/>
      <c r="H22" s="573"/>
    </row>
    <row r="23" spans="3:8" ht="15" x14ac:dyDescent="0.2">
      <c r="C23" s="133"/>
      <c r="D23" s="75"/>
      <c r="E23" s="573" t="s">
        <v>129</v>
      </c>
      <c r="F23" s="573"/>
      <c r="G23" s="573"/>
      <c r="H23" s="573"/>
    </row>
    <row r="24" spans="3:8" ht="15" x14ac:dyDescent="0.2">
      <c r="C24" s="84"/>
      <c r="D24" s="75"/>
      <c r="E24" s="573" t="s">
        <v>149</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60" t="s">
        <v>374</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m0Ks14HzjNFnM1MidplpQ/uxg7Vc3fz5vrIjzbhHWAr7GWsP4LJR4iuSeklkEvzDUTl5039xO87RYx4b/e8S0g==" saltValue="S/DZs9opvetPvp3HjZZL6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L9" sqref="L9:O10"/>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6" t="s">
        <v>116</v>
      </c>
      <c r="E1" s="596"/>
      <c r="F1" s="596"/>
      <c r="G1" s="596"/>
      <c r="H1" s="596"/>
      <c r="I1" s="596"/>
      <c r="J1" s="596"/>
      <c r="K1" s="596"/>
      <c r="L1" s="596"/>
      <c r="M1" s="596"/>
    </row>
    <row r="2" spans="1:18" ht="23.25" customHeight="1" x14ac:dyDescent="0.3">
      <c r="C2" s="242"/>
      <c r="D2" s="242" t="s">
        <v>321</v>
      </c>
      <c r="E2" s="242"/>
      <c r="F2" s="242"/>
      <c r="G2" s="242"/>
      <c r="H2" s="242"/>
      <c r="I2" s="242"/>
      <c r="J2" s="242"/>
      <c r="K2" s="242"/>
      <c r="L2" s="242"/>
      <c r="M2" s="242"/>
    </row>
    <row r="3" spans="1:18" ht="23.25" x14ac:dyDescent="0.35">
      <c r="C3" s="597"/>
      <c r="D3" s="597"/>
      <c r="E3" s="597"/>
      <c r="F3" s="597"/>
      <c r="G3" s="597"/>
      <c r="H3" s="597"/>
      <c r="I3" s="597"/>
      <c r="J3" s="597"/>
      <c r="K3" s="597"/>
      <c r="L3" s="597"/>
      <c r="M3" s="597"/>
    </row>
    <row r="4" spans="1:18" ht="23.25" x14ac:dyDescent="0.35">
      <c r="C4" s="226"/>
      <c r="D4" s="226"/>
      <c r="E4" s="226"/>
      <c r="F4" s="226"/>
      <c r="G4" s="226"/>
      <c r="H4" s="226"/>
      <c r="I4" s="226"/>
      <c r="J4" s="226"/>
      <c r="K4" s="226"/>
      <c r="L4" s="226"/>
      <c r="M4" s="226"/>
    </row>
    <row r="5" spans="1:18" ht="23.25" x14ac:dyDescent="0.35">
      <c r="C5" s="593" t="s">
        <v>6</v>
      </c>
      <c r="D5" s="593"/>
      <c r="E5" s="593"/>
      <c r="F5" s="593"/>
      <c r="G5" s="593"/>
      <c r="H5" s="593"/>
      <c r="I5" s="593"/>
      <c r="J5" s="593"/>
      <c r="K5" s="593"/>
      <c r="L5" s="593"/>
      <c r="M5" s="593"/>
    </row>
    <row r="6" spans="1:18" ht="23.25" x14ac:dyDescent="0.35">
      <c r="C6" s="227"/>
      <c r="D6" s="227"/>
      <c r="E6" s="612" t="str">
        <f>IFERROR(CONCATENATE("Report Number: ", WorkItemNumber),"")</f>
        <v/>
      </c>
      <c r="F6" s="612"/>
      <c r="G6" s="612"/>
      <c r="H6" s="612"/>
      <c r="I6" s="612"/>
      <c r="J6" s="612"/>
      <c r="K6" s="612"/>
      <c r="L6" s="227"/>
      <c r="M6" s="227"/>
    </row>
    <row r="7" spans="1:18" ht="18.75" customHeight="1" x14ac:dyDescent="0.3">
      <c r="G7" s="594"/>
      <c r="H7" s="594"/>
      <c r="I7" s="201"/>
      <c r="R7" t="str">
        <f>CONCATENATE("Page ",Main!L9," of ",Main!L10)</f>
        <v xml:space="preserve">Page  of </v>
      </c>
    </row>
    <row r="8" spans="1:18" ht="18" customHeight="1" x14ac:dyDescent="0.25">
      <c r="G8" s="606"/>
      <c r="H8" s="606"/>
      <c r="J8" s="81"/>
      <c r="K8" s="228" t="s">
        <v>318</v>
      </c>
      <c r="L8" s="616">
        <f>FormNumber</f>
        <v>0</v>
      </c>
      <c r="M8" s="616"/>
      <c r="N8" s="616"/>
      <c r="O8" s="616"/>
    </row>
    <row r="9" spans="1:18" ht="18" customHeight="1" x14ac:dyDescent="0.25">
      <c r="A9" s="228" t="s">
        <v>275</v>
      </c>
      <c r="B9" s="34" t="e">
        <f>Main!D5</f>
        <v>#N/A</v>
      </c>
      <c r="J9" s="81"/>
      <c r="K9" s="228" t="s">
        <v>319</v>
      </c>
      <c r="L9" s="608" t="str">
        <f>"JGI WP4100, "&amp;CalMethod</f>
        <v xml:space="preserve">JGI WP4100, </v>
      </c>
      <c r="M9" s="608"/>
      <c r="N9" s="608"/>
      <c r="O9" s="608"/>
    </row>
    <row r="10" spans="1:18" ht="18" customHeight="1" x14ac:dyDescent="0.25">
      <c r="A10" s="90"/>
      <c r="B10" s="223" t="str" cm="1">
        <f t="array" ref="B10">IFZERO('Customer Table'!R2,"")</f>
        <v/>
      </c>
      <c r="J10" s="81"/>
      <c r="K10" s="228"/>
      <c r="L10" s="608"/>
      <c r="M10" s="608"/>
      <c r="N10" s="608"/>
      <c r="O10" s="608"/>
    </row>
    <row r="11" spans="1:18" ht="18" customHeight="1" x14ac:dyDescent="0.25">
      <c r="A11" s="90"/>
      <c r="B11" s="223" t="str" cm="1">
        <f t="array" ref="B11">IFZERO('Customer Table'!S2,"")</f>
        <v/>
      </c>
      <c r="J11" s="81"/>
      <c r="K11" s="228" t="s">
        <v>320</v>
      </c>
      <c r="L11" s="616">
        <f>TolSource</f>
        <v>0</v>
      </c>
      <c r="M11" s="616"/>
      <c r="N11" s="616"/>
      <c r="O11" s="616"/>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276</v>
      </c>
      <c r="B14" s="230">
        <f>Item</f>
        <v>0</v>
      </c>
      <c r="C14" s="231"/>
      <c r="D14" s="231"/>
      <c r="E14" s="231"/>
      <c r="F14" s="205"/>
      <c r="G14" s="219" t="s">
        <v>281</v>
      </c>
      <c r="H14" s="230">
        <f>Ranges</f>
        <v>0</v>
      </c>
      <c r="I14" s="205"/>
      <c r="J14" s="205"/>
      <c r="K14" s="205"/>
      <c r="L14" s="205"/>
      <c r="M14" s="219" t="s">
        <v>286</v>
      </c>
      <c r="N14" s="230" t="str">
        <f>Main!D7</f>
        <v>Jeff Hall</v>
      </c>
      <c r="O14" s="206"/>
    </row>
    <row r="15" spans="1:18" ht="18" customHeight="1" x14ac:dyDescent="0.25">
      <c r="A15" s="234" t="s">
        <v>277</v>
      </c>
      <c r="B15" s="232">
        <f>ModelNumber</f>
        <v>0</v>
      </c>
      <c r="C15" s="223"/>
      <c r="D15" s="223"/>
      <c r="E15" s="223"/>
      <c r="G15" s="228" t="s">
        <v>282</v>
      </c>
      <c r="H15" s="232">
        <f>Tolerances</f>
        <v>0</v>
      </c>
      <c r="M15" s="228" t="s">
        <v>287</v>
      </c>
      <c r="N15" s="236">
        <f>Main!D3</f>
        <v>0</v>
      </c>
      <c r="O15" s="207"/>
    </row>
    <row r="16" spans="1:18" ht="18" customHeight="1" x14ac:dyDescent="0.25">
      <c r="A16" s="234" t="s">
        <v>278</v>
      </c>
      <c r="B16" s="609">
        <f>SerialNumber</f>
        <v>0</v>
      </c>
      <c r="C16" s="609"/>
      <c r="D16" s="609"/>
      <c r="E16" s="609"/>
      <c r="G16" s="228" t="s">
        <v>283</v>
      </c>
      <c r="H16" s="232">
        <f>HeatingMethod</f>
        <v>0</v>
      </c>
      <c r="M16" s="228" t="s">
        <v>288</v>
      </c>
      <c r="N16" s="236" t="e">
        <f>IF(CalInterval="N/A", "N/A", EDATE(N15, CHOOSE(MATCH(CalInterval, {"M","2 Mo","Q","4 Mo","6 Mo","A","2Yr","3Yr"}, 0), 1, 2, 3, 4, 6, 12, 24, 36)))</f>
        <v>#N/A</v>
      </c>
      <c r="O16" s="207"/>
    </row>
    <row r="17" spans="1:19" ht="18" customHeight="1" x14ac:dyDescent="0.25">
      <c r="A17" s="234" t="s">
        <v>279</v>
      </c>
      <c r="B17" s="257">
        <f>UnitNumber</f>
        <v>0</v>
      </c>
      <c r="C17" s="223"/>
      <c r="D17" s="223"/>
      <c r="E17" s="223"/>
      <c r="G17" s="228" t="s">
        <v>284</v>
      </c>
      <c r="H17" s="232">
        <f>WorkingZoneSize</f>
        <v>0</v>
      </c>
      <c r="M17" s="228" t="str">
        <f>IF(Main!K13="","","PO:")</f>
        <v/>
      </c>
      <c r="N17" s="232" t="str">
        <f>IF(Main!K13="","",Main!K13)</f>
        <v/>
      </c>
      <c r="O17" s="207"/>
    </row>
    <row r="18" spans="1:19" ht="18" customHeight="1" x14ac:dyDescent="0.25">
      <c r="A18" s="234" t="s">
        <v>280</v>
      </c>
      <c r="B18" s="600">
        <f>Class</f>
        <v>0</v>
      </c>
      <c r="C18" s="600"/>
      <c r="D18" s="600"/>
      <c r="E18" s="600"/>
      <c r="G18" s="228" t="s">
        <v>285</v>
      </c>
      <c r="H18" s="232">
        <f>CubicFeet</f>
        <v>0</v>
      </c>
      <c r="M18" s="228" t="s">
        <v>289</v>
      </c>
      <c r="N18" s="232" t="str">
        <f>Main!G18</f>
        <v>ACCEPTED</v>
      </c>
      <c r="O18" s="207"/>
    </row>
    <row r="19" spans="1:19" ht="18" customHeight="1" x14ac:dyDescent="0.25">
      <c r="A19" s="218"/>
      <c r="B19" s="601"/>
      <c r="C19" s="601"/>
      <c r="D19" s="601"/>
      <c r="E19" s="601"/>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290</v>
      </c>
      <c r="B21" s="610">
        <f>Controller</f>
        <v>0</v>
      </c>
      <c r="C21" s="610"/>
      <c r="D21" s="610"/>
      <c r="E21" s="610"/>
      <c r="F21" s="219" t="s">
        <v>292</v>
      </c>
      <c r="G21" s="610">
        <f>ContSN</f>
        <v>0</v>
      </c>
      <c r="H21" s="610"/>
      <c r="I21" s="610"/>
      <c r="J21" s="219" t="s">
        <v>293</v>
      </c>
      <c r="K21" s="231">
        <f>ContTol</f>
        <v>0</v>
      </c>
      <c r="L21" s="205"/>
      <c r="M21" s="219" t="s">
        <v>294</v>
      </c>
      <c r="N21" s="244" t="str">
        <f>Main!G27</f>
        <v/>
      </c>
      <c r="O21" s="206"/>
    </row>
    <row r="22" spans="1:19" ht="18" customHeight="1" x14ac:dyDescent="0.25">
      <c r="A22" s="237" t="s">
        <v>291</v>
      </c>
      <c r="B22" s="611">
        <f>_xlnm.Recorder</f>
        <v>0</v>
      </c>
      <c r="C22" s="611"/>
      <c r="D22" s="611"/>
      <c r="E22" s="611"/>
      <c r="F22" s="220" t="s">
        <v>292</v>
      </c>
      <c r="G22" s="611">
        <f>RecSN</f>
        <v>0</v>
      </c>
      <c r="H22" s="611"/>
      <c r="I22" s="611"/>
      <c r="J22" s="220" t="s">
        <v>293</v>
      </c>
      <c r="K22" s="243">
        <f>RecTol</f>
        <v>0</v>
      </c>
      <c r="L22" s="208"/>
      <c r="M22" s="220" t="s">
        <v>294</v>
      </c>
      <c r="N22" s="245" t="str">
        <f>Main!G28</f>
        <v/>
      </c>
      <c r="O22" s="209"/>
    </row>
    <row r="23" spans="1:19" ht="8.1" customHeight="1" x14ac:dyDescent="0.25">
      <c r="A23" s="81"/>
      <c r="B23" s="223"/>
      <c r="C23" s="223"/>
      <c r="D23" s="223"/>
      <c r="E23" s="212"/>
    </row>
    <row r="24" spans="1:19" ht="18" customHeight="1" x14ac:dyDescent="0.25">
      <c r="A24" s="233" t="s">
        <v>295</v>
      </c>
      <c r="B24" s="239">
        <f>NominalTemp</f>
        <v>0</v>
      </c>
      <c r="C24" s="231"/>
      <c r="D24" s="231"/>
      <c r="E24" s="213"/>
      <c r="F24" s="205"/>
      <c r="G24" s="219" t="s">
        <v>298</v>
      </c>
      <c r="H24" s="221">
        <f>Main!D26</f>
        <v>0</v>
      </c>
      <c r="I24" s="205"/>
      <c r="J24" s="205"/>
      <c r="K24" s="205"/>
      <c r="L24" s="217"/>
      <c r="M24" s="219" t="s">
        <v>301</v>
      </c>
      <c r="N24" s="231" t="str">
        <f>TEXT(Survey!N2,"0.0") &amp; Unit &amp; " / " &amp; TEXT(Survey!N3,"0.0") &amp; Unit</f>
        <v>0.0°F / 0.0°F</v>
      </c>
      <c r="O24" s="206"/>
    </row>
    <row r="25" spans="1:19" ht="18" customHeight="1" x14ac:dyDescent="0.25">
      <c r="A25" s="234" t="s">
        <v>296</v>
      </c>
      <c r="B25" s="240">
        <f>Main!D15</f>
        <v>0</v>
      </c>
      <c r="C25" s="223"/>
      <c r="D25" s="223"/>
      <c r="E25" s="212"/>
      <c r="G25" s="228" t="s">
        <v>299</v>
      </c>
      <c r="H25" s="222" t="str">
        <f>Main!E29</f>
        <v/>
      </c>
      <c r="L25" s="81"/>
      <c r="M25" s="228" t="s">
        <v>302</v>
      </c>
      <c r="N25" s="223" t="str">
        <f>IF(Main!H15=TRUE,Main!G17,"VERIFY LOAD!!!")</f>
        <v/>
      </c>
      <c r="O25" s="207"/>
      <c r="R25" s="140"/>
      <c r="S25" s="75"/>
    </row>
    <row r="26" spans="1:19" ht="18" customHeight="1" x14ac:dyDescent="0.25">
      <c r="A26" s="234" t="s">
        <v>297</v>
      </c>
      <c r="B26" s="223" t="s">
        <v>267</v>
      </c>
      <c r="C26" s="223"/>
      <c r="D26" s="223"/>
      <c r="E26" s="212"/>
      <c r="G26" s="228" t="s">
        <v>300</v>
      </c>
      <c r="H26" s="223" t="str">
        <f>Main!I19</f>
        <v>N/A</v>
      </c>
      <c r="L26" s="81"/>
      <c r="M26" s="228" t="e">
        <f>"Uncertainty @ k="&amp;ROUND(k,1)&amp;":"</f>
        <v>#NUM!</v>
      </c>
      <c r="N26" s="223" t="e">
        <f>TEXT(Survey!J9,"0.0") &amp; Unit</f>
        <v>#NUM!</v>
      </c>
      <c r="O26" s="207"/>
    </row>
    <row r="27" spans="1:19" ht="18" customHeight="1" x14ac:dyDescent="0.2">
      <c r="A27" s="238"/>
      <c r="B27" s="208"/>
      <c r="C27" s="607" t="s">
        <v>303</v>
      </c>
      <c r="D27" s="607"/>
      <c r="E27" s="607"/>
      <c r="F27" s="607"/>
      <c r="G27" s="607"/>
      <c r="H27" s="607"/>
      <c r="I27" s="607"/>
      <c r="J27" s="607"/>
      <c r="K27" s="607"/>
      <c r="L27" s="607"/>
      <c r="M27" s="607"/>
      <c r="N27" s="208"/>
      <c r="O27" s="209"/>
    </row>
    <row r="28" spans="1:19" ht="8.1" customHeight="1" x14ac:dyDescent="0.2"/>
    <row r="29" spans="1:19" ht="18" customHeight="1" x14ac:dyDescent="0.2">
      <c r="A29" s="603" t="s">
        <v>273</v>
      </c>
      <c r="B29" s="604"/>
      <c r="C29" s="605"/>
      <c r="D29" s="603" t="s">
        <v>304</v>
      </c>
      <c r="E29" s="604"/>
      <c r="F29" s="604"/>
      <c r="G29" s="605"/>
      <c r="H29" s="603" t="s">
        <v>274</v>
      </c>
      <c r="I29" s="604"/>
      <c r="J29" s="604"/>
      <c r="K29" s="605"/>
      <c r="L29" s="603" t="s">
        <v>257</v>
      </c>
      <c r="M29" s="604"/>
      <c r="N29" s="604"/>
      <c r="O29" s="605"/>
    </row>
    <row r="30" spans="1:19" ht="18" customHeight="1" x14ac:dyDescent="0.2">
      <c r="A30" s="224"/>
      <c r="B30" s="214" t="s">
        <v>967</v>
      </c>
      <c r="C30" s="225"/>
      <c r="D30" s="583" t="str">
        <f>CONCATENATE(Main!D22,Unit," / ",Main!D23,"% RH")</f>
        <v>°F / % RH</v>
      </c>
      <c r="E30" s="584"/>
      <c r="F30" s="584"/>
      <c r="G30" s="585"/>
      <c r="H30" s="583">
        <f>OvenLocation</f>
        <v>0</v>
      </c>
      <c r="I30" s="584"/>
      <c r="J30" s="584"/>
      <c r="K30" s="585"/>
      <c r="L30" s="583">
        <f>Condition</f>
        <v>0</v>
      </c>
      <c r="M30" s="584"/>
      <c r="N30" s="584"/>
      <c r="O30" s="585"/>
    </row>
    <row r="31" spans="1:19" ht="18" customHeight="1" x14ac:dyDescent="0.2"/>
    <row r="32" spans="1:19" ht="18" customHeight="1" x14ac:dyDescent="0.25">
      <c r="A32" s="247" t="s">
        <v>305</v>
      </c>
      <c r="B32" s="595" t="s">
        <v>306</v>
      </c>
      <c r="C32" s="595"/>
      <c r="D32" s="247" t="s">
        <v>269</v>
      </c>
      <c r="E32" s="247" t="s">
        <v>268</v>
      </c>
      <c r="F32" s="247" t="s">
        <v>307</v>
      </c>
      <c r="G32" s="81"/>
      <c r="H32" s="81"/>
      <c r="I32" s="247" t="s">
        <v>305</v>
      </c>
      <c r="J32" s="595" t="s">
        <v>306</v>
      </c>
      <c r="K32" s="595"/>
      <c r="L32" s="247" t="s">
        <v>269</v>
      </c>
      <c r="M32" s="247" t="s">
        <v>268</v>
      </c>
      <c r="N32" s="247" t="s">
        <v>307</v>
      </c>
    </row>
    <row r="33" spans="1:14" ht="18" customHeight="1" x14ac:dyDescent="0.2">
      <c r="A33" s="248" t="str">
        <f>IF(B33="","",1)</f>
        <v/>
      </c>
      <c r="B33" s="594" t="str">
        <f>IF(Main!O5="","",Main!O5)</f>
        <v/>
      </c>
      <c r="C33" s="594"/>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94" t="str">
        <f>IF(Main!O25="","",Main!O25)</f>
        <v/>
      </c>
      <c r="K33" s="594"/>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94" t="str">
        <f>IF(Main!O6="","",Main!O6)</f>
        <v/>
      </c>
      <c r="C34" s="594"/>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94" t="str">
        <f>IF(Main!O26="","",Main!O26)</f>
        <v/>
      </c>
      <c r="K34" s="594"/>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94" t="str">
        <f>IF(Main!O7="","",Main!O7)</f>
        <v/>
      </c>
      <c r="C35" s="594"/>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94" t="str">
        <f>IF(Main!O27="","",Main!O27)</f>
        <v/>
      </c>
      <c r="K35" s="594"/>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94" t="str">
        <f>IF(Main!O8="","",Main!O8)</f>
        <v/>
      </c>
      <c r="C36" s="594"/>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94" t="str">
        <f>IF(Main!O28="","",Main!O28)</f>
        <v/>
      </c>
      <c r="K36" s="594"/>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94" t="str">
        <f>IF(Main!O9="","",Main!O9)</f>
        <v/>
      </c>
      <c r="C37" s="594"/>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94" t="str">
        <f>IF(Main!O29="","",Main!O29)</f>
        <v/>
      </c>
      <c r="K37" s="594"/>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94" t="str">
        <f>IF(Main!O10="","",Main!O10)</f>
        <v/>
      </c>
      <c r="C38" s="594"/>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94" t="str">
        <f>IF(Main!O30="","",Main!O30)</f>
        <v/>
      </c>
      <c r="K38" s="594"/>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94" t="str">
        <f>IF(Main!O11="","",Main!O11)</f>
        <v/>
      </c>
      <c r="C39" s="594"/>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94" t="str">
        <f>IF(Main!O31="","",Main!O31)</f>
        <v/>
      </c>
      <c r="K39" s="594"/>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94" t="str">
        <f>IF(Main!O12="","",Main!O12)</f>
        <v/>
      </c>
      <c r="C40" s="594"/>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94" t="str">
        <f>IF(Main!O32="","",Main!O32)</f>
        <v/>
      </c>
      <c r="K40" s="594"/>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94" t="str">
        <f>IF(Main!O13="","",Main!O13)</f>
        <v/>
      </c>
      <c r="C41" s="594"/>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94" t="str">
        <f>IF(Main!O33="","",Main!O33)</f>
        <v/>
      </c>
      <c r="K41" s="594"/>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94" t="str">
        <f>IF(Main!O14="","",Main!O14)</f>
        <v/>
      </c>
      <c r="C42" s="594"/>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94" t="str">
        <f>IF(Main!O34="","",Main!O34)</f>
        <v/>
      </c>
      <c r="K42" s="594"/>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94" t="str">
        <f>IF(Main!O15="","",Main!O15)</f>
        <v/>
      </c>
      <c r="C43" s="594"/>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94" t="str">
        <f>IF(Main!O35="","",Main!O35)</f>
        <v/>
      </c>
      <c r="K43" s="594"/>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94" t="str">
        <f>IF(Main!O16="","",Main!O16)</f>
        <v/>
      </c>
      <c r="C44" s="594"/>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94" t="str">
        <f>IF(Main!O36="","",Main!O36)</f>
        <v/>
      </c>
      <c r="K44" s="594"/>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94" t="str">
        <f>IF(Main!O17="","",Main!O17)</f>
        <v/>
      </c>
      <c r="C45" s="594"/>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94" t="str">
        <f>IF(Main!O37="","",Main!O37)</f>
        <v/>
      </c>
      <c r="K45" s="594"/>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94" t="str">
        <f>IF(Main!O18="","",Main!O18)</f>
        <v/>
      </c>
      <c r="C46" s="594"/>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94" t="str">
        <f>IF(Main!O38="","",Main!O38)</f>
        <v/>
      </c>
      <c r="K46" s="594"/>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94" t="str">
        <f>IF(Main!O19="","",Main!O19)</f>
        <v/>
      </c>
      <c r="C47" s="594"/>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94" t="str">
        <f>IF(Main!O39="","",Main!O39)</f>
        <v/>
      </c>
      <c r="K47" s="594"/>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94" t="str">
        <f>IF(Main!O20="","",Main!O20)</f>
        <v/>
      </c>
      <c r="C48" s="594"/>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94" t="str">
        <f>IF(Main!O40="","",Main!O40)</f>
        <v/>
      </c>
      <c r="K48" s="594"/>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94" t="str">
        <f>IF(Main!O21="","",Main!O21)</f>
        <v/>
      </c>
      <c r="C49" s="594"/>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94" t="str">
        <f>IF(Main!O41="","",Main!O41)</f>
        <v/>
      </c>
      <c r="K49" s="594"/>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94" t="str">
        <f>IF(Main!O22="","",Main!O22)</f>
        <v/>
      </c>
      <c r="C50" s="594"/>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94" t="str">
        <f>IF(Main!O42="","",Main!O42)</f>
        <v/>
      </c>
      <c r="K50" s="594"/>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94" t="str">
        <f>IF(Main!O23="","",Main!O23)</f>
        <v/>
      </c>
      <c r="C51" s="594"/>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94" t="str">
        <f>IF(Main!O43="","",Main!O43)</f>
        <v/>
      </c>
      <c r="K51" s="594"/>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94" t="str">
        <f>IF(Main!O24="","",Main!O24)</f>
        <v/>
      </c>
      <c r="C52" s="594"/>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94" t="str">
        <f>IF(Main!O44="","",Main!O44)</f>
        <v/>
      </c>
      <c r="K52" s="594"/>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9" t="s">
        <v>308</v>
      </c>
      <c r="C53" s="599"/>
      <c r="D53" s="599"/>
      <c r="E53" s="599"/>
      <c r="F53" s="599"/>
      <c r="G53" s="599"/>
      <c r="H53" s="599"/>
      <c r="I53" s="599"/>
      <c r="J53" s="599"/>
      <c r="K53" s="599"/>
      <c r="L53" s="599"/>
      <c r="M53" s="599"/>
      <c r="N53" s="599"/>
    </row>
    <row r="54" spans="1:20" ht="18" customHeight="1" x14ac:dyDescent="0.25">
      <c r="A54" s="250" t="s">
        <v>309</v>
      </c>
      <c r="B54" s="608" t="str">
        <f>CONCATENATE(Main!G23,"  ",FurnaceSpecificComments,Main!V24)</f>
        <v xml:space="preserve">Found in tolerance.  No adjustment required.  </v>
      </c>
      <c r="C54" s="608"/>
      <c r="D54" s="608"/>
      <c r="E54" s="608"/>
      <c r="F54" s="608"/>
      <c r="G54" s="608"/>
      <c r="H54" s="608"/>
      <c r="I54" s="608"/>
      <c r="J54" s="608"/>
      <c r="K54" s="608"/>
      <c r="L54" s="608"/>
      <c r="M54" s="608"/>
      <c r="N54" s="608"/>
      <c r="O54" s="608"/>
    </row>
    <row r="55" spans="1:20" ht="18" customHeight="1" x14ac:dyDescent="0.25">
      <c r="A55" s="78"/>
      <c r="B55" s="608"/>
      <c r="C55" s="608"/>
      <c r="D55" s="608"/>
      <c r="E55" s="608"/>
      <c r="F55" s="608"/>
      <c r="G55" s="608"/>
      <c r="H55" s="608"/>
      <c r="I55" s="608"/>
      <c r="J55" s="608"/>
      <c r="K55" s="608"/>
      <c r="L55" s="608"/>
      <c r="M55" s="608"/>
      <c r="N55" s="608"/>
      <c r="O55" s="608"/>
    </row>
    <row r="56" spans="1:20" ht="18" customHeight="1" x14ac:dyDescent="0.25">
      <c r="A56" s="78"/>
      <c r="B56" s="608"/>
      <c r="C56" s="608"/>
      <c r="D56" s="608"/>
      <c r="E56" s="608"/>
      <c r="F56" s="608"/>
      <c r="G56" s="608"/>
      <c r="H56" s="608"/>
      <c r="I56" s="608"/>
      <c r="J56" s="608"/>
      <c r="K56" s="608"/>
      <c r="L56" s="608"/>
      <c r="M56" s="608"/>
      <c r="N56" s="608"/>
      <c r="O56" s="608"/>
    </row>
    <row r="57" spans="1:20" ht="18" customHeight="1" x14ac:dyDescent="0.25">
      <c r="A57" s="78"/>
      <c r="B57" s="608"/>
      <c r="C57" s="608"/>
      <c r="D57" s="608"/>
      <c r="E57" s="608"/>
      <c r="F57" s="608"/>
      <c r="G57" s="608"/>
      <c r="H57" s="608"/>
      <c r="I57" s="608"/>
      <c r="J57" s="608"/>
      <c r="K57" s="608"/>
      <c r="L57" s="608"/>
      <c r="M57" s="608"/>
      <c r="N57" s="608"/>
      <c r="O57" s="608"/>
    </row>
    <row r="58" spans="1:20" ht="18" customHeight="1" x14ac:dyDescent="0.25">
      <c r="A58" s="78"/>
      <c r="B58" s="608"/>
      <c r="C58" s="608"/>
      <c r="D58" s="608"/>
      <c r="E58" s="608"/>
      <c r="F58" s="608"/>
      <c r="G58" s="608"/>
      <c r="H58" s="608"/>
      <c r="I58" s="608"/>
      <c r="J58" s="608"/>
      <c r="K58" s="608"/>
      <c r="L58" s="608"/>
      <c r="M58" s="608"/>
      <c r="N58" s="608"/>
      <c r="O58" s="608"/>
    </row>
    <row r="59" spans="1:20" ht="18" customHeight="1" x14ac:dyDescent="0.25">
      <c r="A59" s="78"/>
      <c r="B59" s="608"/>
      <c r="C59" s="608"/>
      <c r="D59" s="608"/>
      <c r="E59" s="608"/>
      <c r="F59" s="608"/>
      <c r="G59" s="608"/>
      <c r="H59" s="608"/>
      <c r="I59" s="608"/>
      <c r="J59" s="608"/>
      <c r="K59" s="608"/>
      <c r="L59" s="608"/>
      <c r="M59" s="608"/>
      <c r="N59" s="608"/>
      <c r="O59" s="608"/>
    </row>
    <row r="60" spans="1:20" ht="18" customHeight="1" x14ac:dyDescent="0.2">
      <c r="A60" s="598" t="s">
        <v>317</v>
      </c>
      <c r="B60" s="598"/>
      <c r="C60" s="598"/>
      <c r="D60" s="598"/>
      <c r="E60" s="598"/>
      <c r="F60" s="598"/>
      <c r="G60" s="598"/>
      <c r="H60" s="598"/>
      <c r="I60" s="598"/>
      <c r="J60" s="598"/>
      <c r="K60" s="598"/>
      <c r="L60" s="598"/>
      <c r="M60" s="598"/>
      <c r="N60" s="598"/>
      <c r="O60" s="598"/>
    </row>
    <row r="61" spans="1:20" ht="18" customHeight="1" x14ac:dyDescent="0.2">
      <c r="A61" s="602" t="s">
        <v>310</v>
      </c>
      <c r="B61" s="602"/>
      <c r="C61" s="602"/>
      <c r="D61" s="602"/>
      <c r="E61" s="602"/>
      <c r="F61" s="615" t="s">
        <v>311</v>
      </c>
      <c r="G61" s="615"/>
      <c r="H61" s="615"/>
      <c r="I61" s="615" t="s">
        <v>312</v>
      </c>
      <c r="J61" s="615"/>
      <c r="K61" s="615" t="s">
        <v>313</v>
      </c>
      <c r="L61" s="615"/>
      <c r="M61" s="615" t="s">
        <v>314</v>
      </c>
      <c r="N61" s="615"/>
      <c r="O61" s="615"/>
      <c r="R61" s="39" t="s">
        <v>855</v>
      </c>
      <c r="T61" s="39" t="s">
        <v>856</v>
      </c>
    </row>
    <row r="62" spans="1:20" ht="18" customHeight="1" x14ac:dyDescent="0.2">
      <c r="A62" s="586" t="str">
        <f>IF(F62="","",CONCATENATE(T62," - ",R62))</f>
        <v/>
      </c>
      <c r="B62" s="587"/>
      <c r="C62" s="587"/>
      <c r="D62" s="587"/>
      <c r="E62" s="588"/>
      <c r="F62" s="586" t="str" cm="1">
        <f t="array" ref="F62">IFERROR(
  _xlfn.XLOOKUP(
    Main!D9,
    _xlfn._xlws.FILTER(AssetPool[asset_tag], AssetPool[root_category_name]="DAQ Modules"),
    _xlfn._xlws.FILTER(AssetPool[serial_number], AssetPool[root_category_name]="DAQ Modules")
  ),
  ""
)</f>
        <v/>
      </c>
      <c r="G62" s="587"/>
      <c r="H62" s="588"/>
      <c r="I62" s="613" t="str">
        <f>IF(F62="","",Main!D12)</f>
        <v/>
      </c>
      <c r="J62" s="614"/>
      <c r="K62" s="613" t="str">
        <f>IF(F62="","",Main!D13)</f>
        <v/>
      </c>
      <c r="L62" s="614"/>
      <c r="M62" s="580" t="str">
        <f>IF(F62="","",REPLACE(Main!D14,3,1,""))</f>
        <v/>
      </c>
      <c r="N62" s="581"/>
      <c r="O62" s="582"/>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77" t="str">
        <f t="shared" ref="A63:A68" si="0">IF(Q63="","",CONCATENATE(T63," - ",R63))</f>
        <v/>
      </c>
      <c r="B63" s="578"/>
      <c r="C63" s="578"/>
      <c r="D63" s="578"/>
      <c r="E63" s="579"/>
      <c r="F63" s="577" t="str">
        <f>IF(Main!D48="","",Main!D48)</f>
        <v/>
      </c>
      <c r="G63" s="578"/>
      <c r="H63" s="579"/>
      <c r="I63" s="591" t="str">
        <f>IF(Q63="","",Main!D49)</f>
        <v/>
      </c>
      <c r="J63" s="592"/>
      <c r="K63" s="591" t="str">
        <f>IF(Q63="","",Main!D50)</f>
        <v/>
      </c>
      <c r="L63" s="592"/>
      <c r="M63" s="577" t="str">
        <f>IF(Q63="","",Main!D54)</f>
        <v/>
      </c>
      <c r="N63" s="578"/>
      <c r="O63" s="579"/>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77" t="str">
        <f t="shared" si="0"/>
        <v/>
      </c>
      <c r="B64" s="578"/>
      <c r="C64" s="578"/>
      <c r="D64" s="578"/>
      <c r="E64" s="579"/>
      <c r="F64" s="577" t="str">
        <f>IF(Main!E48="","",Main!E48)</f>
        <v/>
      </c>
      <c r="G64" s="578"/>
      <c r="H64" s="579"/>
      <c r="I64" s="591" t="str">
        <f>IF(Q64="","",Main!E49)</f>
        <v/>
      </c>
      <c r="J64" s="592"/>
      <c r="K64" s="591" t="str">
        <f>IF(Q64="","",Main!E50)</f>
        <v/>
      </c>
      <c r="L64" s="592"/>
      <c r="M64" s="577" t="str">
        <f>IF(Q64="","",Main!E54)</f>
        <v/>
      </c>
      <c r="N64" s="578"/>
      <c r="O64" s="579"/>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77" t="str">
        <f t="shared" si="0"/>
        <v/>
      </c>
      <c r="B65" s="578"/>
      <c r="C65" s="578"/>
      <c r="D65" s="578"/>
      <c r="E65" s="579"/>
      <c r="F65" s="577" t="str">
        <f>IF(Main!F48="","",Main!F48)</f>
        <v/>
      </c>
      <c r="G65" s="578"/>
      <c r="H65" s="579"/>
      <c r="I65" s="591" t="str">
        <f>IF(Q65="","",Main!F49)</f>
        <v/>
      </c>
      <c r="J65" s="592"/>
      <c r="K65" s="591" t="str">
        <f>IF(Q65="","",Main!F50)</f>
        <v/>
      </c>
      <c r="L65" s="592"/>
      <c r="M65" s="577" t="str">
        <f>IF(Q65="","",Main!F54)</f>
        <v/>
      </c>
      <c r="N65" s="578"/>
      <c r="O65" s="579"/>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77" t="str">
        <f t="shared" si="0"/>
        <v/>
      </c>
      <c r="B66" s="578"/>
      <c r="C66" s="578"/>
      <c r="D66" s="578"/>
      <c r="E66" s="579"/>
      <c r="F66" s="577" t="str">
        <f>IF(Main!G48="","",Main!G48)</f>
        <v/>
      </c>
      <c r="G66" s="578"/>
      <c r="H66" s="579"/>
      <c r="I66" s="591" t="str">
        <f>IF(Q66="","",Main!G49)</f>
        <v/>
      </c>
      <c r="J66" s="592"/>
      <c r="K66" s="591" t="str">
        <f>IF(Q66="","",Main!G50)</f>
        <v/>
      </c>
      <c r="L66" s="592"/>
      <c r="M66" s="577" t="str">
        <f>IF(Q66="","",Main!G54)</f>
        <v/>
      </c>
      <c r="N66" s="578"/>
      <c r="O66" s="579"/>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77" t="str">
        <f t="shared" si="0"/>
        <v/>
      </c>
      <c r="B67" s="578"/>
      <c r="C67" s="578"/>
      <c r="D67" s="578"/>
      <c r="E67" s="579"/>
      <c r="F67" s="577" t="str">
        <f>IF(Main!H48="","",Main!H48)</f>
        <v/>
      </c>
      <c r="G67" s="578"/>
      <c r="H67" s="579"/>
      <c r="I67" s="591" t="str">
        <f>IF(Q67="","",Main!H49)</f>
        <v/>
      </c>
      <c r="J67" s="592"/>
      <c r="K67" s="591" t="str">
        <f>IF(Q67="","",Main!H50)</f>
        <v/>
      </c>
      <c r="L67" s="592"/>
      <c r="M67" s="577" t="str">
        <f>IF(Q67="","",Main!H54)</f>
        <v/>
      </c>
      <c r="N67" s="578"/>
      <c r="O67" s="579"/>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77" t="str">
        <f t="shared" si="0"/>
        <v/>
      </c>
      <c r="B68" s="578"/>
      <c r="C68" s="578"/>
      <c r="D68" s="578"/>
      <c r="E68" s="579"/>
      <c r="F68" s="577" t="str">
        <f>IF(Main!I48="","",Main!I48)</f>
        <v/>
      </c>
      <c r="G68" s="578"/>
      <c r="H68" s="579"/>
      <c r="I68" s="591" t="str">
        <f>IF(Q68="","",Main!I49)</f>
        <v/>
      </c>
      <c r="J68" s="592"/>
      <c r="K68" s="591" t="str">
        <f>IF(Q68="","",Main!I50)</f>
        <v/>
      </c>
      <c r="L68" s="592"/>
      <c r="M68" s="577" t="str">
        <f>IF(Q68="","",Main!I54)</f>
        <v/>
      </c>
      <c r="N68" s="578"/>
      <c r="O68" s="579"/>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83" t="str">
        <f>IF(T69="","",CONCATENATE(T69," - ",R69))</f>
        <v/>
      </c>
      <c r="B69" s="584"/>
      <c r="C69" s="584"/>
      <c r="D69" s="584"/>
      <c r="E69" s="585"/>
      <c r="F69" s="583" t="str">
        <f>IF(Main!J48="","",Main!J48)</f>
        <v/>
      </c>
      <c r="G69" s="584"/>
      <c r="H69" s="585"/>
      <c r="I69" s="589" t="str">
        <f>IF(Q69="","",Main!J49)</f>
        <v/>
      </c>
      <c r="J69" s="590"/>
      <c r="K69" s="589" t="str">
        <f>IF(Q69="","",Main!J50)</f>
        <v/>
      </c>
      <c r="L69" s="590"/>
      <c r="M69" s="583" t="str">
        <f>IF(Q69="","",Main!J54)</f>
        <v/>
      </c>
      <c r="N69" s="584"/>
      <c r="O69" s="585"/>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576" t="s">
        <v>369</v>
      </c>
      <c r="B71" s="576"/>
      <c r="C71" s="576"/>
      <c r="D71" s="576"/>
      <c r="E71" s="576"/>
      <c r="F71" s="576"/>
      <c r="G71" s="576"/>
      <c r="H71" s="576"/>
      <c r="I71" s="576"/>
      <c r="J71" s="576"/>
      <c r="K71" s="576"/>
      <c r="L71" s="576"/>
      <c r="M71" s="576"/>
      <c r="N71" s="576"/>
      <c r="O71" s="576"/>
    </row>
    <row r="72" spans="1:20" ht="18" customHeight="1" x14ac:dyDescent="0.2">
      <c r="A72" s="576"/>
      <c r="B72" s="576"/>
      <c r="C72" s="576"/>
      <c r="D72" s="576"/>
      <c r="E72" s="576"/>
      <c r="F72" s="576"/>
      <c r="G72" s="576"/>
      <c r="H72" s="576"/>
      <c r="I72" s="576"/>
      <c r="J72" s="576"/>
      <c r="K72" s="576"/>
      <c r="L72" s="576"/>
      <c r="M72" s="576"/>
      <c r="N72" s="576"/>
      <c r="O72" s="576"/>
    </row>
    <row r="73" spans="1:20" ht="18" customHeight="1" x14ac:dyDescent="0.2">
      <c r="A73" s="576"/>
      <c r="B73" s="576"/>
      <c r="C73" s="576"/>
      <c r="D73" s="576"/>
      <c r="E73" s="576"/>
      <c r="F73" s="576"/>
      <c r="G73" s="576"/>
      <c r="H73" s="576"/>
      <c r="I73" s="576"/>
      <c r="J73" s="576"/>
      <c r="K73" s="576"/>
      <c r="L73" s="576"/>
      <c r="M73" s="576"/>
      <c r="N73" s="576"/>
      <c r="O73" s="576"/>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315</v>
      </c>
      <c r="N80" s="246" t="s">
        <v>316</v>
      </c>
    </row>
    <row r="81" ht="15" customHeight="1" x14ac:dyDescent="0.2"/>
    <row r="82" ht="15" customHeight="1" x14ac:dyDescent="0.2"/>
  </sheetData>
  <sheetProtection algorithmName="SHA-512" hashValue="0kaSlQBaRoupTI2jcaZX2MRgpClPFSUGvsjzncp2/sHPQePyVuOR/C/dBA5jGpR5qKB4tz+d/X0PFOcMyAgZzQ==" saltValue="2a+BjpUEv67CUcEcLJ10mg=="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923</v>
      </c>
      <c r="R1" t="s">
        <v>924</v>
      </c>
      <c r="S1" t="s">
        <v>925</v>
      </c>
      <c r="T1" t="s">
        <v>926</v>
      </c>
      <c r="U1" t="s">
        <v>927</v>
      </c>
      <c r="V1" t="s">
        <v>928</v>
      </c>
      <c r="W1" t="s">
        <v>929</v>
      </c>
      <c r="X1" t="s">
        <v>930</v>
      </c>
      <c r="Y1" t="s">
        <v>931</v>
      </c>
      <c r="Z1" t="s">
        <v>932</v>
      </c>
      <c r="AA1" t="s">
        <v>933</v>
      </c>
      <c r="AB1" t="s">
        <v>934</v>
      </c>
      <c r="AC1" t="s">
        <v>935</v>
      </c>
      <c r="AD1" t="s">
        <v>936</v>
      </c>
      <c r="AE1" t="s">
        <v>937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M456"/>
      <c r="N456"/>
      <c r="O456"/>
    </row>
    <row r="457" spans="1:15" x14ac:dyDescent="0.2">
      <c r="A457"/>
      <c r="B457"/>
      <c r="C457"/>
      <c r="F457"/>
      <c r="G457"/>
      <c r="I457"/>
      <c r="L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I1033"/>
      <c r="L1033"/>
      <c r="M1033"/>
      <c r="N1033"/>
      <c r="O1033"/>
    </row>
    <row r="1034" spans="1:15" x14ac:dyDescent="0.2">
      <c r="A1034"/>
      <c r="B1034"/>
      <c r="C1034"/>
      <c r="F1034"/>
      <c r="G1034"/>
      <c r="H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L1100"/>
      <c r="M1100"/>
      <c r="N1100"/>
      <c r="O1100"/>
    </row>
    <row r="1101" spans="1:15" x14ac:dyDescent="0.2">
      <c r="A1101"/>
      <c r="B1101"/>
      <c r="C1101"/>
      <c r="F1101"/>
      <c r="G1101"/>
      <c r="I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H1119"/>
      <c r="L1119"/>
      <c r="M1119"/>
      <c r="N1119"/>
      <c r="O1119"/>
    </row>
    <row r="1120" spans="1:15" x14ac:dyDescent="0.2">
      <c r="A1120"/>
      <c r="B1120"/>
      <c r="C1120"/>
      <c r="F1120"/>
      <c r="G1120"/>
      <c r="J1120"/>
      <c r="K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L1294"/>
      <c r="M1294"/>
      <c r="N1294"/>
      <c r="O1294"/>
    </row>
    <row r="1295" spans="1:15" x14ac:dyDescent="0.2">
      <c r="A1295"/>
      <c r="B1295"/>
      <c r="C1295"/>
      <c r="F1295"/>
      <c r="G1295"/>
      <c r="H1295"/>
      <c r="J1295"/>
      <c r="K1295"/>
      <c r="L1295"/>
      <c r="M1295"/>
      <c r="N1295"/>
      <c r="O1295"/>
    </row>
    <row r="1296" spans="1:15" x14ac:dyDescent="0.2">
      <c r="A1296"/>
      <c r="B1296"/>
      <c r="C1296"/>
      <c r="F1296"/>
      <c r="G1296"/>
      <c r="J1296"/>
      <c r="K1296"/>
      <c r="L1296"/>
      <c r="M1296"/>
      <c r="N1296"/>
      <c r="O1296"/>
    </row>
    <row r="1297" spans="1:15" x14ac:dyDescent="0.2">
      <c r="A1297"/>
      <c r="B1297"/>
      <c r="C1297"/>
      <c r="F1297"/>
      <c r="G1297"/>
      <c r="H1297"/>
      <c r="I1297"/>
      <c r="L1297"/>
      <c r="N1297"/>
      <c r="O1297"/>
    </row>
    <row r="1298" spans="1:15" x14ac:dyDescent="0.2">
      <c r="A1298"/>
      <c r="B1298"/>
      <c r="C1298"/>
      <c r="F1298"/>
      <c r="G1298"/>
      <c r="I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J1315"/>
      <c r="K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I1329"/>
      <c r="L1329"/>
      <c r="M1329"/>
      <c r="N1329"/>
      <c r="O1329"/>
    </row>
    <row r="1330" spans="1:15" x14ac:dyDescent="0.2">
      <c r="A1330"/>
      <c r="B1330"/>
      <c r="C1330"/>
      <c r="F1330"/>
      <c r="G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M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N1356"/>
      <c r="O1356"/>
    </row>
    <row r="1357" spans="1:15" x14ac:dyDescent="0.2">
      <c r="A1357"/>
      <c r="B1357"/>
      <c r="C1357"/>
      <c r="F1357"/>
      <c r="G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L1360"/>
      <c r="M1360"/>
      <c r="N1360"/>
      <c r="O1360"/>
    </row>
    <row r="1361" spans="1:15" x14ac:dyDescent="0.2">
      <c r="A1361"/>
      <c r="B1361"/>
      <c r="C1361"/>
      <c r="F1361"/>
      <c r="G1361"/>
      <c r="L1361"/>
      <c r="M1361"/>
      <c r="N1361"/>
      <c r="O1361"/>
    </row>
    <row r="1362" spans="1:15" x14ac:dyDescent="0.2">
      <c r="A1362"/>
      <c r="B1362"/>
      <c r="C1362"/>
      <c r="F1362"/>
      <c r="G1362"/>
      <c r="J1362"/>
      <c r="K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H1369"/>
      <c r="L1369"/>
      <c r="M1369"/>
      <c r="N1369"/>
      <c r="O1369"/>
    </row>
    <row r="1370" spans="1:15" x14ac:dyDescent="0.2">
      <c r="A1370"/>
      <c r="B1370"/>
      <c r="C1370"/>
      <c r="F1370"/>
      <c r="G1370"/>
      <c r="H1370"/>
      <c r="I1370"/>
      <c r="L1370"/>
      <c r="M1370"/>
      <c r="N1370"/>
      <c r="O1370"/>
    </row>
    <row r="1371" spans="1:15" x14ac:dyDescent="0.2">
      <c r="A1371"/>
      <c r="B1371"/>
      <c r="C1371"/>
      <c r="F1371"/>
      <c r="G1371"/>
      <c r="H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I1394"/>
      <c r="L1394"/>
      <c r="M1394"/>
      <c r="N1394"/>
      <c r="O1394"/>
    </row>
    <row r="1395" spans="1:15" x14ac:dyDescent="0.2">
      <c r="A1395"/>
      <c r="B1395"/>
      <c r="C1395"/>
      <c r="F1395"/>
      <c r="G1395"/>
      <c r="H1395"/>
      <c r="J1395"/>
      <c r="K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N1402"/>
      <c r="O1402"/>
    </row>
    <row r="1403" spans="1:15" x14ac:dyDescent="0.2">
      <c r="A1403"/>
      <c r="B1403"/>
      <c r="C1403"/>
      <c r="F1403"/>
      <c r="G1403"/>
      <c r="J1403"/>
      <c r="K1403"/>
      <c r="L1403"/>
      <c r="M1403"/>
      <c r="N1403"/>
      <c r="O1403"/>
    </row>
    <row r="1404" spans="1:15" x14ac:dyDescent="0.2">
      <c r="A1404"/>
      <c r="B1404"/>
      <c r="C1404"/>
      <c r="F1404"/>
      <c r="G1404"/>
      <c r="H1404"/>
      <c r="J1404"/>
      <c r="K1404"/>
      <c r="L1404"/>
      <c r="M1404"/>
      <c r="N1404"/>
      <c r="O1404"/>
    </row>
    <row r="1405" spans="1:15" x14ac:dyDescent="0.2">
      <c r="A1405"/>
      <c r="B1405"/>
      <c r="C1405"/>
      <c r="F1405"/>
      <c r="G1405"/>
      <c r="L1405"/>
      <c r="M1405"/>
      <c r="N1405"/>
      <c r="O1405"/>
    </row>
    <row r="1406" spans="1:15" x14ac:dyDescent="0.2">
      <c r="A1406"/>
      <c r="B1406"/>
      <c r="C1406"/>
      <c r="F1406"/>
      <c r="G1406"/>
      <c r="H1406"/>
      <c r="I1406"/>
      <c r="J1406"/>
      <c r="K1406"/>
      <c r="L1406"/>
      <c r="M1406"/>
      <c r="N1406"/>
      <c r="O1406"/>
    </row>
    <row r="1407" spans="1:15" x14ac:dyDescent="0.2">
      <c r="A1407"/>
      <c r="B1407"/>
      <c r="C1407"/>
      <c r="F1407"/>
      <c r="G1407"/>
      <c r="H1407"/>
      <c r="J1407"/>
      <c r="K1407"/>
      <c r="M1407"/>
      <c r="N1407"/>
      <c r="O1407"/>
    </row>
    <row r="1408" spans="1:15" x14ac:dyDescent="0.2">
      <c r="A1408"/>
      <c r="B1408"/>
      <c r="C1408"/>
      <c r="F1408"/>
      <c r="G1408"/>
      <c r="H1408"/>
      <c r="J1408"/>
      <c r="K1408"/>
      <c r="L1408"/>
      <c r="M1408"/>
      <c r="N1408"/>
      <c r="O1408"/>
    </row>
    <row r="1409" spans="1:15" x14ac:dyDescent="0.2">
      <c r="A1409"/>
      <c r="B1409"/>
      <c r="C1409"/>
      <c r="F1409"/>
      <c r="G1409"/>
      <c r="J1409"/>
      <c r="K1409"/>
      <c r="L1409"/>
      <c r="M1409"/>
      <c r="N1409"/>
      <c r="O1409"/>
    </row>
    <row r="1410" spans="1:15" x14ac:dyDescent="0.2">
      <c r="A1410"/>
      <c r="B1410"/>
      <c r="C1410"/>
      <c r="F1410"/>
      <c r="G1410"/>
      <c r="H1410"/>
      <c r="I1410"/>
      <c r="J1410"/>
      <c r="K1410"/>
      <c r="L1410"/>
      <c r="M1410"/>
      <c r="N1410"/>
      <c r="O1410"/>
    </row>
    <row r="1411" spans="1:15" x14ac:dyDescent="0.2">
      <c r="A1411"/>
      <c r="B1411"/>
      <c r="C1411"/>
      <c r="F1411"/>
      <c r="G1411"/>
      <c r="J1411"/>
      <c r="L1411"/>
      <c r="M1411"/>
      <c r="N1411"/>
      <c r="O1411"/>
    </row>
    <row r="1412" spans="1:15" x14ac:dyDescent="0.2">
      <c r="A1412"/>
      <c r="B1412"/>
      <c r="C1412"/>
      <c r="F1412"/>
      <c r="G1412"/>
      <c r="I1412"/>
      <c r="L1412"/>
      <c r="N1412"/>
      <c r="O1412"/>
    </row>
    <row r="1413" spans="1:15" x14ac:dyDescent="0.2">
      <c r="A1413"/>
      <c r="B1413"/>
      <c r="C1413"/>
      <c r="F1413"/>
      <c r="G1413"/>
      <c r="L1413"/>
      <c r="M1413"/>
      <c r="N1413"/>
      <c r="O1413"/>
    </row>
    <row r="1414" spans="1:15" x14ac:dyDescent="0.2">
      <c r="A1414"/>
      <c r="B1414"/>
      <c r="C1414"/>
      <c r="F1414"/>
      <c r="G1414"/>
      <c r="H1414"/>
      <c r="J1414"/>
      <c r="K1414"/>
      <c r="L1414"/>
      <c r="M1414"/>
      <c r="N1414"/>
      <c r="O1414"/>
    </row>
    <row r="1415" spans="1:15" x14ac:dyDescent="0.2">
      <c r="A1415"/>
      <c r="B1415"/>
      <c r="C1415"/>
      <c r="F1415"/>
      <c r="G1415"/>
      <c r="J1415"/>
      <c r="K1415"/>
      <c r="L1415"/>
      <c r="M1415"/>
      <c r="N1415"/>
      <c r="O1415"/>
    </row>
    <row r="1416" spans="1:15" x14ac:dyDescent="0.2">
      <c r="A1416"/>
      <c r="B1416"/>
      <c r="C1416"/>
      <c r="F1416"/>
      <c r="G1416"/>
      <c r="H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N1418"/>
      <c r="O1418"/>
    </row>
    <row r="1419" spans="1:15" x14ac:dyDescent="0.2">
      <c r="A1419"/>
      <c r="B1419"/>
      <c r="C1419"/>
      <c r="F1419"/>
      <c r="G1419"/>
      <c r="I1419"/>
      <c r="L1419"/>
      <c r="M1419"/>
      <c r="N1419"/>
      <c r="O1419"/>
    </row>
    <row r="1420" spans="1:15" x14ac:dyDescent="0.2">
      <c r="A1420"/>
      <c r="B1420"/>
      <c r="C1420"/>
      <c r="F1420"/>
      <c r="G1420"/>
      <c r="L1420"/>
      <c r="M1420"/>
      <c r="N1420"/>
      <c r="O1420"/>
    </row>
    <row r="1421" spans="1:15" x14ac:dyDescent="0.2">
      <c r="A1421"/>
      <c r="B1421"/>
      <c r="C1421"/>
      <c r="F1421"/>
      <c r="G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J1430"/>
      <c r="K1430"/>
      <c r="L1430"/>
      <c r="M1430"/>
      <c r="N1430"/>
      <c r="O1430"/>
    </row>
    <row r="1431" spans="1:15" x14ac:dyDescent="0.2">
      <c r="A1431"/>
      <c r="B1431"/>
      <c r="C1431"/>
      <c r="F1431"/>
      <c r="G1431"/>
      <c r="H1431"/>
      <c r="I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I1434"/>
      <c r="L1434"/>
      <c r="M1434"/>
      <c r="N1434"/>
      <c r="O1434"/>
    </row>
    <row r="1435" spans="1:15" x14ac:dyDescent="0.2">
      <c r="A1435"/>
      <c r="B1435"/>
      <c r="C1435"/>
      <c r="F1435"/>
      <c r="G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N1437"/>
      <c r="O1437"/>
    </row>
    <row r="1438" spans="1:15" x14ac:dyDescent="0.2">
      <c r="A1438"/>
      <c r="B1438"/>
      <c r="C1438"/>
      <c r="F1438"/>
      <c r="G1438"/>
      <c r="I1438"/>
      <c r="L1438"/>
      <c r="M1438"/>
      <c r="N1438"/>
      <c r="O1438"/>
    </row>
    <row r="1439" spans="1:15" x14ac:dyDescent="0.2">
      <c r="A1439"/>
      <c r="B1439"/>
      <c r="C1439"/>
      <c r="F1439"/>
      <c r="G1439"/>
      <c r="L1439"/>
      <c r="M1439"/>
      <c r="N1439"/>
      <c r="O1439"/>
    </row>
    <row r="1440" spans="1:15" x14ac:dyDescent="0.2">
      <c r="A1440"/>
      <c r="B1440"/>
      <c r="C1440"/>
      <c r="F1440"/>
      <c r="G1440"/>
      <c r="H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H1448"/>
      <c r="I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M1453"/>
      <c r="N1453"/>
      <c r="O1453"/>
    </row>
    <row r="1454" spans="1:15" x14ac:dyDescent="0.2">
      <c r="A1454"/>
      <c r="B1454"/>
      <c r="C1454"/>
      <c r="F1454"/>
      <c r="G1454"/>
      <c r="L1454"/>
      <c r="M1454"/>
      <c r="N1454"/>
      <c r="O1454"/>
    </row>
    <row r="1455" spans="1:15" x14ac:dyDescent="0.2">
      <c r="A1455"/>
      <c r="B1455"/>
      <c r="C1455"/>
      <c r="F1455"/>
      <c r="G1455"/>
      <c r="M1455"/>
      <c r="N1455"/>
      <c r="O1455"/>
    </row>
    <row r="1456" spans="1:15" x14ac:dyDescent="0.2">
      <c r="A1456"/>
      <c r="B1456"/>
      <c r="C1456"/>
      <c r="F1456"/>
      <c r="G1456"/>
      <c r="L1456"/>
      <c r="M1456"/>
      <c r="N1456"/>
      <c r="O1456"/>
    </row>
    <row r="1457" spans="1:15" x14ac:dyDescent="0.2">
      <c r="A1457"/>
      <c r="B1457"/>
      <c r="C1457"/>
      <c r="F1457"/>
      <c r="G1457"/>
      <c r="H1457"/>
      <c r="I1457"/>
      <c r="L1457"/>
      <c r="N1457"/>
      <c r="O1457"/>
    </row>
    <row r="1458" spans="1:15" x14ac:dyDescent="0.2">
      <c r="A1458"/>
      <c r="B1458"/>
      <c r="C1458"/>
      <c r="F1458"/>
      <c r="G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L1466"/>
      <c r="M1466"/>
      <c r="N1466"/>
      <c r="O1466"/>
    </row>
    <row r="1467" spans="1:15" x14ac:dyDescent="0.2">
      <c r="A1467"/>
      <c r="B1467"/>
      <c r="C1467"/>
      <c r="F1467"/>
      <c r="G1467"/>
      <c r="L1467"/>
      <c r="M1467"/>
      <c r="N1467"/>
      <c r="O1467"/>
    </row>
    <row r="1468" spans="1:15" x14ac:dyDescent="0.2">
      <c r="A1468"/>
      <c r="B1468"/>
      <c r="C1468"/>
      <c r="F1468"/>
      <c r="G1468"/>
      <c r="M1468"/>
      <c r="N1468"/>
      <c r="O1468"/>
    </row>
    <row r="1469" spans="1:15" x14ac:dyDescent="0.2">
      <c r="A1469"/>
      <c r="B1469"/>
      <c r="C1469"/>
      <c r="F1469"/>
      <c r="G1469"/>
      <c r="H1469"/>
      <c r="I1469"/>
      <c r="L1469"/>
      <c r="M1469"/>
      <c r="N1469"/>
      <c r="O1469"/>
    </row>
    <row r="1470" spans="1:15" x14ac:dyDescent="0.2">
      <c r="A1470"/>
      <c r="B1470"/>
      <c r="C1470"/>
      <c r="F1470"/>
      <c r="G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L1477"/>
      <c r="M1477"/>
      <c r="N1477"/>
      <c r="O1477"/>
    </row>
    <row r="1478" spans="1:15" x14ac:dyDescent="0.2">
      <c r="A1478"/>
      <c r="B1478"/>
      <c r="C1478"/>
      <c r="F1478"/>
      <c r="G1478"/>
      <c r="H1478"/>
      <c r="J1478"/>
      <c r="K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J1487"/>
      <c r="K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L1497"/>
      <c r="M1497"/>
      <c r="N1497"/>
      <c r="O1497"/>
    </row>
    <row r="1498" spans="1:15" x14ac:dyDescent="0.2">
      <c r="A1498"/>
      <c r="B1498"/>
      <c r="C1498"/>
      <c r="F1498"/>
      <c r="G1498"/>
      <c r="H1498"/>
      <c r="J1498"/>
      <c r="K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M1515"/>
      <c r="N1515"/>
      <c r="O1515"/>
    </row>
    <row r="1516" spans="1:15" x14ac:dyDescent="0.2">
      <c r="A1516"/>
      <c r="B1516"/>
      <c r="C1516"/>
      <c r="F1516"/>
      <c r="G1516"/>
      <c r="L1516"/>
      <c r="M1516"/>
      <c r="N1516"/>
      <c r="O1516"/>
    </row>
    <row r="1517" spans="1:15" x14ac:dyDescent="0.2">
      <c r="A1517"/>
      <c r="B1517"/>
      <c r="C1517"/>
      <c r="F1517"/>
      <c r="G1517"/>
      <c r="H1517"/>
      <c r="I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J1519"/>
      <c r="K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H1523"/>
      <c r="J1523"/>
      <c r="K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H1541"/>
      <c r="I1541"/>
      <c r="L1541"/>
      <c r="M1541"/>
      <c r="N1541"/>
      <c r="O1541"/>
    </row>
    <row r="1542" spans="1:15" x14ac:dyDescent="0.2">
      <c r="A1542"/>
      <c r="B1542"/>
      <c r="C1542"/>
      <c r="F1542"/>
      <c r="G1542"/>
      <c r="J1542"/>
      <c r="K1542"/>
      <c r="L1542"/>
      <c r="M1542"/>
      <c r="N1542"/>
      <c r="O1542"/>
    </row>
    <row r="1543" spans="1:15" x14ac:dyDescent="0.2">
      <c r="A1543"/>
      <c r="B1543"/>
      <c r="C1543"/>
      <c r="F1543"/>
      <c r="G1543"/>
      <c r="H1543"/>
      <c r="I1543"/>
      <c r="L1543"/>
      <c r="M1543"/>
      <c r="N1543"/>
      <c r="O1543"/>
    </row>
    <row r="1544" spans="1:15" x14ac:dyDescent="0.2">
      <c r="A1544"/>
      <c r="B1544"/>
      <c r="C1544"/>
      <c r="F1544"/>
      <c r="G1544"/>
      <c r="L1544"/>
      <c r="M1544"/>
      <c r="N1544"/>
      <c r="O1544"/>
    </row>
    <row r="1545" spans="1:15" x14ac:dyDescent="0.2">
      <c r="A1545"/>
      <c r="B1545"/>
      <c r="C1545"/>
      <c r="F1545"/>
      <c r="G1545"/>
      <c r="H1545"/>
      <c r="I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H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H1555"/>
      <c r="I1555"/>
      <c r="L1555"/>
      <c r="N1555"/>
      <c r="O1555"/>
    </row>
    <row r="1556" spans="1:15" x14ac:dyDescent="0.2">
      <c r="A1556"/>
      <c r="B1556"/>
      <c r="C1556"/>
      <c r="F1556"/>
      <c r="G1556"/>
      <c r="H1556"/>
      <c r="I1556"/>
      <c r="L1556"/>
      <c r="M1556"/>
      <c r="N1556"/>
      <c r="O1556"/>
    </row>
    <row r="1557" spans="1:15" x14ac:dyDescent="0.2">
      <c r="A1557"/>
      <c r="B1557"/>
      <c r="C1557"/>
      <c r="F1557"/>
      <c r="G1557"/>
      <c r="H1557"/>
      <c r="I1557"/>
      <c r="L1557"/>
      <c r="N1557"/>
      <c r="O1557"/>
    </row>
    <row r="1558" spans="1:15" x14ac:dyDescent="0.2">
      <c r="A1558"/>
      <c r="B1558"/>
      <c r="C1558"/>
      <c r="F1558"/>
      <c r="G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H1565"/>
      <c r="I1565"/>
      <c r="L1565"/>
      <c r="M1565"/>
      <c r="N1565"/>
      <c r="O1565"/>
    </row>
    <row r="1566" spans="1:15" x14ac:dyDescent="0.2">
      <c r="A1566"/>
      <c r="B1566"/>
      <c r="C1566"/>
      <c r="F1566"/>
      <c r="G1566"/>
      <c r="J1566"/>
      <c r="K1566"/>
      <c r="L1566"/>
      <c r="M1566"/>
      <c r="N1566"/>
      <c r="O1566"/>
    </row>
    <row r="1567" spans="1:15" x14ac:dyDescent="0.2">
      <c r="A1567"/>
      <c r="B1567"/>
      <c r="C1567"/>
      <c r="F1567"/>
      <c r="G1567"/>
      <c r="I1567"/>
      <c r="L1567"/>
      <c r="M1567"/>
      <c r="N1567"/>
      <c r="O1567"/>
    </row>
    <row r="1568" spans="1:15" x14ac:dyDescent="0.2">
      <c r="A1568"/>
      <c r="B1568"/>
      <c r="C1568"/>
      <c r="F1568"/>
      <c r="G1568"/>
      <c r="H1568"/>
      <c r="I1568"/>
      <c r="L1568"/>
      <c r="N1568"/>
      <c r="O1568"/>
    </row>
    <row r="1569" spans="1:15" x14ac:dyDescent="0.2">
      <c r="A1569"/>
      <c r="B1569"/>
      <c r="C1569"/>
      <c r="F1569"/>
      <c r="G1569"/>
      <c r="M1569"/>
      <c r="N1569"/>
      <c r="O1569"/>
    </row>
    <row r="1570" spans="1:15" x14ac:dyDescent="0.2">
      <c r="A1570"/>
      <c r="B1570"/>
      <c r="C1570"/>
      <c r="F1570"/>
      <c r="G1570"/>
      <c r="M1570"/>
      <c r="N1570"/>
      <c r="O1570"/>
    </row>
    <row r="1571" spans="1:15" x14ac:dyDescent="0.2">
      <c r="A1571"/>
      <c r="B1571"/>
      <c r="C1571"/>
      <c r="F1571"/>
      <c r="G1571"/>
      <c r="H1571"/>
      <c r="I1571"/>
      <c r="L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J1580"/>
      <c r="L1580"/>
      <c r="M1580"/>
      <c r="N1580"/>
      <c r="O1580"/>
    </row>
    <row r="1581" spans="1:15" x14ac:dyDescent="0.2">
      <c r="A1581"/>
      <c r="B1581"/>
      <c r="C1581"/>
      <c r="F1581"/>
      <c r="G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I1591"/>
      <c r="L1591"/>
      <c r="M1591"/>
      <c r="N1591"/>
      <c r="O1591"/>
    </row>
    <row r="1592" spans="1:15" x14ac:dyDescent="0.2">
      <c r="A1592"/>
      <c r="B1592"/>
      <c r="C1592"/>
      <c r="F1592"/>
      <c r="G1592"/>
      <c r="J1592"/>
      <c r="K1592"/>
      <c r="L1592"/>
      <c r="M1592"/>
      <c r="N1592"/>
      <c r="O1592"/>
    </row>
    <row r="1593" spans="1:15" x14ac:dyDescent="0.2">
      <c r="A1593"/>
      <c r="B1593"/>
      <c r="C1593"/>
      <c r="F1593"/>
      <c r="G1593"/>
      <c r="L1593"/>
      <c r="M1593"/>
      <c r="N1593"/>
      <c r="O1593"/>
    </row>
    <row r="1594" spans="1:15" x14ac:dyDescent="0.2">
      <c r="A1594"/>
      <c r="B1594"/>
      <c r="C1594"/>
      <c r="F1594"/>
      <c r="G1594"/>
      <c r="H1594"/>
      <c r="I1594"/>
      <c r="L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J1600"/>
      <c r="K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L1608"/>
      <c r="M1608"/>
      <c r="N1608"/>
      <c r="O1608"/>
    </row>
    <row r="1609" spans="1:15" x14ac:dyDescent="0.2">
      <c r="A1609"/>
      <c r="B1609"/>
      <c r="C1609"/>
      <c r="F1609"/>
      <c r="G1609"/>
      <c r="L1609"/>
      <c r="M1609"/>
      <c r="N1609"/>
      <c r="O1609"/>
    </row>
    <row r="1610" spans="1:15" x14ac:dyDescent="0.2">
      <c r="A1610"/>
      <c r="B1610"/>
      <c r="C1610"/>
      <c r="F1610"/>
      <c r="G1610"/>
      <c r="H1610"/>
      <c r="L1610"/>
      <c r="M1610"/>
      <c r="N1610"/>
      <c r="O1610"/>
    </row>
    <row r="1611" spans="1:15" x14ac:dyDescent="0.2">
      <c r="A1611"/>
      <c r="B1611"/>
      <c r="C1611"/>
      <c r="F1611"/>
      <c r="G1611"/>
      <c r="H1611"/>
      <c r="I1611"/>
      <c r="L1611"/>
      <c r="M1611"/>
      <c r="N1611"/>
      <c r="O1611"/>
    </row>
    <row r="1612" spans="1:15" x14ac:dyDescent="0.2">
      <c r="A1612"/>
      <c r="B1612"/>
      <c r="C1612"/>
      <c r="F1612"/>
      <c r="G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J1637"/>
      <c r="K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J1643"/>
      <c r="K1643"/>
      <c r="L1643"/>
      <c r="M1643"/>
      <c r="N1643"/>
      <c r="O1643"/>
    </row>
    <row r="1644" spans="1:15" x14ac:dyDescent="0.2">
      <c r="A1644"/>
      <c r="B1644"/>
      <c r="C1644"/>
      <c r="F1644"/>
      <c r="G1644"/>
      <c r="H1644"/>
      <c r="L1644"/>
      <c r="M1644"/>
      <c r="N1644"/>
      <c r="O1644"/>
    </row>
    <row r="1645" spans="1:15" x14ac:dyDescent="0.2">
      <c r="A1645"/>
      <c r="B1645"/>
      <c r="C1645"/>
      <c r="F1645"/>
      <c r="G1645"/>
      <c r="H1645"/>
      <c r="J1645"/>
      <c r="K1645"/>
      <c r="L1645"/>
      <c r="M1645"/>
      <c r="N1645"/>
      <c r="O1645"/>
    </row>
    <row r="1646" spans="1:15" x14ac:dyDescent="0.2">
      <c r="A1646"/>
      <c r="B1646"/>
      <c r="C1646"/>
      <c r="F1646"/>
      <c r="G1646"/>
      <c r="H1646"/>
      <c r="L1646"/>
      <c r="M1646"/>
      <c r="N1646"/>
      <c r="O1646"/>
    </row>
    <row r="1647" spans="1:15" x14ac:dyDescent="0.2">
      <c r="A1647"/>
      <c r="B1647"/>
      <c r="C1647"/>
      <c r="F1647"/>
      <c r="G1647"/>
      <c r="H1647"/>
      <c r="J1647"/>
      <c r="K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G17" sqref="G17"/>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c r="C1" s="120">
        <f>NominalTemp+TolMin</f>
        <v>0</v>
      </c>
      <c r="D1" s="114"/>
      <c r="E1" s="114">
        <f>NominalTemp+TolMin/2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c r="C2" s="120">
        <f>NominalTemp+TolMax</f>
        <v>0</v>
      </c>
      <c r="D2" s="114"/>
      <c r="E2" s="114">
        <f>NominalTemp+TolMax/2</f>
        <v>0</v>
      </c>
      <c r="F2" s="121"/>
      <c r="G2" s="121"/>
      <c r="H2" s="121"/>
      <c r="I2" s="139" t="s">
        <v>225</v>
      </c>
      <c r="J2" s="121"/>
      <c r="K2" s="121"/>
      <c r="L2" s="121"/>
      <c r="M2" s="620" t="s">
        <v>103</v>
      </c>
      <c r="N2" s="620"/>
      <c r="O2" s="620"/>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21" t="s">
        <v>104</v>
      </c>
      <c r="N3" s="622"/>
      <c r="O3" s="623"/>
      <c r="P3" s="106"/>
      <c r="Q3" s="106"/>
    </row>
    <row r="4" spans="1:18" ht="15" x14ac:dyDescent="0.25">
      <c r="B4" s="116" t="s">
        <v>25</v>
      </c>
      <c r="C4" s="62"/>
      <c r="D4" s="39"/>
      <c r="E4" s="39"/>
      <c r="F4" s="39"/>
      <c r="G4" s="39"/>
      <c r="H4" s="39"/>
      <c r="I4" s="39"/>
      <c r="J4" s="39"/>
      <c r="K4" s="39"/>
      <c r="L4" s="39"/>
      <c r="M4" s="624" t="s">
        <v>145</v>
      </c>
      <c r="N4" s="625"/>
      <c r="O4" s="626"/>
      <c r="P4" s="88"/>
    </row>
    <row r="5" spans="1:18" x14ac:dyDescent="0.2">
      <c r="B5" s="117" t="s">
        <v>26</v>
      </c>
      <c r="C5" s="56">
        <f>Main!D3</f>
        <v>0</v>
      </c>
      <c r="D5" s="39"/>
      <c r="E5" s="39"/>
      <c r="F5" s="39"/>
      <c r="G5" s="39"/>
      <c r="H5" s="39"/>
      <c r="I5" s="54" t="s">
        <v>4</v>
      </c>
      <c r="J5" s="39" t="e">
        <f>Main!D5</f>
        <v>#N/A</v>
      </c>
      <c r="L5" s="39"/>
      <c r="M5" s="627" t="s">
        <v>144</v>
      </c>
      <c r="N5" s="628"/>
      <c r="O5" s="629"/>
      <c r="P5" s="132"/>
    </row>
    <row r="6" spans="1:18" ht="13.5" thickBot="1" x14ac:dyDescent="0.25">
      <c r="B6" s="117" t="s">
        <v>3</v>
      </c>
      <c r="C6" s="57" t="e">
        <f>Main!D6</f>
        <v>#N/A</v>
      </c>
      <c r="D6" s="39"/>
      <c r="E6" s="39"/>
      <c r="F6" s="39"/>
      <c r="G6" s="39"/>
      <c r="H6" s="39"/>
      <c r="I6" s="54" t="s">
        <v>5</v>
      </c>
      <c r="J6" s="53">
        <f>Main!D16</f>
        <v>0</v>
      </c>
      <c r="L6" s="39"/>
      <c r="M6" s="630" t="s">
        <v>143</v>
      </c>
      <c r="N6" s="631"/>
      <c r="O6" s="632"/>
      <c r="P6" s="89"/>
    </row>
    <row r="7" spans="1:18" ht="13.5" thickBot="1" x14ac:dyDescent="0.25">
      <c r="B7" s="117" t="s">
        <v>27</v>
      </c>
      <c r="C7" s="57" t="str">
        <f>Main!D7</f>
        <v>Jeff Hall</v>
      </c>
      <c r="D7" s="39"/>
      <c r="E7" s="39"/>
      <c r="F7" s="39"/>
      <c r="G7" s="39"/>
      <c r="H7" s="39"/>
      <c r="I7" s="59" t="s">
        <v>167</v>
      </c>
      <c r="J7" s="618">
        <f>Main!$D$30</f>
        <v>0</v>
      </c>
      <c r="K7" s="619"/>
      <c r="L7" s="103"/>
      <c r="M7" s="617" t="s">
        <v>142</v>
      </c>
      <c r="N7" s="617"/>
      <c r="O7" s="617"/>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girFfjE6/qxnZbsyKq2kCVc3pY0VNTpL+WIndCgbozsuKm2alP5q+T8+khNZUcWdr2rDwHQjK6bZs/E1GL3zIw==" saltValue="8pcx4TuBgIamHZaTfdw5x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E3" sqref="E3"/>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c r="C1" s="120">
        <f>NominalTemp+TolMin</f>
        <v>0</v>
      </c>
      <c r="D1" s="114"/>
      <c r="E1" s="114">
        <f>NominalTemp+TolMin/2</f>
        <v>0</v>
      </c>
      <c r="F1" s="34" t="s">
        <v>75</v>
      </c>
      <c r="P1" s="306" t="str">
        <f>IF(Main!$E$30="","A10",ADDRESS(13+(MATCH(Main!$E$30,Data_Sheet!$A$14:$A$903,0)),1,4))</f>
        <v>A10</v>
      </c>
      <c r="Q1" s="306">
        <f>VALUE(MID(P1, 2, LEN(P1)-1))</f>
        <v>10</v>
      </c>
    </row>
    <row r="2" spans="1:17" x14ac:dyDescent="0.2">
      <c r="B2" s="120"/>
      <c r="C2" s="120">
        <f>NominalTemp+TolMax</f>
        <v>0</v>
      </c>
      <c r="D2" s="114"/>
      <c r="E2" s="114">
        <f>NominalTemp+TolMax/2</f>
        <v>0</v>
      </c>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t="e">
        <f>Main!D5</f>
        <v>#N/A</v>
      </c>
      <c r="M5" s="634" t="s">
        <v>144</v>
      </c>
      <c r="N5" s="635"/>
      <c r="O5" s="636"/>
    </row>
    <row r="6" spans="1:17" ht="13.5" thickBot="1" x14ac:dyDescent="0.25">
      <c r="B6" s="117" t="s">
        <v>3</v>
      </c>
      <c r="C6" s="57" t="e">
        <f>Main!D6</f>
        <v>#N/A</v>
      </c>
      <c r="D6" s="39"/>
      <c r="E6" s="39"/>
      <c r="F6" s="39"/>
      <c r="G6" s="39"/>
      <c r="H6" s="39"/>
      <c r="I6" s="54" t="s">
        <v>5</v>
      </c>
      <c r="J6" s="41">
        <f>Main!D16</f>
        <v>0</v>
      </c>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6ydI6HCqlBN1rcQsk7wP9EDF91DzobKQMXsoPSQQBqGiVhUC18D2faKZ+guMCXOwolTODMtdcD3iJ1uX6YrTyg==" saltValue="lNKrZmOXcrG5KXcnlrU51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$E$1</formula>
      <formula>$E$2</formula>
    </cfRule>
    <cfRule type="cellIs" dxfId="59" priority="3" stopIfTrue="1" operator="greaterThan">
      <formula>$C$2</formula>
    </cfRule>
    <cfRule type="cellIs" dxfId="58" priority="4" stopIfTrue="1" operator="lessThan">
      <formula>$C$1</formula>
    </cfRule>
    <cfRule type="cellIs" dxfId="57" priority="5" stopIfTrue="1" operator="greaterThanOrEqual">
      <formula>$C$1</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 sqref="B1:E2"/>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c r="C1" s="120">
        <f>NominalTemp+TolMin</f>
        <v>0</v>
      </c>
      <c r="D1" s="114"/>
      <c r="E1" s="114">
        <f>NominalTemp+TolMin/2</f>
        <v>0</v>
      </c>
      <c r="F1" s="34" t="s">
        <v>74</v>
      </c>
      <c r="P1" s="306" t="str">
        <f>IF(Main!$E$30="","A10",ADDRESS(13+(MATCH(Main!$E$30,Data_Sheet!$A$14:$A$903,0)),1,4))</f>
        <v>A10</v>
      </c>
      <c r="Q1" s="306">
        <f>VALUE(MID(P1, 2, LEN(P1)-1))</f>
        <v>10</v>
      </c>
    </row>
    <row r="2" spans="1:17" x14ac:dyDescent="0.2">
      <c r="A2" s="113"/>
      <c r="B2" s="120"/>
      <c r="C2" s="120">
        <f>NominalTemp+TolMax</f>
        <v>0</v>
      </c>
      <c r="D2" s="114"/>
      <c r="E2" s="114">
        <f>NominalTemp+TolMax/2</f>
        <v>0</v>
      </c>
      <c r="F2" s="106"/>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s="39" t="e">
        <f>Main!D5</f>
        <v>#N/A</v>
      </c>
      <c r="L5" s="39"/>
      <c r="M5" s="627" t="s">
        <v>144</v>
      </c>
      <c r="N5" s="628"/>
      <c r="O5" s="629"/>
    </row>
    <row r="6" spans="1:17" ht="13.5" thickBot="1" x14ac:dyDescent="0.25">
      <c r="B6" s="117" t="s">
        <v>3</v>
      </c>
      <c r="C6" s="57" t="e">
        <f>Main!D6</f>
        <v>#N/A</v>
      </c>
      <c r="D6" s="39"/>
      <c r="E6" s="39"/>
      <c r="F6" s="39"/>
      <c r="G6" s="39"/>
      <c r="H6" s="39"/>
      <c r="I6" s="54" t="s">
        <v>5</v>
      </c>
      <c r="J6" s="53">
        <f>Main!D16</f>
        <v>0</v>
      </c>
      <c r="L6" s="39"/>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5Bq6bCN0HHimQ9WtYHu7EK5x65D6gtRBWj4frn/Vc/JdI5whMebmsRQqcXIjoVEzo8JvWXqyrhjC5QRiJwYpTg==" saltValue="Zx/VT8xS2onMu2564r24b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$E$1</formula>
      <formula>$E$2</formula>
    </cfRule>
    <cfRule type="cellIs" dxfId="54" priority="3" stopIfTrue="1" operator="greaterThan">
      <formula>$C$2</formula>
    </cfRule>
    <cfRule type="cellIs" dxfId="53" priority="4" stopIfTrue="1" operator="lessThan">
      <formula>$C$1</formula>
    </cfRule>
    <cfRule type="cellIs" dxfId="52" priority="6" stopIfTrue="1" operator="greaterThanOrEqual">
      <formula>$C$1</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IF(ISBLANK(Main!G93),"",Main!G93)</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394</v>
      </c>
      <c r="U11" s="290" t="s">
        <v>395</v>
      </c>
      <c r="V11" s="290" t="s">
        <v>396</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4dGSIPLTT3sKzWpiGMUUxsHY9HrbLb+f6GSNU8uTBhK4YsKSgliQ6gM6L8TwSqktrUQTX42K6F82HczNnq9MqQ==" saltValue="6klgdmzFvmgBKQO7DDbUSw=="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861</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IFERROR(HLOOKUP(C10+PT_index_offset,_xlfn.ANCHORARRAY('CorrectionFactors'!$I$2),4,0),"")</f>
        <v/>
      </c>
      <c r="D11" s="115" t="str">
        <f>IFERROR(HLOOKUP(D10+PT_index_offset,_xlfn.ANCHORARRAY('CorrectionFactors'!$I$2),4,0),"")</f>
        <v/>
      </c>
      <c r="E11" s="115" t="str">
        <f>IFERROR(HLOOKUP(E10+PT_index_offset,_xlfn.ANCHORARRAY('CorrectionFactors'!$I$2),4,0),"")</f>
        <v/>
      </c>
      <c r="F11" s="115" t="str">
        <f>IFERROR(HLOOKUP(F10+PT_index_offset,_xlfn.ANCHORARRAY('CorrectionFactors'!$I$2),4,0),"")</f>
        <v/>
      </c>
      <c r="G11" s="115" t="str">
        <f>IFERROR(HLOOKUP(G10+PT_index_offset,_xlfn.ANCHORARRAY('CorrectionFactors'!$I$2),4,0),"")</f>
        <v/>
      </c>
      <c r="H11" s="115" t="str">
        <f>IFERROR(HLOOKUP(H10+PT_index_offset,_xlfn.ANCHORARRAY('CorrectionFactors'!$I$2),4,0),"")</f>
        <v/>
      </c>
      <c r="I11" s="115" t="str">
        <f>IFERROR(HLOOKUP(I10+PT_index_offset,_xlfn.ANCHORARRAY('CorrectionFactors'!$I$2),4,0),"")</f>
        <v/>
      </c>
      <c r="J11" s="115" t="str">
        <f>IFERROR(HLOOKUP(J10+PT_index_offset,_xlfn.ANCHORARRAY('CorrectionFactors'!$I$2),4,0),"")</f>
        <v/>
      </c>
      <c r="K11" s="115" t="str">
        <f>IFERROR(HLOOKUP(K10+PT_index_offset,_xlfn.ANCHORARRAY('CorrectionFactors'!$I$2),4,0),"")</f>
        <v/>
      </c>
      <c r="L11" s="115" t="str">
        <f>IFERROR(HLOOKUP(L10+PT_index_offset,_xlfn.ANCHORARRAY('CorrectionFactors'!$I$2),4,0),"")</f>
        <v/>
      </c>
      <c r="M11" s="115" t="str">
        <f>IFERROR(HLOOKUP(M10+PT_index_offset,_xlfn.ANCHORARRAY('CorrectionFactors'!$I$2),4,0),"")</f>
        <v/>
      </c>
      <c r="N11" s="115" t="str">
        <f>IFERROR(HLOOKUP(N10+PT_index_offset,_xlfn.ANCHORARRAY('CorrectionFactors'!$I$2),4,0),"")</f>
        <v/>
      </c>
      <c r="O11" s="115" t="str">
        <f>IFERROR(HLOOKUP(O10+PT_index_offset,_xlfn.ANCHORARRAY('CorrectionFactors'!$I$2),4,0),"")</f>
        <v/>
      </c>
      <c r="P11" s="115" t="str">
        <f>IFERROR(HLOOKUP(P10+PT_index_offset,_xlfn.ANCHORARRAY('CorrectionFactors'!$I$2),4,0),"")</f>
        <v/>
      </c>
    </row>
    <row r="12" spans="1:16" x14ac:dyDescent="0.2">
      <c r="A12" s="39"/>
      <c r="B12" s="59" t="s">
        <v>30</v>
      </c>
      <c r="C12" s="115" t="str">
        <f>IFERROR(HLOOKUP(C10+PT_index_offset,_xlfn.ANCHORARRAY('CorrectionFactors'!$I$2),5,0),"")</f>
        <v/>
      </c>
      <c r="D12" s="115" t="str">
        <f>IFERROR(HLOOKUP(D10+PT_index_offset,_xlfn.ANCHORARRAY('CorrectionFactors'!$I$2),5,0),"")</f>
        <v/>
      </c>
      <c r="E12" s="115" t="str">
        <f>IFERROR(HLOOKUP(E10+PT_index_offset,_xlfn.ANCHORARRAY('CorrectionFactors'!$I$2),5,0),"")</f>
        <v/>
      </c>
      <c r="F12" s="115" t="str">
        <f>IFERROR(HLOOKUP(F10+PT_index_offset,_xlfn.ANCHORARRAY('CorrectionFactors'!$I$2),5,0),"")</f>
        <v/>
      </c>
      <c r="G12" s="115" t="str">
        <f>IFERROR(HLOOKUP(G10+PT_index_offset,_xlfn.ANCHORARRAY('CorrectionFactors'!$I$2),5,0),"")</f>
        <v/>
      </c>
      <c r="H12" s="115" t="str">
        <f>IFERROR(HLOOKUP(H10+PT_index_offset,_xlfn.ANCHORARRAY('CorrectionFactors'!$I$2),5,0),"")</f>
        <v/>
      </c>
      <c r="I12" s="115" t="str">
        <f>IFERROR(HLOOKUP(I10+PT_index_offset,_xlfn.ANCHORARRAY('CorrectionFactors'!$I$2),5,0),"")</f>
        <v/>
      </c>
      <c r="J12" s="115" t="str">
        <f>IFERROR(HLOOKUP(J10+PT_index_offset,_xlfn.ANCHORARRAY('CorrectionFactors'!$I$2),5,0),"")</f>
        <v/>
      </c>
      <c r="K12" s="115" t="str">
        <f>IFERROR(HLOOKUP(K10+PT_index_offset,_xlfn.ANCHORARRAY('CorrectionFactors'!$I$2),5,0),"")</f>
        <v/>
      </c>
      <c r="L12" s="115" t="str">
        <f>IFERROR(HLOOKUP(L10+PT_index_offset,_xlfn.ANCHORARRAY('CorrectionFactors'!$I$2),5,0),"")</f>
        <v/>
      </c>
      <c r="M12" s="115" t="str">
        <f>IFERROR(HLOOKUP(M10+PT_index_offset,_xlfn.ANCHORARRAY('CorrectionFactors'!$I$2),5,0),"")</f>
        <v/>
      </c>
      <c r="N12" s="115" t="str">
        <f>IFERROR(HLOOKUP(N10+PT_index_offset,_xlfn.ANCHORARRAY('CorrectionFactors'!$I$2),5,0),"")</f>
        <v/>
      </c>
      <c r="O12" s="115" t="str">
        <f>IFERROR(HLOOKUP(O10+PT_index_offset,_xlfn.ANCHORARRAY('CorrectionFactors'!$I$2),5,0),"")</f>
        <v/>
      </c>
      <c r="P12" s="115" t="str">
        <f>IFERROR(HLOOKUP(P10+PT_index_offset,_xlfn.ANCHORARRAY('CorrectionFactors'!$I$2),5,0),"")</f>
        <v/>
      </c>
    </row>
    <row r="13" spans="1:16" x14ac:dyDescent="0.2">
      <c r="A13" s="39"/>
      <c r="B13" s="59" t="s">
        <v>31</v>
      </c>
      <c r="C13" s="115" t="str">
        <f t="shared" ref="C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IFERROR(HLOOKUP(C16+PT_index_offset,_xlfn.ANCHORARRAY('CorrectionFactors'!$I$2),4,0),"")</f>
        <v/>
      </c>
      <c r="D17" s="115" t="str">
        <f>IFERROR(HLOOKUP(D16+PT_index_offset,_xlfn.ANCHORARRAY('CorrectionFactors'!$I$2),4,0),"")</f>
        <v/>
      </c>
      <c r="E17" s="115" t="str">
        <f>IFERROR(HLOOKUP(E16+PT_index_offset,_xlfn.ANCHORARRAY('CorrectionFactors'!$I$2),4,0),"")</f>
        <v/>
      </c>
      <c r="F17" s="115" t="str">
        <f>IFERROR(HLOOKUP(F16+PT_index_offset,_xlfn.ANCHORARRAY('CorrectionFactors'!$I$2),4,0),"")</f>
        <v/>
      </c>
      <c r="G17" s="115" t="str">
        <f>IFERROR(HLOOKUP(G16+PT_index_offset,_xlfn.ANCHORARRAY('CorrectionFactors'!$I$2),4,0),"")</f>
        <v/>
      </c>
      <c r="H17" s="115" t="str">
        <f>IFERROR(HLOOKUP(H16+PT_index_offset,_xlfn.ANCHORARRAY('CorrectionFactors'!$I$2),4,0),"")</f>
        <v/>
      </c>
      <c r="I17" s="115" t="str">
        <f>IFERROR(HLOOKUP(I16+PT_index_offset,_xlfn.ANCHORARRAY('CorrectionFactors'!$I$2),4,0),"")</f>
        <v/>
      </c>
      <c r="J17" s="115" t="str">
        <f>IFERROR(HLOOKUP(J16+PT_index_offset,_xlfn.ANCHORARRAY('CorrectionFactors'!$I$2),4,0),"")</f>
        <v/>
      </c>
      <c r="K17" s="115" t="str">
        <f>IFERROR(HLOOKUP(K16+PT_index_offset,_xlfn.ANCHORARRAY('CorrectionFactors'!$I$2),4,0),"")</f>
        <v/>
      </c>
      <c r="L17" s="115" t="str">
        <f>IFERROR(HLOOKUP(L16+PT_index_offset,_xlfn.ANCHORARRAY('CorrectionFactors'!$I$2),4,0),"")</f>
        <v/>
      </c>
      <c r="M17" s="115" t="str">
        <f>IFERROR(HLOOKUP(M16+PT_index_offset,_xlfn.ANCHORARRAY('CorrectionFactors'!$I$2),4,0),"")</f>
        <v/>
      </c>
      <c r="N17" s="115" t="str">
        <f>IFERROR(HLOOKUP(N16+PT_index_offset,_xlfn.ANCHORARRAY('CorrectionFactors'!$I$2),4,0),"")</f>
        <v/>
      </c>
      <c r="O17" s="115" t="str">
        <f>IFERROR(HLOOKUP(O16+PT_index_offset,_xlfn.ANCHORARRAY('CorrectionFactors'!$I$2),4,0),"")</f>
        <v/>
      </c>
      <c r="P17" s="115" t="str">
        <f>IFERROR(HLOOKUP(P16+PT_index_offset,_xlfn.ANCHORARRAY('CorrectionFactors'!$I$2),4,0),"")</f>
        <v/>
      </c>
    </row>
    <row r="18" spans="1:20" x14ac:dyDescent="0.2">
      <c r="A18" s="39"/>
      <c r="B18" s="59" t="s">
        <v>30</v>
      </c>
      <c r="C18" s="115" t="str">
        <f>IFERROR(HLOOKUP(C16+PT_index_offset,_xlfn.ANCHORARRAY('CorrectionFactors'!$I$2),5,0),"")</f>
        <v/>
      </c>
      <c r="D18" s="115" t="str">
        <f>IFERROR(HLOOKUP(D16+PT_index_offset,_xlfn.ANCHORARRAY('CorrectionFactors'!$I$2),5,0),"")</f>
        <v/>
      </c>
      <c r="E18" s="115" t="str">
        <f>IFERROR(HLOOKUP(E16+PT_index_offset,_xlfn.ANCHORARRAY('CorrectionFactors'!$I$2),5,0),"")</f>
        <v/>
      </c>
      <c r="F18" s="115" t="str">
        <f>IFERROR(HLOOKUP(F16+PT_index_offset,_xlfn.ANCHORARRAY('CorrectionFactors'!$I$2),5,0),"")</f>
        <v/>
      </c>
      <c r="G18" s="115" t="str">
        <f>IFERROR(HLOOKUP(G16+PT_index_offset,_xlfn.ANCHORARRAY('CorrectionFactors'!$I$2),5,0),"")</f>
        <v/>
      </c>
      <c r="H18" s="115" t="str">
        <f>IFERROR(HLOOKUP(H16+PT_index_offset,_xlfn.ANCHORARRAY('CorrectionFactors'!$I$2),5,0),"")</f>
        <v/>
      </c>
      <c r="I18" s="115" t="str">
        <f>IFERROR(HLOOKUP(I16+PT_index_offset,_xlfn.ANCHORARRAY('CorrectionFactors'!$I$2),5,0),"")</f>
        <v/>
      </c>
      <c r="J18" s="115" t="str">
        <f>IFERROR(HLOOKUP(J16+PT_index_offset,_xlfn.ANCHORARRAY('CorrectionFactors'!$I$2),5,0),"")</f>
        <v/>
      </c>
      <c r="K18" s="115" t="str">
        <f>IFERROR(HLOOKUP(K16+PT_index_offset,_xlfn.ANCHORARRAY('CorrectionFactors'!$I$2),5,0),"")</f>
        <v/>
      </c>
      <c r="L18" s="115" t="str">
        <f>IFERROR(HLOOKUP(L16+PT_index_offset,_xlfn.ANCHORARRAY('CorrectionFactors'!$I$2),5,0),"")</f>
        <v/>
      </c>
      <c r="M18" s="115" t="str">
        <f>IFERROR(HLOOKUP(M16+PT_index_offset,_xlfn.ANCHORARRAY('CorrectionFactors'!$I$2),5,0),"")</f>
        <v/>
      </c>
      <c r="N18" s="115" t="str">
        <f>IFERROR(HLOOKUP(N16+PT_index_offset,_xlfn.ANCHORARRAY('CorrectionFactors'!$I$2),5,0),"")</f>
        <v/>
      </c>
      <c r="O18" s="115" t="str">
        <f>IFERROR(HLOOKUP(O16+PT_index_offset,_xlfn.ANCHORARRAY('CorrectionFactors'!$I$2),5,0),"")</f>
        <v/>
      </c>
      <c r="P18" s="115" t="str">
        <f>IFERROR(HLOOKUP(P16+PT_index_offset,_xlfn.ANCHORARRAY('CorrectionFactors'!$I$2),5,0),"")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IFERROR(HLOOKUP(C22+PT_index_offset,_xlfn.ANCHORARRAY('CorrectionFactors'!$I$2),4,0),"")</f>
        <v/>
      </c>
      <c r="D23" s="115" t="str">
        <f>IFERROR(HLOOKUP(D22+PT_index_offset,_xlfn.ANCHORARRAY('CorrectionFactors'!$I$2),4,0),"")</f>
        <v/>
      </c>
      <c r="E23" s="115" t="str">
        <f>IFERROR(HLOOKUP(E22+PT_index_offset,_xlfn.ANCHORARRAY('CorrectionFactors'!$I$2),4,0),"")</f>
        <v/>
      </c>
      <c r="F23" s="115" t="str">
        <f>IFERROR(HLOOKUP(F22+PT_index_offset,_xlfn.ANCHORARRAY('CorrectionFactors'!$I$2),4,0),"")</f>
        <v/>
      </c>
      <c r="G23" s="115" t="str">
        <f>IFERROR(HLOOKUP(G22+PT_index_offset,_xlfn.ANCHORARRAY('CorrectionFactors'!$I$2),4,0),"")</f>
        <v/>
      </c>
      <c r="H23" s="115" t="str">
        <f>IFERROR(HLOOKUP(H22+PT_index_offset,_xlfn.ANCHORARRAY('CorrectionFactors'!$I$2),4,0),"")</f>
        <v/>
      </c>
      <c r="I23" s="115" t="str">
        <f>IFERROR(HLOOKUP(I22+PT_index_offset,_xlfn.ANCHORARRAY('CorrectionFactors'!$I$2),4,0),"")</f>
        <v/>
      </c>
      <c r="J23" s="115" t="str">
        <f>IFERROR(HLOOKUP(J22+PT_index_offset,_xlfn.ANCHORARRAY('CorrectionFactors'!$I$2),4,0),"")</f>
        <v/>
      </c>
      <c r="K23" s="115" t="str">
        <f>IFERROR(HLOOKUP(K22+PT_index_offset,_xlfn.ANCHORARRAY('CorrectionFactors'!$I$2),4,0),"")</f>
        <v/>
      </c>
      <c r="L23" s="115" t="str">
        <f>IFERROR(HLOOKUP(L22+PT_index_offset,_xlfn.ANCHORARRAY('CorrectionFactors'!$I$2),4,0),"")</f>
        <v/>
      </c>
      <c r="M23" s="115" t="str">
        <f>IFERROR(HLOOKUP(M22+PT_index_offset,_xlfn.ANCHORARRAY('CorrectionFactors'!$I$2),4,0),"")</f>
        <v/>
      </c>
      <c r="N23" s="115" t="str">
        <f>IFERROR(HLOOKUP(N22+PT_index_offset,_xlfn.ANCHORARRAY('CorrectionFactors'!$I$2),4,0),"")</f>
        <v/>
      </c>
      <c r="O23" s="39"/>
      <c r="P23" s="39"/>
    </row>
    <row r="24" spans="1:20" x14ac:dyDescent="0.2">
      <c r="A24" s="39"/>
      <c r="B24" s="59" t="s">
        <v>30</v>
      </c>
      <c r="C24" s="115" t="str">
        <f>IFERROR(HLOOKUP(C22+PT_index_offset,_xlfn.ANCHORARRAY('CorrectionFactors'!$I$2),5,0),"")</f>
        <v/>
      </c>
      <c r="D24" s="115" t="str">
        <f>IFERROR(HLOOKUP(D22+PT_index_offset,_xlfn.ANCHORARRAY('CorrectionFactors'!$I$2),5,0),"")</f>
        <v/>
      </c>
      <c r="E24" s="115" t="str">
        <f>IFERROR(HLOOKUP(E22+PT_index_offset,_xlfn.ANCHORARRAY('CorrectionFactors'!$I$2),5,0),"")</f>
        <v/>
      </c>
      <c r="F24" s="115" t="str">
        <f>IFERROR(HLOOKUP(F22+PT_index_offset,_xlfn.ANCHORARRAY('CorrectionFactors'!$I$2),5,0),"")</f>
        <v/>
      </c>
      <c r="G24" s="115" t="str">
        <f>IFERROR(HLOOKUP(G22+PT_index_offset,_xlfn.ANCHORARRAY('CorrectionFactors'!$I$2),5,0),"")</f>
        <v/>
      </c>
      <c r="H24" s="115" t="str">
        <f>IFERROR(HLOOKUP(H22+PT_index_offset,_xlfn.ANCHORARRAY('CorrectionFactors'!$I$2),5,0),"")</f>
        <v/>
      </c>
      <c r="I24" s="115" t="str">
        <f>IFERROR(HLOOKUP(I22+PT_index_offset,_xlfn.ANCHORARRAY('CorrectionFactors'!$I$2),5,0),"")</f>
        <v/>
      </c>
      <c r="J24" s="115" t="str">
        <f>IFERROR(HLOOKUP(J22+PT_index_offset,_xlfn.ANCHORARRAY('CorrectionFactors'!$I$2),5,0),"")</f>
        <v/>
      </c>
      <c r="K24" s="115" t="str">
        <f>IFERROR(HLOOKUP(K22+PT_index_offset,_xlfn.ANCHORARRAY('CorrectionFactors'!$I$2),5,0),"")</f>
        <v/>
      </c>
      <c r="L24" s="115" t="str">
        <f>IFERROR(HLOOKUP(L22+PT_index_offset,_xlfn.ANCHORARRAY('CorrectionFactors'!$I$2),5,0),"")</f>
        <v/>
      </c>
      <c r="M24" s="115" t="str">
        <f>IFERROR(HLOOKUP(M22+PT_index_offset,_xlfn.ANCHORARRAY('CorrectionFactors'!$I$2),5,0),"")</f>
        <v/>
      </c>
      <c r="N24" s="115" t="str">
        <f>IFERROR(HLOOKUP(N22+PT_index_offset,_xlfn.ANCHORARRAY('CorrectionFactors'!$I$2),5,0),"")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40" t="s">
        <v>345</v>
      </c>
      <c r="I28" s="640"/>
      <c r="J28" s="640"/>
      <c r="K28" s="640"/>
      <c r="L28" s="640"/>
      <c r="M28" s="640"/>
      <c r="N28" s="640"/>
      <c r="O28" s="640"/>
      <c r="P28" s="640"/>
      <c r="Q28" s="640"/>
      <c r="R28" s="640"/>
    </row>
    <row r="29" spans="1:20" x14ac:dyDescent="0.2">
      <c r="A29" s="646" t="s">
        <v>34</v>
      </c>
      <c r="B29" s="647"/>
      <c r="C29" s="49" t="str">
        <f>IF(Main!D48="","",Main!D48)</f>
        <v/>
      </c>
      <c r="D29" s="49" t="str">
        <f>IF(Main!E48="","",Main!E48)</f>
        <v/>
      </c>
      <c r="E29" s="49" t="str">
        <f>IF(Main!F48="","",Main!F48)</f>
        <v/>
      </c>
      <c r="F29" s="49" t="str">
        <f>IF(Main!G48="","",Main!G48)</f>
        <v/>
      </c>
      <c r="G29" s="272"/>
      <c r="H29" s="269" t="s">
        <v>346</v>
      </c>
      <c r="I29" s="115" t="str">
        <f>IF(Main!N47="","",Main!N47)</f>
        <v>Periodic</v>
      </c>
      <c r="J29" s="648" t="s">
        <v>347</v>
      </c>
      <c r="K29" s="649"/>
      <c r="L29" s="115" t="str">
        <f>IF(Main!R47="","",Main!R47)</f>
        <v>Air</v>
      </c>
    </row>
    <row r="30" spans="1:20" x14ac:dyDescent="0.2">
      <c r="A30" s="646" t="s">
        <v>35</v>
      </c>
      <c r="B30" s="647"/>
      <c r="C30" s="50" t="str">
        <f>IF(Main!D49="","",Main!D49)</f>
        <v/>
      </c>
      <c r="D30" s="50" t="str">
        <f>IF(Main!E49="","",Main!E49)</f>
        <v/>
      </c>
      <c r="E30" s="50" t="str">
        <f>IF(Main!F49="","",Main!F49)</f>
        <v/>
      </c>
      <c r="F30" s="50" t="str">
        <f>IF(Main!G49="","",Main!G49)</f>
        <v/>
      </c>
      <c r="G30" s="274"/>
      <c r="H30" s="641" t="s">
        <v>333</v>
      </c>
      <c r="I30" s="641"/>
      <c r="J30" s="650" t="s">
        <v>380</v>
      </c>
      <c r="K30" s="651"/>
      <c r="L30" s="652"/>
      <c r="M30" s="266"/>
      <c r="O30" s="642" t="s">
        <v>383</v>
      </c>
      <c r="P30" s="643"/>
      <c r="Q30" s="644"/>
      <c r="T30" s="39"/>
    </row>
    <row r="31" spans="1:20" x14ac:dyDescent="0.2">
      <c r="A31" s="646" t="s">
        <v>36</v>
      </c>
      <c r="B31" s="647"/>
      <c r="C31" s="50" t="str">
        <f>IF(Main!D50="","",Main!D50)</f>
        <v/>
      </c>
      <c r="D31" s="50" t="str">
        <f>IF(Main!E50="","",Main!E50)</f>
        <v/>
      </c>
      <c r="E31" s="50" t="str">
        <f>IF(Main!F50="","",Main!F50)</f>
        <v/>
      </c>
      <c r="F31" s="50" t="str">
        <f>IF(Main!G50="","",Main!G50)</f>
        <v/>
      </c>
      <c r="G31" s="274"/>
      <c r="H31" s="254" t="s">
        <v>348</v>
      </c>
      <c r="I31" s="256" t="str">
        <f>IF(Main!N49="","",Main!N49)</f>
        <v/>
      </c>
      <c r="J31" s="665" t="s">
        <v>388</v>
      </c>
      <c r="K31" s="666"/>
      <c r="L31" s="667"/>
      <c r="M31" s="267" t="str">
        <f>IF(Main!S49="","",Main!S49)</f>
        <v/>
      </c>
      <c r="O31" s="531" t="s">
        <v>390</v>
      </c>
      <c r="P31" s="532"/>
      <c r="Q31" s="645"/>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2"/>
      <c r="H32" s="254" t="s">
        <v>364</v>
      </c>
      <c r="I32" s="256" t="str">
        <f>IF(Main!N50="","",Main!N50)</f>
        <v/>
      </c>
      <c r="J32" s="656" t="s">
        <v>336</v>
      </c>
      <c r="K32" s="657"/>
      <c r="L32" s="658"/>
      <c r="M32" s="262"/>
      <c r="O32" s="656" t="s">
        <v>336</v>
      </c>
      <c r="P32" s="657"/>
      <c r="Q32" s="658"/>
      <c r="T32" s="39"/>
    </row>
    <row r="33" spans="1:20" ht="12.75" customHeight="1" x14ac:dyDescent="0.2">
      <c r="A33" s="646" t="s">
        <v>349</v>
      </c>
      <c r="B33" s="647"/>
      <c r="C33" s="49" t="str">
        <f>IF(Main!D52="","",Main!D52)</f>
        <v/>
      </c>
      <c r="D33" s="49" t="str">
        <f>IF(Main!E52="","",Main!E52)</f>
        <v/>
      </c>
      <c r="E33" s="49" t="str">
        <f>IF(Main!F52="","",Main!F52)</f>
        <v/>
      </c>
      <c r="F33" s="49" t="str">
        <f>IF(Main!G52="","",Main!G52)</f>
        <v/>
      </c>
      <c r="G33" s="272"/>
      <c r="H33" s="254" t="s">
        <v>350</v>
      </c>
      <c r="I33" s="256" t="str">
        <f>IF(Main!N51="","",Main!N51)</f>
        <v/>
      </c>
      <c r="J33" s="653" t="s">
        <v>389</v>
      </c>
      <c r="K33" s="654"/>
      <c r="L33" s="655"/>
      <c r="M33" s="261" t="str">
        <f>IF(Main!S51="","",Main!S51)</f>
        <v/>
      </c>
      <c r="O33" s="653" t="s">
        <v>391</v>
      </c>
      <c r="P33" s="654"/>
      <c r="Q33" s="655"/>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5"/>
      <c r="H34" s="254" t="s">
        <v>351</v>
      </c>
      <c r="I34" s="253" t="str">
        <f>IF(Main!N52="","",Main!N52)</f>
        <v/>
      </c>
      <c r="J34" s="656" t="s">
        <v>336</v>
      </c>
      <c r="K34" s="657"/>
      <c r="L34" s="658"/>
      <c r="O34" s="656" t="s">
        <v>336</v>
      </c>
      <c r="P34" s="657"/>
      <c r="Q34" s="658"/>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351</v>
      </c>
      <c r="I35" s="253" t="str">
        <f>IF(Main!N53="","",Main!N53)</f>
        <v/>
      </c>
      <c r="J35" s="659" t="s">
        <v>392</v>
      </c>
      <c r="K35" s="660"/>
      <c r="L35" s="661"/>
      <c r="M35" s="270" t="str">
        <f>IF(Main!S53="","",Main!S53)</f>
        <v/>
      </c>
      <c r="O35" s="659" t="s">
        <v>393</v>
      </c>
      <c r="P35" s="660"/>
      <c r="Q35" s="661"/>
      <c r="R35" s="271" t="str">
        <f>IF(Main!X53="","",Main!X53)</f>
        <v/>
      </c>
    </row>
    <row r="36" spans="1:20" ht="13.5" thickBot="1" x14ac:dyDescent="0.25">
      <c r="B36" s="61" t="s">
        <v>352</v>
      </c>
      <c r="C36" s="49" t="str">
        <f>IF(Main!D56="","",Main!D56)</f>
        <v/>
      </c>
      <c r="D36" s="49" t="str">
        <f>IF(Main!E56="","",Main!E56)</f>
        <v/>
      </c>
      <c r="E36" s="49" t="str">
        <f>IF(Main!F56="","",Main!F56)</f>
        <v/>
      </c>
      <c r="F36" s="49" t="str">
        <f>IF(Main!G56="","",Main!G56)</f>
        <v/>
      </c>
      <c r="G36" s="272"/>
      <c r="H36" s="273"/>
      <c r="J36" s="662"/>
      <c r="K36" s="663"/>
      <c r="L36" s="664"/>
      <c r="M36" s="265"/>
      <c r="O36" s="662"/>
      <c r="P36" s="663"/>
      <c r="Q36" s="664"/>
      <c r="T36" s="39"/>
    </row>
    <row r="37" spans="1:20" ht="13.5" thickBot="1" x14ac:dyDescent="0.25">
      <c r="B37" s="59" t="s">
        <v>353</v>
      </c>
      <c r="C37" s="49" t="str">
        <f>IF(Main!D57="","",Main!D57)</f>
        <v/>
      </c>
      <c r="D37" s="49" t="str">
        <f>IF(Main!E57="","",Main!E57)</f>
        <v/>
      </c>
      <c r="E37" s="49" t="str">
        <f>IF(Main!F57="","",Main!F57)</f>
        <v/>
      </c>
      <c r="F37" s="49" t="str">
        <f>IF(Main!G57="","",Main!G57)</f>
        <v/>
      </c>
      <c r="G37" s="272"/>
      <c r="H37" s="273"/>
      <c r="J37" s="280" t="s">
        <v>339</v>
      </c>
      <c r="K37" s="281" t="s">
        <v>14</v>
      </c>
      <c r="L37" s="282" t="s">
        <v>340</v>
      </c>
      <c r="M37" s="265"/>
      <c r="O37" s="280" t="s">
        <v>341</v>
      </c>
      <c r="P37" s="281" t="s">
        <v>14</v>
      </c>
      <c r="Q37" s="282" t="s">
        <v>342</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362</v>
      </c>
      <c r="M39" s="283"/>
    </row>
    <row r="40" spans="1:20" ht="15.75" x14ac:dyDescent="0.25">
      <c r="B40" s="264"/>
      <c r="C40" s="264"/>
      <c r="D40" s="264"/>
      <c r="E40" s="264"/>
      <c r="K40" s="59" t="s">
        <v>365</v>
      </c>
      <c r="L40">
        <f>IF(Main!N54="","",Main!N54)</f>
        <v>0</v>
      </c>
      <c r="O40" s="59" t="s">
        <v>367</v>
      </c>
      <c r="P40">
        <f>IF(Main!N56="","",Main!N56)</f>
        <v>0</v>
      </c>
    </row>
    <row r="41" spans="1:20" x14ac:dyDescent="0.2">
      <c r="K41" s="59" t="s">
        <v>366</v>
      </c>
      <c r="L41">
        <f>IF(Main!N55="","",Main!N55)</f>
        <v>0</v>
      </c>
      <c r="O41" s="59" t="s">
        <v>368</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vv5OgROfBBm5mxper61DqqqqomVotLDdDcCu2uxFGSo25IrmJoNbUMvAXRBD4GAfmUZ0AnTcy94cK0NTY2zjug==" saltValue="XSBNIf3vscHvJgAm45+fZ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b6kmx6d2wB9aZWMkyylM9wKHJKX9Gd/yA4aWJ0fr0NuMf7FCAZGkztlBMq4UuBUf3/KuLZratFOoL8QFQLf7IQ==" saltValue="JT8+/uNVhQv31MelYu2BC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6"/>
      <c r="C1" s="606"/>
      <c r="D1" s="606"/>
      <c r="E1" s="35" t="s">
        <v>156</v>
      </c>
      <c r="G1" s="606" t="s">
        <v>68</v>
      </c>
      <c r="H1" s="606"/>
      <c r="K1" t="s">
        <v>92</v>
      </c>
      <c r="M1" t="s">
        <v>93</v>
      </c>
      <c r="O1" t="s">
        <v>123</v>
      </c>
      <c r="Q1" t="s">
        <v>132</v>
      </c>
      <c r="S1" t="s">
        <v>138</v>
      </c>
      <c r="U1" s="39" t="s">
        <v>168</v>
      </c>
      <c r="W1" s="39" t="s">
        <v>172</v>
      </c>
      <c r="Y1" s="39" t="s">
        <v>223</v>
      </c>
      <c r="AA1" s="39" t="s">
        <v>224</v>
      </c>
      <c r="AC1" s="39" t="s">
        <v>257</v>
      </c>
      <c r="AE1" s="64" t="s">
        <v>354</v>
      </c>
      <c r="AG1" s="36" t="s">
        <v>361</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558</v>
      </c>
      <c r="H2" t="s">
        <v>71</v>
      </c>
      <c r="K2" t="s">
        <v>83</v>
      </c>
      <c r="M2" t="s">
        <v>94</v>
      </c>
      <c r="Q2" t="s">
        <v>133</v>
      </c>
      <c r="S2" t="s">
        <v>80</v>
      </c>
      <c r="U2" s="39" t="s">
        <v>169</v>
      </c>
      <c r="W2">
        <f>IF(Main!D32 = 10, 5, IF(Main!D32 = 30, 15, IF(Main!D32 = 40, 20, 0)))</f>
        <v>0</v>
      </c>
      <c r="Y2" t="s">
        <v>198</v>
      </c>
      <c r="AC2" s="39" t="s">
        <v>259</v>
      </c>
      <c r="AE2" s="39" t="s">
        <v>355</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559</v>
      </c>
      <c r="H3" t="s">
        <v>69</v>
      </c>
      <c r="K3" t="s">
        <v>84</v>
      </c>
      <c r="M3" t="s">
        <v>95</v>
      </c>
      <c r="O3" t="s">
        <v>124</v>
      </c>
      <c r="Q3" s="39" t="s">
        <v>165</v>
      </c>
      <c r="S3" t="s">
        <v>140</v>
      </c>
      <c r="U3" s="39" t="s">
        <v>322</v>
      </c>
      <c r="Y3" t="s">
        <v>199</v>
      </c>
      <c r="AC3" s="39" t="s">
        <v>258</v>
      </c>
      <c r="AE3" s="39" t="s">
        <v>379</v>
      </c>
      <c r="AG3" s="39" t="str">
        <v>James Haven</v>
      </c>
      <c r="AH3" s="39"/>
    </row>
    <row r="4" spans="1:34" x14ac:dyDescent="0.2">
      <c r="A4" s="35" t="str">
        <v>J3</v>
      </c>
      <c r="B4" s="35" t="str">
        <v>DaqBook/2005</v>
      </c>
      <c r="C4" s="35" t="str">
        <v>807705</v>
      </c>
      <c r="D4" s="35" t="str">
        <f t="shared" si="0"/>
        <v>"J" IRON-CONSTANTAN</v>
      </c>
      <c r="E4" s="35">
        <v>28</v>
      </c>
      <c r="G4" s="39" t="s">
        <v>557</v>
      </c>
      <c r="H4" t="s">
        <v>70</v>
      </c>
      <c r="K4" t="s">
        <v>95</v>
      </c>
      <c r="M4" t="s">
        <v>105</v>
      </c>
      <c r="O4" t="s">
        <v>130</v>
      </c>
      <c r="Q4" t="s">
        <v>134</v>
      </c>
      <c r="S4" t="s">
        <v>139</v>
      </c>
      <c r="U4" s="39" t="s">
        <v>170</v>
      </c>
      <c r="Y4" t="s">
        <v>200</v>
      </c>
      <c r="AE4" s="39" t="s">
        <v>330</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201</v>
      </c>
      <c r="AG5" s="39" t="str">
        <v>Joey Craig</v>
      </c>
      <c r="AH5" s="39"/>
    </row>
    <row r="6" spans="1:34" x14ac:dyDescent="0.2">
      <c r="A6" s="35" t="str">
        <v>K5</v>
      </c>
      <c r="B6" s="35" t="str">
        <v>DaqBook/2005</v>
      </c>
      <c r="C6" s="35" t="str">
        <v>808005</v>
      </c>
      <c r="D6" s="35" t="str">
        <f t="shared" si="0"/>
        <v>"K" CHROMEL-ALUMEL</v>
      </c>
      <c r="E6" s="35">
        <v>28</v>
      </c>
      <c r="K6" t="s">
        <v>114</v>
      </c>
      <c r="O6" t="s">
        <v>106</v>
      </c>
      <c r="Q6" s="39" t="s">
        <v>376</v>
      </c>
      <c r="U6" s="39" t="s">
        <v>111</v>
      </c>
      <c r="Y6" t="s">
        <v>202</v>
      </c>
      <c r="AG6" s="39" t="str">
        <v>Joey Knutson</v>
      </c>
      <c r="AH6" s="39"/>
    </row>
    <row r="7" spans="1:34" x14ac:dyDescent="0.2">
      <c r="A7" s="35" t="str">
        <v>K6</v>
      </c>
      <c r="B7" s="35" t="str">
        <v>DaqBook/2005</v>
      </c>
      <c r="C7" s="35" t="str">
        <v>808173</v>
      </c>
      <c r="D7" s="35" t="str">
        <f t="shared" si="0"/>
        <v>"K" CHROMEL-ALUMEL</v>
      </c>
      <c r="E7" s="35">
        <v>40</v>
      </c>
      <c r="O7" t="s">
        <v>127</v>
      </c>
      <c r="Q7" s="39" t="s">
        <v>377</v>
      </c>
      <c r="U7" s="39" t="s">
        <v>171</v>
      </c>
      <c r="Y7" t="s">
        <v>203</v>
      </c>
      <c r="AG7" s="39" t="str">
        <v>Kevin Ferrante</v>
      </c>
      <c r="AH7" s="39"/>
    </row>
    <row r="8" spans="1:34" x14ac:dyDescent="0.2">
      <c r="A8" s="35" t="str">
        <v>K7</v>
      </c>
      <c r="B8" s="72" t="str">
        <v>DaqBook/2005</v>
      </c>
      <c r="C8" s="72" t="str">
        <v>22500C0</v>
      </c>
      <c r="D8" s="35" t="str">
        <f t="shared" si="0"/>
        <v>"K" CHROMEL-ALUMEL</v>
      </c>
      <c r="E8" s="35">
        <v>28</v>
      </c>
      <c r="O8" t="s">
        <v>126</v>
      </c>
      <c r="Q8" s="39" t="s">
        <v>378</v>
      </c>
      <c r="U8" t="str">
        <f>IF(AND(Main!D17&lt;&gt;"",Main!D17&gt;14),"Data_Sheet_15_28","")</f>
        <v/>
      </c>
      <c r="Y8" t="s">
        <v>204</v>
      </c>
      <c r="AE8" s="64" t="s">
        <v>356</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205</v>
      </c>
      <c r="AE9" s="39" t="s">
        <v>332</v>
      </c>
      <c r="AG9" s="39" t="str">
        <v>Mike Ragonese</v>
      </c>
      <c r="AH9" s="39"/>
    </row>
    <row r="10" spans="1:34" x14ac:dyDescent="0.2">
      <c r="O10" t="s">
        <v>125</v>
      </c>
      <c r="Y10" t="s">
        <v>207</v>
      </c>
      <c r="AE10" s="39" t="s">
        <v>357</v>
      </c>
      <c r="AG10" s="39" t="str">
        <v>Nick Nolte</v>
      </c>
      <c r="AH10" s="39"/>
    </row>
    <row r="11" spans="1:34" x14ac:dyDescent="0.2">
      <c r="O11" t="s">
        <v>129</v>
      </c>
      <c r="Y11" s="39" t="s">
        <v>233</v>
      </c>
      <c r="AE11" s="39" t="s">
        <v>135</v>
      </c>
      <c r="AG11" t="str">
        <v>Ryan Byars</v>
      </c>
    </row>
    <row r="12" spans="1:34" x14ac:dyDescent="0.2">
      <c r="O12" t="s">
        <v>128</v>
      </c>
      <c r="Y12" s="39" t="s">
        <v>370</v>
      </c>
      <c r="AE12" s="39" t="s">
        <v>358</v>
      </c>
    </row>
    <row r="13" spans="1:34" x14ac:dyDescent="0.2">
      <c r="O13" s="39" t="s">
        <v>373</v>
      </c>
      <c r="Y13" t="s">
        <v>208</v>
      </c>
      <c r="AE13" s="39" t="s">
        <v>359</v>
      </c>
    </row>
    <row r="14" spans="1:34" x14ac:dyDescent="0.2">
      <c r="Y14" t="s">
        <v>209</v>
      </c>
      <c r="AE14" s="39" t="s">
        <v>360</v>
      </c>
    </row>
    <row r="15" spans="1:34" x14ac:dyDescent="0.2">
      <c r="Y15" t="s">
        <v>210</v>
      </c>
      <c r="AE15" s="39" t="s">
        <v>372</v>
      </c>
    </row>
    <row r="16" spans="1:34" x14ac:dyDescent="0.2">
      <c r="F16" s="42"/>
      <c r="G16" s="42"/>
      <c r="H16" s="42"/>
      <c r="I16" s="42"/>
      <c r="J16" s="42"/>
      <c r="K16" s="42"/>
      <c r="L16" s="42"/>
      <c r="M16" s="42"/>
      <c r="O16" s="42"/>
      <c r="Y16" t="s">
        <v>211</v>
      </c>
    </row>
    <row r="17" spans="25:25" x14ac:dyDescent="0.2">
      <c r="Y17" s="39" t="s">
        <v>263</v>
      </c>
    </row>
    <row r="18" spans="25:25" x14ac:dyDescent="0.2">
      <c r="Y18" t="s">
        <v>212</v>
      </c>
    </row>
    <row r="19" spans="25:25" x14ac:dyDescent="0.2">
      <c r="Y19" t="s">
        <v>213</v>
      </c>
    </row>
    <row r="20" spans="25:25" x14ac:dyDescent="0.2">
      <c r="Y20" t="s">
        <v>214</v>
      </c>
    </row>
    <row r="21" spans="25:25" x14ac:dyDescent="0.2">
      <c r="Y21" t="s">
        <v>215</v>
      </c>
    </row>
    <row r="22" spans="25:25" x14ac:dyDescent="0.2">
      <c r="Y22" t="s">
        <v>216</v>
      </c>
    </row>
    <row r="23" spans="25:25" x14ac:dyDescent="0.2">
      <c r="Y23" s="39" t="s">
        <v>243</v>
      </c>
    </row>
    <row r="24" spans="25:25" x14ac:dyDescent="0.2">
      <c r="Y24" s="39" t="s">
        <v>255</v>
      </c>
    </row>
    <row r="25" spans="25:25" x14ac:dyDescent="0.2">
      <c r="Y25" s="39" t="s">
        <v>327</v>
      </c>
    </row>
    <row r="26" spans="25:25" x14ac:dyDescent="0.2">
      <c r="Y26" t="s">
        <v>217</v>
      </c>
    </row>
    <row r="27" spans="25:25" x14ac:dyDescent="0.2">
      <c r="Y27" t="s">
        <v>218</v>
      </c>
    </row>
    <row r="28" spans="25:25" x14ac:dyDescent="0.2">
      <c r="Y28" s="39" t="s">
        <v>256</v>
      </c>
    </row>
    <row r="29" spans="25:25" x14ac:dyDescent="0.2">
      <c r="Y29" t="s">
        <v>188</v>
      </c>
    </row>
    <row r="30" spans="25:25" x14ac:dyDescent="0.2">
      <c r="Y30" s="39" t="s">
        <v>265</v>
      </c>
    </row>
    <row r="31" spans="25:25" x14ac:dyDescent="0.2">
      <c r="Y31" t="s">
        <v>190</v>
      </c>
    </row>
    <row r="32" spans="25:25" x14ac:dyDescent="0.2">
      <c r="Y32" t="s">
        <v>193</v>
      </c>
    </row>
    <row r="33" spans="25:25" x14ac:dyDescent="0.2">
      <c r="Y33" t="s">
        <v>196</v>
      </c>
    </row>
    <row r="34" spans="25:25" x14ac:dyDescent="0.2">
      <c r="Y34" t="s">
        <v>197</v>
      </c>
    </row>
    <row r="35" spans="25:25" x14ac:dyDescent="0.2">
      <c r="Y35" s="39" t="s">
        <v>260</v>
      </c>
    </row>
  </sheetData>
  <sheetProtection algorithmName="SHA-512" hashValue="q2TleN2OE2vUsnjpx7yuVAhDEKCtaq7CZrT7TsgJXBwcK+SDhsXlws0DOheeLmtYvUYUR3u7btrGA1ymplntuQ==" saltValue="ppl7gSzD41ulutZBBzHeC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80</vt:i4>
      </vt:variant>
    </vt:vector>
  </HeadingPairs>
  <TitlesOfParts>
    <vt:vector size="11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RangeMax</vt:lpstr>
      <vt:lpstr>RangeMin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2025-07-17T22:57:36Z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