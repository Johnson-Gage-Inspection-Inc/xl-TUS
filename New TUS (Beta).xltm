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DBE444C-BC4C-4BD3-A89E-ACD120EF7391}"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WireSets!$A$1:$N$29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71" l="1"/>
  <c r="D2" i="71"/>
  <c r="AQ2" i="77" s="1" a="1"/>
  <c r="AQ2" i="77" s="1"/>
  <c r="D6" i="8"/>
  <c r="D11" i="8"/>
  <c r="J8" i="90"/>
  <c r="J5" i="90" a="1"/>
  <c r="J5" i="90" s="1"/>
  <c r="A38" i="8"/>
  <c r="G19" i="4" s="1"/>
  <c r="A39" i="8"/>
  <c r="J19" i="4" s="1"/>
  <c r="A40" i="8"/>
  <c r="M19" i="4" s="1"/>
  <c r="A41" i="8"/>
  <c r="D31" i="4" s="1"/>
  <c r="A42" i="8"/>
  <c r="G31" i="4" s="1"/>
  <c r="A43" i="8"/>
  <c r="J31" i="4" s="1"/>
  <c r="A44" i="8"/>
  <c r="M31" i="4" s="1"/>
  <c r="A37" i="8"/>
  <c r="D19"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O9" i="90" l="1" a="1"/>
  <c r="O9" i="90" s="1"/>
  <c r="O4" i="90" a="1"/>
  <c r="O4" i="90" s="1"/>
  <c r="O5" i="90" a="1"/>
  <c r="O5" i="90" s="1"/>
  <c r="P3" i="90"/>
  <c r="M3" i="90" s="1"/>
  <c r="P2" i="90"/>
  <c r="Q2" i="90" s="1"/>
  <c r="D36" i="8"/>
  <c r="E36" i="8" s="1"/>
  <c r="F36" i="8" s="1"/>
  <c r="G36" i="8" s="1"/>
  <c r="J2" i="90"/>
  <c r="O7" i="90" l="1"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P14" i="8" l="1"/>
  <c r="P11" i="8"/>
  <c r="P13" i="8"/>
  <c r="P12" i="8"/>
  <c r="P9" i="8"/>
  <c r="P8" i="8"/>
  <c r="P7" i="8"/>
  <c r="P6" i="8"/>
  <c r="J7" i="90"/>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S36" i="8" a="1"/>
  <c r="S41" i="8" a="1"/>
  <c r="R22" i="8" a="1"/>
  <c r="R19" i="8" a="1"/>
  <c r="S39" i="8" a="1"/>
  <c r="R18" i="8" a="1"/>
  <c r="R13" i="8" a="1"/>
  <c r="S23" i="8" a="1"/>
  <c r="S22" i="8" a="1"/>
  <c r="R7" i="8" a="1"/>
  <c r="S9" i="8" a="1"/>
  <c r="R15" i="8" a="1"/>
  <c r="R32" i="8" a="1"/>
  <c r="R39" i="8" a="1"/>
  <c r="R38" i="8" a="1"/>
  <c r="R34" i="8" a="1"/>
  <c r="S32" i="8" a="1"/>
  <c r="R20" i="8" a="1"/>
  <c r="R31" i="8" a="1"/>
  <c r="S5" i="8" a="1"/>
  <c r="S10" i="8" a="1"/>
  <c r="S42" i="8" a="1"/>
  <c r="R16" i="8" a="1"/>
  <c r="S6" i="8" a="1"/>
  <c r="R27" i="8" a="1"/>
  <c r="R40" i="8" a="1"/>
  <c r="S14" i="8" a="1"/>
  <c r="R30" i="8" a="1"/>
  <c r="R28" i="8" a="1"/>
  <c r="S24" i="8" a="1"/>
  <c r="R37" i="8" a="1"/>
  <c r="S27" i="8" a="1"/>
  <c r="S20" i="8" a="1"/>
  <c r="S25" i="8" a="1"/>
  <c r="R6" i="8" a="1"/>
  <c r="R5" i="8" a="1"/>
  <c r="S12" i="8" a="1"/>
  <c r="S11" i="8" a="1"/>
  <c r="R25" i="8" a="1"/>
  <c r="S33" i="8" a="1"/>
  <c r="S21" i="8" a="1"/>
  <c r="S35" i="8" a="1"/>
  <c r="S30" i="8" a="1"/>
  <c r="S37" i="8" a="1"/>
  <c r="R10" i="8" a="1"/>
  <c r="R43" i="8" a="1"/>
  <c r="S28" i="8" a="1"/>
  <c r="S13" i="8" a="1"/>
  <c r="R44" i="8" a="1"/>
  <c r="S26" i="8" a="1"/>
  <c r="R24" i="8" a="1"/>
  <c r="S15" i="8" a="1"/>
  <c r="R23" i="8" a="1"/>
  <c r="R35" i="8" a="1"/>
  <c r="R33" i="8" a="1"/>
  <c r="S7" i="8" a="1"/>
  <c r="S44" i="8" a="1"/>
  <c r="R14" i="8" a="1"/>
  <c r="S43" i="8" a="1"/>
  <c r="R29" i="8" a="1"/>
  <c r="R8" i="8" a="1"/>
  <c r="S17" i="8" a="1"/>
  <c r="R17" i="8" a="1"/>
  <c r="R11" i="8" a="1"/>
  <c r="S34" i="8" a="1"/>
  <c r="R41" i="8" a="1"/>
  <c r="S19" i="8" a="1"/>
  <c r="R26" i="8" a="1"/>
  <c r="S8" i="8" a="1"/>
  <c r="R12" i="8" a="1"/>
  <c r="R21" i="8" a="1"/>
  <c r="S18" i="8" a="1"/>
  <c r="R36" i="8" a="1"/>
  <c r="S38" i="8" a="1"/>
  <c r="S40" i="8" a="1"/>
  <c r="R42" i="8" a="1"/>
  <c r="S16" i="8" a="1"/>
  <c r="S31" i="8" a="1"/>
  <c r="R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P10" i="8" l="1"/>
  <c r="P5" i="8" l="1"/>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<sst xmlns="http://schemas.openxmlformats.org/spreadsheetml/2006/main" count="1916" uniqueCount="953">
  <si>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</si>
  <si>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</si>
  <si>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</si>
  <si>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</si>
  <si>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</si>
  <si>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</si>
  <si>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</si>
  <si>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</si>
  <si>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</si>
  <si>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</si>
  <si>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</si>
  <si>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</si>
  <si>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</si>
  <si>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</si>
  <si>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</si>
  <si>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</si>
  <si>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</si>
  <si>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</si>
  <si>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</si>
  <si>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</si>
  <si>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</si>
  <si>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</si>
  <si>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</si>
  <si>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</si>
  <si>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</si>
  <si>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</si>
  <si>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</si>
  <si>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</si>
  <si>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</si>
  <si>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</si>
  <si>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</si>
  <si>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</si>
  <si>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</si>
  <si>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</si>
  <si>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</si>
  <si>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</si>
  <si>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</si>
  <si>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</si>
  <si>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</si>
  <si>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</si>
  <si>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</si>
  <si>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</si>
  <si>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</si>
  <si>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</si>
  <si>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</si>
  <si>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</si>
  <si>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</si>
  <si>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</si>
  <si>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</si>
  <si>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</si>
  <si>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</si>
  <si>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</si>
  <si>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</si>
  <si>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</si>
  <si>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</si>
  <si>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</si>
  <si>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</si>
  <si>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</si>
  <si>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</si>
  <si>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</si>
  <si>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</si>
  <si>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</si>
  <si>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</si>
  <si>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</si>
  <si>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</si>
  <si>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</si>
  <si>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</si>
  <si>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</si>
  <si>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</si>
  <si>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</si>
  <si>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</si>
  <si>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</si>
  <si>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</si>
  <si>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</si>
  <si>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</si>
  <si>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</si>
  <si>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</si>
  <si>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</si>
  <si>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</si>
  <si>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</si>
  <si>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</si>
  <si>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</si>
  <si>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</si>
  <si>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</si>
  <si>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</si>
  <si>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</si>
  <si>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</si>
  <si>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</si>
  <si>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</si>
  <si>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</si>
  <si>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</si>
  <si>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</si>
  <si>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</si>
  <si>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</si>
  <si>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</si>
  <si>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</si>
  <si>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</si>
  <si>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</si>
  <si>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</si>
  <si>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</si>
  <si>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</si>
  <si>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</si>
  <si>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</si>
  <si>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</si>
  <si>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</si>
  <si>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</si>
  <si>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</si>
  <si>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</si>
  <si>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</si>
  <si>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</si>
  <si>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</si>
  <si>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</si>
  <si>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</si>
  <si>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</si>
  <si>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</si>
  <si>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</si>
  <si>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</si>
  <si>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</si>
  <si>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</si>
  <si>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</si>
  <si>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</si>
  <si>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</si>
  <si>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</si>
  <si>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</si>
  <si>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</si>
  <si>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</si>
  <si>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</si>
  <si>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</si>
  <si>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</si>
  <si>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</si>
  <si>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</si>
  <si>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</si>
  <si>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</si>
  <si>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</si>
  <si>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</si>
  <si>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</si>
  <si>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</si>
  <si>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</si>
  <si>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</si>
  <si>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</si>
  <si>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</si>
  <si>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</si>
  <si>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</si>
  <si>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</si>
  <si>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</si>
  <si>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</si>
  <si>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</si>
  <si>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</si>
  <si>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</si>
  <si>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</si>
  <si>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</si>
  <si>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</si>
  <si>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</si>
  <si>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</si>
  <si>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</si>
  <si>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</si>
  <si>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</si>
  <si>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</si>
  <si>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</si>
  <si>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</si>
  <si>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</si>
  <si>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</si>
  <si>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</si>
  <si>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</si>
  <si>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</si>
  <si>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</si>
  <si>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</si>
  <si>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</si>
  <si>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</si>
  <si>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</si>
  <si>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</si>
  <si>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</si>
  <si>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</si>
  <si>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</si>
  <si>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</si>
  <si>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</si>
  <si>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</si>
  <si>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</si>
  <si>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</si>
  <si>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</si>
  <si>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</si>
  <si>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</si>
  <si>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</si>
  <si>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</si>
  <si>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</si>
  <si>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</si>
  <si>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</si>
  <si>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</si>
  <si>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</si>
  <si>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</si>
  <si>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</si>
  <si>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</si>
  <si>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</si>
  <si>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</si>
  <si>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</si>
  <si>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</si>
  <si>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</si>
  <si>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</si>
  <si>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</si>
  <si>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</si>
  <si>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</si>
  <si>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</si>
  <si>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</si>
  <si>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</si>
  <si>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</si>
  <si>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</si>
  <si>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</si>
  <si>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</si>
  <si>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</si>
  <si>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</si>
  <si>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</si>
  <si>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</si>
  <si>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</si>
  <si>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</si>
  <si>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</si>
  <si>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</si>
  <si>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</si>
  <si>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</si>
  <si>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</si>
  <si>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</si>
  <si>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</si>
  <si>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</si>
  <si>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</si>
  <si>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</si>
  <si>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</si>
  <si>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</si>
  <si>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</si>
  <si>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</si>
  <si>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</si>
  <si>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</si>
  <si>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</si>
  <si>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</si>
  <si>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</si>
  <si>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</si>
  <si>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</si>
  <si>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</si>
  <si>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</si>
  <si>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</si>
  <si>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</si>
  <si>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</si>
  <si>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</si>
  <si>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</si>
  <si>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</si>
  <si>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</si>
  <si>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</si>
  <si>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</si>
  <si>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</si>
  <si>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</si>
  <si>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</si>
  <si>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</si>
  <si>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</si>
  <si>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</si>
  <si>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</si>
  <si>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</si>
  <si>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</si>
  <si>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</si>
  <si>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</si>
  <si>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</si>
  <si>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</si>
  <si>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</si>
  <si>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</si>
  <si>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</si>
  <si>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</si>
  <si>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</si>
  <si>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</si>
  <si>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</si>
  <si>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</si>
  <si>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</si>
  <si>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</si>
  <si>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</si>
  <si>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</si>
  <si>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</si>
  <si>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</si>
  <si>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</si>
  <si>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</si>
  <si>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</si>
  <si>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</si>
  <si>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</si>
  <si>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</si>
  <si>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</si>
  <si>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</si>
  <si>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</si>
  <si>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</si>
  <si>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</si>
  <si>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</si>
  <si>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</si>
  <si>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</si>
  <si>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</si>
  <si>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</si>
  <si>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</si>
  <si>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</si>
  <si>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</si>
  <si>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</si>
  <si>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</si>
  <si>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</si>
  <si>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</si>
  <si>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</si>
  <si>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</si>
  <si>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</si>
  <si>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</si>
  <si>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</si>
  <si>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</si>
  <si>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</si>
  <si>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</si>
  <si>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</si>
  <si>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</si>
  <si>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</si>
  <si>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</si>
  <si>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</si>
  <si>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</si>
  <si>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</si>
  <si>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</si>
  <si>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</si>
  <si>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</si>
  <si>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</si>
  <si>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</si>
  <si>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</si>
  <si>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</si>
  <si>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</si>
  <si>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</si>
  <si>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</si>
  <si>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</si>
  <si>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</si>
  <si>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</si>
  <si>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</si>
  <si>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</si>
  <si>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</si>
  <si>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</si>
  <si>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</si>
  <si>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</si>
  <si>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</si>
  <si>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</si>
  <si>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</si>
  <si>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</si>
  <si>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</si>
  <si>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</si>
  <si>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</si>
  <si>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</si>
  <si>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</si>
  <si>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</si>
  <si>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</si>
  <si>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</si>
  <si>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</si>
  <si>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</si>
  <si>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</si>
  <si>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</si>
  <si>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</si>
  <si>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</si>
  <si>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</si>
  <si>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</si>
  <si>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</si>
  <si>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</si>
  <si>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</si>
  <si>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</si>
  <si>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</si>
  <si>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</si>
  <si>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</si>
  <si>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</si>
  <si>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</si>
  <si>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</si>
  <si>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</si>
  <si>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</si>
  <si>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</si>
  <si>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</si>
  <si>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</si>
  <si>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</si>
  <si>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</si>
  <si>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</si>
  <si>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</si>
  <si>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</si>
  <si>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</si>
  <si>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</si>
  <si>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</si>
  <si>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</si>
  <si>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</si>
  <si>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</si>
  <si>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</si>
  <si>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</si>
  <si>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</si>
  <si>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</si>
  <si>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</si>
  <si>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</si>
  <si>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</si>
  <si>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</si>
  <si>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</si>
  <si>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</si>
  <si>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</si>
  <si>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</si>
  <si>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</si>
  <si>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</si>
  <si>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</si>
  <si>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</si>
  <si>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</si>
  <si>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</si>
  <si>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</si>
  <si>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</si>
  <si>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</si>
  <si>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</si>
  <si>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</si>
  <si>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</si>
  <si>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</si>
  <si>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</si>
  <si>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</si>
  <si>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</si>
  <si>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</si>
  <si>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</si>
  <si>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</si>
  <si>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</si>
  <si>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</si>
  <si>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</si>
  <si>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</si>
  <si>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</si>
  <si>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</si>
  <si>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</si>
  <si>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</si>
  <si>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</si>
  <si>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</si>
  <si>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</si>
  <si>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</si>
  <si>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</si>
  <si>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</si>
  <si>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</si>
  <si>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</si>
  <si>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</si>
  <si>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</si>
  <si>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</si>
  <si>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</si>
  <si>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</si>
  <si>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</si>
  <si>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</si>
  <si>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</si>
  <si>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</si>
  <si>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</si>
  <si>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</si>
  <si>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</si>
  <si>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</si>
  <si>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</si>
  <si>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</si>
  <si>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</si>
  <si>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</si>
  <si>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</si>
  <si>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</si>
  <si>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</si>
  <si>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</si>
  <si>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</si>
  <si>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</si>
  <si>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</si>
  <si>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</si>
  <si>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</si>
  <si>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</si>
  <si>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</si>
  <si>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</si>
  <si>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</si>
  <si>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</si>
  <si>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</si>
  <si>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</si>
  <si>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</si>
  <si>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</si>
  <si>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</si>
  <si>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</si>
  <si>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</si>
  <si>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</si>
  <si>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</si>
  <si>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</si>
  <si>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</si>
  <si>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</si>
  <si>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</si>
  <si>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</si>
  <si>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</si>
  <si>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</si>
  <si>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</si>
  <si>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</si>
  <si>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</si>
  <si>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</si>
  <si>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</si>
  <si>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</si>
  <si>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</si>
  <si>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</si>
  <si>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</si>
  <si>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</si>
  <si>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</si>
  <si>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</si>
  <si>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</si>
  <si>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</si>
  <si>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</si>
  <si>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</si>
  <si>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</si>
  <si>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</si>
  <si>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</si>
  <si>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</si>
  <si>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</si>
  <si>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</si>
  <si>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</si>
  <si>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</si>
  <si>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</si>
  <si>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</si>
  <si>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</si>
  <si>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</si>
  <si>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</si>
  <si>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</si>
  <si>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</si>
  <si>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</si>
  <si>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</si>
  <si>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</si>
  <si>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</si>
  <si>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</si>
  <si>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</si>
  <si>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</si>
  <si>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</si>
  <si>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</si>
  <si>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</si>
  <si>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</si>
  <si>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</si>
  <si>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</si>
  <si>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</si>
  <si>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</si>
  <si>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</si>
  <si>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</si>
  <si>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</si>
  <si>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</si>
  <si>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</si>
  <si>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</si>
  <si>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</si>
  <si>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</si>
  <si>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</si>
  <si>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</si>
  <si>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</si>
  <si>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</si>
  <si>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</si>
  <si>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</si>
  <si>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</si>
  <si>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</si>
  <si>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</si>
  <si>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</si>
  <si>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</si>
  <si>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</si>
  <si>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</si>
  <si>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</si>
  <si>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</si>
  <si>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</si>
  <si>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</si>
  <si>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</si>
  <si>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</si>
  <si>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</si>
  <si>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</si>
  <si>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</si>
  <si>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</si>
  <si>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</si>
  <si>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</si>
  <si>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</si>
  <si>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</si>
  <si>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</si>
  <si>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</si>
  <si>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</si>
  <si>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</si>
  <si>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</si>
  <si>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</si>
  <si>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</si>
  <si>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</si>
  <si>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</si>
  <si>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</si>
  <si>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</si>
  <si>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</si>
  <si>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</si>
  <si>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</si>
  <si>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</si>
  <si>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</si>
  <si>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</si>
  <si>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</si>
  <si>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</si>
  <si>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</si>
  <si>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</si>
  <si>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</si>
  <si>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</si>
  <si>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</si>
  <si>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</si>
  <si>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</si>
  <si>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</si>
  <si>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</si>
  <si>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</si>
  <si>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</si>
  <si>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</si>
  <si>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</si>
  <si>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</si>
  <si>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</si>
  <si>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</si>
  <si>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</si>
  <si>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</si>
  <si>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</si>
  <si>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</si>
  <si>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</si>
  <si>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</si>
  <si>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</si>
  <si>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</si>
  <si>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</si>
  <si>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</si>
  <si>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</si>
  <si>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</si>
  <si>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</si>
  <si>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</si>
  <si>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</si>
  <si>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</si>
  <si>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</si>
  <si>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</si>
  <si>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</si>
  <si>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</si>
  <si>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</si>
  <si>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</si>
  <si>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</si>
  <si>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</si>
  <si>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</si>
  <si>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</si>
  <si>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</si>
  <si>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</si>
  <si>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</si>
  <si>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</si>
  <si>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</si>
  <si>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</si>
  <si>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</si>
  <si>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</si>
  <si>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</si>
  <si>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</si>
  <si>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</si>
  <si>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</si>
  <si>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</si>
  <si>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</si>
  <si>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</si>
  <si>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</si>
  <si>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</si>
  <si>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</si>
  <si>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</si>
  <si>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</si>
  <si>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</si>
  <si>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</si>
  <si>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</si>
  <si>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</si>
  <si>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</si>
  <si>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</si>
  <si>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</si>
  <si>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</si>
  <si>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</si>
  <si>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</si>
  <si>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</si>
  <si>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</si>
  <si>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</si>
  <si>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</si>
  <si>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</si>
  <si>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</si>
  <si>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</si>
  <si>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</si>
  <si>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</si>
  <si>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</si>
  <si>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</si>
  <si>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</si>
  <si>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</si>
  <si>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</si>
  <si>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</si>
  <si>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</si>
  <si>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</si>
  <si>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</si>
  <si>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</si>
  <si>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</si>
  <si>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</si>
  <si>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</si>
  <si>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</si>
  <si>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</si>
  <si>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</si>
  <si>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</si>
  <si>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</si>
  <si>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</si>
  <si>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</si>
  <si>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</si>
  <si>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</si>
  <si>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</si>
  <si>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</si>
  <si>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</si>
  <si>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</si>
  <si>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</si>
  <si>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</si>
  <si>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</si>
  <si>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</si>
  <si>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</si>
  <si>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</si>
  <si>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</si>
  <si>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</si>
  <si>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</si>
  <si>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</si>
  <si>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</si>
  <si>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</si>
  <si>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</si>
  <si>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</si>
  <si>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</si>
  <si>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</si>
  <si>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</si>
  <si>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</si>
  <si>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</si>
  <si>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</si>
  <si>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</si>
  <si>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</si>
  <si>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</si>
  <si>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</si>
  <si>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</si>
  <si>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</si>
  <si>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</si>
  <si>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</si>
  <si>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</si>
  <si>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</si>
  <si>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</si>
  <si>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</si>
  <si>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</si>
  <si>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</si>
  <si>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</si>
  <si>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</si>
  <si>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</si>
  <si>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</si>
  <si>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</si>
  <si>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</si>
  <si>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</si>
  <si>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</si>
  <si>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</si>
  <si>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</si>
  <si>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</si>
  <si>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</si>
  <si>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</si>
  <si>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</si>
  <si>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</si>
  <si>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</si>
  <si>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</si>
  <si>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</si>
  <si>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</si>
  <si>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</si>
  <si>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</si>
  <si>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</si>
  <si>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</si>
  <si>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</si>
  <si>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</si>
  <si>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</si>
  <si>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</si>
  <si>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</si>
  <si>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</si>
  <si>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</si>
  <si>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</si>
  <si>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</si>
  <si>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</si>
  <si>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</si>
  <si>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</si>
  <si>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</si>
  <si>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</si>
  <si>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</si>
  <si>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</si>
  <si>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</si>
  <si>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</si>
  <si>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</si>
  <si>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</si>
  <si>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</si>
  <si>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</si>
  <si>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</si>
  <si>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</si>
  <si>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</si>
  <si>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</si>
  <si>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</si>
  <si>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</si>
  <si>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</si>
  <si>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</si>
  <si>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</si>
  <si>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</si>
  <si>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</si>
  <si>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</si>
  <si>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</si>
  <si>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</si>
  <si>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</si>
  <si>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</si>
  <si>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</si>
  <si>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</si>
  <si>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</si>
  <si>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</si>
  <si>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</si>
  <si>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</si>
  <si>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</si>
  <si>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</si>
  <si>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</si>
  <si>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</si>
  <si>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</si>
  <si>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</si>
  <si>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</si>
  <si>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</si>
  <si>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</si>
  <si>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</si>
  <si>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</si>
  <si>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</si>
  <si>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</si>
  <si>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</si>
  <si>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</si>
  <si>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</si>
  <si>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</si>
  <si>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</si>
  <si>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</si>
  <si>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</si>
  <si>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</si>
  <si>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</si>
  <si>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</si>
  <si>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</si>
  <si>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</si>
  <si>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</si>
  <si>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</si>
  <si>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</si>
  <si>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</si>
  <si>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</si>
  <si>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</si>
  <si>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</si>
  <si>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</si>
  <si>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</si>
  <si>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</si>
  <si>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</si>
  <si>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</si>
  <si>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</si>
  <si>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</si>
  <si>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</si>
  <si>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</si>
  <si>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</si>
  <si>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</si>
  <si>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</si>
  <si>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</si>
  <si>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</si>
  <si>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</si>
  <si>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</si>
  <si>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</si>
  <si>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</si>
  <si>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</si>
  <si>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</si>
  <si>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</si>
  <si>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</si>
  <si>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</si>
  <si>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</si>
  <si>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</si>
  <si>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</si>
  <si>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</si>
  <si>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</si>
  <si>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</si>
  <si>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</si>
  <si>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</si>
  <si>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</si>
  <si>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</si>
  <si>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</si>
  <si>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</si>
  <si>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</si>
  <si>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</si>
  <si>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</si>
  <si>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</si>
  <si>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</si>
  <si>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</si>
  <si>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</si>
  <si>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</si>
  <si>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</si>
  <si>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</si>
  <si>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</si>
  <si>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</si>
  <si>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</si>
  <si>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</si>
  <si>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</si>
  <si>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</si>
  <si>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</si>
  <si>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</si>
  <si>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</si>
  <si>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</si>
  <si>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</si>
  <si>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</si>
  <si>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</si>
  <si>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</si>
  <si>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</si>
  <si>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</si>
  <si>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</si>
  <si>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</si>
  <si>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</si>
  <si>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</si>
  <si>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</si>
  <si>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</si>
  <si>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</si>
  <si>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</si>
  <si>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</si>
  <si>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</si>
  <si>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</si>
  <si>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</si>
  <si>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</si>
  <si>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</si>
  <si>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</si>
  <si>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</si>
  <si>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</si>
  <si>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</si>
  <si>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</si>
  <si>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</si>
  <si>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</si>
  <si>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</si>
  <si>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</si>
  <si>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</si>
  <si>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</si>
  <si>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</si>
  <si>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</si>
  <si>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</si>
  <si>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</si>
  <si>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</si>
  <si>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</si>
  <si>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</si>
  <si>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</si>
  <si>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</si>
  <si>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</si>
  <si>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</si>
  <si>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</si>
  <si>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</si>
  <si>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</si>
  <si>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</si>
  <si>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</si>
  <si>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</si>
  <si>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</si>
  <si>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</si>
  <si>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</si>
  <si>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</si>
  <si>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</si>
  <si>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</si>
  <si>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</si>
  <si>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</si>
  <si>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</si>
  <si>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</si>
  <si>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</si>
  <si>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</si>
  <si>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</si>
  <si>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</si>
  <si>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</si>
  <si>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</si>
  <si>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</si>
  <si>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</si>
  <si>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</si>
  <si>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</si>
  <si>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</si>
  <si>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</si>
  <si>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</si>
  <si>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</si>
  <si>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</si>
  <si>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</si>
  <si>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</si>
  <si>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</si>
  <si>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</si>
  <si>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</si>
  <si>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</si>
  <si>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</si>
  <si>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</si>
  <si>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</si>
  <si>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</si>
  <si>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</si>
  <si>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</si>
  <si>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Ver. 07.04.25</t>
  </si>
  <si>
    <t>Numeric Tol</t>
  </si>
  <si>
    <t>UUT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</si>
</sst>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0" fontId="6" fillId="0" borderId="0" xfId="3" applyProtection="1">
      <protection locked="0"/>
    </xf>
    <xf numFmtId="169" fontId="94" fillId="2" borderId="0" xfId="0" applyNumberFormat="1" applyFont="1" applyFill="1"/>
    <xf numFmtId="22" fontId="69" fillId="2" borderId="0" xfId="0" applyNumberFormat="1" applyFont="1" applyFill="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protection locked="0" hidden="0"/>
    </dxf>
    <dxf>
      <protection locked="0" hidden="0"/>
    </dxf>
    <dxf>
      <numFmt numFmtId="2" formatCode="0.0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8">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2" name="Column10" tableColumnId="12"/>
      <queryTableField id="13" name="Column11" tableColumnId="13"/>
      <queryTableField id="14" name="Column12" tableColumnId="14"/>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N29" tableType="queryTable" totalsRowShown="0">
  <autoFilter ref="A1:N29" xr:uid="{2F912760-816C-4002-B982-1183C623C4D4}"/>
  <tableColumns count="14">
    <tableColumn id="1" xr3:uid="{4CB1C976-73DA-4579-B7F8-9D891581EA5A}" uniqueName="1" name="asset_id" queryTableFieldId="1" dataDxfId="11"/>
    <tableColumn id="2" xr3:uid="{D07D770F-21F7-425E-8CCA-AA85FFD513A3}" uniqueName="2" name="serial_number" queryTableFieldId="2" dataDxfId="10"/>
    <tableColumn id="3" xr3:uid="{D963BD5C-EE98-4CDD-ABAE-5315BBDA1135}" uniqueName="3" name="asset_tag" queryTableFieldId="3" dataDxfId="9"/>
    <tableColumn id="4" xr3:uid="{44F03B5B-6C09-4D5C-B2E2-D809B4EDF2B0}" uniqueName="4" name="custom_order_number" queryTableFieldId="4" dataDxfId="8"/>
    <tableColumn id="5" xr3:uid="{412A70E1-7452-417E-A3A9-BD3499EBD33C}" uniqueName="5" name="service_date" queryTableFieldId="5" dataDxfId="7"/>
    <tableColumn id="6" xr3:uid="{B359FFDA-2633-4F67-9E7E-BA0BB88ADA64}" uniqueName="6" name="next_service_date" queryTableFieldId="6" dataDxfId="6"/>
    <tableColumn id="7" xr3:uid="{297A4F29-F6E9-4BD3-A7A2-5F1039480BAE}" uniqueName="7" name="certificate_number" queryTableFieldId="7" dataDxfId="5"/>
    <tableColumn id="8" xr3:uid="{7C740CB9-37DA-435E-A87E-AF050E31623C}" uniqueName="8" name="wire_roll_cert_number" queryTableFieldId="8" dataDxfId="4"/>
    <tableColumn id="9" xr3:uid="{5B17E9FC-0D68-4EA9-9145-B5DC8FAF5A93}" uniqueName="9" name="type" queryTableFieldId="9" dataDxfId="3"/>
    <tableColumn id="12" xr3:uid="{E1C6CD2A-DC99-47F4-870C-E642E02C5C67}" uniqueName="12" name="Column10" queryTableFieldId="12"/>
    <tableColumn id="13" xr3:uid="{051DAD78-DEE3-4EC3-BA94-43925D1BD49C}" uniqueName="13" name="Column11" queryTableFieldId="13"/>
    <tableColumn id="14" xr3:uid="{DC65F55D-F677-49B2-A0A6-72CF57524EF5}" uniqueName="14" name="Column12" queryTableFieldId="1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6"/>
    <tableColumn id="2" xr3:uid="{44100894-4C9D-4514-95AC-618BC19E5917}" uniqueName="2" name="Temp" queryTableFieldId="4" dataDxfId="175"/>
    <tableColumn id="3" xr3:uid="{ECB904AC-F679-49D7-806F-647089E4822A}" uniqueName="3" name="Offset" queryTableFieldId="5" dataDxfId="17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Column1" queryTableFieldId="1"/>
    <tableColumn id="2" xr3:uid="{B0312F97-A54E-4DBC-A8DA-89B9CEA18EC9}" uniqueName="2" name="Column2" queryTableFieldId="2" dataDxfId="173"/>
    <tableColumn id="3" xr3:uid="{726E3B3D-B0E5-46AD-9E88-ACE1829E57A6}" uniqueName="3" name="Column3" queryTableFieldId="3"/>
    <tableColumn id="5" xr3:uid="{A8FF325F-CF98-4639-AF3F-E1CBC274FA4E}" uniqueName="5" name="Column4"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2">
  <autoFilter ref="A1:C9" xr:uid="{8AF992F3-27EF-4265-960D-70EC6F74FAFA}"/>
  <sortState xmlns:xlrd2="http://schemas.microsoft.com/office/spreadsheetml/2017/richdata2" ref="A2:C9">
    <sortCondition ref="B1:B9"/>
  </sortState>
  <tableColumns count="3">
    <tableColumn id="1" xr3:uid="{1F7D0D09-7152-4679-B25C-65CF0E0AB2D4}" name="Type" dataDxfId="17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8"/>
    <tableColumn id="3" xr3:uid="{2724CA85-C781-4E38-A0DA-097BFEEFE8B1}" uniqueName="3" name="Temp" queryTableFieldId="3" dataDxfId="167"/>
    <tableColumn id="6" xr3:uid="{12D5EB84-2052-49F7-A25B-127266D7FB89}" uniqueName="6" name="traceability_no" queryTableFieldId="6" dataDxfId="166"/>
    <tableColumn id="5" xr3:uid="{D8FBA668-C3CE-41DC-B112-B2663A4558F7}" uniqueName="5" name="Offset" queryTableFieldId="5" dataDxfId="16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2">
  <autoFilter ref="A3:C8" xr:uid="{5AC13131-9A1C-4C12-B4F9-A393708ED370}"/>
  <tableColumns count="3">
    <tableColumn id="1" xr3:uid="{97181276-3609-45C8-AD82-B2880A7AEDE4}" name="Min" dataDxfId="161"/>
    <tableColumn id="2" xr3:uid="{FCA9B2A8-03BC-4152-9483-74D5E30011E8}" name="Max" dataDxfId="160"/>
    <tableColumn id="3" xr3:uid="{53EFB432-094F-4AB8-B706-DACB84CFAD58}" name="CMC" dataDxfId="15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Column1" queryTableFieldId="39"/>
    <tableColumn id="29" xr3:uid="{CB707240-419B-4516-A5BE-537A9002CAC3}" uniqueName="29" name="Column2" queryTableFieldId="29"/>
    <tableColumn id="30" xr3:uid="{729865C0-36EA-4DD0-8ED8-CEAB4F1B54D7}" uniqueName="30" name="Column3" queryTableFieldId="30"/>
    <tableColumn id="28" xr3:uid="{945A657C-E3A1-4578-946C-B4CB1781C386}" uniqueName="28" name="Column4" queryTableFieldId="28"/>
    <tableColumn id="14" xr3:uid="{34584841-738C-4F96-9B03-4D58CCBD6262}" uniqueName="14" name="Column5" queryTableFieldId="14" dataDxfId="158"/>
    <tableColumn id="31" xr3:uid="{C2B6D23D-17FE-4FFD-8A93-6E18AD4CFD0C}" uniqueName="31" name="Column6" queryTableFieldId="31"/>
    <tableColumn id="32" xr3:uid="{71DF1A21-7E9C-4525-846D-54AAEFCCE176}" uniqueName="32" name="Column7" queryTableFieldId="32"/>
    <tableColumn id="33" xr3:uid="{E00CBE81-F99D-4866-B017-736B8163D32E}" uniqueName="33" name="Column8"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7"/>
    <tableColumn id="7" xr3:uid="{3E130632-D63E-485B-AA7F-FF01BB115CD8}" uniqueName="7" name="AddressLine2" queryTableFieldId="7" dataDxfId="156"/>
    <tableColumn id="8" xr3:uid="{B07B805E-B475-4FEF-A83E-C870164F0C1C}" uniqueName="8" name="AddressLine3" queryTableFieldId="8" dataDxfId="155"/>
    <tableColumn id="9" xr3:uid="{3603DEDD-08A6-4233-A5D5-79D5A1A0055E}" uniqueName="9" name="FormNumber" queryTableFieldId="9" dataDxfId="154"/>
    <tableColumn id="10" xr3:uid="{B63B6E05-D199-4BCD-9A28-28B5F5832CE0}" uniqueName="10" name="CalibrationMethod" queryTableFieldId="10" dataDxfId="153"/>
    <tableColumn id="11" xr3:uid="{EC51B02C-FD97-492B-BF24-15D683C6ED4C}" uniqueName="11" name="ToleranceSource" queryTableFieldId="11" dataDxfId="152"/>
    <tableColumn id="12" xr3:uid="{706BF144-B069-4B3F-AFB9-7848E93D758C}" uniqueName="12" name="Item" queryTableFieldId="12" dataDxfId="15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50"/>
    <tableColumn id="18" xr3:uid="{2B4941C4-9755-4A0D-86C3-2C668815DEF2}" uniqueName="18" name="Tolerance" queryTableFieldId="18" dataDxfId="149"/>
    <tableColumn id="19" xr3:uid="{756D3CB6-E1A4-4B24-93A7-8AB4732E9BE6}" uniqueName="19" name="HeatingMethod" queryTableFieldId="19" dataDxfId="148"/>
    <tableColumn id="20" xr3:uid="{A46E5597-E3E9-444B-8D64-D35898DCC2B4}" uniqueName="20" name="WorkingZoneSize" queryTableFieldId="20" dataDxfId="14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6"/>
    <tableColumn id="32" xr3:uid="{1852EB3E-F034-42EA-8A35-98DDD1845F7B}" uniqueName="32" name="TestLocation" queryTableFieldId="32" dataDxfId="145"/>
    <tableColumn id="33" xr3:uid="{15129CDA-47B3-4B02-8524-3F9672DC4216}" uniqueName="33" name="OvenLocation" queryTableFieldId="33" dataDxfId="144"/>
    <tableColumn id="34" xr3:uid="{F4A9D00F-E54E-4736-976C-15166BF81AEF}" uniqueName="34" name="Condition" queryTableFieldId="34" dataDxfId="14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1"/>
    <tableColumn id="3" xr3:uid="{E88E0260-3227-45C4-8780-42D2D8D460DF}" name="SAT TOL" dataDxfId="14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tableColumn id="3" xr3:uid="{52334E52-C590-4A01-82BC-CCC9DA2C2817}" name="30" dataDxfId="134"/>
    <tableColumn id="4" xr3:uid="{145DAD22-055B-47E2-958D-C0E0B68ECCC8}" name="31" dataDxfId="133"/>
    <tableColumn id="5" xr3:uid="{09C3BF4E-C2AE-4497-AAA2-CF5A8A70B030}" name="32" dataDxfId="132"/>
    <tableColumn id="6" xr3:uid="{E9F444F5-7F75-4B80-BC2D-E9E92BB7C32D}" name="33" dataDxfId="131"/>
    <tableColumn id="7" xr3:uid="{C42F56B6-C38E-41DC-811A-50AF69D04B80}" name="34" dataDxfId="130"/>
    <tableColumn id="8" xr3:uid="{1930235F-D2C0-482D-8CC0-6B3AC765E7EA}" name="35" dataDxfId="129"/>
    <tableColumn id="9" xr3:uid="{6FCF613B-A86F-4DC6-9CC5-0A1E44E3DFE0}" name="36" dataDxfId="128"/>
    <tableColumn id="10" xr3:uid="{19EA3429-FD7E-4BA0-96B7-70F520D9FE0F}" name="37" dataDxfId="127"/>
    <tableColumn id="11" xr3:uid="{A5D0DAE1-1017-4DE3-AEA6-1BAF97E0FBDC}" name="38" dataDxfId="126"/>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tableColumn id="3" xr3:uid="{5D74EEBF-1FB4-4DF9-8EDD-C656F929ADA2}" name="16" dataDxfId="119"/>
    <tableColumn id="4" xr3:uid="{B1176DF8-22B4-4741-A534-22D0C72EF1F0}" name="17" dataDxfId="118"/>
    <tableColumn id="5" xr3:uid="{1E29EA65-5182-4B3E-817F-0D30B2884EC7}" name="18" dataDxfId="117"/>
    <tableColumn id="6" xr3:uid="{AF53AEFB-F310-4F08-91BC-82FB0F484ECA}" name="19" dataDxfId="116"/>
    <tableColumn id="7" xr3:uid="{EE472F61-D1B5-43CF-A661-FA1D47001C17}" name="20" dataDxfId="115"/>
    <tableColumn id="8" xr3:uid="{841D54C1-AB74-4CB1-8C7F-C38D11EFAD3F}" name="21" dataDxfId="114"/>
    <tableColumn id="9" xr3:uid="{F1FB485B-DEAA-4958-8C40-80934EA1437F}" name="22" dataDxfId="113"/>
    <tableColumn id="10" xr3:uid="{5C552A76-BD54-46C5-93AD-8F25289FA051}" name="23" dataDxfId="112"/>
    <tableColumn id="11" xr3:uid="{B20FA5F1-0522-49D0-9B5A-34570A8AE6EA}" name="24" dataDxfId="111"/>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8" dataDxfId="87">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4"/>
    <tableColumn id="19" xr3:uid="{31D68568-B5E1-4705-9496-19F08F967786}" uniqueName="19" name="Address2" queryTableFieldId="19" dataDxfId="1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2"/>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6" dataDxfId="8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8" dataDxfId="17" headerRowCellStyle="Normal 2" dataCellStyle="Normal 2">
  <autoFilter ref="U11:V25" xr:uid="{DCCFF26E-EC5C-4962-98DB-A7DA1F3C8CE2}"/>
  <tableColumns count="2">
    <tableColumn id="1" xr3:uid="{DFC40837-B092-4826-9847-4A23BE22020F}" name="4" dataDxfId="16" dataCellStyle="Normal 2"/>
    <tableColumn id="2" xr3:uid="{0711DB07-19DA-4D5E-A417-C242A0304453}" name="10" dataDxfId="1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N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2" width="12.28515625" bestFit="1" customWidth="1"/>
    <col min="13" max="13" width="6.5703125" bestFit="1" customWidth="1"/>
    <col min="14" max="14" width="7.140625" customWidth="1"/>
  </cols>
  <sheetData>
    <row r="1" spans="1:14" x14ac:dyDescent="0.2">
      <c r="A1"/>
      <c r="B1"/>
      <c r="C1"/>
      <c r="D1"/>
      <c r="E1"/>
      <c r="F1"/>
      <c r="G1"/>
      <c r="H1"/>
      <c r="I1"/>
      <c r="J1"/>
      <c r="K1"/>
      <c r="L1"/>
      <c r="M1"/>
      <c r="N1"/>
    </row>
    <row r="2" spans="1:14" x14ac:dyDescent="0.2">
      <c r="A2" s="143"/>
      <c r="B2" s="78"/>
      <c r="C2" s="78"/>
      <c r="D2" s="78"/>
      <c r="E2" s="89"/>
      <c r="F2" s="89"/>
      <c r="G2" s="78"/>
      <c r="H2" s="78"/>
      <c r="I2" s="78"/>
      <c r="M2"/>
      <c r="N2"/>
    </row>
    <row r="3" spans="1:14" x14ac:dyDescent="0.2">
      <c r="A3" s="143"/>
      <c r="B3" s="78"/>
      <c r="C3" s="78"/>
      <c r="D3" s="78"/>
      <c r="E3" s="89"/>
      <c r="F3" s="89"/>
      <c r="G3" s="78"/>
      <c r="H3" s="78"/>
      <c r="I3" s="78"/>
      <c r="M3"/>
      <c r="N3"/>
    </row>
    <row r="4" spans="1:14" x14ac:dyDescent="0.2">
      <c r="A4" s="143"/>
      <c r="B4" s="78"/>
      <c r="C4" s="78"/>
      <c r="D4" s="78"/>
      <c r="E4" s="89"/>
      <c r="F4" s="89"/>
      <c r="G4" s="78"/>
      <c r="H4" s="78"/>
      <c r="I4" s="78"/>
      <c r="M4"/>
      <c r="N4"/>
    </row>
    <row r="5" spans="1:14" x14ac:dyDescent="0.2">
      <c r="A5" s="143"/>
      <c r="B5" s="78"/>
      <c r="C5" s="78"/>
      <c r="D5" s="78"/>
      <c r="E5" s="89"/>
      <c r="F5" s="89"/>
      <c r="G5" s="78"/>
      <c r="H5" s="78"/>
      <c r="I5" s="78"/>
      <c r="M5"/>
      <c r="N5"/>
    </row>
    <row r="6" spans="1:14" x14ac:dyDescent="0.2">
      <c r="A6" s="143"/>
      <c r="B6" s="78"/>
      <c r="C6" s="78"/>
      <c r="D6" s="78"/>
      <c r="E6" s="89"/>
      <c r="F6" s="89"/>
      <c r="G6" s="78"/>
      <c r="H6" s="78"/>
      <c r="I6" s="78"/>
      <c r="M6"/>
      <c r="N6"/>
    </row>
    <row r="7" spans="1:14" x14ac:dyDescent="0.2">
      <c r="A7" s="143"/>
      <c r="B7" s="78"/>
      <c r="C7" s="78"/>
      <c r="D7" s="78"/>
      <c r="E7" s="89"/>
      <c r="F7" s="89"/>
      <c r="G7" s="78"/>
      <c r="H7" s="78"/>
      <c r="I7" s="78"/>
      <c r="M7"/>
      <c r="N7"/>
    </row>
    <row r="8" spans="1:14" x14ac:dyDescent="0.2">
      <c r="A8" s="143"/>
      <c r="B8" s="78"/>
      <c r="C8" s="78"/>
      <c r="D8" s="78"/>
      <c r="E8" s="89"/>
      <c r="F8" s="89"/>
      <c r="G8" s="78"/>
      <c r="H8" s="78"/>
      <c r="I8" s="78"/>
      <c r="M8"/>
      <c r="N8"/>
    </row>
    <row r="9" spans="1:14" x14ac:dyDescent="0.2">
      <c r="A9" s="143"/>
      <c r="B9" s="78"/>
      <c r="C9" s="78"/>
      <c r="D9" s="78"/>
      <c r="E9" s="89"/>
      <c r="F9" s="89"/>
      <c r="G9" s="78"/>
      <c r="H9" s="78"/>
      <c r="I9" s="78"/>
      <c r="M9"/>
      <c r="N9"/>
    </row>
    <row r="10" spans="1:14" x14ac:dyDescent="0.2">
      <c r="A10" s="143"/>
      <c r="B10" s="78"/>
      <c r="C10" s="78"/>
      <c r="D10" s="78"/>
      <c r="E10" s="89"/>
      <c r="F10" s="89"/>
      <c r="G10" s="78"/>
      <c r="H10" s="78"/>
      <c r="I10" s="78"/>
      <c r="M10"/>
      <c r="N10"/>
    </row>
    <row r="11" spans="1:14" x14ac:dyDescent="0.2">
      <c r="A11" s="143"/>
      <c r="B11" s="78"/>
      <c r="C11" s="78"/>
      <c r="D11" s="78"/>
      <c r="E11" s="89"/>
      <c r="F11" s="89"/>
      <c r="G11" s="78"/>
      <c r="H11" s="78"/>
      <c r="I11" s="78"/>
      <c r="M11"/>
      <c r="N11"/>
    </row>
    <row r="12" spans="1:14" x14ac:dyDescent="0.2">
      <c r="A12" s="143"/>
      <c r="B12" s="78"/>
      <c r="C12" s="78"/>
      <c r="D12" s="78"/>
      <c r="E12" s="89"/>
      <c r="F12" s="89"/>
      <c r="G12" s="78"/>
      <c r="H12" s="78"/>
      <c r="I12" s="78"/>
      <c r="M12"/>
      <c r="N12"/>
    </row>
    <row r="13" spans="1:14" x14ac:dyDescent="0.2">
      <c r="A13" s="143"/>
      <c r="B13" s="78"/>
      <c r="C13" s="78"/>
      <c r="D13" s="78"/>
      <c r="E13" s="89"/>
      <c r="F13" s="89"/>
      <c r="G13" s="78"/>
      <c r="H13" s="78"/>
      <c r="I13" s="78"/>
      <c r="M13"/>
      <c r="N13"/>
    </row>
    <row r="14" spans="1:14" x14ac:dyDescent="0.2">
      <c r="A14" s="143"/>
      <c r="B14" s="78"/>
      <c r="C14" s="78"/>
      <c r="D14" s="78"/>
      <c r="E14" s="89"/>
      <c r="F14" s="89"/>
      <c r="G14" s="78"/>
      <c r="H14" s="78"/>
      <c r="I14" s="78"/>
      <c r="M14"/>
      <c r="N14"/>
    </row>
    <row r="15" spans="1:14" x14ac:dyDescent="0.2">
      <c r="A15" s="143"/>
      <c r="B15" s="78"/>
      <c r="C15" s="78"/>
      <c r="D15" s="78"/>
      <c r="E15" s="89"/>
      <c r="F15" s="89"/>
      <c r="G15" s="78"/>
      <c r="H15" s="78"/>
      <c r="I15" s="78"/>
      <c r="M15"/>
      <c r="N15"/>
    </row>
    <row r="16" spans="1:14" x14ac:dyDescent="0.2">
      <c r="A16" s="143"/>
      <c r="B16" s="78"/>
      <c r="C16" s="78"/>
      <c r="D16" s="78"/>
      <c r="E16" s="89"/>
      <c r="F16" s="89"/>
      <c r="G16" s="78"/>
      <c r="H16" s="78"/>
      <c r="I16" s="78"/>
      <c r="M16"/>
      <c r="N16"/>
    </row>
    <row r="17" spans="1:14" x14ac:dyDescent="0.2">
      <c r="A17" s="143"/>
      <c r="B17" s="78"/>
      <c r="C17" s="78"/>
      <c r="D17" s="78"/>
      <c r="E17" s="89"/>
      <c r="F17" s="89"/>
      <c r="G17" s="78"/>
      <c r="H17" s="78"/>
      <c r="I17" s="78"/>
      <c r="M17"/>
      <c r="N17"/>
    </row>
    <row r="18" spans="1:14" x14ac:dyDescent="0.2">
      <c r="A18" s="143"/>
      <c r="B18" s="78"/>
      <c r="C18" s="78"/>
      <c r="D18" s="78"/>
      <c r="E18" s="89"/>
      <c r="F18" s="89"/>
      <c r="G18" s="78"/>
      <c r="H18" s="78"/>
      <c r="I18" s="78"/>
      <c r="M18"/>
      <c r="N18"/>
    </row>
    <row r="19" spans="1:14" x14ac:dyDescent="0.2">
      <c r="A19" s="143"/>
      <c r="B19" s="78"/>
      <c r="C19" s="78"/>
      <c r="D19" s="78"/>
      <c r="E19" s="89"/>
      <c r="F19" s="89"/>
      <c r="G19" s="78"/>
      <c r="H19" s="78"/>
      <c r="I19" s="78"/>
      <c r="M19"/>
      <c r="N19"/>
    </row>
    <row r="20" spans="1:14" x14ac:dyDescent="0.2">
      <c r="A20" s="143"/>
      <c r="B20" s="78"/>
      <c r="C20" s="78"/>
      <c r="D20" s="78"/>
      <c r="E20" s="89"/>
      <c r="F20" s="89"/>
      <c r="G20" s="78"/>
      <c r="H20" s="78"/>
      <c r="I20" s="78"/>
      <c r="M20"/>
      <c r="N20"/>
    </row>
    <row r="21" spans="1:14" x14ac:dyDescent="0.2">
      <c r="A21" s="143"/>
      <c r="B21" s="78"/>
      <c r="C21" s="78"/>
      <c r="D21" s="78"/>
      <c r="E21" s="89"/>
      <c r="F21" s="89"/>
      <c r="G21" s="78"/>
      <c r="H21" s="78"/>
      <c r="I21" s="78"/>
      <c r="M21"/>
      <c r="N21"/>
    </row>
    <row r="22" spans="1:14" x14ac:dyDescent="0.2">
      <c r="A22" s="143"/>
      <c r="B22" s="78"/>
      <c r="C22" s="78"/>
      <c r="D22" s="78"/>
      <c r="E22" s="89"/>
      <c r="F22" s="89"/>
      <c r="G22" s="78"/>
      <c r="H22" s="78"/>
      <c r="I22" s="78"/>
      <c r="M22"/>
      <c r="N22"/>
    </row>
    <row r="23" spans="1:14" x14ac:dyDescent="0.2">
      <c r="A23" s="143"/>
      <c r="B23" s="78"/>
      <c r="C23" s="78"/>
      <c r="D23" s="78"/>
      <c r="E23" s="89"/>
      <c r="F23" s="89"/>
      <c r="G23" s="78"/>
      <c r="H23" s="78"/>
      <c r="I23" s="78"/>
      <c r="M23"/>
      <c r="N23"/>
    </row>
    <row r="24" spans="1:14" x14ac:dyDescent="0.2">
      <c r="A24" s="143"/>
      <c r="B24" s="78"/>
      <c r="C24" s="78"/>
      <c r="D24" s="78"/>
      <c r="E24" s="89"/>
      <c r="F24" s="89"/>
      <c r="G24" s="78"/>
      <c r="H24" s="78"/>
      <c r="I24" s="78"/>
    </row>
    <row r="25" spans="1:14" x14ac:dyDescent="0.2">
      <c r="A25" s="143"/>
      <c r="B25" s="78"/>
      <c r="C25" s="78"/>
      <c r="D25" s="78"/>
      <c r="E25" s="89"/>
      <c r="F25" s="89"/>
      <c r="G25" s="78"/>
      <c r="H25" s="78"/>
      <c r="I25" s="78"/>
      <c r="M25"/>
      <c r="N25"/>
    </row>
    <row r="26" spans="1:14" x14ac:dyDescent="0.2">
      <c r="A26" s="143"/>
      <c r="B26" s="78"/>
      <c r="C26" s="78"/>
      <c r="D26" s="78"/>
      <c r="E26" s="89"/>
      <c r="F26" s="89"/>
      <c r="G26" s="78"/>
      <c r="H26" s="78"/>
      <c r="I26" s="78"/>
      <c r="M26"/>
      <c r="N26"/>
    </row>
    <row r="27" spans="1:14" x14ac:dyDescent="0.2">
      <c r="A27" s="143"/>
      <c r="B27" s="78"/>
      <c r="C27" s="78"/>
      <c r="D27" s="78"/>
      <c r="E27" s="89"/>
      <c r="F27" s="89"/>
      <c r="G27" s="78"/>
      <c r="H27" s="78"/>
      <c r="I27" s="78"/>
      <c r="M27"/>
      <c r="N27"/>
    </row>
    <row r="28" spans="1:14" x14ac:dyDescent="0.2">
      <c r="A28" s="143"/>
      <c r="B28" s="78"/>
      <c r="C28" s="78"/>
      <c r="D28" s="78"/>
      <c r="E28" s="89"/>
      <c r="F28" s="89"/>
      <c r="G28" s="78"/>
      <c r="H28" s="78"/>
      <c r="I28" s="78"/>
      <c r="M28"/>
      <c r="N28"/>
    </row>
    <row r="29" spans="1:14" x14ac:dyDescent="0.2">
      <c r="A29" s="143"/>
      <c r="B29" s="78"/>
      <c r="C29" s="78"/>
      <c r="D29" s="78"/>
      <c r="E29" s="89"/>
      <c r="F29" s="89"/>
      <c r="G29" s="78"/>
      <c r="H29" s="78"/>
      <c r="I29" s="78"/>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1"/>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0djB4wmKY+pP+T+CxiX3wV/x6DK1F9KmsOvR5acyMBeMDjYtCQPqvvLVSWycFwsgUm09Efir1eEkD7FVwzcYQQ==" saltValue="d85omfdgXro9Rec4XSYDi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L+Oat23GjtVitRRlV/zwBolXv4l51q9y0wj1NpjudFUzMk06a6DlrBJtPoNczn0di4gSW14Alo4SL21K/bIGNQ==" saltValue="1gknRyOvDSNOmvBRMl7un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4" t="s">
        <v>940</v>
      </c>
      <c r="J1" s="495"/>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6"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6"/>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6"/>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6"/>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6"/>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6"/>
      <c r="M9" s="143">
        <v>6</v>
      </c>
      <c r="O9" t="str" cm="1">
        <f t="array" ref="O9">IF(
  Main!O10 = "",
  "",
  IF(
    COUNTIF(Survey[TestPoint], Alerts[[#This Row],[TestPoint]]) = 0,
    "DROPPED",
    IF(
      OR(
        _xlfn._xlws.FILTER(
          Survey[OutOfTolerance],
          Survey[TestPoint] = Alerts[[#This Row],[TestPoint]]
        )
      ),
      "Out of Tol",
      ""
    )
  )
)</f>
        <v/>
      </c>
    </row>
    <row r="10" spans="1:17" x14ac:dyDescent="0.2">
      <c r="L10" s="496"/>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6"/>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6"/>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6"/>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6"/>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6"/>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6"/>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6"/>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6"/>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6"/>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6"/>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6"/>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6"/>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6"/>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6"/>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6"/>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6"/>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6"/>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6"/>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6"/>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6"/>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6"/>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6"/>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6"/>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6"/>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6"/>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6"/>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6"/>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6"/>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6"/>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6"/>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6"/>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6"/>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6"/>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bMBh1fu6fKtLyqVmt+sdfzQQqZY5qV3bUqJD50BGpo9fEpCxH0Td38LLA4CPFE+hxRkAmsaPwo9Nv8p/JWjU7Q==" saltValue="IPsTo0KtH/C0LqM0e2BtC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950</v>
      </c>
      <c r="B1" s="341"/>
      <c r="C1" s="527" t="s">
        <v>50</v>
      </c>
      <c r="D1" s="528"/>
      <c r="E1" s="528"/>
      <c r="F1" s="528"/>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29" t="s">
        <v>102</v>
      </c>
      <c r="K3" s="530"/>
      <c r="L3" s="531"/>
      <c r="M3" s="323"/>
      <c r="N3" s="546" t="s">
        <v>91</v>
      </c>
      <c r="O3" s="546"/>
      <c r="P3" s="546"/>
      <c r="Q3" s="546"/>
      <c r="R3" s="546"/>
      <c r="S3" s="546"/>
      <c r="T3" s="324"/>
      <c r="U3" s="324"/>
      <c r="V3" s="324"/>
      <c r="W3" s="325"/>
      <c r="X3" s="325"/>
      <c r="Y3" s="325"/>
      <c r="Z3" s="325"/>
    </row>
    <row r="4" spans="1:26" x14ac:dyDescent="0.2">
      <c r="A4" s="342"/>
      <c r="B4" s="147"/>
      <c r="C4" s="148" t="s">
        <v>232</v>
      </c>
      <c r="D4" s="302" t="str">
        <f>IF(Condition="","",Condition)</f>
        <v/>
      </c>
      <c r="E4" s="323"/>
      <c r="F4" s="323"/>
      <c r="G4" s="323"/>
      <c r="H4" s="323"/>
      <c r="I4" s="323"/>
      <c r="J4" s="534" t="s">
        <v>1</v>
      </c>
      <c r="K4" s="535"/>
      <c r="L4" s="149">
        <f>IFERROR(Survey!N2,0)</f>
        <v>0</v>
      </c>
      <c r="M4" s="323"/>
      <c r="N4" s="150" t="s">
        <v>90</v>
      </c>
      <c r="O4" s="151" t="s">
        <v>89</v>
      </c>
      <c r="P4" s="532" t="s">
        <v>100</v>
      </c>
      <c r="Q4" s="533"/>
      <c r="R4" s="150" t="s">
        <v>137</v>
      </c>
      <c r="S4" s="150" t="s">
        <v>141</v>
      </c>
      <c r="T4" s="324"/>
      <c r="U4" s="326"/>
      <c r="V4" s="326"/>
      <c r="W4" s="326"/>
      <c r="X4" s="326"/>
      <c r="Y4" s="326"/>
      <c r="Z4" s="326"/>
    </row>
    <row r="5" spans="1:26" x14ac:dyDescent="0.2">
      <c r="A5" s="342"/>
      <c r="B5" s="147"/>
      <c r="C5" s="148" t="s">
        <v>41</v>
      </c>
      <c r="D5" s="550" t="e">
        <f>companyName</f>
        <v>#N/A</v>
      </c>
      <c r="E5" s="551"/>
      <c r="F5" s="551"/>
      <c r="G5" s="551"/>
      <c r="H5" s="552"/>
      <c r="I5" s="303"/>
      <c r="J5" s="534" t="s">
        <v>2</v>
      </c>
      <c r="K5" s="535"/>
      <c r="L5" s="149">
        <f>IFERROR(Survey!N3,0)</f>
        <v>0</v>
      </c>
      <c r="M5" s="323"/>
      <c r="N5" s="470">
        <v>1</v>
      </c>
      <c r="O5" s="152"/>
      <c r="P5" s="563" t="str">
        <f>VLOOKUP(N5,Alerts[],3,FALSE)</f>
        <v/>
      </c>
      <c r="Q5" s="564"/>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7" t="e">
        <f>VLOOKUP("assetName",WorkItemDetails[],2,FALSE)</f>
        <v>#N/A</v>
      </c>
      <c r="E6" s="548"/>
      <c r="F6" s="548"/>
      <c r="G6" s="548"/>
      <c r="H6" s="549"/>
      <c r="I6" s="294"/>
      <c r="J6" s="534" t="s">
        <v>101</v>
      </c>
      <c r="K6" s="535"/>
      <c r="L6" s="149">
        <f>L4-L5</f>
        <v>0</v>
      </c>
      <c r="M6" s="323"/>
      <c r="N6" s="470">
        <v>2</v>
      </c>
      <c r="O6" s="152"/>
      <c r="P6" s="563" t="str">
        <f>VLOOKUP(N6,Alerts[],3,FALSE)</f>
        <v/>
      </c>
      <c r="Q6" s="564"/>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cm="1">
        <f t="array" ref="D7">Employee[Column2]</f>
        <v>0</v>
      </c>
      <c r="E7" s="323"/>
      <c r="F7" s="323"/>
      <c r="G7" s="323"/>
      <c r="H7" s="323"/>
      <c r="I7" s="323"/>
      <c r="J7" s="345"/>
      <c r="K7" s="345"/>
      <c r="L7" s="345"/>
      <c r="M7" s="323"/>
      <c r="N7" s="470">
        <v>3</v>
      </c>
      <c r="O7" s="152"/>
      <c r="P7" s="563" t="str">
        <f>VLOOKUP(N7,Alerts[],3,FALSE)</f>
        <v/>
      </c>
      <c r="Q7" s="564"/>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3" t="str">
        <f>VLOOKUP(N8,Alerts[],3,FALSE)</f>
        <v/>
      </c>
      <c r="Q8" s="564"/>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3" t="str">
        <f>VLOOKUP(N9,Alerts[],3,FALSE)</f>
        <v/>
      </c>
      <c r="Q9" s="564"/>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3" t="str">
        <f>VLOOKUP(N10,Alerts[],3,FALSE)</f>
        <v/>
      </c>
      <c r="Q10" s="564"/>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3" t="str">
        <f>VLOOKUP(N11,Alerts[],3,FALSE)</f>
        <v/>
      </c>
      <c r="Q11" s="564"/>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3" t="str">
        <f>VLOOKUP(N12,Alerts[],3,FALSE)</f>
        <v/>
      </c>
      <c r="Q12" s="564"/>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4" t="str">
        <f>IFERROR(VLOOKUP("PoNumber",WorkItemDetails[],2,FALSE),"")</f>
        <v/>
      </c>
      <c r="L13" s="545"/>
      <c r="M13" s="323"/>
      <c r="N13" s="470">
        <v>9</v>
      </c>
      <c r="O13" s="152"/>
      <c r="P13" s="563" t="str">
        <f>VLOOKUP(N13,Alerts[],3,FALSE)</f>
        <v/>
      </c>
      <c r="Q13" s="564"/>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3"/>
      <c r="L14" s="554"/>
      <c r="M14" s="323"/>
      <c r="N14" s="470">
        <v>10</v>
      </c>
      <c r="O14" s="152"/>
      <c r="P14" s="563" t="str">
        <f>VLOOKUP(N14,Alerts[],3,FALSE)</f>
        <v/>
      </c>
      <c r="Q14" s="564"/>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8"/>
      <c r="L15" s="539"/>
      <c r="M15" s="323"/>
      <c r="N15" s="470">
        <v>11</v>
      </c>
      <c r="O15" s="152"/>
      <c r="P15" s="563" t="str">
        <f>VLOOKUP(N15,Alerts[],3,FALSE)</f>
        <v/>
      </c>
      <c r="Q15" s="564"/>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00" t="s">
        <v>165</v>
      </c>
      <c r="K16" s="501"/>
      <c r="L16" s="301"/>
      <c r="M16" s="323"/>
      <c r="N16" s="470">
        <v>12</v>
      </c>
      <c r="O16" s="152"/>
      <c r="P16" s="563" t="str">
        <f>VLOOKUP(N16,Alerts[],3,FALSE)</f>
        <v/>
      </c>
      <c r="Q16" s="564"/>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00" t="s">
        <v>166</v>
      </c>
      <c r="K17" s="501"/>
      <c r="L17" s="163" t="str">
        <f>IF(K15="SIM Load Hot",TEXT(D26,"hh:mm"),"")</f>
        <v/>
      </c>
      <c r="M17" s="323"/>
      <c r="N17" s="470">
        <v>13</v>
      </c>
      <c r="O17" s="152"/>
      <c r="P17" s="563" t="str">
        <f>VLOOKUP(N17,Alerts[],3,FALSE)</f>
        <v/>
      </c>
      <c r="Q17" s="564"/>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5" t="s">
        <v>19</v>
      </c>
      <c r="H18" s="556"/>
      <c r="I18" s="324"/>
      <c r="J18" s="350"/>
      <c r="K18" s="323"/>
      <c r="L18" s="324"/>
      <c r="M18" s="323"/>
      <c r="N18" s="470">
        <v>14</v>
      </c>
      <c r="O18" s="152"/>
      <c r="P18" s="563" t="str">
        <f>VLOOKUP(N18,Alerts[],3,FALSE)</f>
        <v/>
      </c>
      <c r="Q18" s="564"/>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36" t="str">
        <f>IF(K15="Salt",0, IF(OR(K15="Hot",K15="SIM Load Hot"),IF(OR(D26="",D28=""),"N/A",IF(ISBLANK(D26),"N/A",D28-D26)),"N/A"))</f>
        <v>N/A</v>
      </c>
      <c r="H19" s="537"/>
      <c r="I19" s="351" t="str">
        <f>IF(G19="N/A","N/A",IF(G19=0,"&lt;2",ROUND(IF(LEN(G19)&gt;3,G19*1440,RIGHT(TEXT(G19,"hh:mm"),2)),0))&amp;" MINUTES")</f>
        <v>N/A</v>
      </c>
      <c r="J19" s="350"/>
      <c r="K19" s="323"/>
      <c r="L19" s="324"/>
      <c r="M19" s="323"/>
      <c r="N19" s="470">
        <v>15</v>
      </c>
      <c r="O19" s="152"/>
      <c r="P19" s="563" t="str">
        <f>VLOOKUP(N19,Alerts[],3,FALSE)</f>
        <v/>
      </c>
      <c r="Q19" s="564"/>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40" t="str">
        <f>IF(E20=TRUE,"SAT Tolerance (per AMS2750):","SAT Tolerance (per BAC5621):")</f>
        <v>SAT Tolerance (per BAC5621):</v>
      </c>
      <c r="C20" s="541"/>
      <c r="D20" s="420" t="e">
        <f>G94</f>
        <v>#N/A</v>
      </c>
      <c r="E20" s="485" t="b">
        <v>0</v>
      </c>
      <c r="F20" s="323"/>
      <c r="G20" s="323"/>
      <c r="H20" s="323"/>
      <c r="I20" s="324"/>
      <c r="J20" s="323"/>
      <c r="K20" s="323"/>
      <c r="L20" s="324"/>
      <c r="M20" s="323"/>
      <c r="N20" s="470">
        <v>16</v>
      </c>
      <c r="O20" s="152"/>
      <c r="P20" s="563" t="str">
        <f>VLOOKUP(N20,Alerts[],3,FALSE)</f>
        <v/>
      </c>
      <c r="Q20" s="564"/>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3" t="str">
        <f>VLOOKUP(N21,Alerts[],3,FALSE)</f>
        <v/>
      </c>
      <c r="Q21" s="564"/>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3" t="str">
        <f>VLOOKUP(N22,Alerts[],3,FALSE)</f>
        <v/>
      </c>
      <c r="Q22" s="564"/>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7" t="s">
        <v>380</v>
      </c>
      <c r="H23" s="518"/>
      <c r="I23" s="518"/>
      <c r="J23" s="518"/>
      <c r="K23" s="519"/>
      <c r="L23" s="324"/>
      <c r="M23" s="323"/>
      <c r="N23" s="470">
        <v>19</v>
      </c>
      <c r="O23" s="152"/>
      <c r="P23" s="563" t="str">
        <f>VLOOKUP(N23,Alerts[],3,FALSE)</f>
        <v/>
      </c>
      <c r="Q23" s="564"/>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2" t="s">
        <v>564</v>
      </c>
      <c r="C24" s="543"/>
      <c r="D24" s="299">
        <v>1</v>
      </c>
      <c r="E24" s="323"/>
      <c r="F24" s="166" t="s">
        <v>98</v>
      </c>
      <c r="G24" s="520"/>
      <c r="H24" s="521"/>
      <c r="I24" s="521"/>
      <c r="J24" s="521"/>
      <c r="K24" s="522"/>
      <c r="L24" s="324"/>
      <c r="M24" s="323"/>
      <c r="N24" s="470">
        <v>20</v>
      </c>
      <c r="O24" s="152"/>
      <c r="P24" s="563" t="str">
        <f>VLOOKUP(N24,Alerts[],3,FALSE)</f>
        <v/>
      </c>
      <c r="Q24" s="564"/>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20"/>
      <c r="H25" s="521"/>
      <c r="I25" s="521"/>
      <c r="J25" s="521"/>
      <c r="K25" s="522"/>
      <c r="L25" s="324"/>
      <c r="M25" s="323"/>
      <c r="N25" s="470">
        <v>21</v>
      </c>
      <c r="O25" s="152"/>
      <c r="P25" s="563" t="str">
        <f>VLOOKUP(N25,Alerts[],3,FALSE)</f>
        <v/>
      </c>
      <c r="Q25" s="564"/>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3" t="str">
        <f>VLOOKUP(N26,Alerts[],3,FALSE)</f>
        <v/>
      </c>
      <c r="Q26" s="564"/>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5" t="str">
        <f>IF(ISBLANK(D6),"",IF(CheckRec="x","CHECK INSTRUMENT CAL DATES!!!!             CHECK INSTRUMENT CAL DATES!!!!",""))</f>
        <v/>
      </c>
      <c r="I27" s="516"/>
      <c r="J27" s="516"/>
      <c r="K27" s="516"/>
      <c r="L27" s="324"/>
      <c r="M27" s="323"/>
      <c r="N27" s="470">
        <v>23</v>
      </c>
      <c r="O27" s="152"/>
      <c r="P27" s="563" t="str">
        <f>VLOOKUP(N27,Alerts[],3,FALSE)</f>
        <v/>
      </c>
      <c r="Q27" s="564"/>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5"/>
      <c r="I28" s="516"/>
      <c r="J28" s="516"/>
      <c r="K28" s="516"/>
      <c r="L28" s="324"/>
      <c r="M28" s="323"/>
      <c r="N28" s="470">
        <v>24</v>
      </c>
      <c r="O28" s="152"/>
      <c r="P28" s="563" t="str">
        <f>VLOOKUP(N28,Alerts[],3,FALSE)</f>
        <v/>
      </c>
      <c r="Q28" s="564"/>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3" t="str">
        <f>VLOOKUP(N29,Alerts[],3,FALSE)</f>
        <v/>
      </c>
      <c r="Q29" s="564"/>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3" t="str">
        <f>VLOOKUP(N30,Alerts[],3,FALSE)</f>
        <v/>
      </c>
      <c r="Q30" s="564"/>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3" t="str">
        <f>VLOOKUP(N31,Alerts[],3,FALSE)</f>
        <v/>
      </c>
      <c r="Q31" s="564"/>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3" t="str">
        <f>VLOOKUP(N32,Alerts[],3,FALSE)</f>
        <v/>
      </c>
      <c r="Q32" s="564"/>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3" t="str">
        <f>VLOOKUP(N33,Alerts[],3,FALSE)</f>
        <v/>
      </c>
      <c r="Q33" s="564"/>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29" t="s">
        <v>49</v>
      </c>
      <c r="C34" s="530"/>
      <c r="D34" s="530"/>
      <c r="E34" s="530"/>
      <c r="F34" s="530"/>
      <c r="G34" s="530"/>
      <c r="H34" s="530"/>
      <c r="I34" s="530"/>
      <c r="J34" s="530"/>
      <c r="K34" s="530"/>
      <c r="L34" s="531"/>
      <c r="M34" s="323"/>
      <c r="N34" s="470">
        <v>30</v>
      </c>
      <c r="O34" s="152"/>
      <c r="P34" s="563" t="str">
        <f>VLOOKUP(N34,Alerts[],3,FALSE)</f>
        <v/>
      </c>
      <c r="Q34" s="564"/>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3" t="str">
        <f>VLOOKUP(N35,Alerts[],3,FALSE)</f>
        <v/>
      </c>
      <c r="Q35" s="564"/>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952</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3" t="str">
        <f>VLOOKUP(N36,Alerts[],3,FALSE)</f>
        <v/>
      </c>
      <c r="Q36" s="564"/>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t="str">
        <f>IF(B37,1,"")</f>
        <v/>
      </c>
      <c r="B37" s="205"/>
      <c r="C37" s="196"/>
      <c r="D37" s="206"/>
      <c r="E37" s="206"/>
      <c r="F37" s="206"/>
      <c r="G37" s="206"/>
      <c r="H37" s="206"/>
      <c r="I37" s="179"/>
      <c r="J37" s="179"/>
      <c r="K37" s="179"/>
      <c r="L37" s="179"/>
      <c r="M37" s="323"/>
      <c r="N37" s="470">
        <v>33</v>
      </c>
      <c r="O37" s="152"/>
      <c r="P37" s="563" t="str">
        <f>VLOOKUP(N37,Alerts[],3,FALSE)</f>
        <v/>
      </c>
      <c r="Q37" s="564"/>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3" t="str">
        <f>VLOOKUP(N38,Alerts[],3,FALSE)</f>
        <v/>
      </c>
      <c r="Q38" s="564"/>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3" t="str">
        <f>VLOOKUP(N39,Alerts[],3,FALSE)</f>
        <v/>
      </c>
      <c r="Q39" s="564"/>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3" t="str">
        <f>VLOOKUP(N40,Alerts[],3,FALSE)</f>
        <v/>
      </c>
      <c r="Q40" s="564"/>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3" t="str">
        <f>VLOOKUP(N41,Alerts[],3,FALSE)</f>
        <v/>
      </c>
      <c r="Q41" s="564"/>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3" t="str">
        <f>VLOOKUP(N42,Alerts[],3,FALSE)</f>
        <v/>
      </c>
      <c r="Q42" s="564"/>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3" t="str">
        <f>VLOOKUP(N43,Alerts[],3,FALSE)</f>
        <v/>
      </c>
      <c r="Q43" s="564"/>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3" t="str">
        <f>VLOOKUP(N44,Alerts[],3,FALSE)</f>
        <v/>
      </c>
      <c r="Q44" s="564"/>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7" t="s">
        <v>33</v>
      </c>
      <c r="E46" s="498"/>
      <c r="F46" s="498"/>
      <c r="G46" s="498"/>
      <c r="H46" s="498"/>
      <c r="I46" s="499"/>
      <c r="J46" s="368"/>
      <c r="K46" s="368"/>
      <c r="L46" s="368"/>
      <c r="M46" s="523" t="s">
        <v>332</v>
      </c>
      <c r="N46" s="524"/>
      <c r="O46" s="525"/>
      <c r="P46" s="526"/>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4" t="s">
        <v>335</v>
      </c>
      <c r="Q47" s="504"/>
      <c r="R47" s="440" t="s">
        <v>336</v>
      </c>
      <c r="S47" s="327"/>
      <c r="T47" s="327"/>
      <c r="U47" s="327"/>
    </row>
    <row r="48" spans="1:26" x14ac:dyDescent="0.2">
      <c r="A48" s="342"/>
      <c r="B48" s="366"/>
      <c r="C48" s="438" t="s">
        <v>34</v>
      </c>
      <c r="D48" s="307"/>
      <c r="E48" s="307"/>
      <c r="F48" s="307"/>
      <c r="G48" s="307"/>
      <c r="H48" s="307"/>
      <c r="I48" s="307"/>
      <c r="J48" s="368"/>
      <c r="K48" s="368"/>
      <c r="L48" s="368"/>
      <c r="M48" s="505" t="s">
        <v>337</v>
      </c>
      <c r="N48" s="505"/>
      <c r="O48" s="370"/>
      <c r="P48" s="506" t="s">
        <v>392</v>
      </c>
      <c r="Q48" s="507"/>
      <c r="R48" s="508"/>
      <c r="S48" s="371"/>
      <c r="T48" s="328"/>
      <c r="U48" s="506" t="s">
        <v>395</v>
      </c>
      <c r="V48" s="507"/>
      <c r="W48" s="508"/>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09" t="s">
        <v>397</v>
      </c>
      <c r="Q49" s="510"/>
      <c r="R49" s="511"/>
      <c r="S49" s="441"/>
      <c r="T49" s="329"/>
      <c r="U49" s="509" t="s">
        <v>396</v>
      </c>
      <c r="V49" s="510"/>
      <c r="W49" s="511"/>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2" t="s">
        <v>340</v>
      </c>
      <c r="Q50" s="513"/>
      <c r="R50" s="514"/>
      <c r="S50" s="374"/>
      <c r="T50" s="330"/>
      <c r="U50" s="512" t="s">
        <v>340</v>
      </c>
      <c r="V50" s="513"/>
      <c r="W50" s="514"/>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09" t="s">
        <v>393</v>
      </c>
      <c r="Q51" s="510"/>
      <c r="R51" s="511"/>
      <c r="S51" s="441"/>
      <c r="T51" s="331"/>
      <c r="U51" s="509" t="s">
        <v>398</v>
      </c>
      <c r="V51" s="510"/>
      <c r="W51" s="511"/>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2" t="s">
        <v>340</v>
      </c>
      <c r="Q52" s="513"/>
      <c r="R52" s="514"/>
      <c r="S52" s="374"/>
      <c r="T52" s="332"/>
      <c r="U52" s="512" t="s">
        <v>340</v>
      </c>
      <c r="V52" s="513"/>
      <c r="W52" s="514"/>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7" t="s">
        <v>394</v>
      </c>
      <c r="Q53" s="558"/>
      <c r="R53" s="559"/>
      <c r="S53" s="442"/>
      <c r="T53" s="333"/>
      <c r="U53" s="557" t="s">
        <v>399</v>
      </c>
      <c r="V53" s="558"/>
      <c r="W53" s="559"/>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60"/>
      <c r="Q54" s="561"/>
      <c r="R54" s="562"/>
      <c r="S54" s="379"/>
      <c r="T54" s="334"/>
      <c r="U54" s="560"/>
      <c r="V54" s="561"/>
      <c r="W54" s="562"/>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7" t="s">
        <v>158</v>
      </c>
      <c r="D58" s="498"/>
      <c r="E58" s="498"/>
      <c r="F58" s="498"/>
      <c r="G58" s="498"/>
      <c r="H58" s="498"/>
      <c r="I58" s="498"/>
      <c r="J58" s="498"/>
      <c r="K58" s="502"/>
      <c r="L58" s="503"/>
      <c r="M58" s="327"/>
      <c r="N58" s="327"/>
      <c r="O58" s="327"/>
      <c r="P58" s="327"/>
      <c r="Q58" s="327"/>
      <c r="R58" s="327"/>
      <c r="S58" s="327"/>
      <c r="T58" s="327"/>
      <c r="U58" s="327"/>
    </row>
    <row r="59" spans="1:24" x14ac:dyDescent="0.2">
      <c r="A59" s="342"/>
      <c r="B59" s="363"/>
      <c r="C59" s="497" t="s">
        <v>163</v>
      </c>
      <c r="D59" s="498"/>
      <c r="E59" s="498"/>
      <c r="F59" s="498"/>
      <c r="G59" s="498"/>
      <c r="H59" s="498"/>
      <c r="I59" s="498"/>
      <c r="J59" s="498"/>
      <c r="K59" s="498"/>
      <c r="L59" s="499"/>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951</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3">
        <v>45842.92528935185</v>
      </c>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2"/>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ObOOcx0DBzCTSjwsRMlLY7gpBxeEPQCt3a/k0inoA9mHELWyJw2/m5EUzPuOKGTVI01/WS3hPbVFRr/fP2l/2A==" saltValue="0Gyo7WY0x9fjDgXMmBW3/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1"/>
      <c r="C3" s="491"/>
      <c r="D3" s="491"/>
      <c r="E3" s="491"/>
      <c r="F3" s="491"/>
      <c r="G3" s="491"/>
      <c r="H3" s="491"/>
      <c r="I3" s="491"/>
      <c r="J3" s="491"/>
      <c r="K3" s="491"/>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eQwhzdn0F2OFJuZwvWK1CcpS/y4LPf/jjVmV3G5FBsvUGuN5WVXcbN88lr1piresRf2e2BxTkAsoPY8EY4prA==" saltValue="0QPxJ8rNrzQ3RsNYQd999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7">
        <f>Main!D3</f>
        <v>0</v>
      </c>
      <c r="E10" s="567"/>
      <c r="F10" s="567"/>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6" t="s">
        <v>385</v>
      </c>
      <c r="F15" s="566"/>
      <c r="G15" s="566"/>
      <c r="H15" s="566"/>
    </row>
    <row r="16" spans="3:8" ht="15" x14ac:dyDescent="0.2">
      <c r="C16" s="136"/>
      <c r="D16" s="78"/>
      <c r="E16" s="304" t="s">
        <v>124</v>
      </c>
      <c r="F16" s="304"/>
      <c r="G16" s="304"/>
      <c r="H16" s="304"/>
    </row>
    <row r="17" spans="3:8" ht="15" x14ac:dyDescent="0.2">
      <c r="C17" s="136"/>
      <c r="D17" s="78"/>
      <c r="E17" s="565" t="s">
        <v>125</v>
      </c>
      <c r="F17" s="565"/>
      <c r="G17" s="565"/>
      <c r="H17" s="565"/>
    </row>
    <row r="18" spans="3:8" ht="15" x14ac:dyDescent="0.2">
      <c r="C18" s="136"/>
      <c r="D18" s="78"/>
      <c r="E18" s="565" t="s">
        <v>6</v>
      </c>
      <c r="F18" s="565"/>
      <c r="G18" s="565"/>
      <c r="H18" s="565"/>
    </row>
    <row r="19" spans="3:8" ht="15" x14ac:dyDescent="0.2">
      <c r="C19" s="136"/>
      <c r="D19" s="78"/>
      <c r="E19" s="565" t="s">
        <v>130</v>
      </c>
      <c r="F19" s="565"/>
      <c r="G19" s="565"/>
      <c r="H19" s="565"/>
    </row>
    <row r="20" spans="3:8" ht="15" x14ac:dyDescent="0.2">
      <c r="C20" s="136"/>
      <c r="D20" s="78"/>
      <c r="E20" s="565" t="s">
        <v>127</v>
      </c>
      <c r="F20" s="565"/>
      <c r="G20" s="565"/>
      <c r="H20" s="565"/>
    </row>
    <row r="21" spans="3:8" ht="15" x14ac:dyDescent="0.2">
      <c r="C21" s="136"/>
      <c r="D21" s="78"/>
      <c r="E21" s="565" t="s">
        <v>128</v>
      </c>
      <c r="F21" s="565"/>
      <c r="G21" s="565"/>
      <c r="H21" s="565"/>
    </row>
    <row r="22" spans="3:8" ht="15" x14ac:dyDescent="0.2">
      <c r="C22" s="136"/>
      <c r="D22" s="78"/>
      <c r="E22" s="565" t="s">
        <v>106</v>
      </c>
      <c r="F22" s="565"/>
      <c r="G22" s="565"/>
      <c r="H22" s="565"/>
    </row>
    <row r="23" spans="3:8" ht="15" x14ac:dyDescent="0.2">
      <c r="C23" s="136"/>
      <c r="D23" s="78"/>
      <c r="E23" s="565" t="s">
        <v>129</v>
      </c>
      <c r="F23" s="565"/>
      <c r="G23" s="565"/>
      <c r="H23" s="565"/>
    </row>
    <row r="24" spans="3:8" ht="15" x14ac:dyDescent="0.2">
      <c r="C24" s="87"/>
      <c r="D24" s="78"/>
      <c r="E24" s="565" t="s">
        <v>149</v>
      </c>
      <c r="F24" s="565"/>
      <c r="G24" s="565"/>
      <c r="H24" s="565"/>
    </row>
    <row r="25" spans="3:8" ht="15" x14ac:dyDescent="0.2">
      <c r="C25" s="87"/>
      <c r="D25" s="78"/>
      <c r="E25" s="565"/>
      <c r="F25" s="565"/>
      <c r="G25" s="565"/>
      <c r="H25" s="565"/>
    </row>
    <row r="26" spans="3:8" ht="15" x14ac:dyDescent="0.2">
      <c r="C26" s="87"/>
      <c r="D26" s="78"/>
      <c r="E26" s="565"/>
      <c r="F26" s="565"/>
      <c r="G26" s="565"/>
      <c r="H26" s="565"/>
    </row>
    <row r="27" spans="3:8" ht="15" x14ac:dyDescent="0.2">
      <c r="C27" s="87"/>
      <c r="D27" s="78"/>
      <c r="E27" s="565"/>
      <c r="F27" s="565"/>
      <c r="G27" s="565"/>
      <c r="H27" s="565"/>
    </row>
    <row r="28" spans="3:8" ht="15" x14ac:dyDescent="0.2">
      <c r="C28" s="87"/>
      <c r="D28" s="78"/>
      <c r="E28" s="565"/>
      <c r="F28" s="565"/>
      <c r="G28" s="565"/>
      <c r="H28" s="565"/>
    </row>
    <row r="29" spans="3:8" ht="15" x14ac:dyDescent="0.2">
      <c r="C29" s="87"/>
      <c r="D29" s="78"/>
      <c r="E29" s="565"/>
      <c r="F29" s="565"/>
      <c r="G29" s="565"/>
      <c r="H29" s="565"/>
    </row>
    <row r="30" spans="3:8" ht="15" x14ac:dyDescent="0.2">
      <c r="C30" s="87"/>
      <c r="D30" s="78"/>
      <c r="E30" s="565"/>
      <c r="F30" s="565"/>
      <c r="G30" s="565"/>
      <c r="H30" s="565"/>
    </row>
    <row r="31" spans="3:8" ht="15" x14ac:dyDescent="0.2">
      <c r="C31" s="263" t="s">
        <v>386</v>
      </c>
      <c r="E31" s="565"/>
      <c r="F31" s="565"/>
      <c r="G31" s="565"/>
      <c r="H31" s="565"/>
    </row>
    <row r="32" spans="3:8" ht="15" x14ac:dyDescent="0.2">
      <c r="C32" s="87"/>
      <c r="D32" s="78"/>
      <c r="E32" s="565"/>
      <c r="F32" s="565"/>
      <c r="G32" s="565"/>
      <c r="H32" s="565"/>
    </row>
    <row r="33" spans="3:8" ht="15" x14ac:dyDescent="0.2">
      <c r="C33" s="87"/>
      <c r="D33" s="78"/>
      <c r="E33" s="565"/>
      <c r="F33" s="565"/>
      <c r="G33" s="565"/>
      <c r="H33" s="565"/>
    </row>
    <row r="34" spans="3:8" ht="15" x14ac:dyDescent="0.2">
      <c r="C34" s="87"/>
      <c r="D34" s="78"/>
      <c r="E34" s="565"/>
      <c r="F34" s="565"/>
      <c r="G34" s="565"/>
      <c r="H34" s="565"/>
    </row>
    <row r="35" spans="3:8" ht="15" x14ac:dyDescent="0.2">
      <c r="C35" s="87"/>
      <c r="D35" s="78"/>
      <c r="E35" s="565"/>
      <c r="F35" s="565"/>
      <c r="G35" s="565"/>
      <c r="H35" s="565"/>
    </row>
    <row r="36" spans="3:8" ht="15" x14ac:dyDescent="0.2">
      <c r="C36" s="78"/>
      <c r="D36" s="78"/>
      <c r="E36" s="565"/>
      <c r="F36" s="565"/>
      <c r="G36" s="565"/>
      <c r="H36" s="565"/>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5BhiOSsZcWVWAqmcFLx8QVEzHYZFsNlTo1s5ctWuovE+254GS51x01Gs7SQXgCV919IxVzBhn4Q4tpdBRV6p/w==" saltValue="02cAfKwHx1wgRbflVlM2P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8" zoomScale="70" zoomScaleNormal="100" zoomScaleSheetLayoutView="70" workbookViewId="0">
      <selection activeCell="L52" sqref="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1" t="s">
        <v>116</v>
      </c>
      <c r="E1" s="591"/>
      <c r="F1" s="591"/>
      <c r="G1" s="591"/>
      <c r="H1" s="591"/>
      <c r="I1" s="591"/>
      <c r="J1" s="591"/>
      <c r="K1" s="591"/>
      <c r="L1" s="591"/>
      <c r="M1" s="591"/>
    </row>
    <row r="2" spans="1:18" ht="23.25" customHeight="1" x14ac:dyDescent="0.3">
      <c r="C2" s="245"/>
      <c r="D2" s="245" t="s">
        <v>325</v>
      </c>
      <c r="E2" s="245"/>
      <c r="F2" s="245"/>
      <c r="G2" s="245"/>
      <c r="H2" s="245"/>
      <c r="I2" s="245"/>
      <c r="J2" s="245"/>
      <c r="K2" s="245"/>
      <c r="L2" s="245"/>
      <c r="M2" s="245"/>
    </row>
    <row r="3" spans="1:18" ht="23.25" x14ac:dyDescent="0.35">
      <c r="C3" s="592"/>
      <c r="D3" s="592"/>
      <c r="E3" s="592"/>
      <c r="F3" s="592"/>
      <c r="G3" s="592"/>
      <c r="H3" s="592"/>
      <c r="I3" s="592"/>
      <c r="J3" s="592"/>
      <c r="K3" s="592"/>
      <c r="L3" s="592"/>
      <c r="M3" s="592"/>
    </row>
    <row r="4" spans="1:18" ht="23.25" x14ac:dyDescent="0.35">
      <c r="C4" s="229"/>
      <c r="D4" s="229"/>
      <c r="E4" s="229"/>
      <c r="F4" s="229"/>
      <c r="G4" s="229"/>
      <c r="H4" s="229"/>
      <c r="I4" s="229"/>
      <c r="J4" s="229"/>
      <c r="K4" s="229"/>
      <c r="L4" s="229"/>
      <c r="M4" s="229"/>
    </row>
    <row r="5" spans="1:18" ht="23.25" x14ac:dyDescent="0.35">
      <c r="C5" s="588" t="s">
        <v>6</v>
      </c>
      <c r="D5" s="588"/>
      <c r="E5" s="588"/>
      <c r="F5" s="588"/>
      <c r="G5" s="588"/>
      <c r="H5" s="588"/>
      <c r="I5" s="588"/>
      <c r="J5" s="588"/>
      <c r="K5" s="588"/>
      <c r="L5" s="588"/>
      <c r="M5" s="588"/>
    </row>
    <row r="6" spans="1:18" ht="23.25" x14ac:dyDescent="0.35">
      <c r="C6" s="230"/>
      <c r="D6" s="230"/>
      <c r="E6" s="607" t="str">
        <f>IFERROR(CONCATENATE("Report Number: ", WorkItemNumber),"")</f>
        <v/>
      </c>
      <c r="F6" s="607"/>
      <c r="G6" s="607"/>
      <c r="H6" s="607"/>
      <c r="I6" s="607"/>
      <c r="J6" s="607"/>
      <c r="K6" s="607"/>
      <c r="L6" s="230"/>
      <c r="M6" s="230"/>
    </row>
    <row r="7" spans="1:18" ht="18.75" customHeight="1" x14ac:dyDescent="0.3">
      <c r="G7" s="589"/>
      <c r="H7" s="589"/>
      <c r="I7" s="204"/>
      <c r="R7" t="str">
        <f>CONCATENATE("Page ",Main!L9," of ",Main!L10)</f>
        <v xml:space="preserve">Page  of </v>
      </c>
    </row>
    <row r="8" spans="1:18" ht="18" customHeight="1" x14ac:dyDescent="0.25">
      <c r="G8" s="601"/>
      <c r="H8" s="601"/>
      <c r="J8" s="84"/>
      <c r="K8" s="231" t="s">
        <v>322</v>
      </c>
      <c r="L8" s="611">
        <f>FormNumber</f>
        <v>0</v>
      </c>
      <c r="M8" s="611"/>
      <c r="N8" s="611"/>
      <c r="O8" s="611"/>
    </row>
    <row r="9" spans="1:18" ht="18" customHeight="1" x14ac:dyDescent="0.25">
      <c r="A9" s="231" t="s">
        <v>279</v>
      </c>
      <c r="B9" s="34" t="e">
        <f>Main!D5</f>
        <v>#N/A</v>
      </c>
      <c r="J9" s="84"/>
      <c r="K9" s="231" t="s">
        <v>323</v>
      </c>
      <c r="L9" s="603">
        <f>CalMethod</f>
        <v>0</v>
      </c>
      <c r="M9" s="603"/>
      <c r="N9" s="603"/>
      <c r="O9" s="603"/>
    </row>
    <row r="10" spans="1:18" ht="18" customHeight="1" x14ac:dyDescent="0.25">
      <c r="A10" s="93"/>
      <c r="B10" s="226" t="str" cm="1">
        <f t="array" ref="B10">IFERROR(_xlfn.XLOOKUP(clientCompanyId,customers_table[company_id],customers_table[Address1]),"")</f>
        <v/>
      </c>
      <c r="J10" s="84"/>
      <c r="K10" s="231"/>
      <c r="L10" s="603"/>
      <c r="M10" s="603"/>
      <c r="N10" s="603"/>
      <c r="O10" s="603"/>
    </row>
    <row r="11" spans="1:18" ht="18" customHeight="1" x14ac:dyDescent="0.25">
      <c r="A11" s="93"/>
      <c r="B11" s="226" t="str" cm="1">
        <f t="array" ref="B11">IFERROR(_xlfn.XLOOKUP(clientCompanyId,customers_table[company_id],customers_table[Merged]),"")</f>
        <v/>
      </c>
      <c r="J11" s="84"/>
      <c r="K11" s="231" t="s">
        <v>324</v>
      </c>
      <c r="L11" s="611">
        <f>TolSource</f>
        <v>0</v>
      </c>
      <c r="M11" s="611"/>
      <c r="N11" s="611"/>
      <c r="O11" s="611"/>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f>Main!D7</f>
        <v>0</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4">
        <f>SerialNumber</f>
        <v>0</v>
      </c>
      <c r="C16" s="604"/>
      <c r="D16" s="604"/>
      <c r="E16" s="604"/>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5">
        <f>Class</f>
        <v>0</v>
      </c>
      <c r="C18" s="595"/>
      <c r="D18" s="595"/>
      <c r="E18" s="595"/>
      <c r="G18" s="231" t="s">
        <v>289</v>
      </c>
      <c r="H18" s="235">
        <f>CubicFeet</f>
        <v>0</v>
      </c>
      <c r="M18" s="231" t="s">
        <v>293</v>
      </c>
      <c r="N18" s="235" t="str">
        <f>Main!G18</f>
        <v>ACCEPTED</v>
      </c>
      <c r="O18" s="210"/>
    </row>
    <row r="19" spans="1:19" ht="18" customHeight="1" x14ac:dyDescent="0.25">
      <c r="A19" s="221"/>
      <c r="B19" s="596"/>
      <c r="C19" s="596"/>
      <c r="D19" s="596"/>
      <c r="E19" s="596"/>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5">
        <f>Controller</f>
        <v>0</v>
      </c>
      <c r="C21" s="605"/>
      <c r="D21" s="605"/>
      <c r="E21" s="605"/>
      <c r="F21" s="222" t="s">
        <v>296</v>
      </c>
      <c r="G21" s="605">
        <f>ContSN</f>
        <v>0</v>
      </c>
      <c r="H21" s="605"/>
      <c r="I21" s="605"/>
      <c r="J21" s="222" t="s">
        <v>297</v>
      </c>
      <c r="K21" s="234">
        <f>ContTol</f>
        <v>0</v>
      </c>
      <c r="L21" s="208"/>
      <c r="M21" s="222" t="s">
        <v>298</v>
      </c>
      <c r="N21" s="247" t="str">
        <f>Main!G27</f>
        <v/>
      </c>
      <c r="O21" s="209"/>
    </row>
    <row r="22" spans="1:19" ht="18" customHeight="1" x14ac:dyDescent="0.25">
      <c r="A22" s="240" t="s">
        <v>295</v>
      </c>
      <c r="B22" s="606">
        <f>_xlnm.Recorder</f>
        <v>0</v>
      </c>
      <c r="C22" s="606"/>
      <c r="D22" s="606"/>
      <c r="E22" s="606"/>
      <c r="F22" s="223" t="s">
        <v>296</v>
      </c>
      <c r="G22" s="606">
        <f>RecSN</f>
        <v>0</v>
      </c>
      <c r="H22" s="606"/>
      <c r="I22" s="606"/>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2" t="s">
        <v>307</v>
      </c>
      <c r="D27" s="602"/>
      <c r="E27" s="602"/>
      <c r="F27" s="602"/>
      <c r="G27" s="602"/>
      <c r="H27" s="602"/>
      <c r="I27" s="602"/>
      <c r="J27" s="602"/>
      <c r="K27" s="602"/>
      <c r="L27" s="602"/>
      <c r="M27" s="602"/>
      <c r="N27" s="211"/>
      <c r="O27" s="212"/>
    </row>
    <row r="28" spans="1:19" ht="8.1" customHeight="1" x14ac:dyDescent="0.2"/>
    <row r="29" spans="1:19" ht="18" customHeight="1" x14ac:dyDescent="0.2">
      <c r="A29" s="598" t="s">
        <v>277</v>
      </c>
      <c r="B29" s="599"/>
      <c r="C29" s="600"/>
      <c r="D29" s="598" t="s">
        <v>308</v>
      </c>
      <c r="E29" s="599"/>
      <c r="F29" s="599"/>
      <c r="G29" s="600"/>
      <c r="H29" s="598" t="s">
        <v>278</v>
      </c>
      <c r="I29" s="599"/>
      <c r="J29" s="599"/>
      <c r="K29" s="600"/>
      <c r="L29" s="598" t="s">
        <v>259</v>
      </c>
      <c r="M29" s="599"/>
      <c r="N29" s="599"/>
      <c r="O29" s="600"/>
    </row>
    <row r="30" spans="1:19" ht="18" customHeight="1" x14ac:dyDescent="0.2">
      <c r="A30" s="227"/>
      <c r="B30" s="217">
        <f>TestLocation</f>
        <v>0</v>
      </c>
      <c r="C30" s="228"/>
      <c r="D30" s="575" t="str">
        <f>CONCATENATE(Main!D22,"°F","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50" t="s">
        <v>309</v>
      </c>
      <c r="B32" s="590" t="s">
        <v>310</v>
      </c>
      <c r="C32" s="590"/>
      <c r="D32" s="250" t="s">
        <v>273</v>
      </c>
      <c r="E32" s="250" t="s">
        <v>272</v>
      </c>
      <c r="F32" s="250" t="s">
        <v>311</v>
      </c>
      <c r="G32" s="84"/>
      <c r="H32" s="84"/>
      <c r="I32" s="250" t="s">
        <v>309</v>
      </c>
      <c r="J32" s="590" t="s">
        <v>310</v>
      </c>
      <c r="K32" s="590"/>
      <c r="L32" s="250" t="s">
        <v>273</v>
      </c>
      <c r="M32" s="250" t="s">
        <v>272</v>
      </c>
      <c r="N32" s="250" t="s">
        <v>311</v>
      </c>
    </row>
    <row r="33" spans="1:14" ht="18" customHeight="1" x14ac:dyDescent="0.2">
      <c r="A33" s="251" t="str">
        <f>IF(B33="","",1)</f>
        <v/>
      </c>
      <c r="B33" s="589" t="str">
        <f>IF(Main!O5="","",Main!O5)</f>
        <v/>
      </c>
      <c r="C33" s="589"/>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9" t="str">
        <f>IF(Main!O25="","",Main!O25)</f>
        <v/>
      </c>
      <c r="K33" s="589"/>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9" t="str">
        <f>IF(Main!O6="","",Main!O6)</f>
        <v/>
      </c>
      <c r="C34" s="589"/>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9" t="str">
        <f>IF(Main!O26="","",Main!O26)</f>
        <v/>
      </c>
      <c r="K34" s="589"/>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9" t="str">
        <f>IF(Main!O7="","",Main!O7)</f>
        <v/>
      </c>
      <c r="C35" s="589"/>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9" t="str">
        <f>IF(Main!O27="","",Main!O27)</f>
        <v/>
      </c>
      <c r="K35" s="589"/>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9" t="str">
        <f>IF(Main!O8="","",Main!O8)</f>
        <v/>
      </c>
      <c r="C36" s="589"/>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9" t="str">
        <f>IF(Main!O28="","",Main!O28)</f>
        <v/>
      </c>
      <c r="K36" s="589"/>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9" t="str">
        <f>IF(Main!O9="","",Main!O9)</f>
        <v/>
      </c>
      <c r="C37" s="589"/>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9" t="str">
        <f>IF(Main!O29="","",Main!O29)</f>
        <v/>
      </c>
      <c r="K37" s="589"/>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9" t="str">
        <f>IF(Main!O10="","",Main!O10)</f>
        <v/>
      </c>
      <c r="C38" s="589"/>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9" t="str">
        <f>IF(Main!O30="","",Main!O30)</f>
        <v/>
      </c>
      <c r="K38" s="589"/>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9" t="str">
        <f>IF(Main!O11="","",Main!O11)</f>
        <v/>
      </c>
      <c r="C39" s="589"/>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9" t="str">
        <f>IF(Main!O31="","",Main!O31)</f>
        <v/>
      </c>
      <c r="K39" s="589"/>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9" t="str">
        <f>IF(Main!O12="","",Main!O12)</f>
        <v/>
      </c>
      <c r="C40" s="589"/>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9" t="str">
        <f>IF(Main!O32="","",Main!O32)</f>
        <v/>
      </c>
      <c r="K40" s="589"/>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9" t="str">
        <f>IF(Main!O13="","",Main!O13)</f>
        <v/>
      </c>
      <c r="C41" s="589"/>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9" t="str">
        <f>IF(Main!O33="","",Main!O33)</f>
        <v/>
      </c>
      <c r="K41" s="589"/>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9" t="str">
        <f>IF(Main!O14="","",Main!O14)</f>
        <v/>
      </c>
      <c r="C42" s="589"/>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9" t="str">
        <f>IF(Main!O34="","",Main!O34)</f>
        <v/>
      </c>
      <c r="K42" s="589"/>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9" t="str">
        <f>IF(Main!O15="","",Main!O15)</f>
        <v/>
      </c>
      <c r="C43" s="589"/>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9" t="str">
        <f>IF(Main!O35="","",Main!O35)</f>
        <v/>
      </c>
      <c r="K43" s="589"/>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9" t="str">
        <f>IF(Main!O16="","",Main!O16)</f>
        <v/>
      </c>
      <c r="C44" s="589"/>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9" t="str">
        <f>IF(Main!O36="","",Main!O36)</f>
        <v/>
      </c>
      <c r="K44" s="589"/>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9" t="str">
        <f>IF(Main!O17="","",Main!O17)</f>
        <v/>
      </c>
      <c r="C45" s="589"/>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9" t="str">
        <f>IF(Main!O37="","",Main!O37)</f>
        <v/>
      </c>
      <c r="K45" s="589"/>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9" t="str">
        <f>IF(Main!O18="","",Main!O18)</f>
        <v/>
      </c>
      <c r="C46" s="589"/>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9" t="str">
        <f>IF(Main!O38="","",Main!O38)</f>
        <v/>
      </c>
      <c r="K46" s="589"/>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9" t="str">
        <f>IF(Main!O19="","",Main!O19)</f>
        <v/>
      </c>
      <c r="C47" s="589"/>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9" t="str">
        <f>IF(Main!O39="","",Main!O39)</f>
        <v/>
      </c>
      <c r="K47" s="589"/>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9" t="str">
        <f>IF(Main!O20="","",Main!O20)</f>
        <v/>
      </c>
      <c r="C48" s="589"/>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9" t="str">
        <f>IF(Main!O40="","",Main!O40)</f>
        <v/>
      </c>
      <c r="K48" s="589"/>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9" t="str">
        <f>IF(Main!O21="","",Main!O21)</f>
        <v/>
      </c>
      <c r="C49" s="589"/>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9" t="str">
        <f>IF(Main!O41="","",Main!O41)</f>
        <v/>
      </c>
      <c r="K49" s="589"/>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9" t="str">
        <f>IF(Main!O22="","",Main!O22)</f>
        <v/>
      </c>
      <c r="C50" s="589"/>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9" t="str">
        <f>IF(Main!O42="","",Main!O42)</f>
        <v/>
      </c>
      <c r="K50" s="589"/>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9" t="str">
        <f>IF(Main!O23="","",Main!O23)</f>
        <v/>
      </c>
      <c r="C51" s="589"/>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9" t="str">
        <f>IF(Main!O43="","",Main!O43)</f>
        <v/>
      </c>
      <c r="K51" s="589"/>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9" t="str">
        <f>IF(Main!O24="","",Main!O24)</f>
        <v/>
      </c>
      <c r="C52" s="589"/>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9" t="str">
        <f>IF(Main!O44="","",Main!O44)</f>
        <v/>
      </c>
      <c r="K52" s="589"/>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4" t="s">
        <v>312</v>
      </c>
      <c r="C53" s="594"/>
      <c r="D53" s="594"/>
      <c r="E53" s="594"/>
      <c r="F53" s="594"/>
      <c r="G53" s="594"/>
      <c r="H53" s="594"/>
      <c r="I53" s="594"/>
      <c r="J53" s="594"/>
      <c r="K53" s="594"/>
      <c r="L53" s="594"/>
      <c r="M53" s="594"/>
      <c r="N53" s="594"/>
    </row>
    <row r="54" spans="1:20" ht="18" customHeight="1" x14ac:dyDescent="0.25">
      <c r="A54" s="253" t="s">
        <v>313</v>
      </c>
      <c r="B54" s="603" t="str">
        <f>CONCATENATE(Main!G23,"  ",FurnaceSpecificComments)</f>
        <v xml:space="preserve">Found in tolerance.  No adjustment required.  </v>
      </c>
      <c r="C54" s="603"/>
      <c r="D54" s="603"/>
      <c r="E54" s="603"/>
      <c r="F54" s="603"/>
      <c r="G54" s="603"/>
      <c r="H54" s="603"/>
      <c r="I54" s="603"/>
      <c r="J54" s="603"/>
      <c r="K54" s="603"/>
      <c r="L54" s="603"/>
      <c r="M54" s="603"/>
      <c r="N54" s="603"/>
      <c r="O54" s="603"/>
    </row>
    <row r="55" spans="1:20" ht="18" customHeight="1" x14ac:dyDescent="0.25">
      <c r="A55" s="81"/>
      <c r="B55" s="603"/>
      <c r="C55" s="603"/>
      <c r="D55" s="603"/>
      <c r="E55" s="603"/>
      <c r="F55" s="603"/>
      <c r="G55" s="603"/>
      <c r="H55" s="603"/>
      <c r="I55" s="603"/>
      <c r="J55" s="603"/>
      <c r="K55" s="603"/>
      <c r="L55" s="603"/>
      <c r="M55" s="603"/>
      <c r="N55" s="603"/>
      <c r="O55" s="603"/>
    </row>
    <row r="56" spans="1:20" ht="18" customHeight="1" x14ac:dyDescent="0.25">
      <c r="A56" s="81"/>
      <c r="B56" s="603"/>
      <c r="C56" s="603"/>
      <c r="D56" s="603"/>
      <c r="E56" s="603"/>
      <c r="F56" s="603"/>
      <c r="G56" s="603"/>
      <c r="H56" s="603"/>
      <c r="I56" s="603"/>
      <c r="J56" s="603"/>
      <c r="K56" s="603"/>
      <c r="L56" s="603"/>
      <c r="M56" s="603"/>
      <c r="N56" s="603"/>
      <c r="O56" s="603"/>
    </row>
    <row r="57" spans="1:20" ht="18" customHeight="1" x14ac:dyDescent="0.25">
      <c r="A57" s="81"/>
      <c r="B57" s="603"/>
      <c r="C57" s="603"/>
      <c r="D57" s="603"/>
      <c r="E57" s="603"/>
      <c r="F57" s="603"/>
      <c r="G57" s="603"/>
      <c r="H57" s="603"/>
      <c r="I57" s="603"/>
      <c r="J57" s="603"/>
      <c r="K57" s="603"/>
      <c r="L57" s="603"/>
      <c r="M57" s="603"/>
      <c r="N57" s="603"/>
      <c r="O57" s="603"/>
    </row>
    <row r="58" spans="1:20" ht="18" customHeight="1" x14ac:dyDescent="0.25">
      <c r="A58" s="81"/>
      <c r="B58" s="603"/>
      <c r="C58" s="603"/>
      <c r="D58" s="603"/>
      <c r="E58" s="603"/>
      <c r="F58" s="603"/>
      <c r="G58" s="603"/>
      <c r="H58" s="603"/>
      <c r="I58" s="603"/>
      <c r="J58" s="603"/>
      <c r="K58" s="603"/>
      <c r="L58" s="603"/>
      <c r="M58" s="603"/>
      <c r="N58" s="603"/>
      <c r="O58" s="603"/>
    </row>
    <row r="59" spans="1:20" ht="18" customHeight="1" x14ac:dyDescent="0.25">
      <c r="A59" s="81"/>
      <c r="B59" s="603"/>
      <c r="C59" s="603"/>
      <c r="D59" s="603"/>
      <c r="E59" s="603"/>
      <c r="F59" s="603"/>
      <c r="G59" s="603"/>
      <c r="H59" s="603"/>
      <c r="I59" s="603"/>
      <c r="J59" s="603"/>
      <c r="K59" s="603"/>
      <c r="L59" s="603"/>
      <c r="M59" s="603"/>
      <c r="N59" s="603"/>
      <c r="O59" s="603"/>
    </row>
    <row r="60" spans="1:20" ht="18" customHeight="1" x14ac:dyDescent="0.2">
      <c r="A60" s="593" t="s">
        <v>321</v>
      </c>
      <c r="B60" s="593"/>
      <c r="C60" s="593"/>
      <c r="D60" s="593"/>
      <c r="E60" s="593"/>
      <c r="F60" s="593"/>
      <c r="G60" s="593"/>
      <c r="H60" s="593"/>
      <c r="I60" s="593"/>
      <c r="J60" s="593"/>
      <c r="K60" s="593"/>
      <c r="L60" s="593"/>
      <c r="M60" s="593"/>
      <c r="N60" s="593"/>
      <c r="O60" s="593"/>
    </row>
    <row r="61" spans="1:20" ht="18" customHeight="1" x14ac:dyDescent="0.2">
      <c r="A61" s="597" t="s">
        <v>314</v>
      </c>
      <c r="B61" s="597"/>
      <c r="C61" s="597"/>
      <c r="D61" s="597"/>
      <c r="E61" s="597"/>
      <c r="F61" s="610" t="s">
        <v>315</v>
      </c>
      <c r="G61" s="610"/>
      <c r="H61" s="610"/>
      <c r="I61" s="610" t="s">
        <v>316</v>
      </c>
      <c r="J61" s="610"/>
      <c r="K61" s="610" t="s">
        <v>317</v>
      </c>
      <c r="L61" s="610"/>
      <c r="M61" s="610" t="s">
        <v>318</v>
      </c>
      <c r="N61" s="610"/>
      <c r="O61" s="610"/>
      <c r="R61" s="39" t="s">
        <v>884</v>
      </c>
      <c r="T61" s="39" t="s">
        <v>885</v>
      </c>
    </row>
    <row r="62" spans="1:20" ht="18" customHeight="1" x14ac:dyDescent="0.2">
      <c r="A62" s="578" t="str">
        <f>IF(F62="","",CONCATENATE(T62," - ",R62))</f>
        <v/>
      </c>
      <c r="B62" s="579"/>
      <c r="C62" s="579"/>
      <c r="D62" s="579"/>
      <c r="E62" s="580"/>
      <c r="F62" s="578" t="str" cm="1">
        <f t="array" ref="F62">IFERROR(
  _xlfn.XLOOKUP(
    Main!D9,
    _xlfn._xlws.FILTER(AssetPool[asset_tag], AssetPool[root_category_name]="DAQ Modules"),
    _xlfn._xlws.FILTER(AssetPool[serial_number], AssetPool[root_category_name]="DAQ Modules")
  ),
  ""
)</f>
        <v/>
      </c>
      <c r="G62" s="579"/>
      <c r="H62" s="580"/>
      <c r="I62" s="608" t="str">
        <f>IF(F62="","",Main!D12)</f>
        <v/>
      </c>
      <c r="J62" s="609"/>
      <c r="K62" s="608" t="str">
        <f>IF(F62="","",Main!D13)</f>
        <v/>
      </c>
      <c r="L62" s="609"/>
      <c r="M62" s="572" t="str">
        <f>IF(F62="","",REPLACE(Main!D14,3,1,""))</f>
        <v/>
      </c>
      <c r="N62" s="573"/>
      <c r="O62" s="574"/>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69" t="str">
        <f t="shared" ref="A63:A68" si="0">IF(Q63="","",CONCATENATE(T63," - ",R63))</f>
        <v/>
      </c>
      <c r="B63" s="570"/>
      <c r="C63" s="570"/>
      <c r="D63" s="570"/>
      <c r="E63" s="571"/>
      <c r="F63" s="569" t="str">
        <f>IF(Main!D48,Main!D48,"")</f>
        <v/>
      </c>
      <c r="G63" s="570"/>
      <c r="H63" s="571"/>
      <c r="I63" s="586" t="str">
        <f>IF(Q63="","",Main!D49)</f>
        <v/>
      </c>
      <c r="J63" s="587"/>
      <c r="K63" s="586" t="str">
        <f>IF(Q63="","",Main!D50)</f>
        <v/>
      </c>
      <c r="L63" s="587"/>
      <c r="M63" s="569" t="str">
        <f>IF(Q63="","",Main!D54)</f>
        <v/>
      </c>
      <c r="N63" s="570"/>
      <c r="O63" s="571"/>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69" t="str">
        <f t="shared" si="0"/>
        <v/>
      </c>
      <c r="B64" s="570"/>
      <c r="C64" s="570"/>
      <c r="D64" s="570"/>
      <c r="E64" s="571"/>
      <c r="F64" s="569" t="str">
        <f>IF(Main!E48,Main!E48,"")</f>
        <v/>
      </c>
      <c r="G64" s="570"/>
      <c r="H64" s="571"/>
      <c r="I64" s="586" t="str">
        <f>IF(Q64="","",Main!E49)</f>
        <v/>
      </c>
      <c r="J64" s="587"/>
      <c r="K64" s="586" t="str">
        <f>IF(Q64="","",Main!E50)</f>
        <v/>
      </c>
      <c r="L64" s="587"/>
      <c r="M64" s="569" t="str">
        <f>IF(Q64="","",Main!E54)</f>
        <v/>
      </c>
      <c r="N64" s="570"/>
      <c r="O64" s="571"/>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69" t="str">
        <f t="shared" si="0"/>
        <v/>
      </c>
      <c r="B65" s="570"/>
      <c r="C65" s="570"/>
      <c r="D65" s="570"/>
      <c r="E65" s="571"/>
      <c r="F65" s="569" t="str">
        <f>IF(Main!F48,Main!F48,"")</f>
        <v/>
      </c>
      <c r="G65" s="570"/>
      <c r="H65" s="571"/>
      <c r="I65" s="586" t="str">
        <f>IF(Q65="","",Main!F49)</f>
        <v/>
      </c>
      <c r="J65" s="587"/>
      <c r="K65" s="586" t="str">
        <f>IF(Q65="","",Main!F50)</f>
        <v/>
      </c>
      <c r="L65" s="587"/>
      <c r="M65" s="569" t="str">
        <f>IF(Q65="","",Main!F54)</f>
        <v/>
      </c>
      <c r="N65" s="570"/>
      <c r="O65" s="571"/>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69" t="str">
        <f t="shared" si="0"/>
        <v/>
      </c>
      <c r="B66" s="570"/>
      <c r="C66" s="570"/>
      <c r="D66" s="570"/>
      <c r="E66" s="571"/>
      <c r="F66" s="569" t="str">
        <f>IF(Main!G48,Main!G48,"")</f>
        <v/>
      </c>
      <c r="G66" s="570"/>
      <c r="H66" s="571"/>
      <c r="I66" s="586" t="str">
        <f>IF(Q66="","",Main!G49)</f>
        <v/>
      </c>
      <c r="J66" s="587"/>
      <c r="K66" s="586" t="str">
        <f>IF(Q66="","",Main!G50)</f>
        <v/>
      </c>
      <c r="L66" s="587"/>
      <c r="M66" s="569" t="str">
        <f>IF(Q66="","",Main!G54)</f>
        <v/>
      </c>
      <c r="N66" s="570"/>
      <c r="O66" s="571"/>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69" t="str">
        <f t="shared" si="0"/>
        <v/>
      </c>
      <c r="B67" s="570"/>
      <c r="C67" s="570"/>
      <c r="D67" s="570"/>
      <c r="E67" s="571"/>
      <c r="F67" s="569" t="str">
        <f>IF(Main!H48,Main!H48,"")</f>
        <v/>
      </c>
      <c r="G67" s="570"/>
      <c r="H67" s="571"/>
      <c r="I67" s="586" t="str">
        <f>IF(Q67="","",Main!H49)</f>
        <v/>
      </c>
      <c r="J67" s="587"/>
      <c r="K67" s="586" t="str">
        <f>IF(Q67="","",Main!H50)</f>
        <v/>
      </c>
      <c r="L67" s="587"/>
      <c r="M67" s="569" t="str">
        <f>IF(Q67="","",Main!H54)</f>
        <v/>
      </c>
      <c r="N67" s="570"/>
      <c r="O67" s="571"/>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69" t="str">
        <f t="shared" si="0"/>
        <v/>
      </c>
      <c r="B68" s="570"/>
      <c r="C68" s="570"/>
      <c r="D68" s="570"/>
      <c r="E68" s="571"/>
      <c r="F68" s="569" t="str">
        <f>IF(Main!I48,Main!I48,"")</f>
        <v/>
      </c>
      <c r="G68" s="570"/>
      <c r="H68" s="571"/>
      <c r="I68" s="586" t="str">
        <f>IF(Q68="","",Main!I49)</f>
        <v/>
      </c>
      <c r="J68" s="587"/>
      <c r="K68" s="586" t="str">
        <f>IF(Q68="","",Main!I50)</f>
        <v/>
      </c>
      <c r="L68" s="587"/>
      <c r="M68" s="569" t="str">
        <f>IF(Q68="","",Main!I54)</f>
        <v/>
      </c>
      <c r="N68" s="570"/>
      <c r="O68" s="571"/>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5" t="str">
        <f>IF(T69="","",CONCATENATE(T69," - ",R69))</f>
        <v/>
      </c>
      <c r="B69" s="576"/>
      <c r="C69" s="576"/>
      <c r="D69" s="576"/>
      <c r="E69" s="577"/>
      <c r="F69" s="581" t="str">
        <f>IF(W69,W69,"")</f>
        <v/>
      </c>
      <c r="G69" s="582"/>
      <c r="H69" s="583"/>
      <c r="I69" s="584"/>
      <c r="J69" s="585"/>
      <c r="K69" s="584"/>
      <c r="L69" s="585"/>
      <c r="M69" s="575"/>
      <c r="N69" s="576"/>
      <c r="O69" s="577"/>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8" t="s">
        <v>373</v>
      </c>
      <c r="B71" s="568"/>
      <c r="C71" s="568"/>
      <c r="D71" s="568"/>
      <c r="E71" s="568"/>
      <c r="F71" s="568"/>
      <c r="G71" s="568"/>
      <c r="H71" s="568"/>
      <c r="I71" s="568"/>
      <c r="J71" s="568"/>
      <c r="K71" s="568"/>
      <c r="L71" s="568"/>
      <c r="M71" s="568"/>
      <c r="N71" s="568"/>
      <c r="O71" s="568"/>
    </row>
    <row r="72" spans="1:20" ht="18" customHeight="1" x14ac:dyDescent="0.2">
      <c r="A72" s="568"/>
      <c r="B72" s="568"/>
      <c r="C72" s="568"/>
      <c r="D72" s="568"/>
      <c r="E72" s="568"/>
      <c r="F72" s="568"/>
      <c r="G72" s="568"/>
      <c r="H72" s="568"/>
      <c r="I72" s="568"/>
      <c r="J72" s="568"/>
      <c r="K72" s="568"/>
      <c r="L72" s="568"/>
      <c r="M72" s="568"/>
      <c r="N72" s="568"/>
      <c r="O72" s="568"/>
    </row>
    <row r="73" spans="1:20" ht="18" customHeight="1" x14ac:dyDescent="0.2">
      <c r="A73" s="568"/>
      <c r="B73" s="568"/>
      <c r="C73" s="568"/>
      <c r="D73" s="568"/>
      <c r="E73" s="568"/>
      <c r="F73" s="568"/>
      <c r="G73" s="568"/>
      <c r="H73" s="568"/>
      <c r="I73" s="568"/>
      <c r="J73" s="568"/>
      <c r="K73" s="568"/>
      <c r="L73" s="568"/>
      <c r="M73" s="568"/>
      <c r="N73" s="568"/>
      <c r="O73" s="568"/>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fTGoS3ZAPZyjumncDYpAAXKfXb9vYz3bq1FhbUwStN1zY4OcYIYnnTqNi133xMeO9jiMVFxOM9cdSshb6MID2w==" saltValue="SBu8Igt2GYJcb8g24EdOA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5" t="s">
        <v>103</v>
      </c>
      <c r="N2" s="615"/>
      <c r="O2" s="615"/>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6" t="s">
        <v>104</v>
      </c>
      <c r="N3" s="617"/>
      <c r="O3" s="618"/>
      <c r="P3" s="109"/>
      <c r="Q3" s="109"/>
    </row>
    <row r="4" spans="1:18" ht="15" x14ac:dyDescent="0.25">
      <c r="B4" s="119" t="s">
        <v>25</v>
      </c>
      <c r="C4" s="65"/>
      <c r="D4" s="39"/>
      <c r="E4" s="39"/>
      <c r="F4" s="39"/>
      <c r="G4" s="39"/>
      <c r="H4" s="39"/>
      <c r="I4" s="39"/>
      <c r="J4" s="39"/>
      <c r="K4" s="39"/>
      <c r="L4" s="39"/>
      <c r="M4" s="619" t="s">
        <v>145</v>
      </c>
      <c r="N4" s="620"/>
      <c r="O4" s="621"/>
      <c r="P4" s="91"/>
    </row>
    <row r="5" spans="1:18" x14ac:dyDescent="0.2">
      <c r="B5" s="120" t="s">
        <v>26</v>
      </c>
      <c r="C5" s="59">
        <f>Main!D3</f>
        <v>0</v>
      </c>
      <c r="D5" s="39"/>
      <c r="E5" s="39"/>
      <c r="F5" s="39"/>
      <c r="G5" s="39"/>
      <c r="H5" s="39"/>
      <c r="I5" s="57" t="s">
        <v>4</v>
      </c>
      <c r="J5" s="39" t="e">
        <f>Main!D5</f>
        <v>#N/A</v>
      </c>
      <c r="L5" s="39"/>
      <c r="M5" s="622" t="s">
        <v>144</v>
      </c>
      <c r="N5" s="623"/>
      <c r="O5" s="624"/>
      <c r="P5" s="135"/>
    </row>
    <row r="6" spans="1:18" ht="13.5" thickBot="1" x14ac:dyDescent="0.25">
      <c r="B6" s="120" t="s">
        <v>3</v>
      </c>
      <c r="C6" s="60" t="e">
        <f>Main!D6</f>
        <v>#N/A</v>
      </c>
      <c r="D6" s="39"/>
      <c r="E6" s="39"/>
      <c r="F6" s="39"/>
      <c r="G6" s="39"/>
      <c r="H6" s="39"/>
      <c r="I6" s="57" t="s">
        <v>5</v>
      </c>
      <c r="J6" s="56">
        <f>Main!D16</f>
        <v>0</v>
      </c>
      <c r="L6" s="39"/>
      <c r="M6" s="625" t="s">
        <v>143</v>
      </c>
      <c r="N6" s="626"/>
      <c r="O6" s="627"/>
      <c r="P6" s="92"/>
    </row>
    <row r="7" spans="1:18" ht="13.5" thickBot="1" x14ac:dyDescent="0.25">
      <c r="B7" s="120" t="s">
        <v>27</v>
      </c>
      <c r="C7" s="60">
        <f>Main!D7</f>
        <v>0</v>
      </c>
      <c r="D7" s="39"/>
      <c r="E7" s="39"/>
      <c r="F7" s="39"/>
      <c r="G7" s="39"/>
      <c r="H7" s="39"/>
      <c r="I7" s="62" t="s">
        <v>169</v>
      </c>
      <c r="J7" s="613">
        <f>Main!$D$30</f>
        <v>0</v>
      </c>
      <c r="K7" s="614"/>
      <c r="L7" s="106"/>
      <c r="M7" s="612" t="s">
        <v>142</v>
      </c>
      <c r="N7" s="612"/>
      <c r="O7" s="612"/>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9KFnKhEi2eGwRHTuvqBNgOqn1A9PF6VzoTw1g8qA0m0SMLp+slR7PZ/K0tcDTo+vuC706KfOMSVP4suYHcZavw==" saltValue="WUZvEkevW2UUJbq9snLDh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83" priority="1">
      <formula>AND(ROW() &gt;= $Q$1, ROW() &lt;= $Q$2)</formula>
    </cfRule>
    <cfRule type="cellIs" dxfId="82" priority="2" stopIfTrue="1" operator="between">
      <formula>$E$1</formula>
      <formula>$E$2</formula>
    </cfRule>
    <cfRule type="cellIs" dxfId="81" priority="3" stopIfTrue="1" operator="greaterThan">
      <formula>$C$2</formula>
    </cfRule>
    <cfRule type="cellIs" dxfId="80" priority="4" stopIfTrue="1" operator="lessThan">
      <formula>$C$1</formula>
    </cfRule>
    <cfRule type="cellIs" dxfId="7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t="e">
        <f>Main!D5</f>
        <v>#N/A</v>
      </c>
      <c r="M5" s="629" t="s">
        <v>144</v>
      </c>
      <c r="N5" s="630"/>
      <c r="O5" s="631"/>
    </row>
    <row r="6" spans="1:17" ht="13.5" thickBot="1" x14ac:dyDescent="0.25">
      <c r="B6" s="120" t="s">
        <v>3</v>
      </c>
      <c r="C6" s="60" t="e">
        <f>Main!D6</f>
        <v>#N/A</v>
      </c>
      <c r="D6" s="39"/>
      <c r="E6" s="39"/>
      <c r="F6" s="39"/>
      <c r="G6" s="39"/>
      <c r="H6" s="39"/>
      <c r="I6" s="57" t="s">
        <v>5</v>
      </c>
      <c r="J6" s="41">
        <f>Main!D16</f>
        <v>0</v>
      </c>
      <c r="M6" s="625" t="s">
        <v>143</v>
      </c>
      <c r="N6" s="626"/>
      <c r="O6" s="627"/>
    </row>
    <row r="7" spans="1:17" ht="13.5" thickBot="1" x14ac:dyDescent="0.25">
      <c r="B7" s="120" t="s">
        <v>27</v>
      </c>
      <c r="C7" s="60">
        <f>Main!D7</f>
        <v>0</v>
      </c>
      <c r="D7" s="39"/>
      <c r="E7" s="39"/>
      <c r="F7" s="39"/>
      <c r="G7" s="39"/>
      <c r="H7" s="39"/>
      <c r="I7" s="62" t="s">
        <v>169</v>
      </c>
      <c r="J7" s="613">
        <f>Main!$D$30</f>
        <v>0</v>
      </c>
      <c r="K7" s="614"/>
      <c r="L7" s="106"/>
      <c r="M7" s="612" t="s">
        <v>142</v>
      </c>
      <c r="N7" s="612"/>
      <c r="O7" s="612"/>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vm1oaPvB5ey4QyQ/AnA69xh9l6imN51NoPdRUKdsh7xR2doV3bJaFSv2fc9ekyPvNe8b0ayQbX53O0aaFK/tLQ==" saltValue="pi1Ay8ZQu/tlUU/CjZPM6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s="39" t="e">
        <f>Main!D5</f>
        <v>#N/A</v>
      </c>
      <c r="L5" s="39"/>
      <c r="M5" s="622" t="s">
        <v>144</v>
      </c>
      <c r="N5" s="623"/>
      <c r="O5" s="624"/>
    </row>
    <row r="6" spans="1:17" ht="13.5" thickBot="1" x14ac:dyDescent="0.25">
      <c r="B6" s="120" t="s">
        <v>3</v>
      </c>
      <c r="C6" s="60" t="e">
        <f>Main!D6</f>
        <v>#N/A</v>
      </c>
      <c r="D6" s="39"/>
      <c r="E6" s="39"/>
      <c r="F6" s="39"/>
      <c r="G6" s="39"/>
      <c r="H6" s="39"/>
      <c r="I6" s="57" t="s">
        <v>5</v>
      </c>
      <c r="J6" s="56">
        <f>Main!D16</f>
        <v>0</v>
      </c>
      <c r="L6" s="39"/>
      <c r="M6" s="625" t="s">
        <v>143</v>
      </c>
      <c r="N6" s="626"/>
      <c r="O6" s="627"/>
    </row>
    <row r="7" spans="1:17" ht="13.5" thickBot="1" x14ac:dyDescent="0.25">
      <c r="B7" s="120" t="s">
        <v>27</v>
      </c>
      <c r="C7" s="60">
        <f>Main!D7</f>
        <v>0</v>
      </c>
      <c r="D7" s="39"/>
      <c r="E7" s="39"/>
      <c r="F7" s="39"/>
      <c r="G7" s="39"/>
      <c r="H7" s="39"/>
      <c r="I7" s="62" t="s">
        <v>169</v>
      </c>
      <c r="J7" s="613">
        <f>Main!$D$30</f>
        <v>0</v>
      </c>
      <c r="K7" s="614"/>
      <c r="L7" s="106"/>
      <c r="M7" s="612" t="s">
        <v>142</v>
      </c>
      <c r="N7" s="612"/>
      <c r="O7" s="612"/>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MnX4px80auJ+0LLCopQpZcPpnqWGo3dHkRiA10JzXW3kCSHbbRtATcJ7Tojx8HzFqc+NMiv/x3H2IhIjdzSYaQ==" saltValue="iOTxmyyw632FMoyUD83F3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73" priority="2" stopIfTrue="1" operator="between">
      <formula>$E$1</formula>
      <formula>$E$2</formula>
    </cfRule>
    <cfRule type="cellIs" dxfId="72" priority="3" stopIfTrue="1" operator="greaterThan">
      <formula>$C$2</formula>
    </cfRule>
    <cfRule type="cellIs" dxfId="71" priority="4" stopIfTrue="1" operator="lessThan">
      <formula>$C$1</formula>
    </cfRule>
    <cfRule type="cellIs" dxfId="70" priority="6" stopIfTrue="1" operator="greaterThanOrEqual">
      <formula>$C$1</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f>Main!D7</f>
        <v>0</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_xlfn.XLOOKUP(1,Comparison[Column4],Comparison[[Column2]:[Column3]],"")</f>
        <v/>
      </c>
      <c r="D9" s="18"/>
      <c r="E9" s="18" t="s">
        <v>15</v>
      </c>
      <c r="F9" s="38" t="str" cm="1">
        <f t="array" ref="F9">_xlfn.XLOOKUP(2,Comparison[Column4],Comparison[[Column2]:[Column3]],"")</f>
        <v/>
      </c>
      <c r="G9" s="18"/>
      <c r="H9" s="18" t="s">
        <v>15</v>
      </c>
      <c r="I9" s="38" t="str" cm="1">
        <f t="array" ref="I9">_xlfn.XLOOKUP(3,Comparison[Column4],Comparison[[Column2]:[Column3]],"")</f>
        <v/>
      </c>
      <c r="J9" s="18"/>
      <c r="K9" s="18" t="s">
        <v>15</v>
      </c>
      <c r="L9" s="38" t="str" cm="1">
        <f t="array" ref="L9">_xlfn.XLOOKUP(4,Comparison[Column4],Comparison[[Column2]:[Column3]],"")</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_xlfn._xlws.FILTER(Comparison[[Column6]:[Column8]],Comparison[Column4]=1,"")</f>
        <v/>
      </c>
      <c r="D10" s="40"/>
      <c r="E10" s="28"/>
      <c r="F10" s="20" t="str" cm="1">
        <f t="array" ref="F10">_xlfn._xlws.FILTER(Comparison[[Column6]:[Column8]],Comparison[Column4]=2,"")</f>
        <v/>
      </c>
      <c r="G10" s="40"/>
      <c r="H10" s="28"/>
      <c r="I10" s="20" t="str" cm="1">
        <f t="array" ref="I10">_xlfn._xlws.FILTER(Comparison[[Column6]:[Column8]],Comparison[Column4]=3,"")</f>
        <v/>
      </c>
      <c r="J10" s="40"/>
      <c r="K10" s="28"/>
      <c r="L10" s="20" t="str" cm="1">
        <f t="array" ref="L10">_xlfn._xlws.FILTER(Comparison[[Column6]:[Column8]],Comparison[Column4]=4,"")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8" t="str">
        <f>Main!A37</f>
        <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_xlfn.XLOOKUP(5,Comparison[Column4],Comparison[[Column2]:[Column3]],"")</f>
        <v/>
      </c>
      <c r="D21" s="18"/>
      <c r="E21" s="18" t="s">
        <v>15</v>
      </c>
      <c r="F21" s="38" t="str" cm="1">
        <f t="array" ref="F21">_xlfn.XLOOKUP(6,Comparison[Column4],Comparison[[Column2]:[Column3]],"")</f>
        <v/>
      </c>
      <c r="G21" s="18"/>
      <c r="H21" s="18" t="s">
        <v>15</v>
      </c>
      <c r="I21" s="38" t="str" cm="1">
        <f t="array" ref="I21">_xlfn.XLOOKUP(7,Comparison[Column4],Comparison[[Column2]:[Column3]],"")</f>
        <v/>
      </c>
      <c r="J21" s="18"/>
      <c r="K21" s="18" t="s">
        <v>15</v>
      </c>
      <c r="L21" s="38" t="str" cm="1">
        <f t="array" ref="L21">_xlfn.XLOOKUP(8,Comparison[Column4],Comparison[[Column2]:[Column3]],"")</f>
        <v/>
      </c>
      <c r="M21" s="18"/>
      <c r="N21" s="18" t="s">
        <v>15</v>
      </c>
      <c r="U21" s="293">
        <v>21</v>
      </c>
      <c r="V21" s="293" t="s">
        <v>22</v>
      </c>
    </row>
    <row r="22" spans="1:22" x14ac:dyDescent="0.25">
      <c r="A22" s="46" t="str" cm="1">
        <f t="array" ref="A22:A30">TRANSPOSE(Main!D36:L36)</f>
        <v/>
      </c>
      <c r="B22" s="19"/>
      <c r="C22" s="20" t="str" cm="1">
        <f t="array" ref="C22">_xlfn._xlws.FILTER(Comparison[[Column6]:[Column8]],Comparison[Column4]=5,"")</f>
        <v/>
      </c>
      <c r="D22" s="40"/>
      <c r="E22" s="28"/>
      <c r="F22" s="20" t="str" cm="1">
        <f t="array" ref="F22">_xlfn._xlws.FILTER(Comparison[[Column6]:[Column8]],Comparison[Column4]=6,"")</f>
        <v/>
      </c>
      <c r="G22" s="40"/>
      <c r="H22" s="28"/>
      <c r="I22" s="20" t="str" cm="1">
        <f t="array" ref="I22">_xlfn._xlws.FILTER(Comparison[[Column6]:[Column8]],Comparison[Column4]=7,"")</f>
        <v/>
      </c>
      <c r="J22" s="40"/>
      <c r="K22" s="28"/>
      <c r="L22" s="20" t="str" cm="1">
        <f t="array" ref="L22">_xlfn._xlws.FILTER(Comparison[[Column6]:[Column8]],Comparison[Column4]=8,"")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2" t="s">
        <v>17</v>
      </c>
      <c r="E32" s="632"/>
      <c r="F32" s="632"/>
      <c r="G32" s="632"/>
      <c r="H32" s="632"/>
      <c r="I32" s="632"/>
      <c r="J32" s="632"/>
      <c r="K32" s="632"/>
      <c r="L32" s="632"/>
      <c r="M32" s="632"/>
    </row>
    <row r="33" spans="1:14" ht="15" customHeight="1" x14ac:dyDescent="0.25">
      <c r="D33" s="633"/>
      <c r="E33" s="633"/>
      <c r="F33" s="633"/>
      <c r="G33" s="633"/>
      <c r="H33" s="633"/>
      <c r="I33" s="633"/>
      <c r="J33" s="633"/>
      <c r="K33" s="633"/>
      <c r="L33" s="633"/>
      <c r="M33" s="633"/>
      <c r="N33" s="24"/>
    </row>
    <row r="34" spans="1:14" x14ac:dyDescent="0.25">
      <c r="A34" s="19"/>
      <c r="B34" s="19"/>
      <c r="D34" s="633"/>
      <c r="E34" s="633"/>
      <c r="F34" s="633"/>
      <c r="G34" s="633"/>
      <c r="H34" s="633"/>
      <c r="I34" s="633"/>
      <c r="J34" s="633"/>
      <c r="K34" s="633"/>
      <c r="L34" s="633"/>
      <c r="M34" s="633"/>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4" t="s">
        <v>20</v>
      </c>
      <c r="D37" s="634"/>
      <c r="E37" s="634"/>
      <c r="F37" s="634"/>
      <c r="G37" s="634"/>
      <c r="H37" s="634"/>
      <c r="I37" s="634"/>
      <c r="J37" s="634"/>
      <c r="K37" s="634"/>
      <c r="L37" s="634"/>
      <c r="M37" s="634"/>
    </row>
    <row r="38" spans="1:14" x14ac:dyDescent="0.25">
      <c r="A38" s="19"/>
      <c r="B38" s="19"/>
      <c r="C38" s="634"/>
      <c r="D38" s="634"/>
      <c r="E38" s="634"/>
      <c r="F38" s="634"/>
      <c r="G38" s="634"/>
      <c r="H38" s="634"/>
      <c r="I38" s="634"/>
      <c r="J38" s="634"/>
      <c r="K38" s="634"/>
      <c r="L38" s="634"/>
      <c r="M38" s="634"/>
    </row>
    <row r="39" spans="1:14" x14ac:dyDescent="0.25">
      <c r="A39" s="19"/>
      <c r="B39" s="19"/>
      <c r="C39" s="634"/>
      <c r="D39" s="634"/>
      <c r="E39" s="634"/>
      <c r="F39" s="634"/>
      <c r="G39" s="634"/>
      <c r="H39" s="634"/>
      <c r="I39" s="634"/>
      <c r="J39" s="634"/>
      <c r="K39" s="634"/>
      <c r="L39" s="634"/>
      <c r="M39" s="634"/>
    </row>
    <row r="40" spans="1:14" x14ac:dyDescent="0.25">
      <c r="A40" s="19"/>
      <c r="B40" s="19"/>
      <c r="C40" s="634"/>
      <c r="D40" s="634"/>
      <c r="E40" s="634"/>
      <c r="F40" s="634"/>
      <c r="G40" s="634"/>
      <c r="H40" s="634"/>
      <c r="I40" s="634"/>
      <c r="J40" s="634"/>
      <c r="K40" s="634"/>
      <c r="L40" s="634"/>
      <c r="M40" s="634"/>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7Z9ZR6hM8H9GOLgdlQe/kPW6ZmOwVM7903+2D5hYcKbjTPksgdN8p2i+nVkR05Yv4+zRQFljdQf11LEce1JcvQ==" saltValue="gABHxM2DIhnPVxagkfqlPw==" spinCount="100000" sheet="1" objects="1" scenarios="1" selectLockedCells="1" autoFilter="0"/>
  <mergeCells count="2">
    <mergeCell ref="D32:M34"/>
    <mergeCell ref="C37:M40"/>
  </mergeCells>
  <phoneticPr fontId="20"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8">
    <cfRule type="expression" dxfId="64" priority="61">
      <formula>ISERROR(SEARCH(1,$G$19))</formula>
    </cfRule>
    <cfRule type="expression" dxfId="63" priority="62">
      <formula>ISNUMBER(SEARCH(1,$G$19))</formula>
    </cfRule>
  </conditionalFormatting>
  <conditionalFormatting sqref="J14:J18">
    <cfRule type="expression" dxfId="62" priority="57">
      <formula>ISERROR(SEARCH(1,$J$19))</formula>
    </cfRule>
    <cfRule type="expression" dxfId="61" priority="58">
      <formula>ISNUMBER(SEARCH(1,$J$19))</formula>
    </cfRule>
  </conditionalFormatting>
  <conditionalFormatting sqref="M14:M18">
    <cfRule type="expression" dxfId="60" priority="53">
      <formula>ISERROR(SEARCH(1,$M$19))</formula>
    </cfRule>
    <cfRule type="expression" dxfId="59" priority="54">
      <formula>ISNUMBER(SEARCH(1,$M$19))</formula>
    </cfRule>
  </conditionalFormatting>
  <conditionalFormatting sqref="G26:G30">
    <cfRule type="expression" dxfId="58" priority="45">
      <formula>ISERROR(SEARCH(1,$G$31))</formula>
    </cfRule>
    <cfRule type="expression" dxfId="57" priority="46">
      <formula>ISNUMBER(SEARCH(1,$G$31))</formula>
    </cfRule>
  </conditionalFormatting>
  <conditionalFormatting sqref="J26:J30">
    <cfRule type="expression" dxfId="56" priority="41">
      <formula>ISERROR(SEARCH(1,$J$31))</formula>
    </cfRule>
    <cfRule type="expression" dxfId="55" priority="42">
      <formula>ISNUMBER(SEARCH(1,$J$31))</formula>
    </cfRule>
  </conditionalFormatting>
  <conditionalFormatting sqref="M26:M30">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D10">
    <cfRule type="expression" dxfId="48" priority="29">
      <formula>ISERROR(SEARCH(1,$G$19))</formula>
    </cfRule>
    <cfRule type="expression" dxfId="47" priority="30">
      <formula>ISNUMBER(SEARCH(1,$G$19))</formula>
    </cfRule>
  </conditionalFormatting>
  <conditionalFormatting sqref="G11:G13">
    <cfRule type="expression" dxfId="46" priority="27">
      <formula>ISERROR(SEARCH(1,$G$19))</formula>
    </cfRule>
    <cfRule type="expression" dxfId="45" priority="28">
      <formula>ISNUMBER(SEARCH(1,$G$19))</formula>
    </cfRule>
  </conditionalFormatting>
  <conditionalFormatting sqref="G10">
    <cfRule type="expression" dxfId="44" priority="25">
      <formula>ISERROR(SEARCH(1,$G$19))</formula>
    </cfRule>
    <cfRule type="expression" dxfId="43" priority="26">
      <formula>ISNUMBER(SEARCH(1,$G$19))</formula>
    </cfRule>
  </conditionalFormatting>
  <conditionalFormatting sqref="J11:J13">
    <cfRule type="expression" dxfId="42" priority="23">
      <formula>ISERROR(SEARCH(1,$G$19))</formula>
    </cfRule>
    <cfRule type="expression" dxfId="41" priority="24">
      <formula>ISNUMBER(SEARCH(1,$G$19))</formula>
    </cfRule>
  </conditionalFormatting>
  <conditionalFormatting sqref="J10">
    <cfRule type="expression" dxfId="40" priority="21">
      <formula>ISERROR(SEARCH(1,$G$19))</formula>
    </cfRule>
    <cfRule type="expression" dxfId="39" priority="22">
      <formula>ISNUMBER(SEARCH(1,$G$19))</formula>
    </cfRule>
  </conditionalFormatting>
  <conditionalFormatting sqref="M11:M13">
    <cfRule type="expression" dxfId="38" priority="19">
      <formula>ISERROR(SEARCH(1,$G$19))</formula>
    </cfRule>
    <cfRule type="expression" dxfId="37" priority="20">
      <formula>ISNUMBER(SEARCH(1,$G$19))</formula>
    </cfRule>
  </conditionalFormatting>
  <conditionalFormatting sqref="M10">
    <cfRule type="expression" dxfId="36" priority="17">
      <formula>ISERROR(SEARCH(1,$G$19))</formula>
    </cfRule>
    <cfRule type="expression" dxfId="35" priority="18">
      <formula>ISNUMBER(SEARCH(1,$G$19))</formula>
    </cfRule>
  </conditionalFormatting>
  <conditionalFormatting sqref="D23:D25">
    <cfRule type="expression" dxfId="34" priority="15">
      <formula>ISERROR(SEARCH(1,$G$19))</formula>
    </cfRule>
    <cfRule type="expression" dxfId="33" priority="16">
      <formula>ISNUMBER(SEARCH(1,$G$19))</formula>
    </cfRule>
  </conditionalFormatting>
  <conditionalFormatting sqref="D22">
    <cfRule type="expression" dxfId="32" priority="13">
      <formula>ISERROR(SEARCH(1,$G$19))</formula>
    </cfRule>
    <cfRule type="expression" dxfId="31" priority="14">
      <formula>ISNUMBER(SEARCH(1,$G$19))</formula>
    </cfRule>
  </conditionalFormatting>
  <conditionalFormatting sqref="G23:G25">
    <cfRule type="expression" dxfId="30" priority="11">
      <formula>ISERROR(SEARCH(1,$G$19))</formula>
    </cfRule>
    <cfRule type="expression" dxfId="29" priority="12">
      <formula>ISNUMBER(SEARCH(1,$G$19))</formula>
    </cfRule>
  </conditionalFormatting>
  <conditionalFormatting sqref="G22">
    <cfRule type="expression" dxfId="28" priority="9">
      <formula>ISERROR(SEARCH(1,$G$19))</formula>
    </cfRule>
    <cfRule type="expression" dxfId="27" priority="10">
      <formula>ISNUMBER(SEARCH(1,$G$19))</formula>
    </cfRule>
  </conditionalFormatting>
  <conditionalFormatting sqref="J23:J25">
    <cfRule type="expression" dxfId="26" priority="7">
      <formula>ISERROR(SEARCH(1,$G$19))</formula>
    </cfRule>
    <cfRule type="expression" dxfId="25" priority="8">
      <formula>ISNUMBER(SEARCH(1,$G$19))</formula>
    </cfRule>
  </conditionalFormatting>
  <conditionalFormatting sqref="J22">
    <cfRule type="expression" dxfId="24" priority="5">
      <formula>ISERROR(SEARCH(1,$G$19))</formula>
    </cfRule>
    <cfRule type="expression" dxfId="23" priority="6">
      <formula>ISNUMBER(SEARCH(1,$G$19))</formula>
    </cfRule>
  </conditionalFormatting>
  <conditionalFormatting sqref="M23:M25">
    <cfRule type="expression" dxfId="22" priority="3">
      <formula>ISERROR(SEARCH(1,$G$19))</formula>
    </cfRule>
    <cfRule type="expression" dxfId="21" priority="4">
      <formula>ISNUMBER(SEARCH(1,$G$19))</formula>
    </cfRule>
  </conditionalFormatting>
  <conditionalFormatting sqref="M22">
    <cfRule type="expression" dxfId="20" priority="1">
      <formula>ISERROR(SEARCH(1,$G$19))</formula>
    </cfRule>
    <cfRule type="expression" dxfId="1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5" t="s">
        <v>349</v>
      </c>
      <c r="I28" s="635"/>
      <c r="J28" s="635"/>
      <c r="K28" s="635"/>
      <c r="L28" s="635"/>
      <c r="M28" s="635"/>
      <c r="N28" s="635"/>
      <c r="O28" s="635"/>
      <c r="P28" s="635"/>
      <c r="Q28" s="635"/>
      <c r="R28" s="635"/>
    </row>
    <row r="29" spans="1:20" x14ac:dyDescent="0.2">
      <c r="A29" s="641" t="s">
        <v>34</v>
      </c>
      <c r="B29" s="642"/>
      <c r="C29" s="50" t="str">
        <f>IF(Main!D48="","",Main!D48)</f>
        <v/>
      </c>
      <c r="D29" s="50" t="str">
        <f>IF(Main!E48="","",Main!E48)</f>
        <v/>
      </c>
      <c r="E29" s="50" t="str">
        <f>IF(Main!F48="","",Main!F48)</f>
        <v/>
      </c>
      <c r="F29" s="50" t="str">
        <f>IF(Main!G48="","",Main!G48)</f>
        <v/>
      </c>
      <c r="G29" s="275"/>
      <c r="H29" s="272" t="s">
        <v>350</v>
      </c>
      <c r="I29" s="118" t="str">
        <f>IF(Main!N47="","",Main!N47)</f>
        <v>Periodic</v>
      </c>
      <c r="J29" s="643" t="s">
        <v>351</v>
      </c>
      <c r="K29" s="644"/>
      <c r="L29" s="118" t="str">
        <f>IF(Main!R47="","",Main!R47)</f>
        <v>Air</v>
      </c>
    </row>
    <row r="30" spans="1:20" x14ac:dyDescent="0.2">
      <c r="A30" s="641" t="s">
        <v>35</v>
      </c>
      <c r="B30" s="642"/>
      <c r="C30" s="51" t="str">
        <f>IF(Main!D49="","",Main!D49)</f>
        <v/>
      </c>
      <c r="D30" s="51" t="str">
        <f>IF(Main!E49="","",Main!E49)</f>
        <v/>
      </c>
      <c r="E30" s="51" t="str">
        <f>IF(Main!F49="","",Main!F49)</f>
        <v/>
      </c>
      <c r="F30" s="51" t="str">
        <f>IF(Main!G49="","",Main!G49)</f>
        <v/>
      </c>
      <c r="G30" s="277"/>
      <c r="H30" s="636" t="s">
        <v>337</v>
      </c>
      <c r="I30" s="636"/>
      <c r="J30" s="645" t="s">
        <v>392</v>
      </c>
      <c r="K30" s="646"/>
      <c r="L30" s="647"/>
      <c r="M30" s="269"/>
      <c r="O30" s="637" t="s">
        <v>395</v>
      </c>
      <c r="P30" s="638"/>
      <c r="Q30" s="639"/>
      <c r="T30" s="39"/>
    </row>
    <row r="31" spans="1:20" x14ac:dyDescent="0.2">
      <c r="A31" s="641" t="s">
        <v>36</v>
      </c>
      <c r="B31" s="642"/>
      <c r="C31" s="51" t="str">
        <f>IF(Main!D50="","",Main!D50)</f>
        <v/>
      </c>
      <c r="D31" s="51" t="str">
        <f>IF(Main!E50="","",Main!E50)</f>
        <v/>
      </c>
      <c r="E31" s="51" t="str">
        <f>IF(Main!F50="","",Main!F50)</f>
        <v/>
      </c>
      <c r="F31" s="51" t="str">
        <f>IF(Main!G50="","",Main!G50)</f>
        <v/>
      </c>
      <c r="G31" s="277"/>
      <c r="H31" s="257" t="s">
        <v>352</v>
      </c>
      <c r="I31" s="259" t="str">
        <f>IF(Main!N49="","",Main!N49)</f>
        <v/>
      </c>
      <c r="J31" s="660" t="s">
        <v>400</v>
      </c>
      <c r="K31" s="661"/>
      <c r="L31" s="662"/>
      <c r="M31" s="270" t="str">
        <f>IF(Main!S49="","",Main!S49)</f>
        <v/>
      </c>
      <c r="O31" s="523" t="s">
        <v>402</v>
      </c>
      <c r="P31" s="524"/>
      <c r="Q31" s="640"/>
      <c r="R31" s="61" t="str">
        <f>IF(Main!X49="","",Main!X49)</f>
        <v/>
      </c>
      <c r="T31" s="39"/>
    </row>
    <row r="32" spans="1:20" ht="12.75" customHeight="1" x14ac:dyDescent="0.2">
      <c r="A32" s="641" t="s">
        <v>37</v>
      </c>
      <c r="B32" s="642"/>
      <c r="C32" s="50" t="str">
        <f>IF(Main!D51="","",Main!D51)</f>
        <v/>
      </c>
      <c r="D32" s="50" t="str">
        <f>IF(Main!E51="","",Main!E51)</f>
        <v/>
      </c>
      <c r="E32" s="50" t="str">
        <f>IF(Main!F51="","",Main!F51)</f>
        <v/>
      </c>
      <c r="F32" s="50" t="str">
        <f>IF(Main!G51="","",Main!G51)</f>
        <v/>
      </c>
      <c r="G32" s="275"/>
      <c r="H32" s="257" t="s">
        <v>368</v>
      </c>
      <c r="I32" s="259" t="str">
        <f>IF(Main!N50="","",Main!N50)</f>
        <v/>
      </c>
      <c r="J32" s="651" t="s">
        <v>340</v>
      </c>
      <c r="K32" s="652"/>
      <c r="L32" s="653"/>
      <c r="M32" s="265"/>
      <c r="O32" s="651" t="s">
        <v>340</v>
      </c>
      <c r="P32" s="652"/>
      <c r="Q32" s="653"/>
      <c r="T32" s="39"/>
    </row>
    <row r="33" spans="1:20" ht="12.75" customHeight="1" x14ac:dyDescent="0.2">
      <c r="A33" s="641" t="s">
        <v>353</v>
      </c>
      <c r="B33" s="642"/>
      <c r="C33" s="50" t="str">
        <f>IF(Main!D52="","",Main!D52)</f>
        <v/>
      </c>
      <c r="D33" s="50" t="str">
        <f>IF(Main!E52="","",Main!E52)</f>
        <v/>
      </c>
      <c r="E33" s="50" t="str">
        <f>IF(Main!F52="","",Main!F52)</f>
        <v/>
      </c>
      <c r="F33" s="50" t="str">
        <f>IF(Main!G52="","",Main!G52)</f>
        <v/>
      </c>
      <c r="G33" s="275"/>
      <c r="H33" s="257" t="s">
        <v>354</v>
      </c>
      <c r="I33" s="259" t="str">
        <f>IF(Main!N51="","",Main!N51)</f>
        <v/>
      </c>
      <c r="J33" s="648" t="s">
        <v>401</v>
      </c>
      <c r="K33" s="649"/>
      <c r="L33" s="650"/>
      <c r="M33" s="264" t="str">
        <f>IF(Main!S51="","",Main!S51)</f>
        <v/>
      </c>
      <c r="O33" s="648" t="s">
        <v>403</v>
      </c>
      <c r="P33" s="649"/>
      <c r="Q33" s="650"/>
      <c r="R33" s="61" t="str">
        <f>IF(Main!X51="","",Main!X51)</f>
        <v/>
      </c>
      <c r="T33" s="39"/>
    </row>
    <row r="34" spans="1:20" ht="12.75" customHeight="1" x14ac:dyDescent="0.2">
      <c r="A34" s="641" t="s">
        <v>38</v>
      </c>
      <c r="B34" s="642"/>
      <c r="C34" s="52" t="str">
        <f>IF(Main!D53="","",Main!D53)</f>
        <v/>
      </c>
      <c r="D34" s="52" t="str">
        <f>IF(Main!E53="","",Main!E53)</f>
        <v/>
      </c>
      <c r="E34" s="52" t="str">
        <f>IF(Main!F53="","",Main!F53)</f>
        <v/>
      </c>
      <c r="F34" s="52" t="str">
        <f>IF(Main!G53="","",Main!G53)</f>
        <v/>
      </c>
      <c r="G34" s="278"/>
      <c r="H34" s="257" t="s">
        <v>355</v>
      </c>
      <c r="I34" s="256" t="str">
        <f>IF(Main!N52="","",Main!N52)</f>
        <v/>
      </c>
      <c r="J34" s="651" t="s">
        <v>340</v>
      </c>
      <c r="K34" s="652"/>
      <c r="L34" s="653"/>
      <c r="O34" s="651" t="s">
        <v>340</v>
      </c>
      <c r="P34" s="652"/>
      <c r="Q34" s="653"/>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4" t="s">
        <v>404</v>
      </c>
      <c r="K35" s="655"/>
      <c r="L35" s="656"/>
      <c r="M35" s="273" t="str">
        <f>IF(Main!S53="","",Main!S53)</f>
        <v/>
      </c>
      <c r="O35" s="654" t="s">
        <v>405</v>
      </c>
      <c r="P35" s="655"/>
      <c r="Q35" s="656"/>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7"/>
      <c r="K36" s="658"/>
      <c r="L36" s="659"/>
      <c r="M36" s="268"/>
      <c r="O36" s="657"/>
      <c r="P36" s="658"/>
      <c r="Q36" s="659"/>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nND+KlYU3oYWx5I9Zh6RIEdak6SZ7eYmFwnrBfJdyTSnEIaHckCMV09+dkh5Wt1NoS1HpE86vGOOdM6O6Iekjw==" saltValue="Sgsm1IkHaeTfhBH6BtCD8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f>Main!D7</f>
        <v>0</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nVIySLjgCQoIdzhcfzAuV/wAaEB83GKXEEAoc+zhCX/h/PByP6u663uy9KVA70VpEjQOVreX12DEQaAexIiluw==" saltValue="54oOYxut+8IZUXp7r7Z7G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3" t="s">
        <v>56</v>
      </c>
      <c r="B1" s="601"/>
      <c r="C1" s="601"/>
      <c r="D1" s="601"/>
      <c r="E1" s="35" t="s">
        <v>156</v>
      </c>
      <c r="G1" s="601" t="s">
        <v>68</v>
      </c>
      <c r="H1" s="601"/>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htpOvsNLZsG+yZHcT7eaGreApkGLAl7CU5crDwZaGKN6Q5kHOoUOKg6Se+SRFpYfquFdc7gRVOilSRhT9YS+JA==" saltValue="LCX0Nwv2BHTHy6iFJ/5xy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2025-07-05T03:12:32Z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